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6084ED1-8547-4F20-AFE8-6BAF298BB7E0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Refer" sheetId="7" r:id="rId1"/>
    <sheet name="Data" sheetId="1" r:id="rId2"/>
    <sheet name="Cal" sheetId="6" r:id="rId3"/>
  </sheets>
  <definedNames>
    <definedName name="_xlnm._FilterDatabase" localSheetId="2" hidden="1">Cal!#REF!</definedName>
    <definedName name="_xlnm.Print_Area" localSheetId="2">Cal!$A$11:$L$31</definedName>
    <definedName name="_xlnm.Print_Area" localSheetId="1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J11" i="6"/>
  <c r="J52" i="6"/>
  <c r="D26" i="6"/>
  <c r="A63" i="6"/>
  <c r="J62" i="6"/>
  <c r="A62" i="6"/>
  <c r="F26" i="6" a="1"/>
  <c r="G26" i="6" a="1"/>
  <c r="K26" i="6" a="1"/>
  <c r="J26" i="6" a="1"/>
  <c r="I26" i="6" a="1"/>
  <c r="H26" i="6" a="1"/>
  <c r="L26" i="6" a="1"/>
  <c r="L26" i="6" l="1"/>
  <c r="K26" i="6"/>
  <c r="J26" i="6"/>
  <c r="J30" i="6" s="1"/>
  <c r="I26" i="6"/>
  <c r="H26" i="6"/>
  <c r="G26" i="6"/>
  <c r="F26" i="6"/>
  <c r="J63" i="6"/>
  <c r="CI15" i="1"/>
  <c r="CI16" i="1"/>
  <c r="CI17" i="1"/>
  <c r="CI18" i="1"/>
  <c r="CI19" i="1"/>
  <c r="CI5" i="1"/>
  <c r="CI6" i="1"/>
  <c r="CI7" i="1"/>
  <c r="CI8" i="1"/>
  <c r="CI9" i="1"/>
  <c r="CI4" i="1"/>
  <c r="CH5" i="1"/>
  <c r="CH6" i="1"/>
  <c r="CH7" i="1"/>
  <c r="CH8" i="1"/>
  <c r="CH17" i="1"/>
  <c r="CG17" i="1"/>
  <c r="CG16" i="1"/>
  <c r="CG15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F18" i="1"/>
  <c r="CH18" i="1" s="1"/>
  <c r="CF19" i="1"/>
  <c r="CH19" i="1" s="1"/>
  <c r="CF4" i="1"/>
  <c r="CG4" i="1" s="1"/>
  <c r="J42" i="6" l="1"/>
  <c r="CH4" i="1"/>
  <c r="CG19" i="1"/>
  <c r="CG18" i="1"/>
  <c r="CH9" i="1"/>
  <c r="BQ7" i="1"/>
  <c r="BQ8" i="1"/>
  <c r="BQ9" i="1"/>
  <c r="BQ10" i="1"/>
  <c r="BQ11" i="1"/>
  <c r="BQ12" i="1"/>
  <c r="BQ13" i="1"/>
  <c r="BQ14" i="1"/>
  <c r="BQ15" i="1"/>
  <c r="BQ6" i="1"/>
  <c r="X15" i="1" l="1"/>
  <c r="X14" i="1"/>
  <c r="X13" i="1"/>
  <c r="X12" i="1"/>
  <c r="X11" i="1"/>
  <c r="X10" i="1"/>
  <c r="X9" i="1"/>
  <c r="X8" i="1"/>
  <c r="X7" i="1"/>
  <c r="X6" i="1"/>
  <c r="B26" i="6" l="1"/>
  <c r="J41" i="6" l="1"/>
  <c r="C26" i="6" l="1"/>
  <c r="J61" i="6" s="1"/>
  <c r="J35" i="6" l="1"/>
  <c r="J36" i="6"/>
  <c r="J53" i="6"/>
  <c r="J37" i="6" l="1"/>
  <c r="J45" i="6" s="1"/>
  <c r="J38" i="6"/>
  <c r="J46" i="6" s="1"/>
  <c r="J39" i="6"/>
  <c r="L39" i="6" s="1"/>
  <c r="L63" i="6"/>
  <c r="L62" i="6"/>
  <c r="B64" i="6"/>
  <c r="J58" i="6"/>
  <c r="J57" i="6"/>
  <c r="J54" i="6"/>
  <c r="L54" i="6" s="1"/>
  <c r="J59" i="6" l="1"/>
  <c r="L59" i="6" s="1"/>
  <c r="J47" i="6"/>
  <c r="J48" i="6" s="1"/>
  <c r="L48" i="6" s="1"/>
  <c r="J43" i="6"/>
  <c r="L4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<sst xmlns="http://schemas.openxmlformats.org/spreadsheetml/2006/main" count="272" uniqueCount="222">
  <si>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</si>
  <si>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</si>
  <si>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</si>
  <si>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</si>
  <si>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</si>
  <si>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</si>
  <si>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</si>
  <si>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</si>
  <si>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</si>
  <si>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</si>
  <si>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</si>
  <si>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</si>
  <si>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</si>
  <si>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</si>
  <si>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</si>
  <si>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</si>
  <si>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</si>
  <si>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</si>
  <si>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</si>
  <si>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</si>
  <si>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</si>
  <si>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</si>
  <si>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</si>
  <si>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</si>
  <si>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</si>
  <si>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</si>
  <si>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</si>
  <si>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</si>
  <si>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</si>
  <si>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</si>
  <si>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</si>
  <si>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</si>
  <si>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</si>
  <si>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(kNm)</t>
  </si>
  <si>
    <t>(kN)</t>
  </si>
  <si>
    <t>N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</si>
  <si>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</si>
  <si>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</si>
  <si>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</si>
  <si>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</si>
  <si>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</si>
  <si>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</si>
  <si>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h =</t>
  </si>
  <si>
    <t>Phần tử</t>
  </si>
  <si>
    <t>Tổ hợp</t>
  </si>
  <si>
    <t>Q235</t>
  </si>
  <si>
    <t>Q345</t>
  </si>
  <si>
    <t>A572 gr.50</t>
  </si>
  <si>
    <t>A36</t>
  </si>
  <si>
    <t>2. Tính toán về ổn định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</si>
  <si>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</si>
  <si>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t>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=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</si>
  <si>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t xml:space="preserve">t </t>
    </r>
    <r>
      <rPr>
        <sz val="10"/>
        <color theme="1"/>
        <rFont val="Calibri"/>
        <family val="2"/>
        <scheme val="minor"/>
      </rPr>
      <t>= 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Symbol"/>
        <family val="1"/>
        <charset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</si>
  <si>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</t>
    </r>
    <r>
      <rPr>
        <sz val="10"/>
        <color theme="1"/>
        <rFont val="Calibri"/>
        <family val="2"/>
        <scheme val="minor"/>
      </rPr>
      <t xml:space="preserve">= </t>
    </r>
    <r>
      <rPr>
        <sz val="10"/>
        <color theme="1"/>
        <rFont val="Calibri"/>
        <family val="1"/>
        <charset val="2"/>
        <scheme val="minor"/>
      </rPr>
      <t>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/(I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</si>
  <si>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</si>
  <si>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</si>
  <si>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</si>
  <si>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y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</si>
  <si>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B</t>
  </si>
  <si>
    <t>Tỷ số huy động của cấu kiện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</si>
  <si>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</si>
  <si>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</si>
  <si>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xy </t>
    </r>
    <r>
      <rPr>
        <sz val="10"/>
        <color theme="1"/>
        <rFont val="Symbol"/>
        <family val="1"/>
        <charset val="2"/>
      </rPr>
      <t>=</t>
    </r>
  </si>
  <si>
    <t>Độ mảnh quy ước của phần vươn cánh</t>
  </si>
  <si>
    <t>Độ mảnh giới hạn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</si>
  <si>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/ 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 xml:space="preserve">qu,uf </t>
    </r>
    <r>
      <rPr>
        <sz val="10"/>
        <color theme="1"/>
        <rFont val="Calibri"/>
        <family val="1"/>
        <charset val="2"/>
        <scheme val="minor"/>
      </rPr>
      <t>=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</si>
  <si>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</si>
  <si>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</si>
  <si>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</si>
  <si>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t>ULS2 (1.1SW+1.2SDL+1.2BW+1.3Lr)</t>
  </si>
  <si>
    <t>Mác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</si>
  <si>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</si>
  <si>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</si>
  <si>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</si>
  <si>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c. Kiểm tra khi có tác dụng đồng thời của moment và lực cắt trong bản bụng dầm (CT 43.a)</t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</si>
  <si>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</si>
  <si>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</si>
  <si>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</si>
  <si>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</si>
  <si>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</si>
  <si>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</si>
  <si>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</si>
  <si>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</si>
  <si>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</si>
  <si>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</si>
  <si>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</si>
  <si>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</si>
  <si>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</si>
  <si>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</si>
  <si>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</si>
  <si>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</si>
  <si>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</si>
  <si>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</si>
  <si>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</si>
  <si>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</si>
  <si>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</si>
  <si>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</si>
  <si>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</si>
  <si>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</si>
  <si>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</si>
  <si>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</si>
  <si>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</si>
  <si>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</si>
  <si>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</si>
  <si>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</si>
  <si>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</si>
  <si>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</si>
  <si>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</si>
  <si>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</si>
  <si>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</si>
  <si>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</si>
  <si>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</si>
  <si>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</si>
  <si>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</si>
  <si>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</si>
  <si>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</si>
  <si>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</si>
  <si>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</si>
  <si>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</si>
  <si>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</si>
  <si>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</si>
  <si>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</si>
  <si>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</si>
  <si>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</si>
  <si>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</si>
  <si>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</si>
  <si>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</si>
  <si>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</si>
  <si>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</si>
  <si>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</si>
  <si>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</si>
  <si>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</si>
  <si>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</si>
  <si>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</si>
  <si>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</si>
  <si>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</si>
  <si>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</si>
  <si>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</si>
  <si>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</si>
  <si>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</si>
  <si>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</si>
  <si>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</si>
  <si>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</si>
  <si>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</si>
  <si>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</si>
  <si>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</si>
  <si>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</si>
  <si>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</si>
  <si>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</si>
  <si>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</si>
  <si>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</si>
  <si>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</si>
  <si>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</si>
  <si>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</si>
  <si>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</si>
  <si>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</si>
  <si>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</si>
  <si>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</si>
  <si>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</si>
  <si>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</si>
  <si>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</si>
  <si>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</si>
  <si>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</si>
  <si>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</si>
  <si>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</si>
  <si>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</si>
  <si>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</si>
  <si>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</si>
  <si>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</si>
  <si>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</si>
  <si>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</si>
  <si>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</si>
  <si>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</si>
  <si>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</si>
  <si>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</si>
  <si>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</si>
  <si>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</si>
  <si>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</si>
  <si>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1. Tính toán độ bền chịu uốn của dầm</t>
  </si>
  <si>
    <t>a. Kiểm tra khi có tác dụng của các moment</t>
  </si>
  <si>
    <t>b. Kiểm tra khi có tác dụng của lực cắt trong tiết diện</t>
  </si>
  <si>
    <t>a. Kiểm tra điều kiện ổn định tổng thể (bảng 12)</t>
  </si>
  <si>
    <r>
      <t>[L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/b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] = [0.41+0.0032b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+(0.73-0.016b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]=</t>
    </r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</si>
  <si>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>/b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</si>
  <si>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t>Giá trị giới hạn độ mảnh quy ước</t>
  </si>
  <si>
    <t>Giá trị độ mảnh quy ước của cánh chịu nén</t>
  </si>
  <si>
    <t>b. Kiểm tra điều kiện ổn định cục bộ</t>
  </si>
  <si>
    <t>b.1 Kiểm tra điều kiện ổn định cục bộ bản cánh</t>
  </si>
  <si>
    <t>b.2 Kiểm tra điều kiện ổn định cục bộ bản bụng</t>
  </si>
  <si>
    <t>Độ mảnh quy ước của bản bụng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</si>
  <si>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</si>
  <si>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qu,uf</t>
    </r>
    <r>
      <rPr>
        <sz val="10"/>
        <color theme="1"/>
        <rFont val="Calibri"/>
        <family val="2"/>
        <scheme val="minor"/>
      </rPr>
      <t xml:space="preserve"> =0.5(f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</si>
  <si>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</si>
  <si>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qu,uw</t>
    </r>
    <r>
      <rPr>
        <sz val="10"/>
        <color theme="1"/>
        <rFont val="Calibri"/>
        <family val="2"/>
        <scheme val="minor"/>
      </rPr>
      <t xml:space="preserve"> =5.5</t>
    </r>
    <r>
      <rPr>
        <sz val="10"/>
        <color theme="1"/>
        <rFont val="Calibri"/>
        <family val="1"/>
        <charset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</si>
  <si>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qu,uw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 xml:space="preserve"> =</t>
    </r>
  </si>
  <si>
    <t>Tải trọng tĩnh</t>
  </si>
  <si>
    <t>Q355</t>
  </si>
  <si>
    <r>
      <t>W</t>
    </r>
    <r>
      <rPr>
        <vertAlign val="subscript"/>
        <sz val="10"/>
        <color theme="1"/>
        <rFont val="Calibri"/>
        <family val="2"/>
        <scheme val="minor"/>
      </rPr>
      <t>x,T</t>
    </r>
  </si>
  <si>
    <r>
      <t>W</t>
    </r>
    <r>
      <rPr>
        <vertAlign val="subscript"/>
        <sz val="10"/>
        <color theme="1"/>
        <rFont val="Calibri"/>
        <family val="2"/>
        <scheme val="minor"/>
      </rPr>
      <t>x,B</t>
    </r>
  </si>
  <si>
    <t>THIẾT KẾ DẦM THÉP T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</si>
  <si>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</si>
  <si>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t>- Chiều cao tiết diện</t>
  </si>
  <si>
    <t>- Bề rộng bản cánh</t>
  </si>
  <si>
    <t>- Chiều dày bản bụng</t>
  </si>
  <si>
    <t>- Chiều dày bản cánh</t>
  </si>
  <si>
    <t>- Chiều dài tính toán dầm</t>
  </si>
  <si>
    <t>- Chiều dài ngoài mặt phẳng</t>
  </si>
  <si>
    <t>- Ứng suất pháp giới hạn</t>
  </si>
  <si>
    <t>- Tỷ số huy động ứng suất pháp của cấu kiện khi có tác dụng của N</t>
  </si>
  <si>
    <r>
      <t>- 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</si>
  <si>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- 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</si>
  <si>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- Tỷ số huy động của cấu kiện</t>
  </si>
  <si>
    <t>- Ứng suất tiếp giới hạn</t>
  </si>
  <si>
    <r>
      <t>- Ứng suất tiếp của cấu kiện gây ra bởi V</t>
    </r>
    <r>
      <rPr>
        <vertAlign val="subscript"/>
        <sz val="10"/>
        <color theme="1"/>
        <rFont val="Calibri"/>
        <family val="2"/>
        <scheme val="minor"/>
      </rPr>
      <t>y</t>
    </r>
  </si>
  <si>
    <r>
      <t xml:space="preserve">- Tỉ số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]</t>
    </r>
  </si>
  <si>
    <t>- Ứng suất pháp trong mặt phẳng trung bình của bản bụng, song song trục dọc</t>
  </si>
  <si>
    <t>- Ứng suất pháp trong mặt phẳng trung bình của bản bụng, vuông góc trục dọc</t>
  </si>
  <si>
    <t>- Ứng suất tiếp trong bản bụng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</si>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</sst>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4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u/>
      <sz val="10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b/>
      <sz val="10"/>
      <color theme="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8">
    <xf numFmtId="0" fontId="0" fillId="0" borderId="0"/>
    <xf numFmtId="0" fontId="18" fillId="0" borderId="0"/>
    <xf numFmtId="0" fontId="22" fillId="7" borderId="20" applyNumberFormat="0" applyAlignment="0" applyProtection="0"/>
    <xf numFmtId="0" fontId="29" fillId="0" borderId="0"/>
    <xf numFmtId="164" fontId="29" fillId="0" borderId="0" applyFont="0" applyFill="0" applyBorder="0" applyAlignment="0" applyProtection="0"/>
    <xf numFmtId="0" fontId="34" fillId="0" borderId="0"/>
    <xf numFmtId="0" fontId="38" fillId="0" borderId="0"/>
    <xf numFmtId="0" fontId="38" fillId="0" borderId="0"/>
  </cellStyleXfs>
  <cellXfs count="144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1" fontId="1" fillId="2" borderId="12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top"/>
    </xf>
    <xf numFmtId="0" fontId="16" fillId="5" borderId="10" xfId="0" applyFont="1" applyFill="1" applyBorder="1" applyAlignment="1">
      <alignment horizontal="center"/>
    </xf>
    <xf numFmtId="1" fontId="1" fillId="2" borderId="12" xfId="0" applyNumberFormat="1" applyFont="1" applyFill="1" applyBorder="1" applyAlignment="1">
      <alignment horizontal="center" vertical="top"/>
    </xf>
    <xf numFmtId="0" fontId="1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left" vertical="top" indent="3"/>
    </xf>
    <xf numFmtId="0" fontId="21" fillId="2" borderId="16" xfId="0" applyFont="1" applyFill="1" applyBorder="1" applyAlignment="1">
      <alignment horizontal="left" vertical="top" indent="1"/>
    </xf>
    <xf numFmtId="0" fontId="1" fillId="2" borderId="6" xfId="0" applyFont="1" applyFill="1" applyBorder="1"/>
    <xf numFmtId="0" fontId="1" fillId="6" borderId="0" xfId="0" applyFont="1" applyFill="1"/>
    <xf numFmtId="2" fontId="13" fillId="2" borderId="12" xfId="0" applyNumberFormat="1" applyFont="1" applyFill="1" applyBorder="1" applyAlignment="1">
      <alignment horizontal="center" vertical="center"/>
    </xf>
    <xf numFmtId="0" fontId="24" fillId="2" borderId="16" xfId="0" applyFont="1" applyFill="1" applyBorder="1" applyAlignment="1">
      <alignment horizontal="left" indent="1"/>
    </xf>
    <xf numFmtId="2" fontId="1" fillId="2" borderId="12" xfId="0" applyNumberFormat="1" applyFont="1" applyFill="1" applyBorder="1" applyAlignment="1">
      <alignment horizontal="center"/>
    </xf>
    <xf numFmtId="0" fontId="16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7" fillId="2" borderId="1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30" fillId="0" borderId="27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31" fillId="0" borderId="12" xfId="4" applyNumberFormat="1" applyFont="1" applyBorder="1" applyAlignment="1" applyProtection="1">
      <alignment horizontal="center" vertical="center"/>
      <protection hidden="1"/>
    </xf>
    <xf numFmtId="164" fontId="31" fillId="0" borderId="12" xfId="3" applyNumberFormat="1" applyFont="1" applyBorder="1" applyAlignment="1" applyProtection="1">
      <alignment horizontal="center" vertical="center"/>
      <protection hidden="1"/>
    </xf>
    <xf numFmtId="2" fontId="31" fillId="0" borderId="12" xfId="3" applyNumberFormat="1" applyFont="1" applyBorder="1" applyAlignment="1" applyProtection="1">
      <alignment horizontal="center" vertical="center"/>
      <protection hidden="1"/>
    </xf>
    <xf numFmtId="0" fontId="30" fillId="0" borderId="28" xfId="3" applyFont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165" fontId="31" fillId="0" borderId="29" xfId="4" applyNumberFormat="1" applyFont="1" applyBorder="1" applyAlignment="1" applyProtection="1">
      <alignment horizontal="center" vertical="center"/>
      <protection hidden="1"/>
    </xf>
    <xf numFmtId="164" fontId="31" fillId="0" borderId="29" xfId="3" applyNumberFormat="1" applyFont="1" applyBorder="1" applyAlignment="1" applyProtection="1">
      <alignment horizontal="center" vertical="center"/>
      <protection hidden="1"/>
    </xf>
    <xf numFmtId="2" fontId="31" fillId="0" borderId="29" xfId="3" applyNumberFormat="1" applyFont="1" applyBorder="1" applyAlignment="1" applyProtection="1">
      <alignment horizontal="center" vertical="center"/>
      <protection hidden="1"/>
    </xf>
    <xf numFmtId="0" fontId="32" fillId="5" borderId="12" xfId="3" applyFont="1" applyFill="1" applyBorder="1" applyAlignment="1">
      <alignment horizontal="center" vertical="center" wrapText="1"/>
    </xf>
    <xf numFmtId="0" fontId="30" fillId="0" borderId="30" xfId="3" applyFont="1" applyBorder="1" applyAlignment="1" applyProtection="1">
      <alignment horizontal="center" vertical="center"/>
      <protection hidden="1"/>
    </xf>
    <xf numFmtId="0" fontId="0" fillId="0" borderId="31" xfId="0" applyBorder="1" applyAlignment="1">
      <alignment horizontal="center" vertical="center"/>
    </xf>
    <xf numFmtId="165" fontId="31" fillId="0" borderId="31" xfId="4" applyNumberFormat="1" applyFont="1" applyBorder="1" applyAlignment="1" applyProtection="1">
      <alignment horizontal="center" vertical="center"/>
      <protection hidden="1"/>
    </xf>
    <xf numFmtId="164" fontId="31" fillId="0" borderId="31" xfId="3" applyNumberFormat="1" applyFont="1" applyBorder="1" applyAlignment="1" applyProtection="1">
      <alignment horizontal="center" vertical="center"/>
      <protection hidden="1"/>
    </xf>
    <xf numFmtId="2" fontId="31" fillId="0" borderId="31" xfId="3" applyNumberFormat="1" applyFont="1" applyBorder="1" applyAlignment="1" applyProtection="1">
      <alignment horizontal="center" vertical="center"/>
      <protection hidden="1"/>
    </xf>
    <xf numFmtId="0" fontId="32" fillId="5" borderId="12" xfId="3" applyFont="1" applyFill="1" applyBorder="1" applyAlignment="1">
      <alignment vertical="center"/>
    </xf>
    <xf numFmtId="2" fontId="31" fillId="0" borderId="4" xfId="3" applyNumberFormat="1" applyFont="1" applyBorder="1" applyAlignment="1" applyProtection="1">
      <alignment horizontal="center" vertical="center"/>
      <protection hidden="1"/>
    </xf>
    <xf numFmtId="2" fontId="31" fillId="0" borderId="17" xfId="3" applyNumberFormat="1" applyFont="1" applyBorder="1" applyAlignment="1" applyProtection="1">
      <alignment horizontal="center" vertical="center"/>
      <protection hidden="1"/>
    </xf>
    <xf numFmtId="2" fontId="31" fillId="0" borderId="32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5" fillId="8" borderId="12" xfId="5" applyFont="1" applyFill="1" applyBorder="1" applyAlignment="1">
      <alignment horizontal="center" vertical="center"/>
    </xf>
    <xf numFmtId="0" fontId="36" fillId="8" borderId="12" xfId="0" applyFont="1" applyFill="1" applyBorder="1" applyAlignment="1">
      <alignment vertical="center"/>
    </xf>
    <xf numFmtId="0" fontId="35" fillId="8" borderId="17" xfId="6" applyFont="1" applyFill="1" applyBorder="1" applyAlignment="1">
      <alignment horizontal="center" vertical="center"/>
    </xf>
    <xf numFmtId="0" fontId="35" fillId="8" borderId="17" xfId="5" applyFont="1" applyFill="1" applyBorder="1" applyAlignment="1">
      <alignment horizontal="center" vertical="center"/>
    </xf>
    <xf numFmtId="1" fontId="31" fillId="2" borderId="12" xfId="6" applyNumberFormat="1" applyFont="1" applyFill="1" applyBorder="1" applyAlignment="1">
      <alignment vertical="center"/>
    </xf>
    <xf numFmtId="0" fontId="31" fillId="2" borderId="12" xfId="6" applyFont="1" applyFill="1" applyBorder="1" applyAlignment="1">
      <alignment vertical="center"/>
    </xf>
    <xf numFmtId="0" fontId="31" fillId="2" borderId="17" xfId="6" applyFont="1" applyFill="1" applyBorder="1" applyAlignment="1">
      <alignment vertical="center"/>
    </xf>
    <xf numFmtId="0" fontId="40" fillId="2" borderId="12" xfId="5" applyFont="1" applyFill="1" applyBorder="1" applyAlignment="1">
      <alignment horizontal="left" vertical="center"/>
    </xf>
    <xf numFmtId="0" fontId="40" fillId="2" borderId="17" xfId="5" applyFont="1" applyFill="1" applyBorder="1" applyAlignment="1">
      <alignment horizontal="left" vertical="center"/>
    </xf>
    <xf numFmtId="0" fontId="40" fillId="2" borderId="17" xfId="6" applyFont="1" applyFill="1" applyBorder="1" applyAlignment="1">
      <alignment horizontal="left" vertical="center"/>
    </xf>
    <xf numFmtId="0" fontId="40" fillId="2" borderId="17" xfId="7" applyFont="1" applyFill="1" applyBorder="1" applyAlignment="1">
      <alignment horizontal="left" vertical="center"/>
    </xf>
    <xf numFmtId="0" fontId="36" fillId="8" borderId="12" xfId="0" applyFont="1" applyFill="1" applyBorder="1" applyAlignment="1">
      <alignment horizontal="center" vertical="center"/>
    </xf>
    <xf numFmtId="0" fontId="40" fillId="2" borderId="12" xfId="5" applyFont="1" applyFill="1" applyBorder="1" applyAlignment="1">
      <alignment horizontal="center" vertical="center"/>
    </xf>
    <xf numFmtId="1" fontId="31" fillId="2" borderId="12" xfId="6" applyNumberFormat="1" applyFont="1" applyFill="1" applyBorder="1" applyAlignment="1">
      <alignment horizontal="center" vertical="center"/>
    </xf>
    <xf numFmtId="0" fontId="31" fillId="2" borderId="12" xfId="6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center" vertical="center"/>
    </xf>
    <xf numFmtId="2" fontId="9" fillId="2" borderId="15" xfId="0" applyNumberFormat="1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right" vertical="top" indent="3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" fillId="2" borderId="0" xfId="0" applyFont="1" applyFill="1"/>
    <xf numFmtId="1" fontId="9" fillId="2" borderId="0" xfId="0" applyNumberFormat="1" applyFont="1" applyFill="1" applyAlignment="1">
      <alignment vertical="top"/>
    </xf>
    <xf numFmtId="164" fontId="1" fillId="2" borderId="0" xfId="0" applyNumberFormat="1" applyFont="1" applyFill="1"/>
    <xf numFmtId="2" fontId="13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vertical="top"/>
    </xf>
    <xf numFmtId="0" fontId="23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vertical="top"/>
    </xf>
    <xf numFmtId="2" fontId="22" fillId="7" borderId="20" xfId="2" applyNumberForma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right"/>
    </xf>
    <xf numFmtId="2" fontId="1" fillId="2" borderId="0" xfId="0" applyNumberFormat="1" applyFont="1" applyFill="1"/>
    <xf numFmtId="0" fontId="12" fillId="2" borderId="0" xfId="0" applyFont="1" applyFill="1" applyAlignment="1">
      <alignment horizontal="right" vertical="top"/>
    </xf>
    <xf numFmtId="164" fontId="9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/>
    </xf>
    <xf numFmtId="2" fontId="1" fillId="2" borderId="0" xfId="0" applyNumberFormat="1" applyFont="1" applyFill="1" applyAlignment="1">
      <alignment horizontal="right" vertical="center"/>
    </xf>
    <xf numFmtId="2" fontId="23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top" indent="2"/>
    </xf>
    <xf numFmtId="0" fontId="20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horizontal="center" vertical="center"/>
    </xf>
    <xf numFmtId="0" fontId="1" fillId="2" borderId="16" xfId="0" quotePrefix="1" applyFont="1" applyFill="1" applyBorder="1" applyAlignment="1">
      <alignment horizontal="left" vertical="top" indent="2"/>
    </xf>
    <xf numFmtId="0" fontId="16" fillId="5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2" borderId="1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left" vertical="center"/>
    </xf>
    <xf numFmtId="0" fontId="19" fillId="4" borderId="19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 vertical="top"/>
    </xf>
    <xf numFmtId="0" fontId="13" fillId="2" borderId="12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top" wrapText="1"/>
    </xf>
    <xf numFmtId="0" fontId="13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/>
    </xf>
    <xf numFmtId="0" fontId="16" fillId="5" borderId="21" xfId="0" applyFont="1" applyFill="1" applyBorder="1" applyAlignment="1">
      <alignment horizontal="center" wrapText="1"/>
    </xf>
    <xf numFmtId="0" fontId="16" fillId="5" borderId="22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35" fillId="8" borderId="12" xfId="5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 wrapText="1"/>
    </xf>
    <xf numFmtId="0" fontId="32" fillId="5" borderId="5" xfId="3" applyFont="1" applyFill="1" applyBorder="1" applyAlignment="1">
      <alignment horizontal="center" vertical="center" wrapText="1"/>
    </xf>
    <xf numFmtId="0" fontId="32" fillId="5" borderId="12" xfId="3" applyFont="1" applyFill="1" applyBorder="1" applyAlignment="1">
      <alignment horizontal="center" vertical="center" wrapText="1"/>
    </xf>
    <xf numFmtId="0" fontId="32" fillId="5" borderId="12" xfId="3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/>
    </xf>
    <xf numFmtId="0" fontId="16" fillId="5" borderId="24" xfId="0" applyFont="1" applyFill="1" applyBorder="1" applyAlignment="1">
      <alignment horizontal="center"/>
    </xf>
    <xf numFmtId="0" fontId="16" fillId="5" borderId="25" xfId="0" applyFont="1" applyFill="1" applyBorder="1" applyAlignment="1">
      <alignment horizontal="center"/>
    </xf>
    <xf numFmtId="0" fontId="32" fillId="5" borderId="26" xfId="3" applyFont="1" applyFill="1" applyBorder="1" applyAlignment="1">
      <alignment horizontal="center" vertical="center"/>
    </xf>
    <xf numFmtId="0" fontId="32" fillId="5" borderId="31" xfId="3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/>
    </xf>
    <xf numFmtId="0" fontId="16" fillId="5" borderId="33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</cellXfs>
  <cellStyles count="8">
    <cellStyle name="Calculation" xfId="2" builtinId="22"/>
    <cellStyle name="Comma 2" xfId="4" xr:uid="{75DDBDBA-DEF6-400D-BF6C-B961748DFEB3}"/>
    <cellStyle name="Normal" xfId="0" builtinId="0"/>
    <cellStyle name="Normal 2" xfId="6" xr:uid="{A4BF5999-4BD9-4121-A2D4-63C064D6281E}"/>
    <cellStyle name="Normal 2 2" xfId="7" xr:uid="{D0B881B4-57B4-4617-880D-E22319A2BBF7}"/>
    <cellStyle name="Normal 5" xfId="3" xr:uid="{1848E8DB-0876-4B85-9D87-E2A4B00DA696}"/>
    <cellStyle name="Normal 6" xfId="1" xr:uid="{00000000-0005-0000-0000-000002000000}"/>
    <cellStyle name="Normal_Sheet3" xfId="5" xr:uid="{B7043AC0-18F0-40B2-971C-9E43781D153A}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95304</xdr:colOff>
      <xdr:row>11</xdr:row>
      <xdr:rowOff>180974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F259FC-513E-43FF-87B1-93C4DCA0A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410504" cy="2276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123825</xdr:rowOff>
    </xdr:from>
    <xdr:to>
      <xdr:col>12</xdr:col>
      <xdr:colOff>191645</xdr:colOff>
      <xdr:row>42</xdr:row>
      <xdr:rowOff>59765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89390C0-053E-D1C7-B057-18DAE3D2B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09825"/>
          <a:ext cx="7506845" cy="56509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477078</xdr:colOff>
      <xdr:row>38</xdr:row>
      <xdr:rowOff>98706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99A0D3-5111-4A63-943B-ED6E9F3D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5AF75F0E-BFA1-43B1-BBBB-2FA34D8E4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41316</xdr:colOff>
      <xdr:row>13</xdr:row>
      <xdr:rowOff>31788</xdr:rowOff>
    </xdr:from>
    <xdr:to>
      <xdr:col>9</xdr:col>
      <xdr:colOff>96396</xdr:colOff>
      <xdr:row>20</xdr:row>
      <xdr:rowOff>94912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32E18B-9188-57DA-27FE-D59BEAEE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21500" y="638380"/>
          <a:ext cx="1091601" cy="13326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4B262-D65F-4673-8E16-044BDFBF43F9}">
  <dimension ref="A1"/>
  <sheetViews>
    <sheetView showGridLines="0" workbookViewId="0">
      <selection activeCell="R25" sqref="R25"/>
    </sheetView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CZ33"/>
  <sheetViews>
    <sheetView showGridLines="0" topLeftCell="A6" zoomScale="130" zoomScaleNormal="130" zoomScaleSheetLayoutView="100" workbookViewId="0">
      <selection activeCell="M22" sqref="M22"/>
    </sheetView>
  </sheetViews>
  <sheetFormatPr defaultColWidth="7.33203125" defaultRowHeight="13.8"/>
  <cols>
    <col min="1" max="1" width="9.88671875" style="1" customWidth="1"/>
    <col min="2" max="5" width="7.33203125" style="1"/>
    <col min="6" max="9" width="7.33203125" style="1" hidden="1" customWidth="1"/>
    <col min="10" max="10" width="3.33203125" style="24" customWidth="1"/>
    <col min="11" max="15" width="7.33203125" style="1"/>
    <col min="16" max="20" width="0" style="1" hidden="1" customWidth="1"/>
    <col min="21" max="21" width="3.33203125" style="24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24" customWidth="1"/>
    <col min="48" max="50" width="7.33203125" style="1"/>
    <col min="51" max="51" width="3.33203125" style="24" customWidth="1"/>
    <col min="52" max="54" width="7.33203125" style="1"/>
    <col min="55" max="59" width="0" style="1" hidden="1" customWidth="1"/>
    <col min="60" max="60" width="3.33203125" style="24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24" customWidth="1"/>
    <col min="81" max="81" width="9.5546875" style="63" bestFit="1" customWidth="1"/>
    <col min="82" max="83" width="9.5546875" style="72" customWidth="1"/>
    <col min="84" max="85" width="5" style="63" bestFit="1" customWidth="1"/>
    <col min="86" max="86" width="5" style="63" customWidth="1"/>
    <col min="87" max="87" width="5" style="63" bestFit="1" customWidth="1"/>
    <col min="88" max="88" width="7" style="64" bestFit="1" customWidth="1"/>
    <col min="89" max="103" width="0" style="1" hidden="1" customWidth="1"/>
    <col min="104" max="104" width="3.33203125" style="24" customWidth="1"/>
    <col min="105" max="16384" width="7.33203125" style="1"/>
  </cols>
  <sheetData>
    <row r="1" spans="1:88" ht="14.25" customHeight="1">
      <c r="A1" s="104" t="s">
        <v>2</v>
      </c>
      <c r="B1" s="15" t="s">
        <v>18</v>
      </c>
      <c r="C1" s="15" t="s">
        <v>40</v>
      </c>
      <c r="D1" s="15" t="s">
        <v>41</v>
      </c>
      <c r="E1" s="141" t="s">
        <v>218</v>
      </c>
      <c r="F1" s="34"/>
      <c r="G1" s="34"/>
      <c r="H1" s="34"/>
      <c r="I1" s="34"/>
      <c r="K1" s="125" t="s">
        <v>90</v>
      </c>
      <c r="L1" s="126"/>
      <c r="M1" s="126"/>
      <c r="N1" s="126"/>
      <c r="O1" s="126"/>
      <c r="P1" s="28"/>
      <c r="Q1" s="28"/>
      <c r="R1" s="28"/>
      <c r="S1" s="28"/>
      <c r="T1" s="28"/>
      <c r="V1" s="134" t="s">
        <v>100</v>
      </c>
      <c r="W1" s="134"/>
      <c r="X1" s="134"/>
      <c r="Y1" s="134"/>
      <c r="Z1" s="134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V1" s="136" t="s">
        <v>153</v>
      </c>
      <c r="AW1" s="137"/>
      <c r="AX1" s="138"/>
      <c r="AZ1" s="136" t="s">
        <v>101</v>
      </c>
      <c r="BA1" s="137"/>
      <c r="BB1" s="138"/>
      <c r="BI1" s="132" t="s">
        <v>110</v>
      </c>
      <c r="BJ1" s="132"/>
      <c r="BK1" s="133" t="s">
        <v>135</v>
      </c>
      <c r="BL1" s="132" t="s">
        <v>111</v>
      </c>
      <c r="BM1" s="132"/>
      <c r="BN1" s="132"/>
      <c r="BO1" s="132"/>
      <c r="BP1" s="133" t="s">
        <v>140</v>
      </c>
      <c r="BQ1" s="133"/>
      <c r="CC1" s="130" t="s">
        <v>111</v>
      </c>
      <c r="CD1" s="131"/>
      <c r="CE1" s="131"/>
      <c r="CF1" s="131"/>
      <c r="CG1" s="131"/>
      <c r="CH1" s="131"/>
      <c r="CI1" s="131"/>
      <c r="CJ1" s="131"/>
    </row>
    <row r="2" spans="1:88" ht="15.6">
      <c r="A2" s="105"/>
      <c r="B2" s="15" t="s">
        <v>19</v>
      </c>
      <c r="C2" s="15" t="s">
        <v>19</v>
      </c>
      <c r="D2" s="15" t="s">
        <v>19</v>
      </c>
      <c r="E2" s="142"/>
      <c r="F2" s="34"/>
      <c r="G2" s="34"/>
      <c r="H2" s="34"/>
      <c r="I2" s="34"/>
      <c r="K2" s="127"/>
      <c r="L2" s="128"/>
      <c r="M2" s="128"/>
      <c r="N2" s="128"/>
      <c r="O2" s="128"/>
      <c r="P2" s="28"/>
      <c r="Q2" s="28"/>
      <c r="R2" s="28"/>
      <c r="S2" s="28"/>
      <c r="T2" s="28"/>
      <c r="V2" s="135"/>
      <c r="W2" s="135"/>
      <c r="X2" s="135"/>
      <c r="Y2" s="135"/>
      <c r="Z2" s="135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V2" s="15" t="s">
        <v>154</v>
      </c>
      <c r="AW2" s="15" t="s">
        <v>23</v>
      </c>
      <c r="AX2" s="15" t="s">
        <v>58</v>
      </c>
      <c r="AZ2" s="15" t="s">
        <v>102</v>
      </c>
      <c r="BA2" s="15" t="s">
        <v>103</v>
      </c>
      <c r="BB2" s="15" t="s">
        <v>104</v>
      </c>
      <c r="BI2" s="132"/>
      <c r="BJ2" s="132"/>
      <c r="BK2" s="133"/>
      <c r="BL2" s="132" t="s">
        <v>112</v>
      </c>
      <c r="BM2" s="132"/>
      <c r="BN2" s="132" t="s">
        <v>113</v>
      </c>
      <c r="BO2" s="132"/>
      <c r="BP2" s="133"/>
      <c r="BQ2" s="133"/>
      <c r="CC2" s="129" t="s">
        <v>155</v>
      </c>
      <c r="CD2" s="69" t="s">
        <v>170</v>
      </c>
      <c r="CE2" s="69" t="s">
        <v>154</v>
      </c>
      <c r="CF2" s="59" t="s">
        <v>156</v>
      </c>
      <c r="CG2" s="59" t="s">
        <v>157</v>
      </c>
      <c r="CH2" s="59" t="s">
        <v>158</v>
      </c>
      <c r="CI2" s="59" t="s">
        <v>159</v>
      </c>
      <c r="CJ2" s="60" t="s">
        <v>160</v>
      </c>
    </row>
    <row r="3" spans="1:88" ht="15.6">
      <c r="A3" s="18" t="s">
        <v>45</v>
      </c>
      <c r="B3" s="2">
        <f>2.06*10^5</f>
        <v>206000</v>
      </c>
      <c r="C3" s="2">
        <v>235</v>
      </c>
      <c r="D3" s="143">
        <v>370</v>
      </c>
      <c r="E3" s="11">
        <v>1.1000000000000001</v>
      </c>
      <c r="F3" s="35"/>
      <c r="G3" s="35"/>
      <c r="H3" s="35"/>
      <c r="I3" s="35"/>
      <c r="K3" s="29" t="s">
        <v>91</v>
      </c>
      <c r="L3" s="29" t="s">
        <v>92</v>
      </c>
      <c r="M3" s="29" t="s">
        <v>93</v>
      </c>
      <c r="N3" s="29" t="s">
        <v>94</v>
      </c>
      <c r="O3" s="29" t="s">
        <v>95</v>
      </c>
      <c r="P3" s="19"/>
      <c r="Q3" s="19"/>
      <c r="R3" s="19"/>
      <c r="S3" s="19"/>
      <c r="T3" s="19"/>
      <c r="V3" s="30" t="s">
        <v>84</v>
      </c>
      <c r="W3" s="30" t="s">
        <v>96</v>
      </c>
      <c r="X3" s="30" t="s">
        <v>97</v>
      </c>
      <c r="Y3" s="30" t="s">
        <v>98</v>
      </c>
      <c r="Z3" s="32" t="s">
        <v>99</v>
      </c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V3" s="3">
        <v>360</v>
      </c>
      <c r="AW3" s="3">
        <v>560</v>
      </c>
      <c r="AX3" s="3">
        <v>475</v>
      </c>
      <c r="AZ3" s="3" t="s">
        <v>105</v>
      </c>
      <c r="BA3" s="3">
        <v>430</v>
      </c>
      <c r="BB3" s="3">
        <v>180</v>
      </c>
      <c r="BI3" s="132"/>
      <c r="BJ3" s="132"/>
      <c r="BK3" s="133"/>
      <c r="BL3" s="47" t="s">
        <v>136</v>
      </c>
      <c r="BM3" s="47" t="s">
        <v>137</v>
      </c>
      <c r="BN3" s="47" t="s">
        <v>138</v>
      </c>
      <c r="BO3" s="47" t="s">
        <v>139</v>
      </c>
      <c r="BP3" s="139" t="s">
        <v>151</v>
      </c>
      <c r="BQ3" s="53" t="s">
        <v>152</v>
      </c>
      <c r="CC3" s="129"/>
      <c r="CD3" s="58" t="s">
        <v>38</v>
      </c>
      <c r="CE3" s="58" t="s">
        <v>38</v>
      </c>
      <c r="CF3" s="58" t="s">
        <v>38</v>
      </c>
      <c r="CG3" s="58" t="s">
        <v>38</v>
      </c>
      <c r="CH3" s="58" t="s">
        <v>38</v>
      </c>
      <c r="CI3" s="58" t="s">
        <v>38</v>
      </c>
      <c r="CJ3" s="61" t="s">
        <v>38</v>
      </c>
    </row>
    <row r="4" spans="1:88">
      <c r="A4" s="18" t="s">
        <v>46</v>
      </c>
      <c r="B4" s="2">
        <f t="shared" ref="B4:B33" si="0">2.06*10^5</f>
        <v>206000</v>
      </c>
      <c r="C4" s="2">
        <v>345</v>
      </c>
      <c r="D4" s="143">
        <v>510</v>
      </c>
      <c r="E4" s="11">
        <v>1.1000000000000001</v>
      </c>
      <c r="F4" s="35"/>
      <c r="G4" s="35"/>
      <c r="H4" s="35"/>
      <c r="I4" s="35"/>
      <c r="K4" s="29">
        <v>5.6</v>
      </c>
      <c r="L4" s="29">
        <v>500</v>
      </c>
      <c r="M4" s="29">
        <v>300</v>
      </c>
      <c r="N4" s="29">
        <v>210</v>
      </c>
      <c r="O4" s="29">
        <v>225</v>
      </c>
      <c r="P4" s="19"/>
      <c r="Q4" s="19"/>
      <c r="R4" s="19"/>
      <c r="S4" s="19"/>
      <c r="T4" s="19"/>
      <c r="V4" s="31">
        <v>10</v>
      </c>
      <c r="W4" s="3">
        <v>1.5</v>
      </c>
      <c r="X4" s="13">
        <v>78.5</v>
      </c>
      <c r="Y4" s="3">
        <v>57.1</v>
      </c>
      <c r="Z4" s="3">
        <v>1</v>
      </c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V4" s="3">
        <v>370</v>
      </c>
      <c r="AW4" s="3">
        <v>580</v>
      </c>
      <c r="AX4" s="3">
        <v>485</v>
      </c>
      <c r="AZ4" s="3" t="s">
        <v>106</v>
      </c>
      <c r="BA4" s="3">
        <v>510</v>
      </c>
      <c r="BB4" s="3">
        <v>225</v>
      </c>
      <c r="BI4" s="132"/>
      <c r="BJ4" s="132"/>
      <c r="BK4" s="47" t="s">
        <v>38</v>
      </c>
      <c r="BL4" s="47" t="s">
        <v>38</v>
      </c>
      <c r="BM4" s="47" t="s">
        <v>38</v>
      </c>
      <c r="BN4" s="47" t="s">
        <v>38</v>
      </c>
      <c r="BO4" s="47" t="s">
        <v>38</v>
      </c>
      <c r="BP4" s="140"/>
      <c r="BQ4" s="47" t="s">
        <v>38</v>
      </c>
      <c r="CC4" s="65" t="s">
        <v>161</v>
      </c>
      <c r="CD4" s="70">
        <v>235</v>
      </c>
      <c r="CE4" s="70">
        <v>373</v>
      </c>
      <c r="CF4" s="65">
        <f>CD4</f>
        <v>235</v>
      </c>
      <c r="CG4" s="65">
        <f>CF4/1.15</f>
        <v>204.34782608695653</v>
      </c>
      <c r="CH4" s="65">
        <f>CF4</f>
        <v>235</v>
      </c>
      <c r="CI4" s="65">
        <f>0.7*CD4</f>
        <v>164.5</v>
      </c>
      <c r="CJ4" s="66">
        <v>200000</v>
      </c>
    </row>
    <row r="5" spans="1:88" ht="14.4">
      <c r="A5" s="18" t="s">
        <v>196</v>
      </c>
      <c r="B5" s="2">
        <f t="shared" si="0"/>
        <v>206000</v>
      </c>
      <c r="C5" s="2">
        <v>355</v>
      </c>
      <c r="D5" s="143">
        <v>510</v>
      </c>
      <c r="E5" s="11">
        <v>1.1000000000000001</v>
      </c>
      <c r="F5" s="35"/>
      <c r="G5" s="35"/>
      <c r="H5" s="35"/>
      <c r="I5" s="35"/>
      <c r="K5" s="29">
        <v>5.8</v>
      </c>
      <c r="L5" s="29">
        <v>500</v>
      </c>
      <c r="M5" s="29">
        <v>400</v>
      </c>
      <c r="N5" s="29">
        <v>210</v>
      </c>
      <c r="O5" s="29">
        <v>210</v>
      </c>
      <c r="P5" s="19"/>
      <c r="Q5" s="19"/>
      <c r="R5" s="19"/>
      <c r="S5" s="19"/>
      <c r="T5" s="19"/>
      <c r="V5" s="31">
        <v>12</v>
      </c>
      <c r="W5" s="3">
        <v>1.5</v>
      </c>
      <c r="X5" s="13">
        <v>113</v>
      </c>
      <c r="Y5" s="3">
        <v>84.2</v>
      </c>
      <c r="Z5" s="3">
        <v>1</v>
      </c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V5" s="3">
        <v>380</v>
      </c>
      <c r="AW5" s="3">
        <v>590</v>
      </c>
      <c r="AX5" s="3">
        <v>500</v>
      </c>
      <c r="AZ5" s="3" t="s">
        <v>107</v>
      </c>
      <c r="BA5" s="3">
        <v>410</v>
      </c>
      <c r="BB5" s="3">
        <v>180</v>
      </c>
      <c r="BI5" s="48" t="s">
        <v>114</v>
      </c>
      <c r="BJ5" s="49" t="s">
        <v>115</v>
      </c>
      <c r="BK5" s="50">
        <v>19000</v>
      </c>
      <c r="BL5" s="51">
        <v>7.5</v>
      </c>
      <c r="BM5" s="51">
        <v>6</v>
      </c>
      <c r="BN5" s="52">
        <v>0.85</v>
      </c>
      <c r="BO5" s="54">
        <v>0.56000000000000005</v>
      </c>
      <c r="BP5" s="57"/>
      <c r="BQ5" s="57"/>
      <c r="CC5" s="65" t="s">
        <v>162</v>
      </c>
      <c r="CD5" s="70">
        <v>295</v>
      </c>
      <c r="CE5" s="70">
        <v>490</v>
      </c>
      <c r="CF5" s="65">
        <f t="shared" ref="CF5:CF19" si="1">CD5</f>
        <v>295</v>
      </c>
      <c r="CG5" s="65">
        <f t="shared" ref="CG5:CG19" si="2">CF5/1.15</f>
        <v>256.52173913043481</v>
      </c>
      <c r="CH5" s="65">
        <f t="shared" ref="CH5:CH19" si="3">CF5</f>
        <v>295</v>
      </c>
      <c r="CI5" s="65">
        <f t="shared" ref="CI5:CI19" si="4">0.7*CD5</f>
        <v>206.5</v>
      </c>
      <c r="CJ5" s="66">
        <v>200000</v>
      </c>
    </row>
    <row r="6" spans="1:88" ht="14.4">
      <c r="A6" s="18" t="s">
        <v>48</v>
      </c>
      <c r="B6" s="2">
        <f t="shared" si="0"/>
        <v>206000</v>
      </c>
      <c r="C6" s="2">
        <v>250</v>
      </c>
      <c r="D6" s="143">
        <v>400</v>
      </c>
      <c r="E6" s="11">
        <v>1.1000000000000001</v>
      </c>
      <c r="F6" s="35"/>
      <c r="G6" s="35"/>
      <c r="H6" s="35"/>
      <c r="I6" s="35"/>
      <c r="K6" s="29">
        <v>8.8000000000000007</v>
      </c>
      <c r="L6" s="29">
        <v>830</v>
      </c>
      <c r="M6" s="29">
        <v>660</v>
      </c>
      <c r="N6" s="29">
        <v>332</v>
      </c>
      <c r="O6" s="29">
        <v>448</v>
      </c>
      <c r="P6" s="19"/>
      <c r="Q6" s="19"/>
      <c r="R6" s="19"/>
      <c r="S6" s="19"/>
      <c r="T6" s="19"/>
      <c r="V6" s="31">
        <v>16</v>
      </c>
      <c r="W6" s="3">
        <v>2</v>
      </c>
      <c r="X6" s="13">
        <f t="shared" ref="X6:X15" si="5">PI()*V6^2/4</f>
        <v>201.06192982974676</v>
      </c>
      <c r="Y6" s="3">
        <v>157</v>
      </c>
      <c r="Z6" s="3">
        <v>1</v>
      </c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V6" s="3">
        <v>390</v>
      </c>
      <c r="AW6" s="3">
        <v>610</v>
      </c>
      <c r="AX6" s="3">
        <v>515</v>
      </c>
      <c r="AZ6" s="3" t="s">
        <v>108</v>
      </c>
      <c r="BA6" s="3">
        <v>450</v>
      </c>
      <c r="BB6" s="3">
        <v>200</v>
      </c>
      <c r="BI6" s="37" t="s">
        <v>116</v>
      </c>
      <c r="BJ6" s="38" t="s">
        <v>117</v>
      </c>
      <c r="BK6" s="39">
        <v>24000</v>
      </c>
      <c r="BL6" s="40">
        <v>11</v>
      </c>
      <c r="BM6" s="40">
        <v>8.5</v>
      </c>
      <c r="BN6" s="41">
        <v>1.1000000000000001</v>
      </c>
      <c r="BO6" s="55">
        <v>0.75</v>
      </c>
      <c r="BP6" s="57" t="s">
        <v>141</v>
      </c>
      <c r="BQ6" s="57">
        <f>VALUE(MID(BP6,2,2))</f>
        <v>12</v>
      </c>
      <c r="CC6" s="65" t="s">
        <v>163</v>
      </c>
      <c r="CD6" s="70">
        <v>390</v>
      </c>
      <c r="CE6" s="70">
        <v>590</v>
      </c>
      <c r="CF6" s="65">
        <f t="shared" si="1"/>
        <v>390</v>
      </c>
      <c r="CG6" s="65">
        <f t="shared" si="2"/>
        <v>339.13043478260875</v>
      </c>
      <c r="CH6" s="65">
        <f t="shared" si="3"/>
        <v>390</v>
      </c>
      <c r="CI6" s="65">
        <f t="shared" si="4"/>
        <v>273</v>
      </c>
      <c r="CJ6" s="66">
        <v>200000</v>
      </c>
    </row>
    <row r="7" spans="1:88" ht="14.4">
      <c r="A7" s="18" t="s">
        <v>47</v>
      </c>
      <c r="B7" s="2">
        <f t="shared" si="0"/>
        <v>206000</v>
      </c>
      <c r="C7" s="2">
        <v>345</v>
      </c>
      <c r="D7" s="143">
        <v>450</v>
      </c>
      <c r="E7" s="11">
        <v>1.1000000000000001</v>
      </c>
      <c r="F7" s="35"/>
      <c r="G7" s="35"/>
      <c r="H7" s="35"/>
      <c r="I7" s="35"/>
      <c r="K7" s="29">
        <v>10.9</v>
      </c>
      <c r="L7" s="29">
        <v>1040</v>
      </c>
      <c r="M7" s="29">
        <v>940</v>
      </c>
      <c r="N7" s="29">
        <v>416</v>
      </c>
      <c r="O7" s="29">
        <v>728</v>
      </c>
      <c r="P7" s="19"/>
      <c r="Q7" s="19"/>
      <c r="R7" s="19"/>
      <c r="S7" s="19"/>
      <c r="T7" s="19"/>
      <c r="V7" s="31">
        <v>18</v>
      </c>
      <c r="W7" s="3">
        <v>2.5</v>
      </c>
      <c r="X7" s="13">
        <f t="shared" si="5"/>
        <v>254.46900494077323</v>
      </c>
      <c r="Y7" s="3">
        <v>192</v>
      </c>
      <c r="Z7" s="3">
        <v>1.05</v>
      </c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V7" s="3">
        <v>430</v>
      </c>
      <c r="AW7" s="3">
        <v>670</v>
      </c>
      <c r="AX7" s="3">
        <v>565</v>
      </c>
      <c r="AZ7" s="3" t="s">
        <v>109</v>
      </c>
      <c r="BA7" s="3">
        <v>490</v>
      </c>
      <c r="BB7" s="3">
        <v>215</v>
      </c>
      <c r="BI7" s="37" t="s">
        <v>118</v>
      </c>
      <c r="BJ7" s="38" t="s">
        <v>119</v>
      </c>
      <c r="BK7" s="39">
        <v>27500</v>
      </c>
      <c r="BL7" s="40">
        <v>15</v>
      </c>
      <c r="BM7" s="40">
        <v>11.5</v>
      </c>
      <c r="BN7" s="41">
        <v>1.35</v>
      </c>
      <c r="BO7" s="55">
        <v>0.9</v>
      </c>
      <c r="BP7" s="57" t="s">
        <v>142</v>
      </c>
      <c r="BQ7" s="57">
        <f t="shared" ref="BQ7:BQ15" si="6">VALUE(MID(BP7,2,2))</f>
        <v>16</v>
      </c>
      <c r="CC7" s="65" t="s">
        <v>164</v>
      </c>
      <c r="CD7" s="70">
        <v>235</v>
      </c>
      <c r="CE7" s="70">
        <v>373</v>
      </c>
      <c r="CF7" s="65">
        <f t="shared" si="1"/>
        <v>235</v>
      </c>
      <c r="CG7" s="65">
        <f t="shared" si="2"/>
        <v>204.34782608695653</v>
      </c>
      <c r="CH7" s="65">
        <f t="shared" si="3"/>
        <v>235</v>
      </c>
      <c r="CI7" s="65">
        <f t="shared" si="4"/>
        <v>164.5</v>
      </c>
      <c r="CJ7" s="67">
        <v>200000</v>
      </c>
    </row>
    <row r="8" spans="1:88" ht="14.4">
      <c r="A8" s="18" t="s">
        <v>4</v>
      </c>
      <c r="B8" s="2">
        <f t="shared" si="0"/>
        <v>206000</v>
      </c>
      <c r="C8" s="2">
        <v>235</v>
      </c>
      <c r="D8" s="143">
        <v>360</v>
      </c>
      <c r="E8" s="11">
        <v>1.05</v>
      </c>
      <c r="F8" s="35"/>
      <c r="G8" s="35"/>
      <c r="H8" s="35"/>
      <c r="I8" s="35"/>
      <c r="K8" s="29">
        <v>12.9</v>
      </c>
      <c r="L8" s="29">
        <v>1220</v>
      </c>
      <c r="M8" s="29">
        <v>1100</v>
      </c>
      <c r="N8" s="29">
        <v>427</v>
      </c>
      <c r="O8" s="29">
        <v>854</v>
      </c>
      <c r="P8" s="19"/>
      <c r="Q8" s="19"/>
      <c r="R8" s="19"/>
      <c r="S8" s="19"/>
      <c r="T8" s="19"/>
      <c r="V8" s="31">
        <v>20</v>
      </c>
      <c r="W8" s="3">
        <v>2.5</v>
      </c>
      <c r="X8" s="13">
        <f t="shared" si="5"/>
        <v>314.15926535897933</v>
      </c>
      <c r="Y8" s="3">
        <v>245</v>
      </c>
      <c r="Z8" s="3">
        <v>1.1000000000000001</v>
      </c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V8" s="3">
        <v>440</v>
      </c>
      <c r="AW8" s="3">
        <v>685</v>
      </c>
      <c r="AX8" s="3">
        <v>580</v>
      </c>
      <c r="BI8" s="37" t="s">
        <v>120</v>
      </c>
      <c r="BJ8" s="38" t="s">
        <v>121</v>
      </c>
      <c r="BK8" s="39">
        <v>30000</v>
      </c>
      <c r="BL8" s="40">
        <v>18.5</v>
      </c>
      <c r="BM8" s="40">
        <v>14.5</v>
      </c>
      <c r="BN8" s="41">
        <v>1.55</v>
      </c>
      <c r="BO8" s="55">
        <v>1.05</v>
      </c>
      <c r="BP8" s="57" t="s">
        <v>143</v>
      </c>
      <c r="BQ8" s="57">
        <f t="shared" si="6"/>
        <v>20</v>
      </c>
      <c r="CC8" s="65" t="s">
        <v>165</v>
      </c>
      <c r="CD8" s="70">
        <v>295</v>
      </c>
      <c r="CE8" s="70">
        <v>490</v>
      </c>
      <c r="CF8" s="65">
        <f t="shared" si="1"/>
        <v>295</v>
      </c>
      <c r="CG8" s="65">
        <f t="shared" si="2"/>
        <v>256.52173913043481</v>
      </c>
      <c r="CH8" s="65">
        <f t="shared" si="3"/>
        <v>295</v>
      </c>
      <c r="CI8" s="65">
        <f t="shared" si="4"/>
        <v>206.5</v>
      </c>
      <c r="CJ8" s="67">
        <v>200000</v>
      </c>
    </row>
    <row r="9" spans="1:88" ht="14.4">
      <c r="A9" s="18" t="s">
        <v>3</v>
      </c>
      <c r="B9" s="2">
        <f t="shared" si="0"/>
        <v>206000</v>
      </c>
      <c r="C9" s="2">
        <v>225</v>
      </c>
      <c r="D9" s="143">
        <v>360</v>
      </c>
      <c r="E9" s="11">
        <v>1.05</v>
      </c>
      <c r="F9" s="35"/>
      <c r="G9" s="35"/>
      <c r="H9" s="35"/>
      <c r="I9" s="35"/>
      <c r="V9" s="31">
        <v>22</v>
      </c>
      <c r="W9" s="3">
        <v>2.5</v>
      </c>
      <c r="X9" s="13">
        <f t="shared" si="5"/>
        <v>380.13271108436498</v>
      </c>
      <c r="Y9" s="3">
        <v>303</v>
      </c>
      <c r="Z9" s="3">
        <v>1.1000000000000001</v>
      </c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V9" s="3">
        <v>450</v>
      </c>
      <c r="AW9" s="3">
        <v>700</v>
      </c>
      <c r="AX9" s="3">
        <v>595</v>
      </c>
      <c r="BI9" s="37" t="s">
        <v>122</v>
      </c>
      <c r="BJ9" s="38" t="s">
        <v>123</v>
      </c>
      <c r="BK9" s="39">
        <v>32500</v>
      </c>
      <c r="BL9" s="40">
        <v>22</v>
      </c>
      <c r="BM9" s="40">
        <v>17</v>
      </c>
      <c r="BN9" s="41">
        <v>1.75</v>
      </c>
      <c r="BO9" s="55">
        <v>1.1499999999999999</v>
      </c>
      <c r="BP9" s="57" t="s">
        <v>144</v>
      </c>
      <c r="BQ9" s="57">
        <f t="shared" si="6"/>
        <v>25</v>
      </c>
      <c r="CC9" s="65" t="s">
        <v>166</v>
      </c>
      <c r="CD9" s="70">
        <v>390</v>
      </c>
      <c r="CE9" s="70">
        <v>590</v>
      </c>
      <c r="CF9" s="65">
        <f t="shared" si="1"/>
        <v>390</v>
      </c>
      <c r="CG9" s="65">
        <f t="shared" si="2"/>
        <v>339.13043478260875</v>
      </c>
      <c r="CH9" s="65">
        <f t="shared" si="3"/>
        <v>390</v>
      </c>
      <c r="CI9" s="65">
        <f t="shared" si="4"/>
        <v>273</v>
      </c>
      <c r="CJ9" s="67">
        <v>200000</v>
      </c>
    </row>
    <row r="10" spans="1:88" ht="14.4">
      <c r="A10" s="18" t="s">
        <v>5</v>
      </c>
      <c r="B10" s="2">
        <f t="shared" si="0"/>
        <v>206000</v>
      </c>
      <c r="C10" s="2">
        <v>215</v>
      </c>
      <c r="D10" s="143">
        <v>360</v>
      </c>
      <c r="E10" s="11">
        <v>1.05</v>
      </c>
      <c r="F10" s="35"/>
      <c r="G10" s="35"/>
      <c r="H10" s="35"/>
      <c r="I10" s="35"/>
      <c r="V10" s="31">
        <v>24</v>
      </c>
      <c r="W10" s="3">
        <v>3</v>
      </c>
      <c r="X10" s="13">
        <f t="shared" si="5"/>
        <v>452.38934211693021</v>
      </c>
      <c r="Y10" s="3">
        <v>353</v>
      </c>
      <c r="Z10" s="3">
        <v>1.1000000000000001</v>
      </c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V10" s="3">
        <v>460</v>
      </c>
      <c r="AW10" s="3">
        <v>720</v>
      </c>
      <c r="AX10" s="3">
        <v>605</v>
      </c>
      <c r="BI10" s="37" t="s">
        <v>124</v>
      </c>
      <c r="BJ10" s="38" t="s">
        <v>125</v>
      </c>
      <c r="BK10" s="39">
        <v>34500</v>
      </c>
      <c r="BL10" s="40">
        <v>25.5</v>
      </c>
      <c r="BM10" s="40">
        <v>19.5</v>
      </c>
      <c r="BN10" s="41">
        <v>1.95</v>
      </c>
      <c r="BO10" s="55">
        <v>1.3</v>
      </c>
      <c r="BP10" s="57" t="s">
        <v>145</v>
      </c>
      <c r="BQ10" s="57">
        <f t="shared" si="6"/>
        <v>28</v>
      </c>
      <c r="CC10" s="65" t="s">
        <v>173</v>
      </c>
      <c r="CD10" s="70">
        <v>240</v>
      </c>
      <c r="CE10" s="70">
        <v>380</v>
      </c>
      <c r="CF10" s="65">
        <f t="shared" si="1"/>
        <v>240</v>
      </c>
      <c r="CG10" s="65"/>
      <c r="CH10" s="65">
        <f t="shared" si="3"/>
        <v>240</v>
      </c>
      <c r="CI10" s="65">
        <v>170</v>
      </c>
      <c r="CJ10" s="66">
        <v>200000</v>
      </c>
    </row>
    <row r="11" spans="1:88" ht="14.4">
      <c r="A11" s="18" t="s">
        <v>6</v>
      </c>
      <c r="B11" s="2">
        <f t="shared" si="0"/>
        <v>206000</v>
      </c>
      <c r="C11" s="2">
        <v>215</v>
      </c>
      <c r="D11" s="143">
        <v>360</v>
      </c>
      <c r="E11" s="11">
        <v>1.05</v>
      </c>
      <c r="F11" s="35"/>
      <c r="G11" s="35"/>
      <c r="H11" s="35"/>
      <c r="I11" s="35"/>
      <c r="V11" s="31">
        <v>27</v>
      </c>
      <c r="W11" s="3">
        <v>3</v>
      </c>
      <c r="X11" s="13">
        <f t="shared" si="5"/>
        <v>572.55526111673976</v>
      </c>
      <c r="Y11" s="3">
        <v>459</v>
      </c>
      <c r="Z11" s="3">
        <v>1.2</v>
      </c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V11" s="3">
        <v>470</v>
      </c>
      <c r="AW11" s="3">
        <v>735</v>
      </c>
      <c r="AX11" s="3">
        <v>620</v>
      </c>
      <c r="BI11" s="37" t="s">
        <v>126</v>
      </c>
      <c r="BJ11" s="38" t="s">
        <v>127</v>
      </c>
      <c r="BK11" s="39">
        <v>36000</v>
      </c>
      <c r="BL11" s="40">
        <v>29</v>
      </c>
      <c r="BM11" s="40">
        <v>22</v>
      </c>
      <c r="BN11" s="41">
        <v>2.1</v>
      </c>
      <c r="BO11" s="55">
        <v>1.4</v>
      </c>
      <c r="BP11" s="57" t="s">
        <v>146</v>
      </c>
      <c r="BQ11" s="57">
        <f t="shared" si="6"/>
        <v>32</v>
      </c>
      <c r="CC11" s="65" t="s">
        <v>174</v>
      </c>
      <c r="CD11" s="70">
        <v>300</v>
      </c>
      <c r="CE11" s="70">
        <v>440</v>
      </c>
      <c r="CF11" s="65">
        <f t="shared" si="1"/>
        <v>300</v>
      </c>
      <c r="CG11" s="65"/>
      <c r="CH11" s="65">
        <f t="shared" si="3"/>
        <v>300</v>
      </c>
      <c r="CI11" s="65">
        <v>210</v>
      </c>
      <c r="CJ11" s="66">
        <v>200000</v>
      </c>
    </row>
    <row r="12" spans="1:88" ht="14.4">
      <c r="A12" s="18" t="s">
        <v>7</v>
      </c>
      <c r="B12" s="2">
        <f t="shared" si="0"/>
        <v>206000</v>
      </c>
      <c r="C12" s="2">
        <v>215</v>
      </c>
      <c r="D12" s="143">
        <v>360</v>
      </c>
      <c r="E12" s="11">
        <v>1.05</v>
      </c>
      <c r="F12" s="35"/>
      <c r="G12" s="35"/>
      <c r="H12" s="35"/>
      <c r="I12" s="35"/>
      <c r="V12" s="31">
        <v>30</v>
      </c>
      <c r="W12" s="3">
        <v>3.5</v>
      </c>
      <c r="X12" s="13">
        <f t="shared" si="5"/>
        <v>706.85834705770344</v>
      </c>
      <c r="Y12" s="3">
        <v>561</v>
      </c>
      <c r="Z12" s="3">
        <v>1.3</v>
      </c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V12" s="3">
        <v>480</v>
      </c>
      <c r="AW12" s="3">
        <v>750</v>
      </c>
      <c r="AX12" s="3">
        <v>630</v>
      </c>
      <c r="BI12" s="37" t="s">
        <v>128</v>
      </c>
      <c r="BJ12" s="38" t="s">
        <v>129</v>
      </c>
      <c r="BK12" s="39">
        <v>37000</v>
      </c>
      <c r="BL12" s="40">
        <v>32</v>
      </c>
      <c r="BM12" s="40">
        <v>25</v>
      </c>
      <c r="BN12" s="41">
        <v>2.25</v>
      </c>
      <c r="BO12" s="55">
        <v>1.5</v>
      </c>
      <c r="BP12" s="57" t="s">
        <v>147</v>
      </c>
      <c r="BQ12" s="57">
        <f t="shared" si="6"/>
        <v>35</v>
      </c>
      <c r="CC12" s="65" t="s">
        <v>175</v>
      </c>
      <c r="CD12" s="70">
        <v>300</v>
      </c>
      <c r="CE12" s="70">
        <v>450</v>
      </c>
      <c r="CF12" s="65">
        <f t="shared" si="1"/>
        <v>300</v>
      </c>
      <c r="CG12" s="65"/>
      <c r="CH12" s="65">
        <f t="shared" si="3"/>
        <v>300</v>
      </c>
      <c r="CI12" s="65">
        <v>210</v>
      </c>
      <c r="CJ12" s="66">
        <v>200000</v>
      </c>
    </row>
    <row r="13" spans="1:88" ht="14.4">
      <c r="A13" s="18" t="s">
        <v>8</v>
      </c>
      <c r="B13" s="2">
        <f t="shared" si="0"/>
        <v>206000</v>
      </c>
      <c r="C13" s="2">
        <v>275</v>
      </c>
      <c r="D13" s="143">
        <v>410</v>
      </c>
      <c r="E13" s="11">
        <v>1.05</v>
      </c>
      <c r="F13" s="35"/>
      <c r="G13" s="35"/>
      <c r="H13" s="35"/>
      <c r="I13" s="35"/>
      <c r="V13" s="31">
        <v>36</v>
      </c>
      <c r="W13" s="3">
        <v>4</v>
      </c>
      <c r="X13" s="13">
        <f t="shared" si="5"/>
        <v>1017.8760197630929</v>
      </c>
      <c r="Y13" s="3">
        <v>816</v>
      </c>
      <c r="Z13" s="3">
        <v>1.3</v>
      </c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V13" s="3">
        <v>490</v>
      </c>
      <c r="AW13" s="3">
        <v>765</v>
      </c>
      <c r="AX13" s="3">
        <v>645</v>
      </c>
      <c r="BI13" s="37" t="s">
        <v>130</v>
      </c>
      <c r="BJ13" s="38" t="s">
        <v>131</v>
      </c>
      <c r="BK13" s="39">
        <v>38000</v>
      </c>
      <c r="BL13" s="40">
        <v>36</v>
      </c>
      <c r="BM13" s="40">
        <v>27.5</v>
      </c>
      <c r="BN13" s="41">
        <v>2.4500000000000002</v>
      </c>
      <c r="BO13" s="55">
        <v>1.6</v>
      </c>
      <c r="BP13" s="57" t="s">
        <v>148</v>
      </c>
      <c r="BQ13" s="57">
        <f t="shared" si="6"/>
        <v>40</v>
      </c>
      <c r="CC13" s="65" t="s">
        <v>176</v>
      </c>
      <c r="CD13" s="70">
        <v>400</v>
      </c>
      <c r="CE13" s="70">
        <v>570</v>
      </c>
      <c r="CF13" s="65">
        <f t="shared" si="1"/>
        <v>400</v>
      </c>
      <c r="CG13" s="65"/>
      <c r="CH13" s="65">
        <f t="shared" si="3"/>
        <v>400</v>
      </c>
      <c r="CI13" s="65">
        <v>280</v>
      </c>
      <c r="CJ13" s="66">
        <v>200000</v>
      </c>
    </row>
    <row r="14" spans="1:88" ht="14.4">
      <c r="A14" s="18" t="s">
        <v>9</v>
      </c>
      <c r="B14" s="2">
        <f t="shared" si="0"/>
        <v>206000</v>
      </c>
      <c r="C14" s="2">
        <v>265</v>
      </c>
      <c r="D14" s="143">
        <v>410</v>
      </c>
      <c r="E14" s="11">
        <v>1.05</v>
      </c>
      <c r="F14" s="35"/>
      <c r="G14" s="35"/>
      <c r="H14" s="35"/>
      <c r="I14" s="35"/>
      <c r="V14" s="31">
        <v>42</v>
      </c>
      <c r="W14" s="3">
        <v>4.5</v>
      </c>
      <c r="X14" s="13">
        <f t="shared" si="5"/>
        <v>1385.4423602330987</v>
      </c>
      <c r="Y14" s="3">
        <v>1120</v>
      </c>
      <c r="Z14" s="3">
        <v>1.6</v>
      </c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V14" s="3">
        <v>510</v>
      </c>
      <c r="AW14" s="3">
        <v>795</v>
      </c>
      <c r="AX14" s="3">
        <v>670</v>
      </c>
      <c r="BI14" s="37" t="s">
        <v>130</v>
      </c>
      <c r="BJ14" s="38" t="s">
        <v>132</v>
      </c>
      <c r="BK14" s="39">
        <v>39000</v>
      </c>
      <c r="BL14" s="40">
        <v>39.5</v>
      </c>
      <c r="BM14" s="40">
        <v>30</v>
      </c>
      <c r="BN14" s="41">
        <v>2.6</v>
      </c>
      <c r="BO14" s="55">
        <v>1.7</v>
      </c>
      <c r="BP14" s="57" t="s">
        <v>149</v>
      </c>
      <c r="BQ14" s="57">
        <f t="shared" si="6"/>
        <v>45</v>
      </c>
      <c r="CC14" s="65" t="s">
        <v>177</v>
      </c>
      <c r="CD14" s="70">
        <v>500</v>
      </c>
      <c r="CE14" s="70">
        <v>650</v>
      </c>
      <c r="CF14" s="65">
        <f t="shared" si="1"/>
        <v>500</v>
      </c>
      <c r="CG14" s="65"/>
      <c r="CH14" s="65">
        <f t="shared" si="3"/>
        <v>500</v>
      </c>
      <c r="CI14" s="65">
        <v>300</v>
      </c>
      <c r="CJ14" s="66">
        <v>200000</v>
      </c>
    </row>
    <row r="15" spans="1:88" ht="15" thickBot="1">
      <c r="A15" s="18" t="s">
        <v>10</v>
      </c>
      <c r="B15" s="2">
        <f t="shared" si="0"/>
        <v>206000</v>
      </c>
      <c r="C15" s="2">
        <v>255</v>
      </c>
      <c r="D15" s="143">
        <v>410</v>
      </c>
      <c r="E15" s="11">
        <v>1.05</v>
      </c>
      <c r="F15" s="35"/>
      <c r="G15" s="35"/>
      <c r="H15" s="35"/>
      <c r="I15" s="35"/>
      <c r="V15" s="31">
        <v>48</v>
      </c>
      <c r="W15" s="3">
        <v>5</v>
      </c>
      <c r="X15" s="13">
        <f t="shared" si="5"/>
        <v>1809.5573684677208</v>
      </c>
      <c r="Y15" s="3">
        <v>1472</v>
      </c>
      <c r="Z15" s="3">
        <v>1.6</v>
      </c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V15" s="3">
        <v>540</v>
      </c>
      <c r="AW15" s="3">
        <v>845</v>
      </c>
      <c r="AX15" s="3">
        <v>710</v>
      </c>
      <c r="BI15" s="42" t="s">
        <v>133</v>
      </c>
      <c r="BJ15" s="43" t="s">
        <v>134</v>
      </c>
      <c r="BK15" s="44">
        <v>39500</v>
      </c>
      <c r="BL15" s="45">
        <v>43</v>
      </c>
      <c r="BM15" s="45">
        <v>33</v>
      </c>
      <c r="BN15" s="46">
        <v>2.75</v>
      </c>
      <c r="BO15" s="56">
        <v>1.8</v>
      </c>
      <c r="BP15" s="57" t="s">
        <v>150</v>
      </c>
      <c r="BQ15" s="57">
        <f t="shared" si="6"/>
        <v>50</v>
      </c>
      <c r="CC15" s="65" t="s">
        <v>171</v>
      </c>
      <c r="CD15" s="70">
        <v>235</v>
      </c>
      <c r="CE15" s="70">
        <v>380</v>
      </c>
      <c r="CF15" s="65">
        <f t="shared" si="1"/>
        <v>235</v>
      </c>
      <c r="CG15" s="65">
        <f t="shared" si="2"/>
        <v>204.34782608695653</v>
      </c>
      <c r="CH15" s="65">
        <f t="shared" si="3"/>
        <v>235</v>
      </c>
      <c r="CI15" s="65">
        <f t="shared" si="4"/>
        <v>164.5</v>
      </c>
      <c r="CJ15" s="68">
        <v>200000</v>
      </c>
    </row>
    <row r="16" spans="1:88">
      <c r="A16" s="18" t="s">
        <v>11</v>
      </c>
      <c r="B16" s="2">
        <f t="shared" si="0"/>
        <v>206000</v>
      </c>
      <c r="C16" s="2">
        <v>245</v>
      </c>
      <c r="D16" s="143">
        <v>410</v>
      </c>
      <c r="E16" s="11">
        <v>1.05</v>
      </c>
      <c r="F16" s="35"/>
      <c r="G16" s="35"/>
      <c r="H16" s="35"/>
      <c r="I16" s="35"/>
      <c r="AV16" s="3">
        <v>570</v>
      </c>
      <c r="AW16" s="3">
        <v>890</v>
      </c>
      <c r="AX16" s="3">
        <v>750</v>
      </c>
      <c r="CC16" s="65" t="s">
        <v>172</v>
      </c>
      <c r="CD16" s="70">
        <v>295</v>
      </c>
      <c r="CE16" s="70">
        <v>440</v>
      </c>
      <c r="CF16" s="65">
        <f t="shared" si="1"/>
        <v>295</v>
      </c>
      <c r="CG16" s="65">
        <f t="shared" si="2"/>
        <v>256.52173913043481</v>
      </c>
      <c r="CH16" s="65">
        <f t="shared" si="3"/>
        <v>295</v>
      </c>
      <c r="CI16" s="65">
        <f t="shared" si="4"/>
        <v>206.5</v>
      </c>
      <c r="CJ16" s="68">
        <v>200000</v>
      </c>
    </row>
    <row r="17" spans="1:88">
      <c r="A17" s="18" t="s">
        <v>12</v>
      </c>
      <c r="B17" s="2">
        <f t="shared" si="0"/>
        <v>206000</v>
      </c>
      <c r="C17" s="2">
        <v>235</v>
      </c>
      <c r="D17" s="143">
        <v>410</v>
      </c>
      <c r="E17" s="11">
        <v>1.05</v>
      </c>
      <c r="F17" s="35"/>
      <c r="G17" s="35"/>
      <c r="H17" s="35"/>
      <c r="I17" s="35"/>
      <c r="AV17" s="3">
        <v>590</v>
      </c>
      <c r="AW17" s="3">
        <v>920</v>
      </c>
      <c r="AX17" s="3">
        <v>775</v>
      </c>
      <c r="CC17" s="65" t="s">
        <v>167</v>
      </c>
      <c r="CD17" s="70">
        <v>295</v>
      </c>
      <c r="CE17" s="70">
        <v>440</v>
      </c>
      <c r="CF17" s="65">
        <f t="shared" si="1"/>
        <v>295</v>
      </c>
      <c r="CG17" s="65">
        <f t="shared" si="2"/>
        <v>256.52173913043481</v>
      </c>
      <c r="CH17" s="65">
        <f t="shared" si="3"/>
        <v>295</v>
      </c>
      <c r="CI17" s="65">
        <f t="shared" si="4"/>
        <v>206.5</v>
      </c>
      <c r="CJ17" s="68">
        <v>200000</v>
      </c>
    </row>
    <row r="18" spans="1:88">
      <c r="A18" s="18" t="s">
        <v>13</v>
      </c>
      <c r="B18" s="2">
        <f t="shared" si="0"/>
        <v>206000</v>
      </c>
      <c r="C18" s="2">
        <v>355</v>
      </c>
      <c r="D18" s="143">
        <v>470</v>
      </c>
      <c r="E18" s="11">
        <v>1.05</v>
      </c>
      <c r="F18" s="35"/>
      <c r="G18" s="35"/>
      <c r="H18" s="35"/>
      <c r="I18" s="35"/>
      <c r="AV18" s="3"/>
      <c r="AW18" s="3"/>
      <c r="AX18" s="3"/>
      <c r="CC18" s="65" t="s">
        <v>168</v>
      </c>
      <c r="CD18" s="70">
        <v>390</v>
      </c>
      <c r="CE18" s="70">
        <v>560</v>
      </c>
      <c r="CF18" s="65">
        <f t="shared" si="1"/>
        <v>390</v>
      </c>
      <c r="CG18" s="65">
        <f t="shared" si="2"/>
        <v>339.13043478260875</v>
      </c>
      <c r="CH18" s="65">
        <f t="shared" si="3"/>
        <v>390</v>
      </c>
      <c r="CI18" s="65">
        <f t="shared" si="4"/>
        <v>273</v>
      </c>
      <c r="CJ18" s="67">
        <v>200000</v>
      </c>
    </row>
    <row r="19" spans="1:88">
      <c r="A19" s="18" t="s">
        <v>14</v>
      </c>
      <c r="B19" s="2">
        <f t="shared" si="0"/>
        <v>206000</v>
      </c>
      <c r="C19" s="2">
        <v>345</v>
      </c>
      <c r="D19" s="143">
        <v>470</v>
      </c>
      <c r="E19" s="11">
        <v>1.05</v>
      </c>
      <c r="F19" s="35"/>
      <c r="G19" s="35"/>
      <c r="H19" s="35"/>
      <c r="I19" s="35"/>
      <c r="AV19" s="3"/>
      <c r="AW19" s="3"/>
      <c r="AX19" s="3"/>
      <c r="CC19" s="65" t="s">
        <v>169</v>
      </c>
      <c r="CD19" s="70">
        <v>490</v>
      </c>
      <c r="CE19" s="70">
        <v>620</v>
      </c>
      <c r="CF19" s="65">
        <f t="shared" si="1"/>
        <v>490</v>
      </c>
      <c r="CG19" s="65">
        <f t="shared" si="2"/>
        <v>426.08695652173918</v>
      </c>
      <c r="CH19" s="65">
        <f t="shared" si="3"/>
        <v>490</v>
      </c>
      <c r="CI19" s="65">
        <f t="shared" si="4"/>
        <v>343</v>
      </c>
      <c r="CJ19" s="68">
        <v>200000</v>
      </c>
    </row>
    <row r="20" spans="1:88">
      <c r="A20" s="18" t="s">
        <v>15</v>
      </c>
      <c r="B20" s="2">
        <f t="shared" si="0"/>
        <v>206000</v>
      </c>
      <c r="C20" s="2">
        <v>335</v>
      </c>
      <c r="D20" s="143">
        <v>470</v>
      </c>
      <c r="E20" s="11">
        <v>1.05</v>
      </c>
      <c r="F20" s="35"/>
      <c r="G20" s="35"/>
      <c r="H20" s="35"/>
      <c r="I20" s="35"/>
      <c r="AV20" s="3"/>
      <c r="AW20" s="3"/>
      <c r="AX20" s="3"/>
      <c r="CC20" s="62"/>
      <c r="CD20" s="71"/>
      <c r="CE20" s="71"/>
    </row>
    <row r="21" spans="1:88">
      <c r="A21" s="18" t="s">
        <v>16</v>
      </c>
      <c r="B21" s="2">
        <f t="shared" si="0"/>
        <v>206000</v>
      </c>
      <c r="C21" s="2">
        <v>325</v>
      </c>
      <c r="D21" s="143">
        <v>470</v>
      </c>
      <c r="E21" s="11">
        <v>1.05</v>
      </c>
      <c r="F21" s="35"/>
      <c r="G21" s="35"/>
      <c r="H21" s="35"/>
      <c r="I21" s="35"/>
      <c r="AV21" s="3"/>
      <c r="AW21" s="3"/>
      <c r="AX21" s="3"/>
      <c r="CC21" s="62"/>
      <c r="CD21" s="71"/>
      <c r="CE21" s="71"/>
    </row>
    <row r="22" spans="1:88">
      <c r="A22" s="18" t="s">
        <v>17</v>
      </c>
      <c r="B22" s="2">
        <f t="shared" si="0"/>
        <v>206000</v>
      </c>
      <c r="C22" s="2">
        <v>315</v>
      </c>
      <c r="D22" s="143">
        <v>470</v>
      </c>
      <c r="E22" s="11">
        <v>1.05</v>
      </c>
      <c r="F22" s="35"/>
      <c r="G22" s="35"/>
      <c r="H22" s="35"/>
      <c r="I22" s="35"/>
      <c r="AV22" s="3"/>
      <c r="AW22" s="3"/>
      <c r="AX22" s="3"/>
    </row>
    <row r="23" spans="1:88">
      <c r="A23" s="18" t="s">
        <v>76</v>
      </c>
      <c r="B23" s="2">
        <f t="shared" si="0"/>
        <v>206000</v>
      </c>
      <c r="C23" s="2">
        <v>205</v>
      </c>
      <c r="D23" s="143">
        <v>330</v>
      </c>
      <c r="E23" s="11">
        <v>1.05</v>
      </c>
      <c r="F23" s="35"/>
      <c r="G23" s="35"/>
      <c r="H23" s="35"/>
      <c r="I23" s="35"/>
      <c r="AV23" s="3"/>
      <c r="AW23" s="3"/>
      <c r="AX23" s="3"/>
    </row>
    <row r="24" spans="1:88">
      <c r="A24" s="18" t="s">
        <v>77</v>
      </c>
      <c r="B24" s="2">
        <f t="shared" si="0"/>
        <v>206000</v>
      </c>
      <c r="C24" s="2">
        <v>195</v>
      </c>
      <c r="D24" s="143">
        <v>330</v>
      </c>
      <c r="E24" s="11">
        <v>1.05</v>
      </c>
      <c r="F24" s="35"/>
      <c r="G24" s="35"/>
      <c r="H24" s="35"/>
      <c r="I24" s="35"/>
    </row>
    <row r="25" spans="1:88">
      <c r="A25" s="18" t="s">
        <v>78</v>
      </c>
      <c r="B25" s="2">
        <f t="shared" si="0"/>
        <v>206000</v>
      </c>
      <c r="C25" s="2">
        <v>245</v>
      </c>
      <c r="D25" s="143">
        <v>400</v>
      </c>
      <c r="E25" s="11">
        <v>1.05</v>
      </c>
      <c r="F25" s="35"/>
      <c r="G25" s="35"/>
      <c r="H25" s="35"/>
      <c r="I25" s="35"/>
    </row>
    <row r="26" spans="1:88">
      <c r="A26" s="18" t="s">
        <v>79</v>
      </c>
      <c r="B26" s="2">
        <f t="shared" si="0"/>
        <v>206000</v>
      </c>
      <c r="C26" s="2">
        <v>235</v>
      </c>
      <c r="D26" s="143">
        <v>400</v>
      </c>
      <c r="E26" s="11">
        <v>1.05</v>
      </c>
      <c r="F26" s="35"/>
      <c r="G26" s="35"/>
      <c r="H26" s="35"/>
      <c r="I26" s="35"/>
    </row>
    <row r="27" spans="1:88">
      <c r="A27" s="18" t="s">
        <v>80</v>
      </c>
      <c r="B27" s="2">
        <f t="shared" si="0"/>
        <v>206000</v>
      </c>
      <c r="C27" s="2">
        <v>285</v>
      </c>
      <c r="D27" s="143">
        <v>490</v>
      </c>
      <c r="E27" s="11">
        <v>1.05</v>
      </c>
      <c r="F27" s="35"/>
      <c r="G27" s="35"/>
      <c r="H27" s="35"/>
      <c r="I27" s="35"/>
    </row>
    <row r="28" spans="1:88">
      <c r="A28" s="18" t="s">
        <v>81</v>
      </c>
      <c r="B28" s="2">
        <f t="shared" si="0"/>
        <v>206000</v>
      </c>
      <c r="C28" s="2">
        <v>275</v>
      </c>
      <c r="D28" s="143">
        <v>490</v>
      </c>
      <c r="E28" s="11">
        <v>1.05</v>
      </c>
      <c r="F28" s="35"/>
      <c r="G28" s="35"/>
      <c r="H28" s="35"/>
      <c r="I28" s="35"/>
    </row>
    <row r="29" spans="1:88">
      <c r="A29" s="18" t="s">
        <v>82</v>
      </c>
      <c r="B29" s="2">
        <f t="shared" si="0"/>
        <v>206000</v>
      </c>
      <c r="C29" s="2">
        <v>400</v>
      </c>
      <c r="D29" s="143">
        <v>540</v>
      </c>
      <c r="E29" s="11">
        <v>1.05</v>
      </c>
      <c r="F29" s="35"/>
      <c r="G29" s="35"/>
      <c r="H29" s="35"/>
      <c r="I29" s="35"/>
    </row>
    <row r="30" spans="1:88">
      <c r="A30" s="18" t="s">
        <v>83</v>
      </c>
      <c r="B30" s="2">
        <f t="shared" si="0"/>
        <v>206000</v>
      </c>
      <c r="C30" s="2">
        <v>390</v>
      </c>
      <c r="D30" s="143">
        <v>540</v>
      </c>
      <c r="E30" s="11">
        <v>1.05</v>
      </c>
    </row>
    <row r="31" spans="1:88">
      <c r="A31" s="18" t="s">
        <v>219</v>
      </c>
      <c r="B31" s="2">
        <f t="shared" si="0"/>
        <v>206000</v>
      </c>
      <c r="C31" s="2">
        <v>220</v>
      </c>
      <c r="D31" s="143">
        <v>340</v>
      </c>
      <c r="E31" s="11">
        <v>1.05</v>
      </c>
    </row>
    <row r="32" spans="1:88">
      <c r="A32" s="18" t="s">
        <v>220</v>
      </c>
      <c r="B32" s="2">
        <f t="shared" si="0"/>
        <v>206000</v>
      </c>
      <c r="C32" s="2">
        <v>240</v>
      </c>
      <c r="D32" s="143">
        <v>380</v>
      </c>
      <c r="E32" s="11">
        <v>1.05</v>
      </c>
    </row>
    <row r="33" spans="1:5">
      <c r="A33" s="18" t="s">
        <v>221</v>
      </c>
      <c r="B33" s="2">
        <f t="shared" si="0"/>
        <v>206000</v>
      </c>
      <c r="C33" s="2">
        <v>260</v>
      </c>
      <c r="D33" s="143">
        <v>420</v>
      </c>
      <c r="E33" s="11">
        <v>1.05</v>
      </c>
    </row>
  </sheetData>
  <mergeCells count="13"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</sheetPr>
  <dimension ref="A1:L65"/>
  <sheetViews>
    <sheetView showGridLines="0" tabSelected="1" topLeftCell="A11" zoomScale="190" zoomScaleNormal="190" zoomScaleSheetLayoutView="100" workbookViewId="0">
      <selection activeCell="G20" sqref="G20"/>
    </sheetView>
  </sheetViews>
  <sheetFormatPr defaultColWidth="7.33203125" defaultRowHeight="13.8"/>
  <cols>
    <col min="1" max="1" width="11.6640625" style="1" bestFit="1" customWidth="1"/>
    <col min="2" max="12" width="7.6640625" style="1" customWidth="1"/>
    <col min="13" max="16384" width="7.33203125" style="1"/>
  </cols>
  <sheetData>
    <row r="1" spans="1:12" hidden="1"/>
    <row r="2" spans="1:12" hidden="1"/>
    <row r="3" spans="1:12" hidden="1"/>
    <row r="4" spans="1:12" hidden="1"/>
    <row r="5" spans="1:12" hidden="1"/>
    <row r="6" spans="1:12" hidden="1"/>
    <row r="7" spans="1:12" hidden="1"/>
    <row r="8" spans="1:12" hidden="1"/>
    <row r="9" spans="1:12" hidden="1"/>
    <row r="10" spans="1:12" hidden="1"/>
    <row r="11" spans="1:12" ht="20.25" customHeight="1">
      <c r="A11" s="112" t="s">
        <v>199</v>
      </c>
      <c r="B11" s="113"/>
      <c r="C11" s="113"/>
      <c r="D11" s="113"/>
      <c r="E11" s="113"/>
      <c r="F11" s="113"/>
      <c r="G11" s="113"/>
      <c r="H11" s="113"/>
      <c r="I11" s="113"/>
      <c r="J11" s="108" t="str">
        <f>CONCATENATE("T",E15,"x",E16,"x",E17,"x",E18)</f>
        <v>T300x150x6x10</v>
      </c>
      <c r="K11" s="108"/>
      <c r="L11" s="109"/>
    </row>
    <row r="12" spans="1:12" ht="12.75" customHeight="1">
      <c r="A12" s="114"/>
      <c r="B12" s="115"/>
      <c r="C12" s="115"/>
      <c r="D12" s="115"/>
      <c r="E12" s="115"/>
      <c r="F12" s="115"/>
      <c r="G12" s="115"/>
      <c r="H12" s="115"/>
      <c r="I12" s="115"/>
      <c r="J12" s="110"/>
      <c r="K12" s="110"/>
      <c r="L12" s="111"/>
    </row>
    <row r="13" spans="1:12" ht="15" customHeight="1">
      <c r="A13" s="116" t="s">
        <v>0</v>
      </c>
      <c r="B13" s="117"/>
      <c r="C13" s="117"/>
      <c r="D13" s="78"/>
      <c r="E13" s="78"/>
      <c r="F13" s="78"/>
      <c r="G13" s="78"/>
      <c r="H13" s="78"/>
      <c r="I13" s="78"/>
      <c r="J13" s="78"/>
      <c r="K13" s="78"/>
      <c r="L13" s="5"/>
    </row>
    <row r="14" spans="1:12">
      <c r="A14" s="6" t="s">
        <v>22</v>
      </c>
      <c r="B14" s="78"/>
      <c r="C14" s="78"/>
      <c r="D14" s="78"/>
      <c r="E14" s="78"/>
      <c r="F14" s="78"/>
      <c r="G14" s="79"/>
      <c r="H14" s="80"/>
      <c r="I14" s="78"/>
      <c r="J14" s="81"/>
      <c r="K14" s="81"/>
      <c r="L14" s="8"/>
    </row>
    <row r="15" spans="1:12" ht="15" customHeight="1">
      <c r="A15" s="103" t="s">
        <v>201</v>
      </c>
      <c r="B15" s="78"/>
      <c r="C15" s="78"/>
      <c r="D15" s="79" t="s">
        <v>42</v>
      </c>
      <c r="E15" s="102">
        <v>300</v>
      </c>
      <c r="F15" s="78" t="s">
        <v>1</v>
      </c>
      <c r="G15" s="81"/>
      <c r="H15" s="81"/>
      <c r="I15" s="81"/>
      <c r="J15" s="81"/>
      <c r="K15" s="81"/>
      <c r="L15" s="8"/>
    </row>
    <row r="16" spans="1:12" ht="15">
      <c r="A16" s="103" t="s">
        <v>202</v>
      </c>
      <c r="B16" s="78"/>
      <c r="C16" s="78"/>
      <c r="D16" s="79" t="s">
        <v>85</v>
      </c>
      <c r="E16" s="102">
        <v>150</v>
      </c>
      <c r="F16" s="78" t="s">
        <v>1</v>
      </c>
      <c r="G16" s="81"/>
      <c r="H16" s="81"/>
      <c r="I16" s="81"/>
      <c r="J16" s="81"/>
      <c r="K16" s="81"/>
      <c r="L16" s="8"/>
    </row>
    <row r="17" spans="1:12" ht="15">
      <c r="A17" s="103" t="s">
        <v>203</v>
      </c>
      <c r="B17" s="78"/>
      <c r="C17" s="78"/>
      <c r="D17" s="79" t="s">
        <v>86</v>
      </c>
      <c r="E17" s="102">
        <v>6</v>
      </c>
      <c r="F17" s="78" t="s">
        <v>1</v>
      </c>
      <c r="G17" s="81"/>
      <c r="H17" s="81"/>
      <c r="I17" s="81"/>
      <c r="J17" s="81"/>
      <c r="K17" s="81"/>
      <c r="L17" s="8"/>
    </row>
    <row r="18" spans="1:12" ht="15" customHeight="1">
      <c r="A18" s="103" t="s">
        <v>204</v>
      </c>
      <c r="B18" s="78"/>
      <c r="C18" s="78"/>
      <c r="D18" s="79" t="s">
        <v>87</v>
      </c>
      <c r="E18" s="102">
        <v>10</v>
      </c>
      <c r="F18" s="78" t="s">
        <v>1</v>
      </c>
      <c r="G18" s="81"/>
      <c r="H18" s="81"/>
      <c r="I18" s="81"/>
      <c r="J18" s="81"/>
      <c r="K18" s="81"/>
      <c r="L18" s="8"/>
    </row>
    <row r="19" spans="1:12" ht="15">
      <c r="A19" s="103" t="s">
        <v>205</v>
      </c>
      <c r="B19" s="78"/>
      <c r="C19" s="78"/>
      <c r="D19" s="79" t="s">
        <v>88</v>
      </c>
      <c r="E19" s="102">
        <v>3400</v>
      </c>
      <c r="F19" s="78" t="s">
        <v>1</v>
      </c>
      <c r="G19" s="81"/>
      <c r="H19" s="81"/>
      <c r="I19" s="81"/>
      <c r="J19" s="81"/>
      <c r="K19" s="81"/>
      <c r="L19" s="8"/>
    </row>
    <row r="20" spans="1:12" ht="15" customHeight="1">
      <c r="A20" s="103" t="s">
        <v>206</v>
      </c>
      <c r="B20" s="78"/>
      <c r="C20" s="78"/>
      <c r="D20" s="79" t="s">
        <v>89</v>
      </c>
      <c r="E20" s="102">
        <v>600</v>
      </c>
      <c r="F20" s="78" t="s">
        <v>1</v>
      </c>
      <c r="G20" s="81"/>
      <c r="H20" s="81"/>
      <c r="I20" s="81"/>
      <c r="J20" s="78"/>
      <c r="K20" s="78"/>
      <c r="L20" s="5"/>
    </row>
    <row r="21" spans="1:12">
      <c r="A21" s="7"/>
      <c r="B21" s="78"/>
      <c r="C21" s="78"/>
      <c r="D21" s="79"/>
      <c r="E21" s="82"/>
      <c r="F21" s="78"/>
      <c r="G21" s="81"/>
      <c r="H21" s="81"/>
      <c r="I21" s="81"/>
      <c r="J21" s="78"/>
      <c r="K21" s="78"/>
      <c r="L21" s="5"/>
    </row>
    <row r="22" spans="1:12">
      <c r="A22" s="6" t="s">
        <v>36</v>
      </c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5"/>
    </row>
    <row r="23" spans="1:12" ht="15" customHeight="1">
      <c r="A23" s="3" t="s">
        <v>70</v>
      </c>
      <c r="B23" s="122" t="s">
        <v>220</v>
      </c>
      <c r="C23" s="122"/>
      <c r="D23" s="123" t="s">
        <v>30</v>
      </c>
      <c r="E23" s="123"/>
      <c r="F23" s="107" t="s">
        <v>24</v>
      </c>
      <c r="G23" s="107"/>
      <c r="H23" s="107"/>
      <c r="I23" s="107"/>
      <c r="J23" s="107"/>
      <c r="K23" s="107"/>
      <c r="L23" s="107"/>
    </row>
    <row r="24" spans="1:12" ht="15">
      <c r="A24" s="3" t="s">
        <v>18</v>
      </c>
      <c r="B24" s="3" t="s">
        <v>20</v>
      </c>
      <c r="C24" s="3" t="s">
        <v>54</v>
      </c>
      <c r="D24" s="124" t="s">
        <v>21</v>
      </c>
      <c r="E24" s="124" t="s">
        <v>31</v>
      </c>
      <c r="F24" s="3" t="s">
        <v>23</v>
      </c>
      <c r="G24" s="3" t="s">
        <v>71</v>
      </c>
      <c r="H24" s="3" t="s">
        <v>72</v>
      </c>
      <c r="I24" s="3" t="s">
        <v>198</v>
      </c>
      <c r="J24" s="3" t="s">
        <v>197</v>
      </c>
      <c r="K24" s="3" t="s">
        <v>25</v>
      </c>
      <c r="L24" s="3" t="s">
        <v>26</v>
      </c>
    </row>
    <row r="25" spans="1:12" ht="15">
      <c r="A25" s="3" t="s">
        <v>38</v>
      </c>
      <c r="B25" s="3" t="s">
        <v>38</v>
      </c>
      <c r="C25" s="3" t="s">
        <v>38</v>
      </c>
      <c r="D25" s="107"/>
      <c r="E25" s="107"/>
      <c r="F25" s="11" t="s">
        <v>39</v>
      </c>
      <c r="G25" s="12" t="s">
        <v>27</v>
      </c>
      <c r="H25" s="12" t="s">
        <v>27</v>
      </c>
      <c r="I25" s="12" t="s">
        <v>28</v>
      </c>
      <c r="J25" s="12" t="s">
        <v>28</v>
      </c>
      <c r="K25" s="12" t="s">
        <v>28</v>
      </c>
      <c r="L25" s="12" t="s">
        <v>28</v>
      </c>
    </row>
    <row r="26" spans="1:12">
      <c r="A26" s="3">
        <v>206000</v>
      </c>
      <c r="B26" s="3">
        <f>VLOOKUP(B23,Data!$A$3:$D$82,3,FALSE)</f>
        <v>240</v>
      </c>
      <c r="C26" s="13">
        <f>B26/D26</f>
        <v>228.57142857142856</v>
      </c>
      <c r="D26" s="29">
        <f>VLOOKUP(B23,Data!$A$3:$E$99,5,FALSE)</f>
        <v>1.05</v>
      </c>
      <c r="E26" s="29">
        <v>0.9</v>
      </c>
      <c r="F26" s="27" cm="1">
        <f t="array" ref="F26">_xll.DCEPropSectT(E15, E16, E17, E18, "A")/100</f>
        <v>32.4</v>
      </c>
      <c r="G26" s="16" cm="1">
        <f t="array" ref="G26">_xll.DCEPropSectT(E15, E16, E17, E18, "Ix")/10000</f>
        <v>3033.2</v>
      </c>
      <c r="H26" s="14" cm="1">
        <f t="array" ref="H26">_xll.DCEPropSectT(E15, E16, E17, E18, "Iy")/10000</f>
        <v>281.77199999999999</v>
      </c>
      <c r="I26" s="14" cm="1">
        <f t="array" ref="I26">_xll.DCEPropSectT(E15, E16, E17, E18, "WxBot")/1000</f>
        <v>141.44455958549221</v>
      </c>
      <c r="J26" s="14" cm="1">
        <f t="array" ref="J26">_xll.DCEPropSectT(E15, E16, E17, E18, "WxTop")/1000</f>
        <v>354.52987012987012</v>
      </c>
      <c r="K26" s="14" cm="1">
        <f t="array" ref="K26">_xll.DCEPropSectT(E15, E16, E17, E18, "Wy")/1000</f>
        <v>37.569600000000001</v>
      </c>
      <c r="L26" s="14" cm="1">
        <f t="array" ref="L26">_xll.DCEPropSectT(E15, E16, E17, E18, "Sx")/1000</f>
        <v>137.95925925925928</v>
      </c>
    </row>
    <row r="27" spans="1:12">
      <c r="A27" s="9"/>
      <c r="B27" s="118"/>
      <c r="C27" s="118"/>
      <c r="D27" s="81"/>
      <c r="E27" s="81"/>
      <c r="F27" s="81"/>
      <c r="G27" s="81"/>
      <c r="H27" s="83"/>
      <c r="I27" s="81"/>
      <c r="J27" s="81"/>
      <c r="K27" s="81"/>
      <c r="L27" s="8"/>
    </row>
    <row r="28" spans="1:12" ht="15">
      <c r="A28" s="6" t="s">
        <v>37</v>
      </c>
      <c r="B28" s="81"/>
      <c r="C28" s="121" t="s">
        <v>43</v>
      </c>
      <c r="D28" s="119" t="s">
        <v>44</v>
      </c>
      <c r="E28" s="119"/>
      <c r="F28" s="3" t="s">
        <v>35</v>
      </c>
      <c r="G28" s="3" t="s">
        <v>66</v>
      </c>
      <c r="H28" s="3" t="s">
        <v>68</v>
      </c>
      <c r="I28" s="3" t="s">
        <v>67</v>
      </c>
      <c r="J28" s="3" t="s">
        <v>200</v>
      </c>
      <c r="K28" s="20"/>
      <c r="L28" s="74"/>
    </row>
    <row r="29" spans="1:12" ht="15">
      <c r="A29" s="9"/>
      <c r="B29" s="81"/>
      <c r="C29" s="121"/>
      <c r="D29" s="119"/>
      <c r="E29" s="119"/>
      <c r="F29" s="3" t="s">
        <v>34</v>
      </c>
      <c r="G29" s="3" t="s">
        <v>34</v>
      </c>
      <c r="H29" s="3" t="s">
        <v>33</v>
      </c>
      <c r="I29" s="3" t="s">
        <v>33</v>
      </c>
      <c r="J29" s="12" t="s">
        <v>28</v>
      </c>
      <c r="K29" s="20"/>
      <c r="L29" s="74"/>
    </row>
    <row r="30" spans="1:12">
      <c r="A30" s="9"/>
      <c r="B30" s="81"/>
      <c r="C30" s="4">
        <v>337</v>
      </c>
      <c r="D30" s="120" t="s">
        <v>69</v>
      </c>
      <c r="E30" s="120"/>
      <c r="F30" s="25">
        <v>5.7</v>
      </c>
      <c r="G30" s="25">
        <v>40</v>
      </c>
      <c r="H30" s="25">
        <v>-20</v>
      </c>
      <c r="I30" s="25">
        <v>-0.1</v>
      </c>
      <c r="J30" s="14">
        <f>IF(H30&lt;0,J26,I26)</f>
        <v>354.52987012987012</v>
      </c>
      <c r="K30" s="84"/>
      <c r="L30" s="75"/>
    </row>
    <row r="31" spans="1:12">
      <c r="A31" s="9"/>
      <c r="B31" s="81"/>
      <c r="C31" s="81"/>
      <c r="D31" s="81"/>
      <c r="E31" s="79"/>
      <c r="F31" s="81"/>
      <c r="G31" s="81"/>
      <c r="H31" s="81"/>
      <c r="I31" s="81"/>
      <c r="J31" s="81"/>
      <c r="K31" s="81"/>
      <c r="L31" s="8"/>
    </row>
    <row r="32" spans="1:12">
      <c r="A32" s="116" t="s">
        <v>29</v>
      </c>
      <c r="B32" s="117"/>
      <c r="C32" s="117"/>
      <c r="D32" s="81"/>
      <c r="E32" s="81"/>
      <c r="F32" s="81"/>
      <c r="G32" s="81"/>
      <c r="H32" s="81"/>
      <c r="I32" s="81"/>
      <c r="J32" s="81"/>
      <c r="K32" s="81"/>
      <c r="L32" s="5"/>
    </row>
    <row r="33" spans="1:12">
      <c r="A33" s="26" t="s">
        <v>178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"/>
    </row>
    <row r="34" spans="1:12">
      <c r="A34" s="6" t="s">
        <v>179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"/>
    </row>
    <row r="35" spans="1:12" ht="15">
      <c r="A35" s="103" t="s">
        <v>207</v>
      </c>
      <c r="B35" s="81"/>
      <c r="C35" s="81"/>
      <c r="D35" s="81"/>
      <c r="E35" s="81"/>
      <c r="F35" s="81"/>
      <c r="G35" s="81"/>
      <c r="H35" s="81"/>
      <c r="I35" s="79" t="s">
        <v>55</v>
      </c>
      <c r="J35" s="85">
        <f>C26*E26</f>
        <v>205.71428571428569</v>
      </c>
      <c r="K35" s="78" t="s">
        <v>38</v>
      </c>
      <c r="L35" s="5"/>
    </row>
    <row r="36" spans="1:12" ht="15">
      <c r="A36" s="103" t="s">
        <v>208</v>
      </c>
      <c r="B36" s="81"/>
      <c r="C36" s="81"/>
      <c r="D36" s="81"/>
      <c r="E36" s="81"/>
      <c r="F36" s="81"/>
      <c r="G36" s="81"/>
      <c r="H36" s="81"/>
      <c r="I36" s="86" t="s">
        <v>73</v>
      </c>
      <c r="J36" s="87">
        <f>ABS(F30)/(F26*J35)*10</f>
        <v>8.551954732510289E-3</v>
      </c>
      <c r="K36" s="78"/>
      <c r="L36" s="5"/>
    </row>
    <row r="37" spans="1:12" ht="15">
      <c r="A37" s="103" t="s">
        <v>209</v>
      </c>
      <c r="B37" s="81"/>
      <c r="C37" s="81"/>
      <c r="D37" s="81"/>
      <c r="E37" s="81"/>
      <c r="F37" s="81"/>
      <c r="G37" s="81"/>
      <c r="H37" s="81"/>
      <c r="I37" s="86" t="s">
        <v>56</v>
      </c>
      <c r="J37" s="87">
        <f>(ABS(H30)/J30*1000)/J35</f>
        <v>0.27422857821996249</v>
      </c>
      <c r="K37" s="78"/>
      <c r="L37" s="5"/>
    </row>
    <row r="38" spans="1:12" ht="15">
      <c r="A38" s="103" t="s">
        <v>210</v>
      </c>
      <c r="B38" s="81"/>
      <c r="C38" s="81"/>
      <c r="D38" s="81"/>
      <c r="E38" s="81"/>
      <c r="F38" s="81"/>
      <c r="G38" s="81"/>
      <c r="H38" s="81"/>
      <c r="I38" s="86" t="s">
        <v>57</v>
      </c>
      <c r="J38" s="87">
        <f>(ABS(I30)/K26*1000)/J35</f>
        <v>1.2938948274964631E-2</v>
      </c>
      <c r="K38" s="78"/>
      <c r="L38" s="5"/>
    </row>
    <row r="39" spans="1:12" ht="14.4">
      <c r="A39" s="103" t="s">
        <v>211</v>
      </c>
      <c r="B39" s="78"/>
      <c r="C39" s="78"/>
      <c r="D39" s="78"/>
      <c r="E39" s="78"/>
      <c r="F39" s="78"/>
      <c r="G39" s="78"/>
      <c r="H39" s="78"/>
      <c r="I39" s="79" t="s">
        <v>50</v>
      </c>
      <c r="J39" s="88">
        <f>J36+J37+J38</f>
        <v>0.29571948122743741</v>
      </c>
      <c r="K39" s="89" t="s">
        <v>32</v>
      </c>
      <c r="L39" s="17" t="str">
        <f>IF(J39&lt;=1,"OK","Check")</f>
        <v>OK</v>
      </c>
    </row>
    <row r="40" spans="1:12">
      <c r="A40" s="6" t="s">
        <v>180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"/>
    </row>
    <row r="41" spans="1:12" ht="15">
      <c r="A41" s="103" t="s">
        <v>212</v>
      </c>
      <c r="B41" s="78"/>
      <c r="C41" s="78"/>
      <c r="D41" s="78"/>
      <c r="E41" s="78"/>
      <c r="F41" s="78"/>
      <c r="G41" s="78"/>
      <c r="H41" s="78"/>
      <c r="I41" s="79" t="s">
        <v>51</v>
      </c>
      <c r="J41" s="85">
        <f>0.58*B26/D26*E26</f>
        <v>119.3142857142857</v>
      </c>
      <c r="K41" s="78" t="s">
        <v>38</v>
      </c>
      <c r="L41" s="5"/>
    </row>
    <row r="42" spans="1:12" ht="15">
      <c r="A42" s="103" t="s">
        <v>213</v>
      </c>
      <c r="B42" s="81"/>
      <c r="C42" s="81"/>
      <c r="D42" s="81"/>
      <c r="E42" s="81"/>
      <c r="F42" s="81"/>
      <c r="G42" s="81"/>
      <c r="H42" s="81"/>
      <c r="I42" s="90" t="s">
        <v>52</v>
      </c>
      <c r="J42" s="91">
        <f>ABS(G30)*L26/(G26*E17)*100</f>
        <v>30.32204915804196</v>
      </c>
      <c r="K42" s="78" t="s">
        <v>38</v>
      </c>
      <c r="L42" s="8"/>
    </row>
    <row r="43" spans="1:12" ht="15">
      <c r="A43" s="103" t="s">
        <v>214</v>
      </c>
      <c r="B43" s="81"/>
      <c r="C43" s="81"/>
      <c r="D43" s="81"/>
      <c r="E43" s="81"/>
      <c r="F43" s="81"/>
      <c r="G43" s="81"/>
      <c r="H43" s="81"/>
      <c r="I43" s="92" t="s">
        <v>53</v>
      </c>
      <c r="J43" s="88">
        <f>J42/J41</f>
        <v>0.25413594840312947</v>
      </c>
      <c r="K43" s="89" t="s">
        <v>32</v>
      </c>
      <c r="L43" s="17" t="str">
        <f>IF(J43&lt;=1,"OK","Check")</f>
        <v>OK</v>
      </c>
    </row>
    <row r="44" spans="1:12">
      <c r="A44" s="6" t="s">
        <v>74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5"/>
    </row>
    <row r="45" spans="1:12" ht="15">
      <c r="A45" s="103" t="s">
        <v>215</v>
      </c>
      <c r="B45" s="78"/>
      <c r="C45" s="78"/>
      <c r="D45" s="78"/>
      <c r="E45" s="78"/>
      <c r="F45" s="78"/>
      <c r="G45" s="78"/>
      <c r="H45" s="78"/>
      <c r="I45" s="79" t="s">
        <v>60</v>
      </c>
      <c r="J45" s="85">
        <f>J37*J35</f>
        <v>56.412736090963705</v>
      </c>
      <c r="K45" s="78" t="s">
        <v>38</v>
      </c>
      <c r="L45" s="5"/>
    </row>
    <row r="46" spans="1:12" ht="15">
      <c r="A46" s="103" t="s">
        <v>216</v>
      </c>
      <c r="B46" s="81"/>
      <c r="C46" s="81"/>
      <c r="D46" s="81"/>
      <c r="E46" s="81"/>
      <c r="F46" s="81"/>
      <c r="G46" s="81"/>
      <c r="H46" s="81"/>
      <c r="I46" s="79" t="s">
        <v>61</v>
      </c>
      <c r="J46" s="93">
        <f>J38*J35</f>
        <v>2.6617265022784382</v>
      </c>
      <c r="K46" s="78" t="s">
        <v>38</v>
      </c>
      <c r="L46" s="8"/>
    </row>
    <row r="47" spans="1:12" ht="15">
      <c r="A47" s="103" t="s">
        <v>217</v>
      </c>
      <c r="B47" s="81"/>
      <c r="C47" s="81"/>
      <c r="D47" s="81"/>
      <c r="E47" s="81"/>
      <c r="F47" s="81"/>
      <c r="G47" s="94"/>
      <c r="H47" s="94"/>
      <c r="I47" s="90" t="s">
        <v>62</v>
      </c>
      <c r="J47" s="83">
        <f>J42</f>
        <v>30.32204915804196</v>
      </c>
      <c r="K47" s="78" t="s">
        <v>38</v>
      </c>
      <c r="L47" s="5"/>
    </row>
    <row r="48" spans="1:12" ht="14.4">
      <c r="A48" s="103" t="s">
        <v>211</v>
      </c>
      <c r="B48" s="78"/>
      <c r="C48" s="78"/>
      <c r="D48" s="78"/>
      <c r="E48" s="78"/>
      <c r="F48" s="78"/>
      <c r="G48" s="78"/>
      <c r="H48" s="78"/>
      <c r="I48" s="92"/>
      <c r="J48" s="88">
        <f>0.87/J35*SQRT(J45^2-J45*J46+J46^2+3*J47^2)</f>
        <v>0.32201726770758055</v>
      </c>
      <c r="K48" s="89" t="s">
        <v>32</v>
      </c>
      <c r="L48" s="17" t="str">
        <f>IF(J48&lt;=1,"OK","Check")</f>
        <v>OK</v>
      </c>
    </row>
    <row r="49" spans="1:12">
      <c r="A49" s="9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5"/>
    </row>
    <row r="50" spans="1:12">
      <c r="A50" s="26" t="s">
        <v>49</v>
      </c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"/>
    </row>
    <row r="51" spans="1:12">
      <c r="A51" s="6" t="s">
        <v>181</v>
      </c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"/>
    </row>
    <row r="52" spans="1:12" ht="15">
      <c r="A52" s="7" t="s">
        <v>184</v>
      </c>
      <c r="B52" s="81"/>
      <c r="C52" s="81"/>
      <c r="D52" s="81"/>
      <c r="E52" s="81"/>
      <c r="F52" s="81"/>
      <c r="G52" s="81"/>
      <c r="H52" s="81"/>
      <c r="I52" s="95" t="s">
        <v>182</v>
      </c>
      <c r="J52" s="96">
        <f>(0.41+0.0032*E16/E18+(0.73-0.016*E16/E18)*E16/E15)</f>
        <v>0.70299999999999996</v>
      </c>
      <c r="K52" s="85"/>
      <c r="L52" s="5"/>
    </row>
    <row r="53" spans="1:12" ht="15">
      <c r="A53" s="7" t="s">
        <v>185</v>
      </c>
      <c r="B53" s="81"/>
      <c r="C53" s="81"/>
      <c r="D53" s="81"/>
      <c r="E53" s="81"/>
      <c r="F53" s="81"/>
      <c r="G53" s="81"/>
      <c r="H53" s="86"/>
      <c r="I53" s="94" t="s">
        <v>183</v>
      </c>
      <c r="J53" s="97">
        <f>E20/E16*SQRT(C26/A26)</f>
        <v>0.13324083707986087</v>
      </c>
      <c r="K53" s="87"/>
      <c r="L53" s="5"/>
    </row>
    <row r="54" spans="1:12" ht="14.4">
      <c r="A54" s="7" t="s">
        <v>59</v>
      </c>
      <c r="B54" s="78"/>
      <c r="C54" s="78"/>
      <c r="D54" s="78"/>
      <c r="E54" s="78"/>
      <c r="F54" s="78"/>
      <c r="G54" s="78"/>
      <c r="H54" s="78"/>
      <c r="I54" s="78"/>
      <c r="J54" s="88">
        <f>J53/J52</f>
        <v>0.18953177394005816</v>
      </c>
      <c r="K54" s="89" t="s">
        <v>32</v>
      </c>
      <c r="L54" s="17" t="str">
        <f>IF(J54&lt;=1,"OK","Check")</f>
        <v>OK</v>
      </c>
    </row>
    <row r="55" spans="1:12">
      <c r="A55" s="6" t="s">
        <v>186</v>
      </c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"/>
    </row>
    <row r="56" spans="1:12">
      <c r="A56" s="22" t="s">
        <v>187</v>
      </c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"/>
    </row>
    <row r="57" spans="1:12" ht="15">
      <c r="A57" s="7" t="s">
        <v>63</v>
      </c>
      <c r="B57" s="81"/>
      <c r="C57" s="81"/>
      <c r="D57" s="81"/>
      <c r="E57" s="81"/>
      <c r="F57" s="81"/>
      <c r="G57" s="81"/>
      <c r="H57" s="81"/>
      <c r="I57" s="98" t="s">
        <v>190</v>
      </c>
      <c r="J57" s="91">
        <f>(E16/E18)*SQRT(C26/A26)</f>
        <v>0.49965313904947828</v>
      </c>
      <c r="K57" s="99"/>
      <c r="L57" s="5"/>
    </row>
    <row r="58" spans="1:12" ht="15">
      <c r="A58" s="7" t="s">
        <v>64</v>
      </c>
      <c r="B58" s="81"/>
      <c r="C58" s="81"/>
      <c r="D58" s="81"/>
      <c r="E58" s="81"/>
      <c r="F58" s="81"/>
      <c r="G58" s="81"/>
      <c r="H58" s="81"/>
      <c r="I58" s="98" t="s">
        <v>191</v>
      </c>
      <c r="J58" s="91">
        <f>0.5*SQRT(C26/(J45+J46))</f>
        <v>0.98351522192050156</v>
      </c>
      <c r="K58" s="99"/>
      <c r="L58" s="5"/>
    </row>
    <row r="59" spans="1:12" ht="15">
      <c r="A59" s="7" t="s">
        <v>59</v>
      </c>
      <c r="B59" s="81"/>
      <c r="C59" s="81"/>
      <c r="D59" s="81"/>
      <c r="E59" s="81"/>
      <c r="F59" s="81"/>
      <c r="G59" s="81"/>
      <c r="H59" s="81"/>
      <c r="I59" s="98" t="s">
        <v>65</v>
      </c>
      <c r="J59" s="88">
        <f>J57/J58</f>
        <v>0.50802786567330394</v>
      </c>
      <c r="K59" s="89" t="s">
        <v>32</v>
      </c>
      <c r="L59" s="17" t="str">
        <f>IF(J59&lt;=1,"OK","Check")</f>
        <v>OK</v>
      </c>
    </row>
    <row r="60" spans="1:12">
      <c r="A60" s="22" t="s">
        <v>188</v>
      </c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"/>
    </row>
    <row r="61" spans="1:12" ht="15">
      <c r="A61" s="7" t="s">
        <v>189</v>
      </c>
      <c r="B61" s="81"/>
      <c r="C61" s="81"/>
      <c r="D61" s="81"/>
      <c r="E61" s="81"/>
      <c r="F61" s="81"/>
      <c r="G61" s="81"/>
      <c r="H61" s="81"/>
      <c r="I61" s="98" t="s">
        <v>192</v>
      </c>
      <c r="J61" s="91">
        <f>(E15-E18)/E17*SQRT(C26/A26)</f>
        <v>1.6099934480483189</v>
      </c>
      <c r="K61" s="99"/>
      <c r="L61" s="5"/>
    </row>
    <row r="62" spans="1:12" ht="15">
      <c r="A62" s="21" t="str">
        <f>"+ Sườn tăng cứng ngang"</f>
        <v>+ Sườn tăng cứng ngang</v>
      </c>
      <c r="B62" s="81"/>
      <c r="C62" s="100"/>
      <c r="D62" s="100"/>
      <c r="E62" s="81"/>
      <c r="F62" s="81"/>
      <c r="G62" s="106" t="s">
        <v>195</v>
      </c>
      <c r="H62" s="106"/>
      <c r="I62" s="98" t="s">
        <v>194</v>
      </c>
      <c r="J62" s="101">
        <f>IF(G62="Tải trọng tĩnh",3.2,2.2)</f>
        <v>3.2</v>
      </c>
      <c r="K62" s="89" t="s">
        <v>32</v>
      </c>
      <c r="L62" s="17" t="str">
        <f>IF(J62&gt;=J61,"OK","Check")</f>
        <v>OK</v>
      </c>
    </row>
    <row r="63" spans="1:12" ht="15">
      <c r="A63" s="21" t="str">
        <f>"+ Sườn tăng cứng dọc"</f>
        <v>+ Sườn tăng cứng dọc</v>
      </c>
      <c r="B63" s="81"/>
      <c r="C63" s="100"/>
      <c r="D63" s="100"/>
      <c r="E63" s="81"/>
      <c r="F63" s="81"/>
      <c r="G63" s="81"/>
      <c r="H63" s="81"/>
      <c r="I63" s="98" t="s">
        <v>193</v>
      </c>
      <c r="J63" s="101">
        <f>5.5</f>
        <v>5.5</v>
      </c>
      <c r="K63" s="89" t="s">
        <v>32</v>
      </c>
      <c r="L63" s="17" t="str">
        <f>IF(J63&gt;=J61,"OK","Check")</f>
        <v>OK</v>
      </c>
    </row>
    <row r="64" spans="1:12">
      <c r="A64" s="76" t="s">
        <v>32</v>
      </c>
      <c r="B64" s="77" t="str">
        <f>IF(MIN(J62,J63)&gt;=J61,"Không gia cường","Gia cường sườn tăng cứng")</f>
        <v>Không gia cường</v>
      </c>
      <c r="C64" s="100"/>
      <c r="D64" s="100"/>
      <c r="E64" s="81"/>
      <c r="F64" s="81"/>
      <c r="G64" s="81"/>
      <c r="H64" s="81"/>
      <c r="I64" s="98"/>
      <c r="J64" s="101"/>
      <c r="K64" s="89"/>
      <c r="L64" s="17"/>
    </row>
    <row r="65" spans="1:12">
      <c r="A65" s="73" t="s">
        <v>75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23"/>
    </row>
  </sheetData>
  <mergeCells count="14">
    <mergeCell ref="G62:H62"/>
    <mergeCell ref="F23:L23"/>
    <mergeCell ref="J11:L12"/>
    <mergeCell ref="A11:I12"/>
    <mergeCell ref="A32:C32"/>
    <mergeCell ref="B27:C27"/>
    <mergeCell ref="D28:E29"/>
    <mergeCell ref="D30:E30"/>
    <mergeCell ref="A13:C13"/>
    <mergeCell ref="C28:C29"/>
    <mergeCell ref="B23:C23"/>
    <mergeCell ref="D23:E23"/>
    <mergeCell ref="D24:D25"/>
    <mergeCell ref="E24:E25"/>
  </mergeCells>
  <conditionalFormatting sqref="L39 L62:L64">
    <cfRule type="containsText" dxfId="9" priority="68" operator="containsText" text="Check">
      <formula>NOT(ISERROR(SEARCH("Check",L39)))</formula>
    </cfRule>
    <cfRule type="containsText" dxfId="8" priority="69" operator="containsText" text="OK">
      <formula>NOT(ISERROR(SEARCH("OK",L39)))</formula>
    </cfRule>
  </conditionalFormatting>
  <conditionalFormatting sqref="L43">
    <cfRule type="containsText" dxfId="7" priority="66" operator="containsText" text="Check">
      <formula>NOT(ISERROR(SEARCH("Check",L43)))</formula>
    </cfRule>
    <cfRule type="containsText" dxfId="6" priority="67" operator="containsText" text="OK">
      <formula>NOT(ISERROR(SEARCH("OK",L43)))</formula>
    </cfRule>
  </conditionalFormatting>
  <conditionalFormatting sqref="L48">
    <cfRule type="containsText" dxfId="5" priority="26" operator="containsText" text="Check">
      <formula>NOT(ISERROR(SEARCH("Check",L48)))</formula>
    </cfRule>
    <cfRule type="containsText" dxfId="4" priority="27" operator="containsText" text="OK">
      <formula>NOT(ISERROR(SEARCH("OK",L48)))</formula>
    </cfRule>
  </conditionalFormatting>
  <conditionalFormatting sqref="L54">
    <cfRule type="containsText" dxfId="3" priority="7" operator="containsText" text="Check">
      <formula>NOT(ISERROR(SEARCH("Check",L54)))</formula>
    </cfRule>
    <cfRule type="containsText" dxfId="2" priority="8" operator="containsText" text="OK">
      <formula>NOT(ISERROR(SEARCH("OK",L54)))</formula>
    </cfRule>
  </conditionalFormatting>
  <conditionalFormatting sqref="L59">
    <cfRule type="containsText" dxfId="1" priority="5" operator="containsText" text="Check">
      <formula>NOT(ISERROR(SEARCH("Check",L59)))</formula>
    </cfRule>
    <cfRule type="containsText" dxfId="0" priority="6" operator="containsText" text="OK">
      <formula>NOT(ISERROR(SEARCH("OK",L59)))</formula>
    </cfRule>
  </conditionalFormatting>
  <dataValidations disablePrompts="1" count="1">
    <dataValidation type="list" allowBlank="1" showInputMessage="1" showErrorMessage="1" sqref="G62" xr:uid="{4F4981FD-B17E-4055-84E4-C65E75E4913A}">
      <formula1>"Tải trọng tĩnh,Tải trọng di dộng"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Data!$A$3:$A$82</xm:f>
          </x14:formula1>
          <xm:sqref>B23:C23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Refer</vt:lpstr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2026-05-04T03:37:47Z</dcterms:modified>
</cp:coreProperties>
</file>