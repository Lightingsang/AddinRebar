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827" codeName="{0730EB3F-75F1-03CD-C966-41DC9FD4AD36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Dce Pro\Excel\DceSteel\"/>
    </mc:Choice>
  </mc:AlternateContent>
  <xr:revisionPtr revIDLastSave="0" documentId="13_ncr:1_{FC8BF3C9-AE46-47F6-BB0F-40B567E0FE86}" xr6:coauthVersionLast="47" xr6:coauthVersionMax="47" xr10:uidLastSave="{00000000-0000-0000-0000-000000000000}"/>
  <bookViews>
    <workbookView xWindow="-28920" yWindow="-120" windowWidth="29040" windowHeight="15720" xr2:uid="{00000000-000D-0000-FFFF-FFFF00000000}"/>
  </bookViews>
  <sheets>
    <sheet name="CVD" sheetId="6" r:id="rId1"/>
  </sheets>
  <functionGroups builtInGroupCount="19"/>
  <definedNames>
    <definedName name="_xlnm._FilterDatabase" localSheetId="0" hidden="1">CVD!#REF!</definedName>
    <definedName name="_xleta.COT" hidden="1" xlm="1">#NAME?</definedName>
    <definedName name="_xleta.DAY" hidden="1" xlm="1">#NAME?</definedName>
    <definedName name="_xleta.IFERROR" hidden="1" xlm="1">#NAME?</definedName>
    <definedName name="_xleta.MATCH" hidden="1" xlm="1">#NAME?</definedName>
    <definedName name="_xlnm.Print_Area" localSheetId="0">CVD!$A$1:$I$7</definedName>
    <definedName name="SLSLOADCASE">#REF!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4" i="6" l="1"/>
  <c r="B9" i="6" l="1"/>
  <c r="E6" i="6"/>
  <c r="B6" i="6"/>
  <c r="B5" i="6"/>
  <c r="E12" i="6" l="1"/>
  <c r="G12" i="6" l="1"/>
  <c r="H12" i="6" s="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7B74A077-5306-4E51-BE81-FAF1A1651208}" keepAlive="1" name="Query - STEEL_CHANNEL" description="Connection to the 'STEEL_CHANNEL' query in the workbook." type="5" refreshedVersion="8" background="1" saveData="1">
    <dbPr connection="Provider=Microsoft.Mashup.OleDb.1;Data Source=$Workbook$;Location=STEEL_CHANNEL;Extended Properties=&quot;&quot;" command="SELECT * FROM [STEEL_CHANNEL]"/>
  </connection>
</connections>
</file>

<file path=xl/sharedStrings.xml><?xml version="1.0" encoding="utf-8"?>
<sst xmlns="http://schemas.openxmlformats.org/spreadsheetml/2006/main" count="15" uniqueCount="15">
  <si>
    <t>A. THÔNG TIN THIẾT KẾ</t>
  </si>
  <si>
    <t>mm</t>
  </si>
  <si>
    <t>NHÀ XƯỞNG</t>
  </si>
  <si>
    <t>H =</t>
  </si>
  <si>
    <t>m</t>
  </si>
  <si>
    <t>B. QUY TRÌNH KIỂM TRA</t>
  </si>
  <si>
    <r>
      <t>[</t>
    </r>
    <r>
      <rPr>
        <sz val="10"/>
        <rFont val="Symbol"/>
        <family val="1"/>
        <charset val="2"/>
      </rPr>
      <t>D]</t>
    </r>
    <r>
      <rPr>
        <sz val="10"/>
        <rFont val="Calibri"/>
        <family val="2"/>
        <scheme val="minor"/>
      </rPr>
      <t xml:space="preserve"> =</t>
    </r>
  </si>
  <si>
    <t>Tổ hợp tải trọng</t>
  </si>
  <si>
    <t>Nhận
xét</t>
  </si>
  <si>
    <t>Tỷ số</t>
  </si>
  <si>
    <t>Chuyển vị
tính toán (mm)</t>
  </si>
  <si>
    <t>Chuyển vị
cho phép (mm)</t>
  </si>
  <si>
    <t>Điểm
(Label)</t>
  </si>
  <si>
    <t>KIỂM TRA ĐỘ VÕNG ĐỨNG CỦA CẤU KIỆN</t>
  </si>
  <si>
    <t>2_SLSV21DH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</si>
</sst>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.0"/>
  </numFmts>
  <fonts count="14" x14ac:knownFonts="1">
    <font>
      <sz val="11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10"/>
      <name val="Calibri"/>
      <family val="2"/>
      <scheme val="minor"/>
    </font>
    <font>
      <sz val="10"/>
      <color rgb="FF0000CC"/>
      <name val="Calibri"/>
      <family val="2"/>
      <scheme val="minor"/>
    </font>
    <font>
      <b/>
      <sz val="14"/>
      <color theme="0"/>
      <name val="Calibri"/>
      <family val="2"/>
      <scheme val="minor"/>
    </font>
    <font>
      <b/>
      <sz val="14"/>
      <color rgb="FF0070C0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rgb="FFFA7D00"/>
      <name val="Calibri"/>
      <family val="2"/>
      <scheme val="minor"/>
    </font>
    <font>
      <b/>
      <u/>
      <sz val="10"/>
      <color theme="1"/>
      <name val="Calibri"/>
      <family val="2"/>
      <scheme val="minor"/>
    </font>
    <font>
      <sz val="11"/>
      <color theme="1"/>
      <name val="Calibri"/>
      <family val="2"/>
      <charset val="163"/>
      <scheme val="minor"/>
    </font>
    <font>
      <sz val="11"/>
      <name val="Times New Roman"/>
      <family val="1"/>
    </font>
    <font>
      <b/>
      <sz val="10"/>
      <name val="Calibri"/>
      <family val="2"/>
      <scheme val="minor"/>
    </font>
    <font>
      <sz val="10"/>
      <name val="Symbol"/>
      <family val="1"/>
      <charset val="2"/>
    </font>
  </fonts>
  <fills count="8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rgb="FFF2F2F2"/>
      </patternFill>
    </fill>
    <fill>
      <patternFill patternType="solid">
        <fgColor theme="2"/>
        <bgColor indexed="64"/>
      </patternFill>
    </fill>
  </fills>
  <borders count="14">
    <border>
      <left/>
      <right/>
      <top/>
      <bottom/>
      <diagonal/>
    </border>
    <border>
      <left style="thin">
        <color auto="1"/>
      </left>
      <right/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/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</borders>
  <cellStyleXfs count="7">
    <xf numFmtId="0" fontId="0" fillId="0" borderId="0"/>
    <xf numFmtId="0" fontId="7" fillId="0" borderId="0"/>
    <xf numFmtId="0" fontId="8" fillId="6" borderId="11" applyNumberFormat="0" applyAlignment="0" applyProtection="0"/>
    <xf numFmtId="0" fontId="10" fillId="0" borderId="0"/>
    <xf numFmtId="164" fontId="10" fillId="0" borderId="0" applyFont="0" applyFill="0" applyBorder="0" applyAlignment="0" applyProtection="0"/>
    <xf numFmtId="0" fontId="11" fillId="0" borderId="0"/>
    <xf numFmtId="0" fontId="11" fillId="0" borderId="0"/>
  </cellStyleXfs>
  <cellXfs count="48">
    <xf numFmtId="0" fontId="0" fillId="0" borderId="0" xfId="0"/>
    <xf numFmtId="0" fontId="1" fillId="0" borderId="0" xfId="0" applyFont="1"/>
    <xf numFmtId="0" fontId="1" fillId="2" borderId="7" xfId="0" applyFont="1" applyFill="1" applyBorder="1" applyAlignment="1">
      <alignment vertical="top"/>
    </xf>
    <xf numFmtId="0" fontId="2" fillId="2" borderId="8" xfId="0" applyFont="1" applyFill="1" applyBorder="1" applyAlignment="1">
      <alignment horizontal="left" indent="1"/>
    </xf>
    <xf numFmtId="0" fontId="1" fillId="2" borderId="8" xfId="0" applyFont="1" applyFill="1" applyBorder="1" applyAlignment="1">
      <alignment horizontal="left" vertical="top" indent="2"/>
    </xf>
    <xf numFmtId="0" fontId="1" fillId="2" borderId="7" xfId="0" applyFont="1" applyFill="1" applyBorder="1"/>
    <xf numFmtId="0" fontId="1" fillId="2" borderId="5" xfId="0" applyFont="1" applyFill="1" applyBorder="1"/>
    <xf numFmtId="0" fontId="1" fillId="5" borderId="0" xfId="0" applyFont="1" applyFill="1"/>
    <xf numFmtId="0" fontId="9" fillId="2" borderId="8" xfId="0" applyFont="1" applyFill="1" applyBorder="1" applyAlignment="1">
      <alignment horizontal="left" indent="1"/>
    </xf>
    <xf numFmtId="0" fontId="1" fillId="2" borderId="7" xfId="0" applyFont="1" applyFill="1" applyBorder="1" applyAlignment="1">
      <alignment vertical="center"/>
    </xf>
    <xf numFmtId="0" fontId="1" fillId="2" borderId="8" xfId="0" applyFont="1" applyFill="1" applyBorder="1" applyAlignment="1">
      <alignment horizontal="left" indent="1"/>
    </xf>
    <xf numFmtId="0" fontId="2" fillId="2" borderId="7" xfId="0" applyFont="1" applyFill="1" applyBorder="1" applyAlignment="1">
      <alignment horizontal="centerContinuous"/>
    </xf>
    <xf numFmtId="164" fontId="1" fillId="2" borderId="6" xfId="0" applyNumberFormat="1" applyFont="1" applyFill="1" applyBorder="1" applyAlignment="1">
      <alignment horizontal="center" vertical="center"/>
    </xf>
    <xf numFmtId="0" fontId="1" fillId="0" borderId="0" xfId="0" applyFont="1" applyAlignment="1">
      <alignment horizontal="center" vertical="center"/>
    </xf>
    <xf numFmtId="2" fontId="1" fillId="2" borderId="6" xfId="0" applyNumberFormat="1" applyFont="1" applyFill="1" applyBorder="1" applyAlignment="1">
      <alignment horizontal="center" vertical="center"/>
    </xf>
    <xf numFmtId="0" fontId="1" fillId="0" borderId="0" xfId="0" applyFont="1" applyAlignment="1">
      <alignment horizontal="left" vertical="center" indent="1"/>
    </xf>
    <xf numFmtId="0" fontId="1" fillId="2" borderId="8" xfId="0" applyFont="1" applyFill="1" applyBorder="1"/>
    <xf numFmtId="0" fontId="1" fillId="2" borderId="3" xfId="0" applyFont="1" applyFill="1" applyBorder="1"/>
    <xf numFmtId="0" fontId="1" fillId="2" borderId="4" xfId="0" applyFont="1" applyFill="1" applyBorder="1"/>
    <xf numFmtId="0" fontId="4" fillId="2" borderId="9" xfId="0" applyFont="1" applyFill="1" applyBorder="1" applyAlignment="1">
      <alignment horizontal="center" vertical="top"/>
    </xf>
    <xf numFmtId="0" fontId="4" fillId="2" borderId="6" xfId="0" applyFont="1" applyFill="1" applyBorder="1" applyAlignment="1">
      <alignment horizontal="center"/>
    </xf>
    <xf numFmtId="164" fontId="4" fillId="2" borderId="9" xfId="0" applyNumberFormat="1" applyFont="1" applyFill="1" applyBorder="1" applyAlignment="1">
      <alignment horizontal="center"/>
    </xf>
    <xf numFmtId="0" fontId="1" fillId="2" borderId="0" xfId="0" applyFont="1" applyFill="1" applyAlignment="1">
      <alignment vertical="top"/>
    </xf>
    <xf numFmtId="0" fontId="1" fillId="2" borderId="0" xfId="0" applyFont="1" applyFill="1" applyAlignment="1">
      <alignment horizontal="right" vertical="top"/>
    </xf>
    <xf numFmtId="0" fontId="3" fillId="2" borderId="0" xfId="0" applyFont="1" applyFill="1" applyAlignment="1">
      <alignment horizontal="right" vertical="top"/>
    </xf>
    <xf numFmtId="0" fontId="4" fillId="2" borderId="0" xfId="0" applyFont="1" applyFill="1" applyAlignment="1">
      <alignment horizontal="center" vertical="center"/>
    </xf>
    <xf numFmtId="0" fontId="1" fillId="2" borderId="0" xfId="0" applyFont="1" applyFill="1"/>
    <xf numFmtId="0" fontId="1" fillId="2" borderId="0" xfId="0" applyFont="1" applyFill="1" applyAlignment="1">
      <alignment horizontal="right" vertical="center"/>
    </xf>
    <xf numFmtId="164" fontId="8" fillId="6" borderId="11" xfId="2" applyNumberFormat="1" applyAlignment="1">
      <alignment horizontal="center" vertical="center"/>
    </xf>
    <xf numFmtId="0" fontId="4" fillId="2" borderId="0" xfId="0" applyFont="1" applyFill="1" applyAlignment="1">
      <alignment horizontal="right" vertical="center"/>
    </xf>
    <xf numFmtId="164" fontId="1" fillId="2" borderId="0" xfId="0" applyNumberFormat="1" applyFont="1" applyFill="1"/>
    <xf numFmtId="0" fontId="1" fillId="2" borderId="0" xfId="0" applyFont="1" applyFill="1" applyAlignment="1">
      <alignment horizontal="center" vertical="top"/>
    </xf>
    <xf numFmtId="0" fontId="1" fillId="2" borderId="0" xfId="0" applyFont="1" applyFill="1" applyAlignment="1">
      <alignment horizontal="center"/>
    </xf>
    <xf numFmtId="164" fontId="1" fillId="2" borderId="9" xfId="0" applyNumberFormat="1" applyFont="1" applyFill="1" applyBorder="1" applyAlignment="1">
      <alignment horizontal="center"/>
    </xf>
    <xf numFmtId="0" fontId="1" fillId="2" borderId="10" xfId="0" applyFont="1" applyFill="1" applyBorder="1" applyAlignment="1">
      <alignment horizontal="center"/>
    </xf>
    <xf numFmtId="0" fontId="6" fillId="3" borderId="6" xfId="0" applyFont="1" applyFill="1" applyBorder="1" applyAlignment="1">
      <alignment horizontal="center" vertical="center"/>
    </xf>
    <xf numFmtId="0" fontId="5" fillId="4" borderId="6" xfId="0" applyFont="1" applyFill="1" applyBorder="1" applyAlignment="1">
      <alignment horizontal="center" vertical="center"/>
    </xf>
    <xf numFmtId="0" fontId="12" fillId="2" borderId="8" xfId="0" applyFont="1" applyFill="1" applyBorder="1" applyAlignment="1">
      <alignment horizontal="left" vertical="center"/>
    </xf>
    <xf numFmtId="0" fontId="12" fillId="2" borderId="0" xfId="0" applyFont="1" applyFill="1" applyAlignment="1">
      <alignment horizontal="left" vertical="center"/>
    </xf>
    <xf numFmtId="0" fontId="1" fillId="7" borderId="1" xfId="0" applyFont="1" applyFill="1" applyBorder="1" applyAlignment="1">
      <alignment horizontal="center" vertical="center"/>
    </xf>
    <xf numFmtId="0" fontId="1" fillId="7" borderId="3" xfId="0" applyFont="1" applyFill="1" applyBorder="1" applyAlignment="1">
      <alignment horizontal="center" vertical="center"/>
    </xf>
    <xf numFmtId="0" fontId="1" fillId="7" borderId="6" xfId="0" applyFont="1" applyFill="1" applyBorder="1" applyAlignment="1">
      <alignment horizontal="center" vertical="center" wrapText="1"/>
    </xf>
    <xf numFmtId="0" fontId="1" fillId="7" borderId="6" xfId="0" applyFont="1" applyFill="1" applyBorder="1" applyAlignment="1">
      <alignment horizontal="center" vertical="center"/>
    </xf>
    <xf numFmtId="0" fontId="1" fillId="7" borderId="1" xfId="0" applyFont="1" applyFill="1" applyBorder="1" applyAlignment="1">
      <alignment horizontal="center" vertical="center" wrapText="1"/>
    </xf>
    <xf numFmtId="0" fontId="1" fillId="7" borderId="2" xfId="0" applyFont="1" applyFill="1" applyBorder="1" applyAlignment="1">
      <alignment horizontal="center" vertical="center"/>
    </xf>
    <xf numFmtId="0" fontId="1" fillId="7" borderId="5" xfId="0" applyFont="1" applyFill="1" applyBorder="1" applyAlignment="1">
      <alignment horizontal="center" vertical="center"/>
    </xf>
    <xf numFmtId="0" fontId="1" fillId="7" borderId="12" xfId="0" applyFont="1" applyFill="1" applyBorder="1" applyAlignment="1">
      <alignment horizontal="center" vertical="center" wrapText="1"/>
    </xf>
    <xf numFmtId="0" fontId="1" fillId="7" borderId="13" xfId="0" applyFont="1" applyFill="1" applyBorder="1" applyAlignment="1">
      <alignment horizontal="center" vertical="center" wrapText="1"/>
    </xf>
  </cellXfs>
  <cellStyles count="7">
    <cellStyle name="Calculation" xfId="2" builtinId="22"/>
    <cellStyle name="Comma 2" xfId="4" xr:uid="{75DDBDBA-DEF6-400D-BF6C-B961748DFEB3}"/>
    <cellStyle name="Normal" xfId="0" builtinId="0"/>
    <cellStyle name="Normal 2" xfId="5" xr:uid="{A4BF5999-4BD9-4121-A2D4-63C064D6281E}"/>
    <cellStyle name="Normal 2 2" xfId="6" xr:uid="{D0B881B4-57B4-4617-880D-E22319A2BBF7}"/>
    <cellStyle name="Normal 5" xfId="3" xr:uid="{1848E8DB-0876-4B85-9D87-E2A4B00DA696}"/>
    <cellStyle name="Normal 6" xfId="1" xr:uid="{00000000-0005-0000-0000-000002000000}"/>
  </cellStyles>
  <dxfs count="5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</dxfs>
  <tableStyles count="0" defaultTableStyle="TableStyleMedium2" defaultPivotStyle="PivotStyleLight16"/>
  <colors>
    <mruColors>
      <color rgb="FF0000CC"/>
      <color rgb="FF006666"/>
      <color rgb="FF0061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connections" Target="connections.xml"/><Relationship Id="rId7" Type="http://schemas.openxmlformats.org/officeDocument/2006/relationships/customXml" Target="../customXml/item1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4.png"/><Relationship Id="rId2" Type="http://schemas.openxmlformats.org/officeDocument/2006/relationships/image" Target="../media/image3.png"/><Relationship Id="rId1" Type="http://schemas.openxmlformats.org/officeDocument/2006/relationships/image" Target="../media/image2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26</xdr:col>
      <xdr:colOff>329712</xdr:colOff>
      <xdr:row>0</xdr:row>
      <xdr:rowOff>1</xdr:rowOff>
    </xdr:from>
    <xdr:to>
      <xdr:col>39</xdr:col>
      <xdr:colOff>190500</xdr:colOff>
      <xdr:row>21</xdr:row>
      <xdr:rowOff>35049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31D2D5B-1E4B-F909-2E8F-BB97CBBFFD9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2631616" y="1"/>
          <a:ext cx="6147288" cy="3654548"/>
        </a:xfrm>
        <a:prstGeom prst="rect">
          <a:avLst/>
        </a:prstGeom>
      </xdr:spPr>
    </xdr:pic>
    <xdr:clientData/>
  </xdr:twoCellAnchor>
  <xdr:twoCellAnchor editAs="oneCell">
    <xdr:from>
      <xdr:col>26</xdr:col>
      <xdr:colOff>322384</xdr:colOff>
      <xdr:row>18</xdr:row>
      <xdr:rowOff>183174</xdr:rowOff>
    </xdr:from>
    <xdr:to>
      <xdr:col>39</xdr:col>
      <xdr:colOff>139211</xdr:colOff>
      <xdr:row>48</xdr:row>
      <xdr:rowOff>140168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F4678CCA-52A2-BFF8-CDF4-7889003D2CF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8506557" y="3612174"/>
          <a:ext cx="6103327" cy="4811813"/>
        </a:xfrm>
        <a:prstGeom prst="rect">
          <a:avLst/>
        </a:prstGeom>
      </xdr:spPr>
    </xdr:pic>
    <xdr:clientData/>
  </xdr:twoCellAnchor>
  <xdr:twoCellAnchor editAs="oneCell">
    <xdr:from>
      <xdr:col>26</xdr:col>
      <xdr:colOff>285749</xdr:colOff>
      <xdr:row>44</xdr:row>
      <xdr:rowOff>36634</xdr:rowOff>
    </xdr:from>
    <xdr:to>
      <xdr:col>39</xdr:col>
      <xdr:colOff>153864</xdr:colOff>
      <xdr:row>58</xdr:row>
      <xdr:rowOff>119286</xdr:rowOff>
    </xdr:to>
    <xdr:pic>
      <xdr:nvPicPr>
        <xdr:cNvPr id="6" name="Picture 5">
          <a:extLst>
            <a:ext uri="{FF2B5EF4-FFF2-40B4-BE49-F238E27FC236}">
              <a16:creationId xmlns:a16="http://schemas.microsoft.com/office/drawing/2014/main" id="{195AC917-F8E3-52EC-A13A-36C545A4014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8469922" y="8418634"/>
          <a:ext cx="6154615" cy="2339344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2013 - 2022 Them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image" Target="../media/image1.png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>
    <tabColor rgb="FF006666"/>
  </sheetPr>
  <dimension ref="A1:Z22"/>
  <sheetViews>
    <sheetView showGridLines="0" tabSelected="1" zoomScale="130" zoomScaleNormal="130" zoomScaleSheetLayoutView="100" workbookViewId="0">
      <selection activeCell="G18" sqref="G18"/>
    </sheetView>
  </sheetViews>
  <sheetFormatPr defaultColWidth="7.28515625" defaultRowHeight="12.75" x14ac:dyDescent="0.2"/>
  <cols>
    <col min="1" max="1" width="5.140625" style="1" customWidth="1"/>
    <col min="2" max="2" width="14.28515625" style="1" customWidth="1"/>
    <col min="3" max="3" width="9.7109375" style="1" customWidth="1"/>
    <col min="4" max="4" width="15.5703125" style="1" customWidth="1"/>
    <col min="5" max="9" width="9.7109375" style="1" customWidth="1"/>
    <col min="10" max="10" width="9.140625" style="15" hidden="1" customWidth="1"/>
    <col min="11" max="11" width="10.85546875" style="13" hidden="1" customWidth="1"/>
    <col min="12" max="12" width="7.5703125" style="13" hidden="1" customWidth="1"/>
    <col min="13" max="14" width="7.28515625" style="13" hidden="1" customWidth="1"/>
    <col min="15" max="25" width="7.28515625" style="1" hidden="1" customWidth="1"/>
    <col min="26" max="26" width="3.28515625" style="7" customWidth="1"/>
    <col min="27" max="16384" width="7.28515625" style="1"/>
  </cols>
  <sheetData>
    <row r="1" spans="1:9" ht="15" customHeight="1" x14ac:dyDescent="0.2">
      <c r="A1" s="36" t="s">
        <v>13</v>
      </c>
      <c r="B1" s="36"/>
      <c r="C1" s="36"/>
      <c r="D1" s="36"/>
      <c r="E1" s="36"/>
      <c r="F1" s="36"/>
      <c r="G1" s="36"/>
      <c r="H1" s="35" t="s">
        <v>2</v>
      </c>
      <c r="I1" s="35"/>
    </row>
    <row r="2" spans="1:9" ht="15" customHeight="1" x14ac:dyDescent="0.2">
      <c r="A2" s="36"/>
      <c r="B2" s="36"/>
      <c r="C2" s="36"/>
      <c r="D2" s="36"/>
      <c r="E2" s="36"/>
      <c r="F2" s="36"/>
      <c r="G2" s="36"/>
      <c r="H2" s="35"/>
      <c r="I2" s="35"/>
    </row>
    <row r="3" spans="1:9" ht="15" customHeight="1" x14ac:dyDescent="0.2">
      <c r="A3" s="37" t="s">
        <v>0</v>
      </c>
      <c r="B3" s="38"/>
      <c r="C3" s="22"/>
      <c r="D3" s="22"/>
      <c r="E3" s="22"/>
      <c r="F3" s="22"/>
      <c r="G3" s="22"/>
      <c r="H3" s="22"/>
      <c r="I3" s="2"/>
    </row>
    <row r="4" spans="1:9" ht="15" customHeight="1" x14ac:dyDescent="0.2">
      <c r="A4" s="3"/>
      <c r="B4" s="22" t="str">
        <f>"- Nhịp tính toán:"</f>
        <v>- Nhịp tính toán:</v>
      </c>
      <c r="C4" s="23"/>
      <c r="D4" s="24" t="s">
        <v>3</v>
      </c>
      <c r="E4" s="25">
        <v>30</v>
      </c>
      <c r="F4" s="26" t="s">
        <v>4</v>
      </c>
      <c r="G4" s="26"/>
      <c r="H4" s="26"/>
      <c r="I4" s="5"/>
    </row>
    <row r="5" spans="1:9" ht="15" customHeight="1" x14ac:dyDescent="0.2">
      <c r="A5" s="4"/>
      <c r="B5" s="22" t="str">
        <f>"- Tỉ số chuyển vị cho phép:"</f>
        <v>- Tỉ số chuyển vị cho phép:</v>
      </c>
      <c r="C5" s="23"/>
      <c r="D5" s="24"/>
      <c r="E5" s="25">
        <v>240</v>
      </c>
      <c r="F5" s="26"/>
      <c r="G5" s="26"/>
      <c r="H5" s="27"/>
      <c r="I5" s="9"/>
    </row>
    <row r="6" spans="1:9" ht="15" customHeight="1" x14ac:dyDescent="0.2">
      <c r="A6" s="4"/>
      <c r="B6" s="22" t="str">
        <f>"- Chuyển vị cho phép:"</f>
        <v>- Chuyển vị cho phép:</v>
      </c>
      <c r="C6" s="23"/>
      <c r="D6" s="24" t="s">
        <v>6</v>
      </c>
      <c r="E6" s="28">
        <f>E4*1000/E5</f>
        <v>125</v>
      </c>
      <c r="F6" s="26" t="s">
        <v>1</v>
      </c>
      <c r="G6" s="26"/>
      <c r="H6" s="27"/>
      <c r="I6" s="9"/>
    </row>
    <row r="7" spans="1:9" ht="15" customHeight="1" x14ac:dyDescent="0.2">
      <c r="A7" s="4"/>
      <c r="B7" s="22"/>
      <c r="C7" s="23"/>
      <c r="D7" s="29"/>
      <c r="E7" s="26"/>
      <c r="F7" s="26"/>
      <c r="G7" s="25"/>
      <c r="H7" s="27"/>
      <c r="I7" s="9"/>
    </row>
    <row r="8" spans="1:9" x14ac:dyDescent="0.2">
      <c r="A8" s="37" t="s">
        <v>5</v>
      </c>
      <c r="B8" s="38"/>
      <c r="C8" s="26"/>
      <c r="D8" s="26"/>
      <c r="E8" s="26"/>
      <c r="F8" s="26"/>
      <c r="G8" s="26"/>
      <c r="H8" s="26"/>
      <c r="I8" s="2"/>
    </row>
    <row r="9" spans="1:9" x14ac:dyDescent="0.2">
      <c r="A9" s="10"/>
      <c r="B9" s="22" t="str">
        <f>"- Chuyển vị lớn nhất:"</f>
        <v>- Chuyển vị lớn nhất:</v>
      </c>
      <c r="C9" s="26"/>
      <c r="D9" s="26"/>
      <c r="E9" s="26"/>
      <c r="F9" s="26"/>
      <c r="G9" s="27"/>
      <c r="H9" s="30"/>
      <c r="I9" s="11"/>
    </row>
    <row r="10" spans="1:9" ht="15" customHeight="1" x14ac:dyDescent="0.2">
      <c r="A10" s="4"/>
      <c r="B10" s="39" t="s">
        <v>7</v>
      </c>
      <c r="C10" s="41" t="s">
        <v>12</v>
      </c>
      <c r="D10" s="43" t="s">
        <v>10</v>
      </c>
      <c r="E10" s="43" t="s">
        <v>11</v>
      </c>
      <c r="F10" s="44"/>
      <c r="G10" s="46" t="s">
        <v>9</v>
      </c>
      <c r="H10" s="46" t="s">
        <v>8</v>
      </c>
      <c r="I10" s="2"/>
    </row>
    <row r="11" spans="1:9" x14ac:dyDescent="0.2">
      <c r="A11" s="8"/>
      <c r="B11" s="40"/>
      <c r="C11" s="42"/>
      <c r="D11" s="40"/>
      <c r="E11" s="40"/>
      <c r="F11" s="45"/>
      <c r="G11" s="47"/>
      <c r="H11" s="47"/>
      <c r="I11" s="5"/>
    </row>
    <row r="12" spans="1:9" x14ac:dyDescent="0.2">
      <c r="A12" s="8"/>
      <c r="B12" s="19" t="s">
        <v>14</v>
      </c>
      <c r="C12" s="20">
        <v>187</v>
      </c>
      <c r="D12" s="21">
        <v>165.88</v>
      </c>
      <c r="E12" s="33">
        <f>E6</f>
        <v>125</v>
      </c>
      <c r="F12" s="34"/>
      <c r="G12" s="14">
        <f>D12/E12</f>
        <v>1.32704</v>
      </c>
      <c r="H12" s="12" t="str">
        <f>IF(G12&lt;=1,"OK","CHECK")</f>
        <v>CHECK</v>
      </c>
      <c r="I12" s="5"/>
    </row>
    <row r="13" spans="1:9" x14ac:dyDescent="0.2">
      <c r="A13" s="8"/>
      <c r="B13" s="31"/>
      <c r="C13" s="26"/>
      <c r="D13" s="32"/>
      <c r="E13" s="26"/>
      <c r="F13" s="26"/>
      <c r="G13" s="27"/>
      <c r="H13" s="30"/>
      <c r="I13" s="5"/>
    </row>
    <row r="14" spans="1:9" x14ac:dyDescent="0.2">
      <c r="A14" s="16"/>
      <c r="B14" s="26"/>
      <c r="C14" s="26"/>
      <c r="D14" s="26"/>
      <c r="E14" s="26"/>
      <c r="F14" s="26"/>
      <c r="G14" s="26"/>
      <c r="H14" s="26"/>
      <c r="I14" s="5"/>
    </row>
    <row r="15" spans="1:9" x14ac:dyDescent="0.2">
      <c r="A15" s="16"/>
      <c r="B15" s="26"/>
      <c r="C15" s="26"/>
      <c r="D15" s="26"/>
      <c r="E15" s="26"/>
      <c r="F15" s="26"/>
      <c r="G15" s="26"/>
      <c r="H15" s="26"/>
      <c r="I15" s="5"/>
    </row>
    <row r="16" spans="1:9" x14ac:dyDescent="0.2">
      <c r="A16" s="16"/>
      <c r="B16" s="26"/>
      <c r="C16" s="26"/>
      <c r="D16" s="26"/>
      <c r="E16" s="26"/>
      <c r="F16" s="26"/>
      <c r="G16" s="26"/>
      <c r="H16" s="26"/>
      <c r="I16" s="5"/>
    </row>
    <row r="17" spans="1:9" x14ac:dyDescent="0.2">
      <c r="A17" s="16"/>
      <c r="B17" s="26"/>
      <c r="C17" s="26"/>
      <c r="D17" s="26"/>
      <c r="E17" s="26"/>
      <c r="F17" s="26"/>
      <c r="G17" s="26"/>
      <c r="H17" s="26"/>
      <c r="I17" s="5"/>
    </row>
    <row r="18" spans="1:9" x14ac:dyDescent="0.2">
      <c r="A18" s="16"/>
      <c r="B18" s="26"/>
      <c r="C18" s="26"/>
      <c r="D18" s="26"/>
      <c r="E18" s="26"/>
      <c r="F18" s="26"/>
      <c r="G18" s="26"/>
      <c r="H18" s="26"/>
      <c r="I18" s="5"/>
    </row>
    <row r="19" spans="1:9" x14ac:dyDescent="0.2">
      <c r="A19" s="16"/>
      <c r="B19" s="26"/>
      <c r="C19" s="26"/>
      <c r="D19" s="26"/>
      <c r="E19" s="26"/>
      <c r="F19" s="26"/>
      <c r="G19" s="26"/>
      <c r="H19" s="26"/>
      <c r="I19" s="5"/>
    </row>
    <row r="20" spans="1:9" x14ac:dyDescent="0.2">
      <c r="A20" s="16"/>
      <c r="B20" s="26"/>
      <c r="C20" s="26"/>
      <c r="D20" s="26"/>
      <c r="E20" s="26"/>
      <c r="F20" s="26"/>
      <c r="G20" s="26"/>
      <c r="H20" s="26"/>
      <c r="I20" s="5"/>
    </row>
    <row r="21" spans="1:9" x14ac:dyDescent="0.2">
      <c r="A21" s="16"/>
      <c r="B21" s="26"/>
      <c r="C21" s="26"/>
      <c r="D21" s="26"/>
      <c r="E21" s="26"/>
      <c r="F21" s="26"/>
      <c r="G21" s="26"/>
      <c r="H21" s="26"/>
      <c r="I21" s="5"/>
    </row>
    <row r="22" spans="1:9" x14ac:dyDescent="0.2">
      <c r="A22" s="17"/>
      <c r="B22" s="18"/>
      <c r="C22" s="18"/>
      <c r="D22" s="18"/>
      <c r="E22" s="18"/>
      <c r="F22" s="18"/>
      <c r="G22" s="18"/>
      <c r="H22" s="18"/>
      <c r="I22" s="6"/>
    </row>
  </sheetData>
  <mergeCells count="11">
    <mergeCell ref="E12:F12"/>
    <mergeCell ref="H1:I2"/>
    <mergeCell ref="A1:G2"/>
    <mergeCell ref="A8:B8"/>
    <mergeCell ref="A3:B3"/>
    <mergeCell ref="B10:B11"/>
    <mergeCell ref="C10:C11"/>
    <mergeCell ref="D10:D11"/>
    <mergeCell ref="E10:F11"/>
    <mergeCell ref="H10:H11"/>
    <mergeCell ref="G10:G11"/>
  </mergeCells>
  <conditionalFormatting sqref="H12">
    <cfRule type="containsText" dxfId="4" priority="8" operator="containsText" text="OK">
      <formula>NOT(ISERROR(SEARCH("OK",H12)))</formula>
    </cfRule>
  </conditionalFormatting>
  <conditionalFormatting sqref="H1:H1048576">
    <cfRule type="containsText" dxfId="3" priority="7" operator="containsText" text="CHECK">
      <formula>NOT(ISERROR(SEARCH("CHECK",H1)))</formula>
    </cfRule>
  </conditionalFormatting>
  <conditionalFormatting sqref="K1:N1048576">
    <cfRule type="top10" dxfId="2" priority="3" rank="1"/>
  </conditionalFormatting>
  <conditionalFormatting sqref="M1:M1048576">
    <cfRule type="top10" dxfId="1" priority="2" rank="1"/>
  </conditionalFormatting>
  <conditionalFormatting sqref="N1:N1048576">
    <cfRule type="top10" dxfId="0" priority="1" rank="1"/>
  </conditionalFormatting>
  <pageMargins left="0.59055118110236227" right="0.31496062992125984" top="0.59055118110236227" bottom="0.59055118110236227" header="0.31496062992125984" footer="0.31496062992125984"/>
  <pageSetup orientation="portrait" r:id="rId1"/>
  <drawing r:id="rId2"/>
  <picture r:id="rId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2B7D91F6-BF8E-4A14-896B-F04D0437FCB9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</vt:i4>
      </vt:variant>
      <vt:variant>
        <vt:lpstr>Named Ranges</vt:lpstr>
      </vt:variant>
      <vt:variant>
        <vt:i4>1</vt:i4>
      </vt:variant>
    </vt:vector>
  </HeadingPairs>
  <TitlesOfParts>
    <vt:vector size="2" baseType="lpstr">
      <vt:lpstr>CVD</vt:lpstr>
      <vt:lpstr>CVD!Print_Area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Ven Nguyen</dc:creator>
  <cp:lastModifiedBy>toan huynh vu minh</cp:lastModifiedBy>
  <cp:lastPrinted>2024-02-17T11:01:09Z</cp:lastPrinted>
  <dcterms:created xsi:type="dcterms:W3CDTF">2023-12-24T09:13:35Z</dcterms:created>
  <dcterms:modified xsi:type="dcterms:W3CDTF">2025-06-25T16:17:59Z</dcterms:modified>
</cp:coreProperties>
</file>