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05CFED63-57A7-483E-BED5-FF36CF86F7BD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ata" sheetId="3" r:id="rId1"/>
    <sheet name="Cal" sheetId="2" r:id="rId2"/>
  </sheets>
  <definedNames>
    <definedName name="_xlnm._FilterDatabase" localSheetId="1" hidden="1">Cal!#REF!</definedName>
    <definedName name="_xleta.ABS" hidden="1" xlm="1">#NAME?</definedName>
    <definedName name="_xleta.COT" hidden="1" xlm="1">#NAME?</definedName>
    <definedName name="_xleta.DAY" hidden="1" xlm="1">#NAME?</definedName>
    <definedName name="_xleta.IF" hidden="1" xlm="1">#NAME?</definedName>
    <definedName name="_xleta.LEN" hidden="1" xlm="1">#NAME?</definedName>
    <definedName name="_xleta.MIN" hidden="1" xlm="1">#NAME?</definedName>
    <definedName name="_xleta.N" hidden="1" xlm="1">#NAME?</definedName>
    <definedName name="_xleta.PI" hidden="1" xlm="1">#NAME?</definedName>
    <definedName name="_xleta.SINGLE" hidden="1" xlm="1">#NAME?</definedName>
    <definedName name="_xleta.T" hidden="1" xlm="1">#NAME?</definedName>
    <definedName name="_xlnm.Print_Area" localSheetId="1">Cal!$A$11:$L$62</definedName>
    <definedName name="_xlnm.Print_Area" localSheetId="0">Data!#REF!</definedName>
    <definedName name="SLSLOADCAS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1" i="2" l="1"/>
  <c r="K60" i="2"/>
  <c r="K58" i="2"/>
  <c r="K57" i="2"/>
  <c r="K55" i="2"/>
  <c r="K54" i="2"/>
  <c r="A61" i="2"/>
  <c r="A60" i="2"/>
  <c r="A58" i="2"/>
  <c r="A57" i="2"/>
  <c r="A55" i="2"/>
  <c r="A54" i="2"/>
  <c r="A53" i="2"/>
  <c r="K52" i="2"/>
  <c r="K53" i="2" s="1"/>
  <c r="A52" i="2"/>
  <c r="B49" i="2"/>
  <c r="B48" i="2"/>
  <c r="B47" i="2"/>
  <c r="B46" i="2"/>
  <c r="B45" i="2"/>
  <c r="B41" i="2"/>
  <c r="B40" i="2"/>
  <c r="B39" i="2"/>
  <c r="B38" i="2"/>
  <c r="K20" i="2"/>
  <c r="J20" i="2"/>
  <c r="K33" i="2"/>
  <c r="K32" i="2"/>
  <c r="K26" i="2"/>
  <c r="K25" i="2"/>
  <c r="K28" i="2" s="1"/>
  <c r="K27" i="2" l="1"/>
  <c r="B29" i="3"/>
  <c r="B28" i="3"/>
  <c r="B27" i="3"/>
  <c r="B26" i="3"/>
  <c r="B25" i="3"/>
  <c r="B24" i="3"/>
  <c r="B23" i="3"/>
  <c r="B22" i="3"/>
  <c r="B21" i="3"/>
  <c r="B20" i="3"/>
  <c r="CI19" i="3"/>
  <c r="CH19" i="3"/>
  <c r="CF19" i="3"/>
  <c r="CG19" i="3" s="1"/>
  <c r="B19" i="3"/>
  <c r="CI18" i="3"/>
  <c r="CH18" i="3"/>
  <c r="CF18" i="3"/>
  <c r="CG18" i="3" s="1"/>
  <c r="B18" i="3"/>
  <c r="CI17" i="3"/>
  <c r="CH17" i="3"/>
  <c r="CG17" i="3"/>
  <c r="CF17" i="3"/>
  <c r="B17" i="3"/>
  <c r="CI16" i="3"/>
  <c r="CG16" i="3"/>
  <c r="CF16" i="3"/>
  <c r="CH16" i="3" s="1"/>
  <c r="BQ16" i="3"/>
  <c r="B16" i="3"/>
  <c r="CI15" i="3"/>
  <c r="CH15" i="3"/>
  <c r="CF15" i="3"/>
  <c r="CG15" i="3" s="1"/>
  <c r="BQ15" i="3"/>
  <c r="X15" i="3"/>
  <c r="B15" i="3"/>
  <c r="CH14" i="3"/>
  <c r="CG14" i="3"/>
  <c r="CF14" i="3"/>
  <c r="BQ14" i="3"/>
  <c r="X14" i="3"/>
  <c r="B14" i="3"/>
  <c r="CH13" i="3"/>
  <c r="CG13" i="3"/>
  <c r="CF13" i="3"/>
  <c r="BQ13" i="3"/>
  <c r="X13" i="3"/>
  <c r="B13" i="3"/>
  <c r="CG12" i="3"/>
  <c r="CF12" i="3"/>
  <c r="CH12" i="3" s="1"/>
  <c r="BQ12" i="3"/>
  <c r="X12" i="3"/>
  <c r="B12" i="3"/>
  <c r="CH11" i="3"/>
  <c r="CG11" i="3"/>
  <c r="CF11" i="3"/>
  <c r="BQ11" i="3"/>
  <c r="X11" i="3"/>
  <c r="B11" i="3"/>
  <c r="CG10" i="3"/>
  <c r="CF10" i="3"/>
  <c r="CH10" i="3" s="1"/>
  <c r="BQ10" i="3"/>
  <c r="X10" i="3"/>
  <c r="B10" i="3"/>
  <c r="CI9" i="3"/>
  <c r="CF9" i="3"/>
  <c r="CG9" i="3" s="1"/>
  <c r="BQ9" i="3"/>
  <c r="X9" i="3"/>
  <c r="B9" i="3"/>
  <c r="CI8" i="3"/>
  <c r="CH8" i="3"/>
  <c r="CG8" i="3"/>
  <c r="CF8" i="3"/>
  <c r="BO8" i="3"/>
  <c r="BN8" i="3"/>
  <c r="BM8" i="3"/>
  <c r="BL8" i="3"/>
  <c r="BK8" i="3"/>
  <c r="X8" i="3"/>
  <c r="B8" i="3"/>
  <c r="DD7" i="3"/>
  <c r="DD8" i="3" s="1"/>
  <c r="DD9" i="3" s="1"/>
  <c r="DD10" i="3" s="1"/>
  <c r="DD11" i="3" s="1"/>
  <c r="DA7" i="3"/>
  <c r="DA8" i="3" s="1"/>
  <c r="DA9" i="3" s="1"/>
  <c r="DA10" i="3" s="1"/>
  <c r="DA11" i="3" s="1"/>
  <c r="DA12" i="3" s="1"/>
  <c r="DA13" i="3" s="1"/>
  <c r="DA14" i="3" s="1"/>
  <c r="DA15" i="3" s="1"/>
  <c r="DA16" i="3" s="1"/>
  <c r="CI7" i="3"/>
  <c r="CF7" i="3"/>
  <c r="CH7" i="3" s="1"/>
  <c r="BQ7" i="3"/>
  <c r="X7" i="3"/>
  <c r="B7" i="3"/>
  <c r="CI6" i="3"/>
  <c r="CF6" i="3"/>
  <c r="CH6" i="3" s="1"/>
  <c r="BQ6" i="3"/>
  <c r="X6" i="3"/>
  <c r="B6" i="3"/>
  <c r="CI5" i="3"/>
  <c r="CF5" i="3"/>
  <c r="CH5" i="3" s="1"/>
  <c r="B5" i="3"/>
  <c r="CI4" i="3"/>
  <c r="CF4" i="3"/>
  <c r="CH4" i="3" s="1"/>
  <c r="B4" i="3"/>
  <c r="B3" i="3"/>
  <c r="CH9" i="3" l="1"/>
  <c r="CG7" i="3"/>
  <c r="CG5" i="3"/>
  <c r="CG4" i="3"/>
  <c r="CG6" i="3"/>
  <c r="B28" i="2" l="1"/>
  <c r="K34" i="2" l="1"/>
  <c r="K36" i="2" s="1"/>
  <c r="B24" i="2" l="1"/>
  <c r="B36" i="2" l="1"/>
  <c r="B35" i="2"/>
  <c r="B34" i="2"/>
  <c r="B33" i="2"/>
  <c r="B32" i="2"/>
  <c r="B31" i="2"/>
  <c r="B29" i="2"/>
  <c r="B27" i="2"/>
  <c r="B26" i="2"/>
  <c r="B25" i="2"/>
</calcChain>
</file>

<file path=xl/sharedStrings.xml><?xml version="1.0" encoding="utf-8"?>
<sst xmlns="http://schemas.openxmlformats.org/spreadsheetml/2006/main" count="252" uniqueCount="207">
  <si>
    <t>A. THÔNG TIN THIẾT KẾ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</si>
  <si>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</si>
  <si>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MPa</t>
  </si>
  <si>
    <t>mm</t>
  </si>
  <si>
    <r>
      <t>f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</si>
  <si>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m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</si>
  <si>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</si>
  <si>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</si>
  <si>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N42</t>
  </si>
  <si>
    <r>
      <t>f</t>
    </r>
    <r>
      <rPr>
        <vertAlign val="subscript"/>
        <sz val="10"/>
        <color theme="1"/>
        <rFont val="Calibri"/>
        <family val="2"/>
        <scheme val="minor"/>
      </rPr>
      <t>wun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</si>
  <si>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</si>
  <si>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</si>
  <si>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</si>
  <si>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ws</t>
    </r>
    <r>
      <rPr>
        <sz val="10"/>
        <color theme="1"/>
        <rFont val="Calibri"/>
        <family val="2"/>
        <scheme val="minor"/>
      </rPr>
      <t xml:space="preserve"> =</t>
    </r>
  </si>
  <si>
    <t>B. QUY TRÌNH TÍNH TOÁN</t>
  </si>
  <si>
    <t>kN</t>
  </si>
  <si>
    <t>Bảng C.4 Cường độ tiêu chuẩn
 của thép làm bu lông</t>
  </si>
  <si>
    <t>Cấp</t>
  </si>
  <si>
    <t>A</t>
  </si>
  <si>
    <t>B</t>
  </si>
  <si>
    <t>Bảng C.6 Diện tích tiết diện bu lông</t>
  </si>
  <si>
    <t>D</t>
  </si>
  <si>
    <t>p</t>
  </si>
  <si>
    <t>Ab</t>
  </si>
  <si>
    <t>z</t>
  </si>
  <si>
    <t>Mac Thép</t>
  </si>
  <si>
    <t>E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</si>
  <si>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</si>
  <si>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</si>
  <si>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Mpa</t>
  </si>
  <si>
    <t>Q235</t>
  </si>
  <si>
    <t>Q345</t>
  </si>
  <si>
    <t>A36</t>
  </si>
  <si>
    <t>A572 gr.50</t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</si>
  <si>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</si>
  <si>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</si>
  <si>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</si>
  <si>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</si>
  <si>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</si>
  <si>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</si>
  <si>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</si>
  <si>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</si>
  <si>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</si>
  <si>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</si>
  <si>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</si>
  <si>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</si>
  <si>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</si>
  <si>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</si>
  <si>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</si>
  <si>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Bảng C1: Que hàn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</si>
  <si>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</si>
  <si>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</si>
  <si>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</si>
  <si>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E43</t>
  </si>
  <si>
    <t>E51</t>
  </si>
  <si>
    <t>N46</t>
  </si>
  <si>
    <t>N50</t>
  </si>
  <si>
    <r>
      <t>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=</t>
    </r>
  </si>
  <si>
    <r>
      <t>(</t>
    </r>
    <r>
      <rPr>
        <sz val="10"/>
        <color theme="1"/>
        <rFont val="Symbol"/>
        <family val="1"/>
        <charset val="2"/>
      </rPr>
      <t>b.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</si>
  <si>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Bảng C5: Cường độ ép mặt</t>
  </si>
  <si>
    <t>Cường độ
Bê tông</t>
  </si>
  <si>
    <r>
      <t>E</t>
    </r>
    <r>
      <rPr>
        <vertAlign val="subscript"/>
        <sz val="10"/>
        <color theme="0"/>
        <rFont val="Arial"/>
        <family val="2"/>
      </rPr>
      <t>b</t>
    </r>
  </si>
  <si>
    <t>TCVN 5574 - 2018</t>
  </si>
  <si>
    <t>EC</t>
  </si>
  <si>
    <t>Bảng E2</t>
  </si>
  <si>
    <t>Hệ số k0</t>
  </si>
  <si>
    <t>Hình dạng</t>
  </si>
  <si>
    <t>Hmin</t>
  </si>
  <si>
    <t>Lmin</t>
  </si>
  <si>
    <t>Ledge</t>
  </si>
  <si>
    <r>
      <rPr>
        <sz val="10"/>
        <color theme="1"/>
        <rFont val="Symbol"/>
        <family val="1"/>
        <charset val="2"/>
      </rPr>
      <t>c</t>
    </r>
    <r>
      <rPr>
        <sz val="10"/>
        <color theme="1"/>
        <rFont val="Calibri"/>
        <family val="2"/>
        <scheme val="minor"/>
      </rPr>
      <t xml:space="preserve"> </t>
    </r>
  </si>
  <si>
    <t>k tĩnh</t>
  </si>
  <si>
    <t>k động</t>
  </si>
  <si>
    <t>fu</t>
  </si>
  <si>
    <t>NÉN</t>
  </si>
  <si>
    <t>KÉO</t>
  </si>
  <si>
    <t>Loại thép</t>
  </si>
  <si>
    <t>fy</t>
  </si>
  <si>
    <r>
      <t>R</t>
    </r>
    <r>
      <rPr>
        <b/>
        <vertAlign val="subscript"/>
        <sz val="10"/>
        <color theme="1"/>
        <rFont val="Arial"/>
        <family val="2"/>
      </rPr>
      <t>sn</t>
    </r>
  </si>
  <si>
    <r>
      <t>R</t>
    </r>
    <r>
      <rPr>
        <b/>
        <vertAlign val="subscript"/>
        <sz val="10"/>
        <color theme="1"/>
        <rFont val="Arial"/>
        <family val="2"/>
      </rPr>
      <t>s</t>
    </r>
  </si>
  <si>
    <r>
      <t>R</t>
    </r>
    <r>
      <rPr>
        <b/>
        <vertAlign val="subscript"/>
        <sz val="10"/>
        <color theme="1"/>
        <rFont val="Arial"/>
        <family val="2"/>
      </rPr>
      <t>sc</t>
    </r>
  </si>
  <si>
    <r>
      <t>R</t>
    </r>
    <r>
      <rPr>
        <b/>
        <vertAlign val="subscript"/>
        <sz val="10"/>
        <color theme="1"/>
        <rFont val="Arial"/>
        <family val="2"/>
      </rPr>
      <t>sw</t>
    </r>
  </si>
  <si>
    <r>
      <t>E</t>
    </r>
    <r>
      <rPr>
        <b/>
        <vertAlign val="subscript"/>
        <sz val="10"/>
        <rFont val="Arial"/>
        <family val="2"/>
      </rPr>
      <t>s</t>
    </r>
  </si>
  <si>
    <t>Kê 4 cạnh</t>
  </si>
  <si>
    <t>Kê 3 cạnh</t>
  </si>
  <si>
    <t>Tải trọng động</t>
  </si>
  <si>
    <t>Chữ L</t>
  </si>
  <si>
    <t>25db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</si>
  <si>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</si>
  <si>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</si>
  <si>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</si>
  <si>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</si>
  <si>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</si>
  <si>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</si>
  <si>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</si>
  <si>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</si>
  <si>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</si>
  <si>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Tên</t>
  </si>
  <si>
    <t>fck</t>
  </si>
  <si>
    <t>Tải trọng tĩnh</t>
  </si>
  <si>
    <t>Không tháo được có bản neo</t>
  </si>
  <si>
    <t>15db</t>
  </si>
  <si>
    <t>CI</t>
  </si>
  <si>
    <t>b/a</t>
  </si>
  <si>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>1</t>
    </r>
  </si>
  <si>
    <t>a2</t>
  </si>
  <si>
    <t>a3</t>
  </si>
  <si>
    <t>Công trình (ống khói, tháp thải khí…), tải trọng tính tính là tải trọng gió</t>
  </si>
  <si>
    <t>Tháo được có bản neo</t>
  </si>
  <si>
    <t>30db</t>
  </si>
  <si>
    <t>M150</t>
  </si>
  <si>
    <t>B10</t>
  </si>
  <si>
    <t>CII</t>
  </si>
  <si>
    <t>Bu lông tháo được có bản neo lắp đặt tự do trong ống</t>
  </si>
  <si>
    <t>Thẳng</t>
  </si>
  <si>
    <t>10db</t>
  </si>
  <si>
    <t>M200</t>
  </si>
  <si>
    <t>B15</t>
  </si>
  <si>
    <t>C12/15</t>
  </si>
  <si>
    <t>CIII</t>
  </si>
  <si>
    <t>Đầu côn (D&lt; 16)</t>
  </si>
  <si>
    <t>M250</t>
  </si>
  <si>
    <t>B20</t>
  </si>
  <si>
    <t>C16/20</t>
  </si>
  <si>
    <t>AI</t>
  </si>
  <si>
    <t>Đầu côn</t>
  </si>
  <si>
    <t>M300</t>
  </si>
  <si>
    <t>B22.5</t>
  </si>
  <si>
    <t>C18/22.5</t>
  </si>
  <si>
    <t>AII</t>
  </si>
  <si>
    <t>M350</t>
  </si>
  <si>
    <t>B25</t>
  </si>
  <si>
    <t>C20/25</t>
  </si>
  <si>
    <t>AIII</t>
  </si>
  <si>
    <t>M400</t>
  </si>
  <si>
    <t>B30</t>
  </si>
  <si>
    <t>C25/30</t>
  </si>
  <si>
    <t>CB240-T</t>
  </si>
  <si>
    <t>M450</t>
  </si>
  <si>
    <t>B35</t>
  </si>
  <si>
    <t>C28/35</t>
  </si>
  <si>
    <t>CB300-T</t>
  </si>
  <si>
    <t>M500</t>
  </si>
  <si>
    <t>B40</t>
  </si>
  <si>
    <t>C32/40</t>
  </si>
  <si>
    <t>CB300-V</t>
  </si>
  <si>
    <t>M600</t>
  </si>
  <si>
    <t>B45</t>
  </si>
  <si>
    <t>C35/45</t>
  </si>
  <si>
    <t>CB400-V</t>
  </si>
  <si>
    <t>M700</t>
  </si>
  <si>
    <t>B50</t>
  </si>
  <si>
    <t>C40/50</t>
  </si>
  <si>
    <t>CB500-V</t>
  </si>
  <si>
    <t>B55</t>
  </si>
  <si>
    <t>C45/55</t>
  </si>
  <si>
    <t>SR235</t>
  </si>
  <si>
    <t>M800</t>
  </si>
  <si>
    <t>B60</t>
  </si>
  <si>
    <t>C50/60</t>
  </si>
  <si>
    <t>SR295</t>
  </si>
  <si>
    <t>SD295</t>
  </si>
  <si>
    <t>SD390</t>
  </si>
  <si>
    <t>SD490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</si>
  <si>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</si>
  <si>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</si>
  <si>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</si>
  <si>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</si>
  <si>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</si>
  <si>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</si>
  <si>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</si>
  <si>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</si>
  <si>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THIẾT KẾ LIÊN KẾT NÚT GIÀN - L THEO TCVN 5575:2024</t>
  </si>
  <si>
    <t>CHI TIẾT 1</t>
  </si>
  <si>
    <t>1. Tiết diện hình học:</t>
  </si>
  <si>
    <t>Thanh số 1</t>
  </si>
  <si>
    <t>Thanh số 2</t>
  </si>
  <si>
    <t>Thanh số 3</t>
  </si>
  <si>
    <t>150x100x9</t>
  </si>
  <si>
    <t>2L</t>
  </si>
  <si>
    <t>125x90x13</t>
  </si>
  <si>
    <t>3. Đường hàn</t>
  </si>
  <si>
    <t>2. Bản mã liên kết:</t>
  </si>
  <si>
    <t>4. Thông số liên kết</t>
  </si>
  <si>
    <r>
      <t>t</t>
    </r>
    <r>
      <rPr>
        <vertAlign val="subscript"/>
        <sz val="10"/>
        <color theme="1"/>
        <rFont val="Calibri"/>
        <family val="2"/>
        <scheme val="minor"/>
      </rPr>
      <t>bm</t>
    </r>
    <r>
      <rPr>
        <sz val="10"/>
        <color theme="1"/>
        <rFont val="Calibri"/>
        <family val="2"/>
        <scheme val="minor"/>
      </rPr>
      <t xml:space="preserve"> =</t>
    </r>
  </si>
  <si>
    <r>
      <t>h</t>
    </r>
    <r>
      <rPr>
        <vertAlign val="subscript"/>
        <sz val="10"/>
        <color theme="1"/>
        <rFont val="Calibri"/>
        <family val="2"/>
        <scheme val="minor"/>
      </rPr>
      <t>w1</t>
    </r>
    <r>
      <rPr>
        <sz val="10"/>
        <color theme="1"/>
        <rFont val="Calibri"/>
        <family val="2"/>
        <scheme val="minor"/>
      </rPr>
      <t xml:space="preserve"> =</t>
    </r>
  </si>
  <si>
    <r>
      <t>h</t>
    </r>
    <r>
      <rPr>
        <vertAlign val="subscript"/>
        <sz val="10"/>
        <color theme="1"/>
        <rFont val="Calibri"/>
        <family val="2"/>
        <scheme val="minor"/>
      </rPr>
      <t>w2</t>
    </r>
    <r>
      <rPr>
        <sz val="10"/>
        <color theme="1"/>
        <rFont val="Calibri"/>
        <family val="2"/>
        <scheme val="minor"/>
      </rPr>
      <t xml:space="preserve"> =</t>
    </r>
  </si>
  <si>
    <r>
      <t>k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 xml:space="preserve"> (thanh 1) =</t>
    </r>
  </si>
  <si>
    <r>
      <t>k</t>
    </r>
    <r>
      <rPr>
        <vertAlign val="sub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(thanh 3) =</t>
    </r>
  </si>
  <si>
    <r>
      <t>k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(thanh 2) =</t>
    </r>
  </si>
  <si>
    <t>5. Nội lực tác dụng</t>
  </si>
  <si>
    <t>P =</t>
  </si>
  <si>
    <t>T1 =</t>
  </si>
  <si>
    <t>T2 =</t>
  </si>
  <si>
    <t>X1 =</t>
  </si>
  <si>
    <t>X2 =</t>
  </si>
  <si>
    <t>1. Đường hàn liên kết thanh cánh (1) -  bản mã</t>
  </si>
  <si>
    <r>
      <rPr>
        <sz val="10"/>
        <color theme="1"/>
        <rFont val="Calibri"/>
        <family val="2"/>
      </rPr>
      <t>Δ</t>
    </r>
    <r>
      <rPr>
        <sz val="10"/>
        <color theme="1"/>
        <rFont val="Calibri"/>
        <family val="2"/>
        <scheme val="minor"/>
      </rPr>
      <t>T =T1 - T2 =</t>
    </r>
  </si>
  <si>
    <r>
      <t>R1 = [(k</t>
    </r>
    <r>
      <rPr>
        <vertAlign val="subscript"/>
        <sz val="10"/>
        <color theme="1"/>
        <rFont val="Calibri"/>
        <family val="2"/>
      </rPr>
      <t>1</t>
    </r>
    <r>
      <rPr>
        <sz val="10"/>
        <color theme="1"/>
        <rFont val="Calibri"/>
        <family val="2"/>
      </rPr>
      <t>.ΔT)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 xml:space="preserve"> + (P/2)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  <r>
      <rPr>
        <vertAlign val="superscript"/>
        <sz val="10"/>
        <color theme="1"/>
        <rFont val="Calibri"/>
        <family val="2"/>
      </rPr>
      <t>0.5</t>
    </r>
    <r>
      <rPr>
        <sz val="10"/>
        <color theme="1"/>
        <rFont val="Calibri"/>
        <family val="2"/>
      </rPr>
      <t xml:space="preserve"> =</t>
    </r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</si>
  <si>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</rPr>
      <t>l</t>
    </r>
    <r>
      <rPr>
        <vertAlign val="subscript"/>
        <sz val="10"/>
        <color theme="1"/>
        <rFont val="Calibri"/>
        <family val="2"/>
      </rPr>
      <t>w1</t>
    </r>
    <r>
      <rPr>
        <sz val="10"/>
        <color theme="1"/>
        <rFont val="Calibri"/>
        <family val="2"/>
      </rPr>
      <t xml:space="preserve"> = max[R</t>
    </r>
    <r>
      <rPr>
        <vertAlign val="subscript"/>
        <sz val="10"/>
        <color theme="1"/>
        <rFont val="Calibri"/>
        <family val="2"/>
      </rPr>
      <t>1</t>
    </r>
    <r>
      <rPr>
        <sz val="10"/>
        <color theme="1"/>
        <rFont val="Calibri"/>
        <family val="2"/>
      </rPr>
      <t>/(</t>
    </r>
    <r>
      <rPr>
        <sz val="10"/>
        <color theme="1"/>
        <rFont val="Symbol"/>
        <family val="1"/>
        <charset val="2"/>
      </rPr>
      <t xml:space="preserve"> 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.h</t>
    </r>
    <r>
      <rPr>
        <vertAlign val="subscript"/>
        <sz val="10"/>
        <color theme="1"/>
        <rFont val="Calibri"/>
        <family val="2"/>
      </rPr>
      <t>w1</t>
    </r>
    <r>
      <rPr>
        <sz val="10"/>
        <color theme="1"/>
        <rFont val="Calibri"/>
        <family val="2"/>
      </rPr>
      <t>(</t>
    </r>
    <r>
      <rPr>
        <sz val="10"/>
        <color theme="1"/>
        <rFont val="Symbol"/>
        <family val="1"/>
        <charset val="2"/>
      </rPr>
      <t xml:space="preserve"> b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w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>min</t>
    </r>
    <r>
      <rPr>
        <sz val="10"/>
        <color theme="1"/>
        <rFont val="Calibri"/>
        <family val="2"/>
      </rPr>
      <t>),4h</t>
    </r>
    <r>
      <rPr>
        <vertAlign val="subscript"/>
        <sz val="10"/>
        <color theme="1"/>
        <rFont val="Calibri"/>
        <family val="2"/>
      </rPr>
      <t>w1</t>
    </r>
    <r>
      <rPr>
        <sz val="10"/>
        <color theme="1"/>
        <rFont val="Calibri"/>
        <family val="2"/>
      </rPr>
      <t>,40mm] =</t>
    </r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</si>
  <si>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</rPr>
      <t>l</t>
    </r>
    <r>
      <rPr>
        <vertAlign val="subscript"/>
        <sz val="10"/>
        <color theme="1"/>
        <rFont val="Calibri"/>
        <family val="2"/>
      </rPr>
      <t>w2</t>
    </r>
    <r>
      <rPr>
        <sz val="10"/>
        <color theme="1"/>
        <rFont val="Calibri"/>
        <family val="2"/>
      </rPr>
      <t xml:space="preserve"> = max[R</t>
    </r>
    <r>
      <rPr>
        <vertAlign val="subscript"/>
        <sz val="10"/>
        <color theme="1"/>
        <rFont val="Calibri"/>
        <family val="2"/>
      </rPr>
      <t>1</t>
    </r>
    <r>
      <rPr>
        <sz val="10"/>
        <color theme="1"/>
        <rFont val="Calibri"/>
        <family val="2"/>
      </rPr>
      <t>/(</t>
    </r>
    <r>
      <rPr>
        <sz val="10"/>
        <color theme="1"/>
        <rFont val="Symbol"/>
        <family val="1"/>
        <charset val="2"/>
      </rPr>
      <t xml:space="preserve"> 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.h</t>
    </r>
    <r>
      <rPr>
        <vertAlign val="subscript"/>
        <sz val="10"/>
        <color theme="1"/>
        <rFont val="Calibri"/>
        <family val="2"/>
      </rPr>
      <t>w2</t>
    </r>
    <r>
      <rPr>
        <sz val="10"/>
        <color theme="1"/>
        <rFont val="Calibri"/>
        <family val="2"/>
      </rPr>
      <t>(</t>
    </r>
    <r>
      <rPr>
        <sz val="10"/>
        <color theme="1"/>
        <rFont val="Symbol"/>
        <family val="1"/>
        <charset val="2"/>
      </rPr>
      <t xml:space="preserve"> b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w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>min</t>
    </r>
    <r>
      <rPr>
        <sz val="10"/>
        <color theme="1"/>
        <rFont val="Calibri"/>
        <family val="2"/>
      </rPr>
      <t>),4h</t>
    </r>
    <r>
      <rPr>
        <vertAlign val="subscript"/>
        <sz val="10"/>
        <color theme="1"/>
        <rFont val="Calibri"/>
        <family val="2"/>
      </rPr>
      <t>w2</t>
    </r>
    <r>
      <rPr>
        <sz val="10"/>
        <color theme="1"/>
        <rFont val="Calibri"/>
        <family val="2"/>
      </rPr>
      <t>,40mm] =</t>
    </r>
  </si>
  <si>
    <t>2. Đường hàn liên kết thanh xiên (2) -  bản mã</t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</si>
  <si>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</rPr>
      <t>l</t>
    </r>
    <r>
      <rPr>
        <vertAlign val="subscript"/>
        <sz val="10"/>
        <color theme="1"/>
        <rFont val="Calibri"/>
        <family val="2"/>
      </rPr>
      <t>w1</t>
    </r>
    <r>
      <rPr>
        <sz val="10"/>
        <color theme="1"/>
        <rFont val="Calibri"/>
        <family val="2"/>
      </rPr>
      <t xml:space="preserve"> = max[k</t>
    </r>
    <r>
      <rPr>
        <vertAlign val="sub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.X</t>
    </r>
    <r>
      <rPr>
        <vertAlign val="subscript"/>
        <sz val="10"/>
        <color theme="1"/>
        <rFont val="Calibri"/>
        <family val="2"/>
      </rPr>
      <t>1</t>
    </r>
    <r>
      <rPr>
        <sz val="10"/>
        <color theme="1"/>
        <rFont val="Calibri"/>
        <family val="2"/>
      </rPr>
      <t>/(</t>
    </r>
    <r>
      <rPr>
        <sz val="10"/>
        <color theme="1"/>
        <rFont val="Symbol"/>
        <family val="1"/>
        <charset val="2"/>
      </rPr>
      <t xml:space="preserve"> 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.h</t>
    </r>
    <r>
      <rPr>
        <vertAlign val="subscript"/>
        <sz val="10"/>
        <color theme="1"/>
        <rFont val="Calibri"/>
        <family val="2"/>
      </rPr>
      <t>w1</t>
    </r>
    <r>
      <rPr>
        <sz val="10"/>
        <color theme="1"/>
        <rFont val="Calibri"/>
        <family val="2"/>
      </rPr>
      <t>(</t>
    </r>
    <r>
      <rPr>
        <sz val="10"/>
        <color theme="1"/>
        <rFont val="Symbol"/>
        <family val="1"/>
        <charset val="2"/>
      </rPr>
      <t xml:space="preserve"> b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w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>min</t>
    </r>
    <r>
      <rPr>
        <sz val="10"/>
        <color theme="1"/>
        <rFont val="Calibri"/>
        <family val="2"/>
      </rPr>
      <t>),4h</t>
    </r>
    <r>
      <rPr>
        <vertAlign val="subscript"/>
        <sz val="10"/>
        <color theme="1"/>
        <rFont val="Calibri"/>
        <family val="2"/>
      </rPr>
      <t>w1</t>
    </r>
    <r>
      <rPr>
        <sz val="10"/>
        <color theme="1"/>
        <rFont val="Calibri"/>
        <family val="2"/>
      </rPr>
      <t>,40mm] =</t>
    </r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</si>
  <si>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</rPr>
      <t>l</t>
    </r>
    <r>
      <rPr>
        <vertAlign val="subscript"/>
        <sz val="10"/>
        <color theme="1"/>
        <rFont val="Calibri"/>
        <family val="2"/>
      </rPr>
      <t>w1</t>
    </r>
    <r>
      <rPr>
        <sz val="10"/>
        <color theme="1"/>
        <rFont val="Calibri"/>
        <family val="2"/>
      </rPr>
      <t xml:space="preserve"> = max[(1-k</t>
    </r>
    <r>
      <rPr>
        <vertAlign val="sub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).X</t>
    </r>
    <r>
      <rPr>
        <vertAlign val="subscript"/>
        <sz val="10"/>
        <color theme="1"/>
        <rFont val="Calibri"/>
        <family val="2"/>
      </rPr>
      <t>1</t>
    </r>
    <r>
      <rPr>
        <sz val="10"/>
        <color theme="1"/>
        <rFont val="Calibri"/>
        <family val="2"/>
      </rPr>
      <t>/(</t>
    </r>
    <r>
      <rPr>
        <sz val="10"/>
        <color theme="1"/>
        <rFont val="Symbol"/>
        <family val="1"/>
        <charset val="2"/>
      </rPr>
      <t xml:space="preserve"> 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.h</t>
    </r>
    <r>
      <rPr>
        <vertAlign val="subscript"/>
        <sz val="10"/>
        <color theme="1"/>
        <rFont val="Calibri"/>
        <family val="2"/>
      </rPr>
      <t>w1</t>
    </r>
    <r>
      <rPr>
        <sz val="10"/>
        <color theme="1"/>
        <rFont val="Calibri"/>
        <family val="2"/>
      </rPr>
      <t>(</t>
    </r>
    <r>
      <rPr>
        <sz val="10"/>
        <color theme="1"/>
        <rFont val="Symbol"/>
        <family val="1"/>
        <charset val="2"/>
      </rPr>
      <t xml:space="preserve"> b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w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>min</t>
    </r>
    <r>
      <rPr>
        <sz val="10"/>
        <color theme="1"/>
        <rFont val="Calibri"/>
        <family val="2"/>
      </rPr>
      <t>),4h</t>
    </r>
    <r>
      <rPr>
        <vertAlign val="subscript"/>
        <sz val="10"/>
        <color theme="1"/>
        <rFont val="Calibri"/>
        <family val="2"/>
      </rPr>
      <t>w1</t>
    </r>
    <r>
      <rPr>
        <sz val="10"/>
        <color theme="1"/>
        <rFont val="Calibri"/>
        <family val="2"/>
      </rPr>
      <t>,40mm] =</t>
    </r>
  </si>
  <si>
    <t>2. Đường hàn liên kết thanh xiên (3) -  bản mã</t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</si>
  <si>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</rPr>
      <t>l</t>
    </r>
    <r>
      <rPr>
        <vertAlign val="subscript"/>
        <sz val="10"/>
        <color theme="1"/>
        <rFont val="Calibri"/>
        <family val="2"/>
      </rPr>
      <t>w1</t>
    </r>
    <r>
      <rPr>
        <sz val="10"/>
        <color theme="1"/>
        <rFont val="Calibri"/>
        <family val="2"/>
      </rPr>
      <t xml:space="preserve"> = max[k</t>
    </r>
    <r>
      <rPr>
        <vertAlign val="subscript"/>
        <sz val="10"/>
        <color theme="1"/>
        <rFont val="Calibri"/>
        <family val="2"/>
      </rPr>
      <t>3</t>
    </r>
    <r>
      <rPr>
        <sz val="10"/>
        <color theme="1"/>
        <rFont val="Calibri"/>
        <family val="2"/>
      </rPr>
      <t>.X</t>
    </r>
    <r>
      <rPr>
        <vertAlign val="sub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/(</t>
    </r>
    <r>
      <rPr>
        <sz val="10"/>
        <color theme="1"/>
        <rFont val="Symbol"/>
        <family val="1"/>
        <charset val="2"/>
      </rPr>
      <t xml:space="preserve"> 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.h</t>
    </r>
    <r>
      <rPr>
        <vertAlign val="subscript"/>
        <sz val="10"/>
        <color theme="1"/>
        <rFont val="Calibri"/>
        <family val="2"/>
      </rPr>
      <t>w1</t>
    </r>
    <r>
      <rPr>
        <sz val="10"/>
        <color theme="1"/>
        <rFont val="Calibri"/>
        <family val="2"/>
      </rPr>
      <t>(</t>
    </r>
    <r>
      <rPr>
        <sz val="10"/>
        <color theme="1"/>
        <rFont val="Symbol"/>
        <family val="1"/>
        <charset val="2"/>
      </rPr>
      <t xml:space="preserve"> b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w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>min</t>
    </r>
    <r>
      <rPr>
        <sz val="10"/>
        <color theme="1"/>
        <rFont val="Calibri"/>
        <family val="2"/>
      </rPr>
      <t>),4h</t>
    </r>
    <r>
      <rPr>
        <vertAlign val="subscript"/>
        <sz val="10"/>
        <color theme="1"/>
        <rFont val="Calibri"/>
        <family val="2"/>
      </rPr>
      <t>w1</t>
    </r>
    <r>
      <rPr>
        <sz val="10"/>
        <color theme="1"/>
        <rFont val="Calibri"/>
        <family val="2"/>
      </rPr>
      <t>,40mm] =</t>
    </r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</si>
  <si>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</rPr>
      <t>l</t>
    </r>
    <r>
      <rPr>
        <vertAlign val="subscript"/>
        <sz val="10"/>
        <color theme="1"/>
        <rFont val="Calibri"/>
        <family val="2"/>
      </rPr>
      <t>w1</t>
    </r>
    <r>
      <rPr>
        <sz val="10"/>
        <color theme="1"/>
        <rFont val="Calibri"/>
        <family val="2"/>
      </rPr>
      <t xml:space="preserve"> = max[(1-k</t>
    </r>
    <r>
      <rPr>
        <vertAlign val="subscript"/>
        <sz val="10"/>
        <color theme="1"/>
        <rFont val="Calibri"/>
        <family val="2"/>
      </rPr>
      <t>3</t>
    </r>
    <r>
      <rPr>
        <sz val="10"/>
        <color theme="1"/>
        <rFont val="Calibri"/>
        <family val="2"/>
      </rPr>
      <t>).X</t>
    </r>
    <r>
      <rPr>
        <vertAlign val="sub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/(</t>
    </r>
    <r>
      <rPr>
        <sz val="10"/>
        <color theme="1"/>
        <rFont val="Symbol"/>
        <family val="1"/>
        <charset val="2"/>
      </rPr>
      <t xml:space="preserve"> 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.h</t>
    </r>
    <r>
      <rPr>
        <vertAlign val="subscript"/>
        <sz val="10"/>
        <color theme="1"/>
        <rFont val="Calibri"/>
        <family val="2"/>
      </rPr>
      <t>w1</t>
    </r>
    <r>
      <rPr>
        <sz val="10"/>
        <color theme="1"/>
        <rFont val="Calibri"/>
        <family val="2"/>
      </rPr>
      <t>(</t>
    </r>
    <r>
      <rPr>
        <sz val="10"/>
        <color theme="1"/>
        <rFont val="Symbol"/>
        <family val="1"/>
        <charset val="2"/>
      </rPr>
      <t xml:space="preserve"> b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w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>min</t>
    </r>
    <r>
      <rPr>
        <sz val="10"/>
        <color theme="1"/>
        <rFont val="Calibri"/>
        <family val="2"/>
      </rPr>
      <t>),4h</t>
    </r>
    <r>
      <rPr>
        <vertAlign val="subscript"/>
        <sz val="10"/>
        <color theme="1"/>
        <rFont val="Calibri"/>
        <family val="2"/>
      </rPr>
      <t>w1</t>
    </r>
    <r>
      <rPr>
        <sz val="10"/>
        <color theme="1"/>
        <rFont val="Calibri"/>
        <family val="2"/>
      </rPr>
      <t>,40mm] =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</si>
</sst>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_(* #,##0_);_(* \(#,##0\);_(* &quot;-&quot;??_);_(@_)"/>
  </numFmts>
  <fonts count="38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000CC"/>
      <name val="Calibri"/>
      <family val="2"/>
      <scheme val="minor"/>
    </font>
    <font>
      <sz val="10"/>
      <color rgb="FFFF000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sz val="10"/>
      <color theme="1"/>
      <name val="Symbol"/>
      <family val="1"/>
      <charset val="2"/>
    </font>
    <font>
      <sz val="10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sz val="10"/>
      <color theme="1"/>
      <name val="Symbol"/>
      <family val="1"/>
      <charset val="2"/>
    </font>
    <font>
      <vertAlign val="subscript"/>
      <sz val="10"/>
      <color theme="0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11"/>
      <name val="Times New Roman"/>
      <family val="1"/>
    </font>
    <font>
      <b/>
      <vertAlign val="subscript"/>
      <sz val="10"/>
      <name val="Arial"/>
      <family val="2"/>
    </font>
    <font>
      <vertAlign val="subscript"/>
      <sz val="10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rgb="FF0070C0"/>
      <name val="Arial"/>
      <family val="2"/>
    </font>
    <font>
      <sz val="12"/>
      <name val="Calibri"/>
      <family val="2"/>
      <scheme val="minor"/>
    </font>
    <font>
      <sz val="11"/>
      <color rgb="FFFA7D00"/>
      <name val="Calibri"/>
      <family val="2"/>
      <scheme val="minor"/>
    </font>
    <font>
      <vertAlign val="subscript"/>
      <sz val="10"/>
      <color theme="1"/>
      <name val="Calibri"/>
      <family val="2"/>
    </font>
    <font>
      <vertAlign val="superscript"/>
      <sz val="10"/>
      <color theme="1"/>
      <name val="Calibri"/>
      <family val="2"/>
    </font>
    <font>
      <sz val="10"/>
      <color theme="1"/>
      <name val="Calibri"/>
      <family val="1"/>
      <charset val="2"/>
    </font>
    <font>
      <sz val="14"/>
      <color rgb="FF0070C0"/>
      <name val="Calibri"/>
      <family val="2"/>
      <scheme val="minor"/>
    </font>
    <font>
      <u/>
      <sz val="10"/>
      <color rgb="FFFF0000"/>
      <name val="Calibri"/>
      <family val="2"/>
      <scheme val="minor"/>
    </font>
    <font>
      <sz val="14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3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2" borderId="1" applyNumberFormat="0" applyAlignment="0" applyProtection="0"/>
    <xf numFmtId="0" fontId="17" fillId="0" borderId="0"/>
    <xf numFmtId="0" fontId="20" fillId="0" borderId="0"/>
    <xf numFmtId="0" fontId="24" fillId="0" borderId="0"/>
    <xf numFmtId="164" fontId="17" fillId="0" borderId="0" applyFont="0" applyFill="0" applyBorder="0" applyAlignment="0" applyProtection="0"/>
    <xf numFmtId="0" fontId="28" fillId="0" borderId="0"/>
    <xf numFmtId="0" fontId="24" fillId="0" borderId="0"/>
  </cellStyleXfs>
  <cellXfs count="136">
    <xf numFmtId="0" fontId="0" fillId="0" borderId="0" xfId="0"/>
    <xf numFmtId="0" fontId="2" fillId="0" borderId="0" xfId="0" applyFont="1"/>
    <xf numFmtId="0" fontId="2" fillId="3" borderId="0" xfId="0" applyFont="1" applyFill="1"/>
    <xf numFmtId="0" fontId="3" fillId="3" borderId="0" xfId="0" applyFont="1" applyFill="1" applyAlignment="1">
      <alignment vertical="center"/>
    </xf>
    <xf numFmtId="0" fontId="2" fillId="6" borderId="10" xfId="0" applyFont="1" applyFill="1" applyBorder="1" applyAlignment="1">
      <alignment vertical="top"/>
    </xf>
    <xf numFmtId="0" fontId="2" fillId="6" borderId="11" xfId="0" applyFont="1" applyFill="1" applyBorder="1" applyAlignment="1">
      <alignment horizontal="left" vertical="top" indent="2"/>
    </xf>
    <xf numFmtId="0" fontId="2" fillId="6" borderId="10" xfId="0" applyFont="1" applyFill="1" applyBorder="1"/>
    <xf numFmtId="0" fontId="2" fillId="6" borderId="0" xfId="0" applyFont="1" applyFill="1" applyAlignment="1">
      <alignment horizontal="center" vertical="center"/>
    </xf>
    <xf numFmtId="0" fontId="2" fillId="6" borderId="10" xfId="0" applyFont="1" applyFill="1" applyBorder="1" applyAlignment="1">
      <alignment vertical="center"/>
    </xf>
    <xf numFmtId="0" fontId="9" fillId="6" borderId="0" xfId="0" applyFont="1" applyFill="1" applyAlignment="1">
      <alignment horizontal="right" vertical="center"/>
    </xf>
    <xf numFmtId="0" fontId="2" fillId="6" borderId="12" xfId="0" applyFont="1" applyFill="1" applyBorder="1" applyAlignment="1">
      <alignment horizontal="center" vertical="center"/>
    </xf>
    <xf numFmtId="0" fontId="11" fillId="6" borderId="12" xfId="0" applyFont="1" applyFill="1" applyBorder="1" applyAlignment="1">
      <alignment horizontal="center" vertical="center"/>
    </xf>
    <xf numFmtId="0" fontId="2" fillId="6" borderId="16" xfId="0" applyFont="1" applyFill="1" applyBorder="1"/>
    <xf numFmtId="0" fontId="2" fillId="6" borderId="16" xfId="0" applyFont="1" applyFill="1" applyBorder="1" applyAlignment="1">
      <alignment horizontal="right" vertical="center"/>
    </xf>
    <xf numFmtId="0" fontId="0" fillId="0" borderId="12" xfId="0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/>
    </xf>
    <xf numFmtId="1" fontId="2" fillId="6" borderId="12" xfId="0" applyNumberFormat="1" applyFont="1" applyFill="1" applyBorder="1" applyAlignment="1">
      <alignment horizontal="center" vertical="center"/>
    </xf>
    <xf numFmtId="0" fontId="15" fillId="6" borderId="1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/>
    </xf>
    <xf numFmtId="0" fontId="2" fillId="6" borderId="22" xfId="0" applyFont="1" applyFill="1" applyBorder="1" applyAlignment="1">
      <alignment horizontal="right" vertical="center"/>
    </xf>
    <xf numFmtId="0" fontId="2" fillId="6" borderId="22" xfId="0" applyFont="1" applyFill="1" applyBorder="1" applyAlignment="1">
      <alignment horizontal="center"/>
    </xf>
    <xf numFmtId="0" fontId="11" fillId="6" borderId="0" xfId="0" applyFont="1" applyFill="1" applyAlignment="1">
      <alignment horizontal="center" vertical="center"/>
    </xf>
    <xf numFmtId="0" fontId="13" fillId="7" borderId="0" xfId="0" applyFont="1" applyFill="1" applyAlignment="1">
      <alignment horizontal="center" wrapText="1"/>
    </xf>
    <xf numFmtId="0" fontId="2" fillId="6" borderId="11" xfId="0" applyFont="1" applyFill="1" applyBorder="1"/>
    <xf numFmtId="0" fontId="13" fillId="7" borderId="0" xfId="0" applyFont="1" applyFill="1" applyAlignment="1">
      <alignment horizontal="center"/>
    </xf>
    <xf numFmtId="0" fontId="13" fillId="7" borderId="0" xfId="0" applyFont="1" applyFill="1" applyAlignment="1">
      <alignment horizontal="center" vertical="center" wrapText="1"/>
    </xf>
    <xf numFmtId="0" fontId="18" fillId="7" borderId="12" xfId="2" applyFont="1" applyFill="1" applyBorder="1" applyAlignment="1">
      <alignment horizontal="center" vertical="center" wrapText="1"/>
    </xf>
    <xf numFmtId="0" fontId="21" fillId="8" borderId="12" xfId="3" applyFont="1" applyFill="1" applyBorder="1" applyAlignment="1">
      <alignment horizontal="center" vertical="center"/>
    </xf>
    <xf numFmtId="0" fontId="22" fillId="8" borderId="12" xfId="0" applyFont="1" applyFill="1" applyBorder="1" applyAlignment="1">
      <alignment horizontal="center" vertical="center"/>
    </xf>
    <xf numFmtId="0" fontId="22" fillId="8" borderId="12" xfId="0" applyFont="1" applyFill="1" applyBorder="1" applyAlignment="1">
      <alignment vertical="center"/>
    </xf>
    <xf numFmtId="0" fontId="21" fillId="8" borderId="13" xfId="4" applyFont="1" applyFill="1" applyBorder="1" applyAlignment="1">
      <alignment horizontal="center" vertical="center"/>
    </xf>
    <xf numFmtId="0" fontId="2" fillId="0" borderId="12" xfId="0" applyFont="1" applyBorder="1"/>
    <xf numFmtId="0" fontId="2" fillId="6" borderId="0" xfId="0" applyFont="1" applyFill="1" applyAlignment="1">
      <alignment horizontal="center"/>
    </xf>
    <xf numFmtId="0" fontId="15" fillId="6" borderId="0" xfId="0" applyFont="1" applyFill="1" applyAlignment="1">
      <alignment horizontal="center" vertical="center"/>
    </xf>
    <xf numFmtId="0" fontId="18" fillId="7" borderId="12" xfId="2" applyFont="1" applyFill="1" applyBorder="1" applyAlignment="1">
      <alignment vertical="center"/>
    </xf>
    <xf numFmtId="0" fontId="21" fillId="8" borderId="13" xfId="3" applyFont="1" applyFill="1" applyBorder="1" applyAlignment="1">
      <alignment horizontal="center" vertical="center"/>
    </xf>
    <xf numFmtId="0" fontId="28" fillId="6" borderId="12" xfId="3" applyFont="1" applyFill="1" applyBorder="1" applyAlignment="1">
      <alignment horizontal="left" vertical="center"/>
    </xf>
    <xf numFmtId="0" fontId="28" fillId="6" borderId="12" xfId="3" applyFont="1" applyFill="1" applyBorder="1" applyAlignment="1">
      <alignment horizontal="center" vertical="center"/>
    </xf>
    <xf numFmtId="0" fontId="28" fillId="6" borderId="13" xfId="3" applyFont="1" applyFill="1" applyBorder="1" applyAlignment="1">
      <alignment horizontal="left" vertical="center"/>
    </xf>
    <xf numFmtId="0" fontId="28" fillId="6" borderId="12" xfId="4" applyFont="1" applyFill="1" applyBorder="1" applyAlignment="1">
      <alignment vertical="center"/>
    </xf>
    <xf numFmtId="0" fontId="29" fillId="0" borderId="29" xfId="2" applyFont="1" applyBorder="1" applyAlignment="1" applyProtection="1">
      <alignment horizontal="center" vertical="center"/>
      <protection hidden="1"/>
    </xf>
    <xf numFmtId="0" fontId="0" fillId="0" borderId="28" xfId="0" applyBorder="1" applyAlignment="1">
      <alignment horizontal="center" vertical="center"/>
    </xf>
    <xf numFmtId="165" fontId="28" fillId="0" borderId="28" xfId="5" applyNumberFormat="1" applyFont="1" applyBorder="1" applyAlignment="1" applyProtection="1">
      <alignment horizontal="center" vertical="center"/>
      <protection hidden="1"/>
    </xf>
    <xf numFmtId="164" fontId="28" fillId="0" borderId="28" xfId="2" applyNumberFormat="1" applyFont="1" applyBorder="1" applyAlignment="1" applyProtection="1">
      <alignment horizontal="center" vertical="center"/>
      <protection hidden="1"/>
    </xf>
    <xf numFmtId="2" fontId="28" fillId="0" borderId="28" xfId="2" applyNumberFormat="1" applyFont="1" applyBorder="1" applyAlignment="1" applyProtection="1">
      <alignment horizontal="center" vertical="center"/>
      <protection hidden="1"/>
    </xf>
    <xf numFmtId="2" fontId="28" fillId="0" borderId="15" xfId="2" applyNumberFormat="1" applyFont="1" applyBorder="1" applyAlignment="1" applyProtection="1">
      <alignment horizontal="center" vertical="center"/>
      <protection hidden="1"/>
    </xf>
    <xf numFmtId="0" fontId="30" fillId="6" borderId="12" xfId="6" applyFont="1" applyFill="1" applyBorder="1" applyAlignment="1" applyProtection="1">
      <alignment horizontal="center" vertical="center"/>
      <protection hidden="1"/>
    </xf>
    <xf numFmtId="0" fontId="29" fillId="0" borderId="30" xfId="2" applyFont="1" applyBorder="1" applyAlignment="1" applyProtection="1">
      <alignment horizontal="center" vertical="center"/>
      <protection hidden="1"/>
    </xf>
    <xf numFmtId="165" fontId="28" fillId="0" borderId="12" xfId="5" applyNumberFormat="1" applyFont="1" applyBorder="1" applyAlignment="1" applyProtection="1">
      <alignment horizontal="center" vertical="center"/>
      <protection hidden="1"/>
    </xf>
    <xf numFmtId="164" fontId="28" fillId="0" borderId="12" xfId="2" applyNumberFormat="1" applyFont="1" applyBorder="1" applyAlignment="1" applyProtection="1">
      <alignment horizontal="center" vertical="center"/>
      <protection hidden="1"/>
    </xf>
    <xf numFmtId="2" fontId="28" fillId="0" borderId="12" xfId="2" applyNumberFormat="1" applyFont="1" applyBorder="1" applyAlignment="1" applyProtection="1">
      <alignment horizontal="center" vertical="center"/>
      <protection hidden="1"/>
    </xf>
    <xf numFmtId="2" fontId="28" fillId="0" borderId="13" xfId="2" applyNumberFormat="1" applyFont="1" applyBorder="1" applyAlignment="1" applyProtection="1">
      <alignment horizontal="center" vertical="center"/>
      <protection hidden="1"/>
    </xf>
    <xf numFmtId="0" fontId="0" fillId="6" borderId="12" xfId="0" applyFill="1" applyBorder="1" applyAlignment="1">
      <alignment horizontal="center" vertical="center"/>
    </xf>
    <xf numFmtId="0" fontId="28" fillId="6" borderId="13" xfId="4" applyFont="1" applyFill="1" applyBorder="1" applyAlignment="1">
      <alignment horizontal="left" vertical="center"/>
    </xf>
    <xf numFmtId="0" fontId="28" fillId="6" borderId="13" xfId="7" applyFont="1" applyFill="1" applyBorder="1" applyAlignment="1">
      <alignment horizontal="left" vertical="center"/>
    </xf>
    <xf numFmtId="0" fontId="29" fillId="0" borderId="31" xfId="2" applyFont="1" applyBorder="1" applyAlignment="1" applyProtection="1">
      <alignment horizontal="center" vertical="center"/>
      <protection hidden="1"/>
    </xf>
    <xf numFmtId="0" fontId="0" fillId="0" borderId="32" xfId="0" applyBorder="1" applyAlignment="1">
      <alignment horizontal="center" vertical="center"/>
    </xf>
    <xf numFmtId="165" fontId="28" fillId="0" borderId="32" xfId="5" applyNumberFormat="1" applyFont="1" applyBorder="1" applyAlignment="1" applyProtection="1">
      <alignment horizontal="center" vertical="center"/>
      <protection hidden="1"/>
    </xf>
    <xf numFmtId="164" fontId="28" fillId="0" borderId="32" xfId="2" applyNumberFormat="1" applyFont="1" applyBorder="1" applyAlignment="1" applyProtection="1">
      <alignment horizontal="center" vertical="center"/>
      <protection hidden="1"/>
    </xf>
    <xf numFmtId="2" fontId="28" fillId="0" borderId="32" xfId="2" applyNumberFormat="1" applyFont="1" applyBorder="1" applyAlignment="1" applyProtection="1">
      <alignment horizontal="center" vertical="center"/>
      <protection hidden="1"/>
    </xf>
    <xf numFmtId="2" fontId="28" fillId="0" borderId="33" xfId="2" applyNumberFormat="1" applyFont="1" applyBorder="1" applyAlignment="1" applyProtection="1">
      <alignment horizontal="center" vertical="center"/>
      <protection hidden="1"/>
    </xf>
    <xf numFmtId="1" fontId="28" fillId="6" borderId="12" xfId="4" applyNumberFormat="1" applyFont="1" applyFill="1" applyBorder="1" applyAlignment="1">
      <alignment vertical="center"/>
    </xf>
    <xf numFmtId="1" fontId="28" fillId="6" borderId="12" xfId="4" applyNumberFormat="1" applyFont="1" applyFill="1" applyBorder="1" applyAlignment="1">
      <alignment horizontal="center" vertical="center"/>
    </xf>
    <xf numFmtId="0" fontId="28" fillId="6" borderId="13" xfId="4" applyFont="1" applyFill="1" applyBorder="1" applyAlignment="1">
      <alignment vertical="center"/>
    </xf>
    <xf numFmtId="0" fontId="28" fillId="6" borderId="12" xfId="4" applyFont="1" applyFill="1" applyBorder="1" applyAlignment="1">
      <alignment horizontal="center" vertical="center"/>
    </xf>
    <xf numFmtId="0" fontId="18" fillId="7" borderId="12" xfId="2" applyFont="1" applyFill="1" applyBorder="1" applyAlignment="1">
      <alignment horizontal="center" vertical="center" wrapText="1"/>
    </xf>
    <xf numFmtId="0" fontId="13" fillId="7" borderId="21" xfId="0" applyFont="1" applyFill="1" applyBorder="1" applyAlignment="1">
      <alignment horizontal="center" vertical="center"/>
    </xf>
    <xf numFmtId="0" fontId="13" fillId="7" borderId="23" xfId="0" applyFont="1" applyFill="1" applyBorder="1" applyAlignment="1">
      <alignment horizontal="center" vertical="center"/>
    </xf>
    <xf numFmtId="0" fontId="13" fillId="7" borderId="18" xfId="0" applyFont="1" applyFill="1" applyBorder="1" applyAlignment="1">
      <alignment horizontal="center" wrapText="1"/>
    </xf>
    <xf numFmtId="0" fontId="13" fillId="7" borderId="19" xfId="0" applyFont="1" applyFill="1" applyBorder="1" applyAlignment="1">
      <alignment horizontal="center" wrapText="1"/>
    </xf>
    <xf numFmtId="0" fontId="13" fillId="7" borderId="20" xfId="0" applyFont="1" applyFill="1" applyBorder="1" applyAlignment="1">
      <alignment horizontal="center" wrapText="1"/>
    </xf>
    <xf numFmtId="0" fontId="13" fillId="7" borderId="0" xfId="0" applyFont="1" applyFill="1" applyAlignment="1">
      <alignment horizontal="center" wrapText="1"/>
    </xf>
    <xf numFmtId="0" fontId="13" fillId="7" borderId="0" xfId="0" applyFont="1" applyFill="1" applyAlignment="1">
      <alignment horizontal="center" vertical="center" wrapText="1"/>
    </xf>
    <xf numFmtId="0" fontId="13" fillId="7" borderId="16" xfId="0" applyFont="1" applyFill="1" applyBorder="1" applyAlignment="1">
      <alignment horizontal="center" vertical="center" wrapText="1"/>
    </xf>
    <xf numFmtId="0" fontId="13" fillId="7" borderId="24" xfId="0" applyFont="1" applyFill="1" applyBorder="1" applyAlignment="1">
      <alignment horizontal="center"/>
    </xf>
    <xf numFmtId="0" fontId="13" fillId="7" borderId="25" xfId="0" applyFont="1" applyFill="1" applyBorder="1" applyAlignment="1">
      <alignment horizontal="center"/>
    </xf>
    <xf numFmtId="0" fontId="13" fillId="7" borderId="26" xfId="0" applyFont="1" applyFill="1" applyBorder="1" applyAlignment="1">
      <alignment horizontal="center"/>
    </xf>
    <xf numFmtId="0" fontId="13" fillId="7" borderId="12" xfId="0" applyFont="1" applyFill="1" applyBorder="1" applyAlignment="1">
      <alignment horizontal="center"/>
    </xf>
    <xf numFmtId="0" fontId="21" fillId="8" borderId="12" xfId="3" applyFont="1" applyFill="1" applyBorder="1" applyAlignment="1">
      <alignment horizontal="center" vertical="center"/>
    </xf>
    <xf numFmtId="0" fontId="21" fillId="8" borderId="2" xfId="3" applyFont="1" applyFill="1" applyBorder="1" applyAlignment="1">
      <alignment horizontal="center" vertical="center"/>
    </xf>
    <xf numFmtId="0" fontId="21" fillId="8" borderId="3" xfId="3" applyFont="1" applyFill="1" applyBorder="1" applyAlignment="1">
      <alignment horizontal="center" vertical="center"/>
    </xf>
    <xf numFmtId="0" fontId="21" fillId="8" borderId="11" xfId="3" applyFont="1" applyFill="1" applyBorder="1" applyAlignment="1">
      <alignment horizontal="center" vertical="center"/>
    </xf>
    <xf numFmtId="0" fontId="21" fillId="8" borderId="0" xfId="3" applyFont="1" applyFill="1" applyAlignment="1">
      <alignment horizontal="center" vertical="center"/>
    </xf>
    <xf numFmtId="0" fontId="18" fillId="7" borderId="27" xfId="2" applyFont="1" applyFill="1" applyBorder="1" applyAlignment="1">
      <alignment horizontal="center" vertical="center"/>
    </xf>
    <xf numFmtId="0" fontId="18" fillId="7" borderId="28" xfId="2" applyFont="1" applyFill="1" applyBorder="1" applyAlignment="1">
      <alignment horizontal="center" vertical="center"/>
    </xf>
    <xf numFmtId="0" fontId="18" fillId="7" borderId="12" xfId="2" applyFont="1" applyFill="1" applyBorder="1" applyAlignment="1">
      <alignment horizontal="center" vertical="center"/>
    </xf>
    <xf numFmtId="0" fontId="18" fillId="7" borderId="15" xfId="2" applyFont="1" applyFill="1" applyBorder="1" applyAlignment="1">
      <alignment horizontal="center" vertical="center" wrapText="1"/>
    </xf>
    <xf numFmtId="0" fontId="18" fillId="7" borderId="16" xfId="2" applyFont="1" applyFill="1" applyBorder="1" applyAlignment="1">
      <alignment horizontal="center" vertical="center" wrapText="1"/>
    </xf>
    <xf numFmtId="0" fontId="35" fillId="5" borderId="3" xfId="0" applyFont="1" applyFill="1" applyBorder="1" applyAlignment="1">
      <alignment horizontal="center" vertical="center"/>
    </xf>
    <xf numFmtId="0" fontId="35" fillId="5" borderId="4" xfId="0" applyFont="1" applyFill="1" applyBorder="1" applyAlignment="1">
      <alignment horizontal="center" vertical="center"/>
    </xf>
    <xf numFmtId="0" fontId="35" fillId="5" borderId="6" xfId="0" applyFont="1" applyFill="1" applyBorder="1" applyAlignment="1">
      <alignment horizontal="center" vertical="center"/>
    </xf>
    <xf numFmtId="0" fontId="35" fillId="5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2" fillId="6" borderId="11" xfId="0" applyFont="1" applyFill="1" applyBorder="1" applyAlignment="1">
      <alignment horizontal="left" indent="1"/>
    </xf>
    <xf numFmtId="0" fontId="5" fillId="5" borderId="13" xfId="0" applyFont="1" applyFill="1" applyBorder="1" applyAlignment="1">
      <alignment horizontal="left" vertical="center"/>
    </xf>
    <xf numFmtId="0" fontId="5" fillId="5" borderId="14" xfId="0" applyFont="1" applyFill="1" applyBorder="1" applyAlignment="1">
      <alignment horizontal="left" vertical="center"/>
    </xf>
    <xf numFmtId="0" fontId="2" fillId="6" borderId="0" xfId="0" applyFont="1" applyFill="1" applyBorder="1" applyAlignment="1">
      <alignment vertical="top"/>
    </xf>
    <xf numFmtId="0" fontId="2" fillId="6" borderId="0" xfId="0" applyFont="1" applyFill="1" applyBorder="1" applyAlignment="1">
      <alignment horizontal="right" vertical="top"/>
    </xf>
    <xf numFmtId="0" fontId="5" fillId="6" borderId="0" xfId="0" applyFont="1" applyFill="1" applyBorder="1" applyAlignment="1">
      <alignment vertical="top"/>
    </xf>
    <xf numFmtId="0" fontId="2" fillId="6" borderId="0" xfId="0" applyFont="1" applyFill="1" applyBorder="1"/>
    <xf numFmtId="0" fontId="6" fillId="6" borderId="0" xfId="0" applyFont="1" applyFill="1" applyBorder="1" applyAlignment="1">
      <alignment horizontal="right" vertical="center"/>
    </xf>
    <xf numFmtId="0" fontId="2" fillId="6" borderId="0" xfId="0" applyFont="1" applyFill="1" applyBorder="1" applyAlignment="1">
      <alignment horizontal="right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left" vertical="center"/>
    </xf>
    <xf numFmtId="0" fontId="7" fillId="6" borderId="0" xfId="0" applyFont="1" applyFill="1" applyBorder="1"/>
    <xf numFmtId="0" fontId="11" fillId="6" borderId="0" xfId="0" applyFont="1" applyFill="1" applyBorder="1" applyAlignment="1">
      <alignment horizontal="center" vertical="center"/>
    </xf>
    <xf numFmtId="1" fontId="2" fillId="6" borderId="0" xfId="0" applyNumberFormat="1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/>
    </xf>
    <xf numFmtId="0" fontId="6" fillId="6" borderId="0" xfId="0" applyFont="1" applyFill="1" applyBorder="1"/>
    <xf numFmtId="0" fontId="9" fillId="6" borderId="0" xfId="0" applyFont="1" applyFill="1" applyBorder="1" applyAlignment="1">
      <alignment horizontal="right" vertical="center"/>
    </xf>
    <xf numFmtId="1" fontId="11" fillId="6" borderId="0" xfId="0" applyNumberFormat="1" applyFont="1" applyFill="1" applyBorder="1" applyAlignment="1">
      <alignment horizontal="center" vertical="center"/>
    </xf>
    <xf numFmtId="164" fontId="6" fillId="6" borderId="0" xfId="0" applyNumberFormat="1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left" indent="1"/>
    </xf>
    <xf numFmtId="2" fontId="2" fillId="6" borderId="0" xfId="0" applyNumberFormat="1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left" vertical="center"/>
    </xf>
    <xf numFmtId="2" fontId="6" fillId="6" borderId="0" xfId="0" applyNumberFormat="1" applyFont="1" applyFill="1" applyBorder="1" applyAlignment="1">
      <alignment horizontal="right" vertical="center"/>
    </xf>
    <xf numFmtId="0" fontId="5" fillId="6" borderId="0" xfId="0" applyFont="1" applyFill="1" applyBorder="1" applyAlignment="1">
      <alignment horizontal="left" vertical="center"/>
    </xf>
    <xf numFmtId="0" fontId="12" fillId="6" borderId="0" xfId="0" applyFont="1" applyFill="1" applyBorder="1" applyAlignment="1">
      <alignment horizontal="right" vertical="center"/>
    </xf>
    <xf numFmtId="0" fontId="2" fillId="6" borderId="0" xfId="0" applyFont="1" applyFill="1" applyBorder="1" applyAlignment="1">
      <alignment horizontal="left" vertical="top" indent="2"/>
    </xf>
    <xf numFmtId="0" fontId="34" fillId="6" borderId="0" xfId="0" applyFont="1" applyFill="1" applyBorder="1" applyAlignment="1">
      <alignment horizontal="right" vertical="center"/>
    </xf>
    <xf numFmtId="1" fontId="31" fillId="2" borderId="1" xfId="1" applyNumberFormat="1" applyFont="1" applyBorder="1" applyAlignment="1">
      <alignment horizontal="center" vertical="center"/>
    </xf>
    <xf numFmtId="164" fontId="11" fillId="6" borderId="0" xfId="0" applyNumberFormat="1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left" vertical="top" indent="2"/>
    </xf>
    <xf numFmtId="0" fontId="5" fillId="6" borderId="16" xfId="0" applyFont="1" applyFill="1" applyBorder="1" applyAlignment="1">
      <alignment horizontal="left" vertical="center"/>
    </xf>
    <xf numFmtId="2" fontId="6" fillId="6" borderId="16" xfId="0" applyNumberFormat="1" applyFont="1" applyFill="1" applyBorder="1" applyAlignment="1">
      <alignment horizontal="right" vertical="center"/>
    </xf>
    <xf numFmtId="0" fontId="2" fillId="6" borderId="16" xfId="0" applyFont="1" applyFill="1" applyBorder="1" applyAlignment="1">
      <alignment horizontal="left" vertical="center"/>
    </xf>
    <xf numFmtId="164" fontId="11" fillId="6" borderId="16" xfId="0" applyNumberFormat="1" applyFont="1" applyFill="1" applyBorder="1" applyAlignment="1">
      <alignment horizontal="center" vertical="center"/>
    </xf>
    <xf numFmtId="0" fontId="36" fillId="6" borderId="17" xfId="0" applyFont="1" applyFill="1" applyBorder="1" applyAlignment="1">
      <alignment horizontal="center" vertical="center"/>
    </xf>
    <xf numFmtId="0" fontId="37" fillId="4" borderId="2" xfId="0" applyFont="1" applyFill="1" applyBorder="1" applyAlignment="1">
      <alignment horizontal="center" vertical="center"/>
    </xf>
    <xf numFmtId="0" fontId="37" fillId="4" borderId="3" xfId="0" applyFont="1" applyFill="1" applyBorder="1" applyAlignment="1">
      <alignment horizontal="center" vertical="center"/>
    </xf>
    <xf numFmtId="0" fontId="37" fillId="4" borderId="5" xfId="0" applyFont="1" applyFill="1" applyBorder="1" applyAlignment="1">
      <alignment horizontal="center" vertical="center"/>
    </xf>
    <xf numFmtId="0" fontId="37" fillId="4" borderId="6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left" vertical="center"/>
    </xf>
    <xf numFmtId="0" fontId="2" fillId="6" borderId="10" xfId="0" applyFont="1" applyFill="1" applyBorder="1" applyAlignment="1">
      <alignment horizontal="right" vertical="center"/>
    </xf>
  </cellXfs>
  <cellStyles count="8">
    <cellStyle name="Calculation" xfId="1" builtinId="22"/>
    <cellStyle name="Comma 2" xfId="5" xr:uid="{4C8E37E0-9979-4460-9A9C-8C26D6A365E3}"/>
    <cellStyle name="Normal" xfId="0" builtinId="0"/>
    <cellStyle name="Normal 2" xfId="4" xr:uid="{83ECA522-9383-41FF-BBFD-61ED78E6EB0D}"/>
    <cellStyle name="Normal 2 2" xfId="7" xr:uid="{A7E8D24A-E79E-43DB-8257-BAFD7D9A3031}"/>
    <cellStyle name="Normal 3" xfId="6" xr:uid="{AEAE9602-1DB1-426A-AE4F-EC6A331EBEED}"/>
    <cellStyle name="Normal 5" xfId="2" xr:uid="{86766E27-4C22-4114-988A-4F802B084792}"/>
    <cellStyle name="Normal_Sheet3" xfId="3" xr:uid="{1E1984D7-42B2-43D7-86A8-82D0F3920ADB}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446942</xdr:colOff>
      <xdr:row>13</xdr:row>
      <xdr:rowOff>101693</xdr:rowOff>
    </xdr:from>
    <xdr:to>
      <xdr:col>6</xdr:col>
      <xdr:colOff>367595</xdr:colOff>
      <xdr:row>21</xdr:row>
      <xdr:rowOff>36634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A5F98F0-7399-23CA-DCB2-ECA83E9A8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97269" y="841712"/>
          <a:ext cx="1935557" cy="12244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AE671-4631-4B4A-8B25-D1310580A3A9}">
  <sheetPr codeName="Sheet2">
    <tabColor rgb="FF0070C0"/>
  </sheetPr>
  <dimension ref="A1:DN29"/>
  <sheetViews>
    <sheetView showGridLines="0" topLeftCell="B1" zoomScale="130" zoomScaleNormal="130" zoomScaleSheetLayoutView="100" workbookViewId="0">
      <selection activeCell="W24" sqref="W24"/>
    </sheetView>
  </sheetViews>
  <sheetFormatPr defaultColWidth="7.28515625" defaultRowHeight="12.75"/>
  <cols>
    <col min="1" max="1" width="9.85546875" style="1" customWidth="1"/>
    <col min="2" max="4" width="7.28515625" style="1"/>
    <col min="5" max="9" width="0" style="1" hidden="1" customWidth="1"/>
    <col min="10" max="10" width="3.28515625" style="2" customWidth="1"/>
    <col min="11" max="15" width="7.28515625" style="1"/>
    <col min="16" max="20" width="0" style="1" hidden="1" customWidth="1"/>
    <col min="21" max="21" width="3.28515625" style="2" customWidth="1"/>
    <col min="22" max="26" width="7.28515625" style="1"/>
    <col min="27" max="41" width="0" style="1" hidden="1" customWidth="1"/>
    <col min="42" max="46" width="7.28515625" style="1" hidden="1" customWidth="1"/>
    <col min="47" max="47" width="3.28515625" style="2" customWidth="1"/>
    <col min="48" max="50" width="7.28515625" style="1"/>
    <col min="51" max="51" width="3.28515625" style="2" customWidth="1"/>
    <col min="52" max="54" width="7.28515625" style="1"/>
    <col min="55" max="59" width="0" style="1" hidden="1" customWidth="1"/>
    <col min="60" max="60" width="3.28515625" style="2" customWidth="1"/>
    <col min="61" max="62" width="7.28515625" style="1"/>
    <col min="63" max="63" width="9.42578125" style="1" bestFit="1" customWidth="1"/>
    <col min="64" max="67" width="7.42578125" style="1" bestFit="1" customWidth="1"/>
    <col min="68" max="68" width="8.140625" style="1" bestFit="1" customWidth="1"/>
    <col min="69" max="69" width="7.28515625" style="1"/>
    <col min="70" max="79" width="0" style="1" hidden="1" customWidth="1"/>
    <col min="80" max="80" width="3.28515625" style="2" customWidth="1"/>
    <col min="81" max="81" width="9.5703125" style="40" bestFit="1" customWidth="1"/>
    <col min="82" max="83" width="9.5703125" style="65" customWidth="1"/>
    <col min="84" max="85" width="5" style="40" bestFit="1" customWidth="1"/>
    <col min="86" max="86" width="5" style="40" customWidth="1"/>
    <col min="87" max="87" width="5" style="40" bestFit="1" customWidth="1"/>
    <col min="88" max="88" width="7" style="64" bestFit="1" customWidth="1"/>
    <col min="89" max="103" width="0" style="1" hidden="1" customWidth="1"/>
    <col min="104" max="104" width="3.28515625" style="2" customWidth="1"/>
    <col min="105" max="16384" width="7.28515625" style="1"/>
  </cols>
  <sheetData>
    <row r="1" spans="1:118" ht="14.25" customHeight="1">
      <c r="A1" s="67" t="s">
        <v>25</v>
      </c>
      <c r="B1" s="19" t="s">
        <v>26</v>
      </c>
      <c r="C1" s="19" t="s">
        <v>27</v>
      </c>
      <c r="D1" s="19" t="s">
        <v>28</v>
      </c>
      <c r="E1" s="25"/>
      <c r="F1" s="25"/>
      <c r="G1" s="25"/>
      <c r="H1" s="25"/>
      <c r="I1" s="25"/>
      <c r="K1" s="69" t="s">
        <v>16</v>
      </c>
      <c r="L1" s="70"/>
      <c r="M1" s="70"/>
      <c r="N1" s="70"/>
      <c r="O1" s="70"/>
      <c r="P1" s="23"/>
      <c r="Q1" s="23"/>
      <c r="R1" s="23"/>
      <c r="S1" s="23"/>
      <c r="T1" s="23"/>
      <c r="V1" s="73" t="s">
        <v>20</v>
      </c>
      <c r="W1" s="73"/>
      <c r="X1" s="73"/>
      <c r="Y1" s="73"/>
      <c r="Z1" s="73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V1" s="75" t="s">
        <v>59</v>
      </c>
      <c r="AW1" s="76"/>
      <c r="AX1" s="77"/>
      <c r="AZ1" s="75" t="s">
        <v>49</v>
      </c>
      <c r="BA1" s="76"/>
      <c r="BB1" s="77"/>
      <c r="BI1" s="66" t="s">
        <v>60</v>
      </c>
      <c r="BJ1" s="66"/>
      <c r="BK1" s="86" t="s">
        <v>61</v>
      </c>
      <c r="BL1" s="66" t="s">
        <v>62</v>
      </c>
      <c r="BM1" s="66"/>
      <c r="BN1" s="66"/>
      <c r="BO1" s="66"/>
      <c r="BP1" s="86" t="s">
        <v>63</v>
      </c>
      <c r="BQ1" s="86"/>
      <c r="CC1" s="87" t="s">
        <v>62</v>
      </c>
      <c r="CD1" s="88"/>
      <c r="CE1" s="88"/>
      <c r="CF1" s="88"/>
      <c r="CG1" s="88"/>
      <c r="CH1" s="88"/>
      <c r="CI1" s="88"/>
      <c r="CJ1" s="88"/>
      <c r="DA1" s="87" t="s">
        <v>64</v>
      </c>
      <c r="DB1" s="88"/>
      <c r="DC1" s="88"/>
      <c r="DD1" s="88"/>
      <c r="DE1" s="88"/>
      <c r="DF1" s="78" t="s">
        <v>65</v>
      </c>
      <c r="DG1" s="78"/>
      <c r="DH1" s="1" t="s">
        <v>66</v>
      </c>
      <c r="DI1" s="1" t="s">
        <v>67</v>
      </c>
      <c r="DJ1" s="1" t="s">
        <v>68</v>
      </c>
      <c r="DK1" s="1" t="s">
        <v>69</v>
      </c>
      <c r="DL1" s="9" t="s">
        <v>70</v>
      </c>
      <c r="DM1" s="9" t="s">
        <v>71</v>
      </c>
      <c r="DN1" s="9" t="s">
        <v>72</v>
      </c>
    </row>
    <row r="2" spans="1:118" ht="14.25">
      <c r="A2" s="68"/>
      <c r="B2" s="19" t="s">
        <v>29</v>
      </c>
      <c r="C2" s="19" t="s">
        <v>29</v>
      </c>
      <c r="D2" s="19" t="s">
        <v>29</v>
      </c>
      <c r="E2" s="25"/>
      <c r="F2" s="25"/>
      <c r="G2" s="25"/>
      <c r="H2" s="25"/>
      <c r="I2" s="25"/>
      <c r="K2" s="71"/>
      <c r="L2" s="72"/>
      <c r="M2" s="72"/>
      <c r="N2" s="72"/>
      <c r="O2" s="72"/>
      <c r="P2" s="23"/>
      <c r="Q2" s="23"/>
      <c r="R2" s="23"/>
      <c r="S2" s="23"/>
      <c r="T2" s="23"/>
      <c r="V2" s="74"/>
      <c r="W2" s="74"/>
      <c r="X2" s="74"/>
      <c r="Y2" s="74"/>
      <c r="Z2" s="74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V2" s="19" t="s">
        <v>73</v>
      </c>
      <c r="AW2" s="19" t="s">
        <v>18</v>
      </c>
      <c r="AX2" s="19" t="s">
        <v>19</v>
      </c>
      <c r="AZ2" s="19" t="s">
        <v>50</v>
      </c>
      <c r="BA2" s="19" t="s">
        <v>51</v>
      </c>
      <c r="BB2" s="19" t="s">
        <v>52</v>
      </c>
      <c r="BI2" s="66"/>
      <c r="BJ2" s="66"/>
      <c r="BK2" s="86"/>
      <c r="BL2" s="66" t="s">
        <v>74</v>
      </c>
      <c r="BM2" s="66"/>
      <c r="BN2" s="66" t="s">
        <v>75</v>
      </c>
      <c r="BO2" s="66"/>
      <c r="BP2" s="86"/>
      <c r="BQ2" s="86"/>
      <c r="CC2" s="79" t="s">
        <v>76</v>
      </c>
      <c r="CD2" s="29" t="s">
        <v>77</v>
      </c>
      <c r="CE2" s="29" t="s">
        <v>73</v>
      </c>
      <c r="CF2" s="30" t="s">
        <v>78</v>
      </c>
      <c r="CG2" s="30" t="s">
        <v>79</v>
      </c>
      <c r="CH2" s="30" t="s">
        <v>80</v>
      </c>
      <c r="CI2" s="30" t="s">
        <v>81</v>
      </c>
      <c r="CJ2" s="31" t="s">
        <v>82</v>
      </c>
      <c r="DA2" s="80" t="s">
        <v>83</v>
      </c>
      <c r="DB2" s="81"/>
      <c r="DC2" s="81"/>
      <c r="DD2" s="80" t="s">
        <v>84</v>
      </c>
      <c r="DE2" s="81"/>
      <c r="DF2" s="32" t="s">
        <v>85</v>
      </c>
      <c r="DG2" s="32">
        <v>1.35</v>
      </c>
      <c r="DH2" s="1" t="s">
        <v>86</v>
      </c>
      <c r="DI2" s="1" t="s">
        <v>87</v>
      </c>
      <c r="DJ2" s="1">
        <v>6</v>
      </c>
      <c r="DK2" s="1">
        <v>4</v>
      </c>
      <c r="DL2" s="1">
        <v>0.4</v>
      </c>
      <c r="DM2" s="1">
        <v>1.3</v>
      </c>
      <c r="DN2" s="1">
        <v>1.9</v>
      </c>
    </row>
    <row r="3" spans="1:118" ht="15.75">
      <c r="A3" s="20" t="s">
        <v>30</v>
      </c>
      <c r="B3" s="21">
        <f>2.06*10^5</f>
        <v>206000</v>
      </c>
      <c r="C3" s="21">
        <v>235</v>
      </c>
      <c r="D3" s="21">
        <v>370</v>
      </c>
      <c r="E3" s="33"/>
      <c r="F3" s="33"/>
      <c r="G3" s="33"/>
      <c r="H3" s="33"/>
      <c r="I3" s="33"/>
      <c r="K3" s="11" t="s">
        <v>17</v>
      </c>
      <c r="L3" s="11" t="s">
        <v>88</v>
      </c>
      <c r="M3" s="11" t="s">
        <v>89</v>
      </c>
      <c r="N3" s="11" t="s">
        <v>90</v>
      </c>
      <c r="O3" s="11" t="s">
        <v>91</v>
      </c>
      <c r="P3" s="22"/>
      <c r="Q3" s="22"/>
      <c r="R3" s="22"/>
      <c r="S3" s="22"/>
      <c r="T3" s="22"/>
      <c r="V3" s="15" t="s">
        <v>21</v>
      </c>
      <c r="W3" s="15" t="s">
        <v>22</v>
      </c>
      <c r="X3" s="15" t="s">
        <v>23</v>
      </c>
      <c r="Y3" s="15" t="s">
        <v>92</v>
      </c>
      <c r="Z3" s="18" t="s">
        <v>24</v>
      </c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V3" s="10">
        <v>360</v>
      </c>
      <c r="AW3" s="10">
        <v>560</v>
      </c>
      <c r="AX3" s="10">
        <v>475</v>
      </c>
      <c r="AZ3" s="10" t="s">
        <v>53</v>
      </c>
      <c r="BA3" s="10">
        <v>430</v>
      </c>
      <c r="BB3" s="10">
        <v>180</v>
      </c>
      <c r="BI3" s="66"/>
      <c r="BJ3" s="66"/>
      <c r="BK3" s="86"/>
      <c r="BL3" s="27" t="s">
        <v>93</v>
      </c>
      <c r="BM3" s="27" t="s">
        <v>94</v>
      </c>
      <c r="BN3" s="27" t="s">
        <v>95</v>
      </c>
      <c r="BO3" s="27" t="s">
        <v>96</v>
      </c>
      <c r="BP3" s="84" t="s">
        <v>97</v>
      </c>
      <c r="BQ3" s="35" t="s">
        <v>98</v>
      </c>
      <c r="CC3" s="79"/>
      <c r="CD3" s="28" t="s">
        <v>2</v>
      </c>
      <c r="CE3" s="28" t="s">
        <v>2</v>
      </c>
      <c r="CF3" s="28" t="s">
        <v>2</v>
      </c>
      <c r="CG3" s="28" t="s">
        <v>2</v>
      </c>
      <c r="CH3" s="28" t="s">
        <v>2</v>
      </c>
      <c r="CI3" s="28" t="s">
        <v>2</v>
      </c>
      <c r="CJ3" s="36" t="s">
        <v>2</v>
      </c>
      <c r="DA3" s="82"/>
      <c r="DB3" s="83"/>
      <c r="DC3" s="83"/>
      <c r="DD3" s="82"/>
      <c r="DE3" s="83"/>
      <c r="DF3" s="32" t="s">
        <v>99</v>
      </c>
      <c r="DG3" s="32">
        <v>1.05</v>
      </c>
      <c r="DH3" s="1" t="s">
        <v>100</v>
      </c>
      <c r="DI3" s="1" t="s">
        <v>101</v>
      </c>
      <c r="DJ3" s="1">
        <v>8</v>
      </c>
      <c r="DK3" s="1">
        <v>6</v>
      </c>
      <c r="DL3" s="1">
        <v>0.4</v>
      </c>
      <c r="DM3" s="1">
        <v>1.3</v>
      </c>
      <c r="DN3" s="1">
        <v>1.9</v>
      </c>
    </row>
    <row r="4" spans="1:118">
      <c r="A4" s="20" t="s">
        <v>31</v>
      </c>
      <c r="B4" s="21">
        <f t="shared" ref="B4:B29" si="0">2.06*10^5</f>
        <v>206000</v>
      </c>
      <c r="C4" s="21">
        <v>345</v>
      </c>
      <c r="D4" s="21">
        <v>510</v>
      </c>
      <c r="E4" s="33"/>
      <c r="F4" s="33"/>
      <c r="G4" s="33"/>
      <c r="H4" s="33"/>
      <c r="I4" s="33"/>
      <c r="K4" s="11">
        <v>5.6</v>
      </c>
      <c r="L4" s="11">
        <v>500</v>
      </c>
      <c r="M4" s="11">
        <v>300</v>
      </c>
      <c r="N4" s="11">
        <v>210</v>
      </c>
      <c r="O4" s="11">
        <v>225</v>
      </c>
      <c r="P4" s="22"/>
      <c r="Q4" s="22"/>
      <c r="R4" s="22"/>
      <c r="S4" s="22"/>
      <c r="T4" s="22"/>
      <c r="V4" s="16">
        <v>10</v>
      </c>
      <c r="W4" s="10">
        <v>1.5</v>
      </c>
      <c r="X4" s="17">
        <v>78.5</v>
      </c>
      <c r="Y4" s="10">
        <v>57.1</v>
      </c>
      <c r="Z4" s="10">
        <v>1</v>
      </c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V4" s="10">
        <v>370</v>
      </c>
      <c r="AW4" s="10">
        <v>580</v>
      </c>
      <c r="AX4" s="10">
        <v>485</v>
      </c>
      <c r="AZ4" s="10" t="s">
        <v>54</v>
      </c>
      <c r="BA4" s="10">
        <v>510</v>
      </c>
      <c r="BB4" s="10">
        <v>225</v>
      </c>
      <c r="BI4" s="66"/>
      <c r="BJ4" s="66"/>
      <c r="BK4" s="27" t="s">
        <v>2</v>
      </c>
      <c r="BL4" s="27" t="s">
        <v>2</v>
      </c>
      <c r="BM4" s="27" t="s">
        <v>2</v>
      </c>
      <c r="BN4" s="27" t="s">
        <v>2</v>
      </c>
      <c r="BO4" s="27" t="s">
        <v>2</v>
      </c>
      <c r="BP4" s="85"/>
      <c r="BQ4" s="27" t="s">
        <v>2</v>
      </c>
      <c r="CC4" s="37" t="s">
        <v>102</v>
      </c>
      <c r="CD4" s="38">
        <v>235</v>
      </c>
      <c r="CE4" s="38">
        <v>373</v>
      </c>
      <c r="CF4" s="37">
        <f>CD4</f>
        <v>235</v>
      </c>
      <c r="CG4" s="37">
        <f>CF4/1.15</f>
        <v>204.34782608695653</v>
      </c>
      <c r="CH4" s="37">
        <f>CF4</f>
        <v>235</v>
      </c>
      <c r="CI4" s="37">
        <f>0.7*CD4</f>
        <v>164.5</v>
      </c>
      <c r="CJ4" s="39">
        <v>200000</v>
      </c>
      <c r="DA4" s="40" t="s">
        <v>103</v>
      </c>
      <c r="DB4" s="40" t="s">
        <v>104</v>
      </c>
      <c r="DC4" s="40" t="s">
        <v>105</v>
      </c>
      <c r="DD4" s="40" t="s">
        <v>103</v>
      </c>
      <c r="DE4" s="40" t="s">
        <v>106</v>
      </c>
      <c r="DF4" s="32" t="s">
        <v>107</v>
      </c>
      <c r="DG4" s="32">
        <v>1.18</v>
      </c>
      <c r="DH4" s="1" t="s">
        <v>108</v>
      </c>
      <c r="DI4" s="1" t="s">
        <v>109</v>
      </c>
      <c r="DJ4" s="1">
        <v>10</v>
      </c>
      <c r="DK4" s="1">
        <v>6</v>
      </c>
      <c r="DL4" s="1">
        <v>0.25</v>
      </c>
      <c r="DM4" s="1">
        <v>1.5</v>
      </c>
      <c r="DN4" s="1">
        <v>1.5</v>
      </c>
    </row>
    <row r="5" spans="1:118" ht="15.75">
      <c r="A5" s="20" t="s">
        <v>32</v>
      </c>
      <c r="B5" s="21">
        <f t="shared" si="0"/>
        <v>206000</v>
      </c>
      <c r="C5" s="21">
        <v>250</v>
      </c>
      <c r="D5" s="21">
        <v>400</v>
      </c>
      <c r="E5" s="33"/>
      <c r="F5" s="33"/>
      <c r="G5" s="33"/>
      <c r="H5" s="33"/>
      <c r="I5" s="33"/>
      <c r="K5" s="11">
        <v>5.8</v>
      </c>
      <c r="L5" s="11">
        <v>500</v>
      </c>
      <c r="M5" s="11">
        <v>400</v>
      </c>
      <c r="N5" s="11">
        <v>210</v>
      </c>
      <c r="O5" s="11">
        <v>210</v>
      </c>
      <c r="P5" s="22"/>
      <c r="Q5" s="22"/>
      <c r="R5" s="22"/>
      <c r="S5" s="22"/>
      <c r="T5" s="22"/>
      <c r="V5" s="16">
        <v>12</v>
      </c>
      <c r="W5" s="10">
        <v>1.5</v>
      </c>
      <c r="X5" s="17">
        <v>113</v>
      </c>
      <c r="Y5" s="10">
        <v>84.2</v>
      </c>
      <c r="Z5" s="10">
        <v>1</v>
      </c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V5" s="10">
        <v>380</v>
      </c>
      <c r="AW5" s="10">
        <v>590</v>
      </c>
      <c r="AX5" s="10">
        <v>500</v>
      </c>
      <c r="AZ5" s="10" t="s">
        <v>8</v>
      </c>
      <c r="BA5" s="10">
        <v>410</v>
      </c>
      <c r="BB5" s="10">
        <v>180</v>
      </c>
      <c r="BI5" s="41" t="s">
        <v>110</v>
      </c>
      <c r="BJ5" s="42" t="s">
        <v>111</v>
      </c>
      <c r="BK5" s="43">
        <v>19000</v>
      </c>
      <c r="BL5" s="44">
        <v>7.5</v>
      </c>
      <c r="BM5" s="44">
        <v>6</v>
      </c>
      <c r="BN5" s="45">
        <v>0.85</v>
      </c>
      <c r="BO5" s="46">
        <v>0.56000000000000005</v>
      </c>
      <c r="BP5" s="32"/>
      <c r="BQ5" s="32"/>
      <c r="CC5" s="37" t="s">
        <v>112</v>
      </c>
      <c r="CD5" s="38">
        <v>295</v>
      </c>
      <c r="CE5" s="38">
        <v>490</v>
      </c>
      <c r="CF5" s="37">
        <f t="shared" ref="CF5:CF19" si="1">CD5</f>
        <v>295</v>
      </c>
      <c r="CG5" s="37">
        <f t="shared" ref="CG5:CG19" si="2">CF5/1.15</f>
        <v>256.52173913043481</v>
      </c>
      <c r="CH5" s="37">
        <f t="shared" ref="CH5:CH19" si="3">CF5</f>
        <v>295</v>
      </c>
      <c r="CI5" s="37">
        <f t="shared" ref="CI5:CI19" si="4">0.7*CD5</f>
        <v>206.5</v>
      </c>
      <c r="CJ5" s="39">
        <v>200000</v>
      </c>
      <c r="DA5" s="40">
        <v>0</v>
      </c>
      <c r="DB5" s="40">
        <v>4.8000000000000001E-2</v>
      </c>
      <c r="DC5" s="40">
        <v>4.8000000000000001E-2</v>
      </c>
      <c r="DD5" s="47">
        <v>0</v>
      </c>
      <c r="DE5" s="40">
        <v>4.8000000000000001E-2</v>
      </c>
      <c r="DF5" s="32" t="s">
        <v>113</v>
      </c>
      <c r="DG5" s="32">
        <v>1.1499999999999999</v>
      </c>
      <c r="DH5" s="1" t="s">
        <v>114</v>
      </c>
      <c r="DI5" s="1" t="s">
        <v>115</v>
      </c>
      <c r="DJ5" s="1">
        <v>5</v>
      </c>
      <c r="DK5" s="1">
        <v>5</v>
      </c>
      <c r="DL5" s="1">
        <v>0.6</v>
      </c>
      <c r="DM5" s="1">
        <v>2</v>
      </c>
      <c r="DN5" s="1">
        <v>2.5</v>
      </c>
    </row>
    <row r="6" spans="1:118" ht="15">
      <c r="A6" s="20" t="s">
        <v>33</v>
      </c>
      <c r="B6" s="21">
        <f t="shared" si="0"/>
        <v>206000</v>
      </c>
      <c r="C6" s="21">
        <v>345</v>
      </c>
      <c r="D6" s="21">
        <v>450</v>
      </c>
      <c r="E6" s="33"/>
      <c r="F6" s="33"/>
      <c r="G6" s="33"/>
      <c r="H6" s="33"/>
      <c r="I6" s="33"/>
      <c r="K6" s="11">
        <v>8.8000000000000007</v>
      </c>
      <c r="L6" s="11">
        <v>830</v>
      </c>
      <c r="M6" s="11">
        <v>660</v>
      </c>
      <c r="N6" s="11">
        <v>332</v>
      </c>
      <c r="O6" s="11">
        <v>448</v>
      </c>
      <c r="P6" s="22"/>
      <c r="Q6" s="22"/>
      <c r="R6" s="22"/>
      <c r="S6" s="22"/>
      <c r="T6" s="22"/>
      <c r="V6" s="16">
        <v>16</v>
      </c>
      <c r="W6" s="10">
        <v>2</v>
      </c>
      <c r="X6" s="17">
        <f t="shared" ref="X6:X15" si="5">PI()*V6^2/4</f>
        <v>201.06192982974676</v>
      </c>
      <c r="Y6" s="10">
        <v>157</v>
      </c>
      <c r="Z6" s="10">
        <v>1</v>
      </c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V6" s="10">
        <v>390</v>
      </c>
      <c r="AW6" s="10">
        <v>610</v>
      </c>
      <c r="AX6" s="10">
        <v>515</v>
      </c>
      <c r="AZ6" s="10" t="s">
        <v>55</v>
      </c>
      <c r="BA6" s="10">
        <v>450</v>
      </c>
      <c r="BB6" s="10">
        <v>200</v>
      </c>
      <c r="BI6" s="48" t="s">
        <v>116</v>
      </c>
      <c r="BJ6" s="14" t="s">
        <v>117</v>
      </c>
      <c r="BK6" s="49">
        <v>24000</v>
      </c>
      <c r="BL6" s="50">
        <v>11</v>
      </c>
      <c r="BM6" s="50">
        <v>8.5</v>
      </c>
      <c r="BN6" s="51">
        <v>1.1000000000000001</v>
      </c>
      <c r="BO6" s="52">
        <v>0.75</v>
      </c>
      <c r="BP6" s="32" t="s">
        <v>118</v>
      </c>
      <c r="BQ6" s="32">
        <f>VALUE(MID(BP6,2,2))</f>
        <v>12</v>
      </c>
      <c r="CC6" s="37" t="s">
        <v>119</v>
      </c>
      <c r="CD6" s="38">
        <v>390</v>
      </c>
      <c r="CE6" s="38">
        <v>590</v>
      </c>
      <c r="CF6" s="37">
        <f t="shared" si="1"/>
        <v>390</v>
      </c>
      <c r="CG6" s="37">
        <f t="shared" si="2"/>
        <v>339.13043478260875</v>
      </c>
      <c r="CH6" s="37">
        <f t="shared" si="3"/>
        <v>390</v>
      </c>
      <c r="CI6" s="37">
        <f t="shared" si="4"/>
        <v>273</v>
      </c>
      <c r="CJ6" s="39">
        <v>200000</v>
      </c>
      <c r="DA6" s="40">
        <v>1</v>
      </c>
      <c r="DB6" s="40">
        <v>4.8000000000000001E-2</v>
      </c>
      <c r="DC6" s="40">
        <v>4.8000000000000001E-2</v>
      </c>
      <c r="DD6" s="53">
        <v>0.5</v>
      </c>
      <c r="DE6" s="40">
        <v>4.8000000000000001E-2</v>
      </c>
      <c r="DH6" s="1" t="s">
        <v>120</v>
      </c>
      <c r="DI6" s="1" t="s">
        <v>115</v>
      </c>
      <c r="DJ6" s="1">
        <v>8</v>
      </c>
      <c r="DK6" s="1">
        <v>8</v>
      </c>
      <c r="DL6" s="1">
        <v>0.55000000000000004</v>
      </c>
      <c r="DM6" s="1">
        <v>1.8</v>
      </c>
      <c r="DN6" s="1">
        <v>2.2999999999999998</v>
      </c>
    </row>
    <row r="7" spans="1:118" ht="15">
      <c r="A7" s="20" t="s">
        <v>34</v>
      </c>
      <c r="B7" s="21">
        <f t="shared" si="0"/>
        <v>206000</v>
      </c>
      <c r="C7" s="21">
        <v>235</v>
      </c>
      <c r="D7" s="21">
        <v>360</v>
      </c>
      <c r="E7" s="33"/>
      <c r="F7" s="33"/>
      <c r="G7" s="33"/>
      <c r="H7" s="33"/>
      <c r="I7" s="33"/>
      <c r="K7" s="11">
        <v>10.9</v>
      </c>
      <c r="L7" s="11">
        <v>1040</v>
      </c>
      <c r="M7" s="11">
        <v>940</v>
      </c>
      <c r="N7" s="11">
        <v>416</v>
      </c>
      <c r="O7" s="11">
        <v>728</v>
      </c>
      <c r="P7" s="22"/>
      <c r="Q7" s="22"/>
      <c r="R7" s="22"/>
      <c r="S7" s="22"/>
      <c r="T7" s="22"/>
      <c r="V7" s="16">
        <v>18</v>
      </c>
      <c r="W7" s="10">
        <v>2.5</v>
      </c>
      <c r="X7" s="17">
        <f t="shared" si="5"/>
        <v>254.46900494077323</v>
      </c>
      <c r="Y7" s="10">
        <v>192</v>
      </c>
      <c r="Z7" s="10">
        <v>1.05</v>
      </c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V7" s="10">
        <v>430</v>
      </c>
      <c r="AW7" s="10">
        <v>670</v>
      </c>
      <c r="AX7" s="10">
        <v>565</v>
      </c>
      <c r="AZ7" s="10" t="s">
        <v>56</v>
      </c>
      <c r="BA7" s="10">
        <v>490</v>
      </c>
      <c r="BB7" s="10">
        <v>215</v>
      </c>
      <c r="BI7" s="48" t="s">
        <v>121</v>
      </c>
      <c r="BJ7" s="14" t="s">
        <v>122</v>
      </c>
      <c r="BK7" s="49">
        <v>27500</v>
      </c>
      <c r="BL7" s="50">
        <v>15</v>
      </c>
      <c r="BM7" s="50">
        <v>11.5</v>
      </c>
      <c r="BN7" s="51">
        <v>1.35</v>
      </c>
      <c r="BO7" s="52">
        <v>0.9</v>
      </c>
      <c r="BP7" s="32" t="s">
        <v>123</v>
      </c>
      <c r="BQ7" s="32">
        <f t="shared" ref="BQ7" si="6">VALUE(MID(BP7,2,2))</f>
        <v>16</v>
      </c>
      <c r="CC7" s="37" t="s">
        <v>124</v>
      </c>
      <c r="CD7" s="38">
        <v>235</v>
      </c>
      <c r="CE7" s="38">
        <v>373</v>
      </c>
      <c r="CF7" s="37">
        <f t="shared" si="1"/>
        <v>235</v>
      </c>
      <c r="CG7" s="37">
        <f t="shared" si="2"/>
        <v>204.34782608695653</v>
      </c>
      <c r="CH7" s="37">
        <f t="shared" si="3"/>
        <v>235</v>
      </c>
      <c r="CI7" s="37">
        <f t="shared" si="4"/>
        <v>164.5</v>
      </c>
      <c r="CJ7" s="54">
        <v>200000</v>
      </c>
      <c r="DA7" s="40">
        <f>DA6+0.1</f>
        <v>1.1000000000000001</v>
      </c>
      <c r="DB7" s="40">
        <v>5.5E-2</v>
      </c>
      <c r="DC7" s="40">
        <v>4.9000000000000002E-2</v>
      </c>
      <c r="DD7" s="53">
        <f>DD6+0.1</f>
        <v>0.6</v>
      </c>
      <c r="DE7" s="40">
        <v>5.5E-2</v>
      </c>
      <c r="DH7" s="1" t="s">
        <v>125</v>
      </c>
      <c r="DI7" s="1">
        <v>8</v>
      </c>
      <c r="DJ7" s="1">
        <v>8</v>
      </c>
      <c r="DK7" s="1">
        <v>8</v>
      </c>
      <c r="DL7" s="1">
        <v>0.55000000000000004</v>
      </c>
      <c r="DM7" s="1">
        <v>1.8</v>
      </c>
      <c r="DN7" s="1">
        <v>2.2999999999999998</v>
      </c>
    </row>
    <row r="8" spans="1:118" ht="15">
      <c r="A8" s="20" t="s">
        <v>35</v>
      </c>
      <c r="B8" s="21">
        <f t="shared" si="0"/>
        <v>206000</v>
      </c>
      <c r="C8" s="21">
        <v>225</v>
      </c>
      <c r="D8" s="21">
        <v>360</v>
      </c>
      <c r="E8" s="33"/>
      <c r="F8" s="33"/>
      <c r="G8" s="33"/>
      <c r="H8" s="33"/>
      <c r="I8" s="33"/>
      <c r="K8" s="11">
        <v>12.9</v>
      </c>
      <c r="L8" s="11">
        <v>1220</v>
      </c>
      <c r="M8" s="11">
        <v>1100</v>
      </c>
      <c r="N8" s="11">
        <v>427</v>
      </c>
      <c r="O8" s="11">
        <v>854</v>
      </c>
      <c r="P8" s="22"/>
      <c r="Q8" s="22"/>
      <c r="R8" s="22"/>
      <c r="S8" s="22"/>
      <c r="T8" s="22"/>
      <c r="V8" s="16">
        <v>20</v>
      </c>
      <c r="W8" s="10">
        <v>2.5</v>
      </c>
      <c r="X8" s="17">
        <f t="shared" si="5"/>
        <v>314.15926535897933</v>
      </c>
      <c r="Y8" s="10">
        <v>245</v>
      </c>
      <c r="Z8" s="10">
        <v>1.1000000000000001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V8" s="10">
        <v>440</v>
      </c>
      <c r="AW8" s="10">
        <v>685</v>
      </c>
      <c r="AX8" s="10">
        <v>580</v>
      </c>
      <c r="BI8" s="48" t="s">
        <v>126</v>
      </c>
      <c r="BJ8" s="14" t="s">
        <v>127</v>
      </c>
      <c r="BK8" s="49">
        <f>(BK7+BK9)/2</f>
        <v>28750</v>
      </c>
      <c r="BL8" s="50">
        <f t="shared" ref="BL8:BO8" si="7">(BL7+BL9)/2</f>
        <v>16.75</v>
      </c>
      <c r="BM8" s="50">
        <f>(BM7+BM9)/2</f>
        <v>13</v>
      </c>
      <c r="BN8" s="50">
        <f t="shared" si="7"/>
        <v>1.4500000000000002</v>
      </c>
      <c r="BO8" s="50">
        <f t="shared" si="7"/>
        <v>0.97500000000000009</v>
      </c>
      <c r="BP8" s="32" t="s">
        <v>128</v>
      </c>
      <c r="BQ8" s="32">
        <v>18</v>
      </c>
      <c r="CC8" s="37" t="s">
        <v>129</v>
      </c>
      <c r="CD8" s="38">
        <v>295</v>
      </c>
      <c r="CE8" s="38">
        <v>490</v>
      </c>
      <c r="CF8" s="37">
        <f t="shared" si="1"/>
        <v>295</v>
      </c>
      <c r="CG8" s="37">
        <f t="shared" si="2"/>
        <v>256.52173913043481</v>
      </c>
      <c r="CH8" s="37">
        <f t="shared" si="3"/>
        <v>295</v>
      </c>
      <c r="CI8" s="37">
        <f t="shared" si="4"/>
        <v>206.5</v>
      </c>
      <c r="CJ8" s="54">
        <v>200000</v>
      </c>
      <c r="DA8" s="40">
        <f t="shared" ref="DA8:DA16" si="8">DA7+0.1</f>
        <v>1.2000000000000002</v>
      </c>
      <c r="DB8" s="40">
        <v>6.3E-2</v>
      </c>
      <c r="DC8" s="40">
        <v>0.05</v>
      </c>
      <c r="DD8" s="53">
        <f>DD7+0.1</f>
        <v>0.7</v>
      </c>
      <c r="DE8" s="40">
        <v>6.3E-2</v>
      </c>
    </row>
    <row r="9" spans="1:118" ht="15">
      <c r="A9" s="20" t="s">
        <v>36</v>
      </c>
      <c r="B9" s="21">
        <f t="shared" si="0"/>
        <v>206000</v>
      </c>
      <c r="C9" s="21">
        <v>215</v>
      </c>
      <c r="D9" s="21">
        <v>360</v>
      </c>
      <c r="E9" s="33"/>
      <c r="F9" s="33"/>
      <c r="G9" s="33"/>
      <c r="H9" s="33"/>
      <c r="I9" s="33"/>
      <c r="V9" s="16">
        <v>22</v>
      </c>
      <c r="W9" s="10">
        <v>2.5</v>
      </c>
      <c r="X9" s="17">
        <f t="shared" si="5"/>
        <v>380.13271108436498</v>
      </c>
      <c r="Y9" s="10">
        <v>303</v>
      </c>
      <c r="Z9" s="10">
        <v>1.1000000000000001</v>
      </c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V9" s="10">
        <v>450</v>
      </c>
      <c r="AW9" s="10">
        <v>700</v>
      </c>
      <c r="AX9" s="10">
        <v>595</v>
      </c>
      <c r="BI9" s="48" t="s">
        <v>130</v>
      </c>
      <c r="BJ9" s="14" t="s">
        <v>131</v>
      </c>
      <c r="BK9" s="49">
        <v>30000</v>
      </c>
      <c r="BL9" s="50">
        <v>18.5</v>
      </c>
      <c r="BM9" s="50">
        <v>14.5</v>
      </c>
      <c r="BN9" s="51">
        <v>1.55</v>
      </c>
      <c r="BO9" s="52">
        <v>1.05</v>
      </c>
      <c r="BP9" s="32" t="s">
        <v>132</v>
      </c>
      <c r="BQ9" s="32">
        <f t="shared" ref="BQ9:BQ16" si="9">VALUE(MID(BP9,2,2))</f>
        <v>20</v>
      </c>
      <c r="CC9" s="37" t="s">
        <v>133</v>
      </c>
      <c r="CD9" s="38">
        <v>390</v>
      </c>
      <c r="CE9" s="38">
        <v>590</v>
      </c>
      <c r="CF9" s="37">
        <f t="shared" si="1"/>
        <v>390</v>
      </c>
      <c r="CG9" s="37">
        <f t="shared" si="2"/>
        <v>339.13043478260875</v>
      </c>
      <c r="CH9" s="37">
        <f t="shared" si="3"/>
        <v>390</v>
      </c>
      <c r="CI9" s="37">
        <f t="shared" si="4"/>
        <v>273</v>
      </c>
      <c r="CJ9" s="54">
        <v>200000</v>
      </c>
      <c r="DA9" s="40">
        <f t="shared" si="8"/>
        <v>1.3000000000000003</v>
      </c>
      <c r="DB9" s="40">
        <v>6.9000000000000006E-2</v>
      </c>
      <c r="DC9" s="40">
        <v>0.05</v>
      </c>
      <c r="DD9" s="53">
        <f>DD8+0.1</f>
        <v>0.79999999999999993</v>
      </c>
      <c r="DE9" s="40">
        <v>6.9000000000000006E-2</v>
      </c>
    </row>
    <row r="10" spans="1:118" ht="15">
      <c r="A10" s="20" t="s">
        <v>37</v>
      </c>
      <c r="B10" s="21">
        <f t="shared" si="0"/>
        <v>206000</v>
      </c>
      <c r="C10" s="21">
        <v>215</v>
      </c>
      <c r="D10" s="21">
        <v>360</v>
      </c>
      <c r="E10" s="33"/>
      <c r="F10" s="33"/>
      <c r="G10" s="33"/>
      <c r="H10" s="33"/>
      <c r="I10" s="33"/>
      <c r="V10" s="16">
        <v>24</v>
      </c>
      <c r="W10" s="10">
        <v>3</v>
      </c>
      <c r="X10" s="17">
        <f t="shared" si="5"/>
        <v>452.38934211693021</v>
      </c>
      <c r="Y10" s="10">
        <v>353</v>
      </c>
      <c r="Z10" s="10">
        <v>1.1000000000000001</v>
      </c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V10" s="10">
        <v>460</v>
      </c>
      <c r="AW10" s="10">
        <v>720</v>
      </c>
      <c r="AX10" s="10">
        <v>605</v>
      </c>
      <c r="BI10" s="48" t="s">
        <v>134</v>
      </c>
      <c r="BJ10" s="14" t="s">
        <v>135</v>
      </c>
      <c r="BK10" s="49">
        <v>32500</v>
      </c>
      <c r="BL10" s="50">
        <v>22</v>
      </c>
      <c r="BM10" s="50">
        <v>17</v>
      </c>
      <c r="BN10" s="51">
        <v>1.75</v>
      </c>
      <c r="BO10" s="52">
        <v>1.1499999999999999</v>
      </c>
      <c r="BP10" s="32" t="s">
        <v>136</v>
      </c>
      <c r="BQ10" s="32">
        <f t="shared" si="9"/>
        <v>25</v>
      </c>
      <c r="CC10" s="37" t="s">
        <v>137</v>
      </c>
      <c r="CD10" s="38">
        <v>240</v>
      </c>
      <c r="CE10" s="38">
        <v>380</v>
      </c>
      <c r="CF10" s="37">
        <f t="shared" si="1"/>
        <v>240</v>
      </c>
      <c r="CG10" s="37">
        <f>CD10/1.15</f>
        <v>208.69565217391306</v>
      </c>
      <c r="CH10" s="37">
        <f t="shared" si="3"/>
        <v>240</v>
      </c>
      <c r="CI10" s="37">
        <v>170</v>
      </c>
      <c r="CJ10" s="39">
        <v>200000</v>
      </c>
      <c r="DA10" s="40">
        <f t="shared" si="8"/>
        <v>1.4000000000000004</v>
      </c>
      <c r="DB10" s="40">
        <v>7.4999999999999997E-2</v>
      </c>
      <c r="DC10" s="40">
        <v>0.05</v>
      </c>
      <c r="DD10" s="53">
        <f>DD9+0.1</f>
        <v>0.89999999999999991</v>
      </c>
      <c r="DE10" s="40">
        <v>7.4999999999999997E-2</v>
      </c>
    </row>
    <row r="11" spans="1:118" ht="15">
      <c r="A11" s="20" t="s">
        <v>38</v>
      </c>
      <c r="B11" s="21">
        <f t="shared" si="0"/>
        <v>206000</v>
      </c>
      <c r="C11" s="21">
        <v>215</v>
      </c>
      <c r="D11" s="21">
        <v>360</v>
      </c>
      <c r="E11" s="33"/>
      <c r="F11" s="33"/>
      <c r="G11" s="33"/>
      <c r="H11" s="33"/>
      <c r="I11" s="33"/>
      <c r="V11" s="16">
        <v>27</v>
      </c>
      <c r="W11" s="10">
        <v>3</v>
      </c>
      <c r="X11" s="17">
        <f t="shared" si="5"/>
        <v>572.55526111673976</v>
      </c>
      <c r="Y11" s="10">
        <v>459</v>
      </c>
      <c r="Z11" s="10">
        <v>1.2</v>
      </c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V11" s="10">
        <v>470</v>
      </c>
      <c r="AW11" s="10">
        <v>735</v>
      </c>
      <c r="AX11" s="10">
        <v>620</v>
      </c>
      <c r="BI11" s="48" t="s">
        <v>138</v>
      </c>
      <c r="BJ11" s="14" t="s">
        <v>139</v>
      </c>
      <c r="BK11" s="49">
        <v>34500</v>
      </c>
      <c r="BL11" s="50">
        <v>25.5</v>
      </c>
      <c r="BM11" s="50">
        <v>19.5</v>
      </c>
      <c r="BN11" s="51">
        <v>1.95</v>
      </c>
      <c r="BO11" s="52">
        <v>1.3</v>
      </c>
      <c r="BP11" s="32" t="s">
        <v>140</v>
      </c>
      <c r="BQ11" s="32">
        <f t="shared" si="9"/>
        <v>28</v>
      </c>
      <c r="CC11" s="37" t="s">
        <v>141</v>
      </c>
      <c r="CD11" s="38">
        <v>300</v>
      </c>
      <c r="CE11" s="38">
        <v>440</v>
      </c>
      <c r="CF11" s="37">
        <f t="shared" si="1"/>
        <v>300</v>
      </c>
      <c r="CG11" s="37">
        <f t="shared" ref="CG11:CG14" si="10">CD11/1.15</f>
        <v>260.86956521739131</v>
      </c>
      <c r="CH11" s="37">
        <f t="shared" si="3"/>
        <v>300</v>
      </c>
      <c r="CI11" s="37">
        <v>210</v>
      </c>
      <c r="CJ11" s="39">
        <v>200000</v>
      </c>
      <c r="DA11" s="40">
        <f t="shared" si="8"/>
        <v>1.5000000000000004</v>
      </c>
      <c r="DB11" s="40">
        <v>8.1000000000000003E-2</v>
      </c>
      <c r="DC11" s="40">
        <v>0.05</v>
      </c>
      <c r="DD11" s="53">
        <f>DD10+0.1</f>
        <v>0.99999999999999989</v>
      </c>
      <c r="DE11" s="40">
        <v>8.1000000000000003E-2</v>
      </c>
    </row>
    <row r="12" spans="1:118" ht="15">
      <c r="A12" s="20" t="s">
        <v>39</v>
      </c>
      <c r="B12" s="21">
        <f t="shared" si="0"/>
        <v>206000</v>
      </c>
      <c r="C12" s="21">
        <v>275</v>
      </c>
      <c r="D12" s="21">
        <v>410</v>
      </c>
      <c r="E12" s="33"/>
      <c r="F12" s="33"/>
      <c r="G12" s="33"/>
      <c r="H12" s="33"/>
      <c r="I12" s="33"/>
      <c r="V12" s="16">
        <v>30</v>
      </c>
      <c r="W12" s="10">
        <v>3.5</v>
      </c>
      <c r="X12" s="17">
        <f t="shared" si="5"/>
        <v>706.85834705770344</v>
      </c>
      <c r="Y12" s="10">
        <v>561</v>
      </c>
      <c r="Z12" s="10">
        <v>1.3</v>
      </c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V12" s="10">
        <v>480</v>
      </c>
      <c r="AW12" s="10">
        <v>750</v>
      </c>
      <c r="AX12" s="10">
        <v>630</v>
      </c>
      <c r="BI12" s="48" t="s">
        <v>142</v>
      </c>
      <c r="BJ12" s="14" t="s">
        <v>143</v>
      </c>
      <c r="BK12" s="49">
        <v>36000</v>
      </c>
      <c r="BL12" s="50">
        <v>29</v>
      </c>
      <c r="BM12" s="50">
        <v>22</v>
      </c>
      <c r="BN12" s="51">
        <v>2.1</v>
      </c>
      <c r="BO12" s="52">
        <v>1.4</v>
      </c>
      <c r="BP12" s="32" t="s">
        <v>144</v>
      </c>
      <c r="BQ12" s="32">
        <f t="shared" si="9"/>
        <v>32</v>
      </c>
      <c r="CC12" s="37" t="s">
        <v>145</v>
      </c>
      <c r="CD12" s="38">
        <v>300</v>
      </c>
      <c r="CE12" s="38">
        <v>450</v>
      </c>
      <c r="CF12" s="37">
        <f t="shared" si="1"/>
        <v>300</v>
      </c>
      <c r="CG12" s="37">
        <f t="shared" si="10"/>
        <v>260.86956521739131</v>
      </c>
      <c r="CH12" s="37">
        <f t="shared" si="3"/>
        <v>300</v>
      </c>
      <c r="CI12" s="37">
        <v>210</v>
      </c>
      <c r="CJ12" s="39">
        <v>200000</v>
      </c>
      <c r="DA12" s="40">
        <f t="shared" si="8"/>
        <v>1.6000000000000005</v>
      </c>
      <c r="DB12" s="40">
        <v>8.5999999999999993E-2</v>
      </c>
      <c r="DC12" s="40">
        <v>4.9000000000000002E-2</v>
      </c>
      <c r="DD12" s="53">
        <v>1.2</v>
      </c>
      <c r="DE12" s="40">
        <v>8.5999999999999993E-2</v>
      </c>
    </row>
    <row r="13" spans="1:118" ht="15">
      <c r="A13" s="20" t="s">
        <v>40</v>
      </c>
      <c r="B13" s="21">
        <f t="shared" si="0"/>
        <v>206000</v>
      </c>
      <c r="C13" s="21">
        <v>265</v>
      </c>
      <c r="D13" s="21">
        <v>410</v>
      </c>
      <c r="E13" s="33"/>
      <c r="F13" s="33"/>
      <c r="G13" s="33"/>
      <c r="H13" s="33"/>
      <c r="I13" s="33"/>
      <c r="V13" s="16">
        <v>36</v>
      </c>
      <c r="W13" s="10">
        <v>4</v>
      </c>
      <c r="X13" s="17">
        <f t="shared" si="5"/>
        <v>1017.8760197630929</v>
      </c>
      <c r="Y13" s="10">
        <v>816</v>
      </c>
      <c r="Z13" s="10">
        <v>1.3</v>
      </c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V13" s="10">
        <v>490</v>
      </c>
      <c r="AW13" s="10">
        <v>765</v>
      </c>
      <c r="AX13" s="10">
        <v>645</v>
      </c>
      <c r="BI13" s="48" t="s">
        <v>146</v>
      </c>
      <c r="BJ13" s="14" t="s">
        <v>147</v>
      </c>
      <c r="BK13" s="49">
        <v>37000</v>
      </c>
      <c r="BL13" s="50">
        <v>32</v>
      </c>
      <c r="BM13" s="50">
        <v>25</v>
      </c>
      <c r="BN13" s="51">
        <v>2.25</v>
      </c>
      <c r="BO13" s="52">
        <v>1.5</v>
      </c>
      <c r="BP13" s="32" t="s">
        <v>148</v>
      </c>
      <c r="BQ13" s="32">
        <f t="shared" si="9"/>
        <v>35</v>
      </c>
      <c r="CC13" s="37" t="s">
        <v>149</v>
      </c>
      <c r="CD13" s="38">
        <v>400</v>
      </c>
      <c r="CE13" s="38">
        <v>570</v>
      </c>
      <c r="CF13" s="37">
        <f t="shared" si="1"/>
        <v>400</v>
      </c>
      <c r="CG13" s="37">
        <f t="shared" si="10"/>
        <v>347.82608695652175</v>
      </c>
      <c r="CH13" s="37">
        <f t="shared" si="3"/>
        <v>400</v>
      </c>
      <c r="CI13" s="37">
        <v>280</v>
      </c>
      <c r="CJ13" s="39">
        <v>200000</v>
      </c>
      <c r="DA13" s="40">
        <f t="shared" si="8"/>
        <v>1.7000000000000006</v>
      </c>
      <c r="DB13" s="40">
        <v>9.0999999999999998E-2</v>
      </c>
      <c r="DC13" s="40">
        <v>4.8000000000000001E-2</v>
      </c>
      <c r="DD13" s="53">
        <v>1.4</v>
      </c>
      <c r="DE13" s="40">
        <v>9.0999999999999998E-2</v>
      </c>
    </row>
    <row r="14" spans="1:118" ht="15">
      <c r="A14" s="20" t="s">
        <v>41</v>
      </c>
      <c r="B14" s="21">
        <f t="shared" si="0"/>
        <v>206000</v>
      </c>
      <c r="C14" s="21">
        <v>255</v>
      </c>
      <c r="D14" s="21">
        <v>410</v>
      </c>
      <c r="E14" s="33"/>
      <c r="F14" s="33"/>
      <c r="G14" s="33"/>
      <c r="H14" s="33"/>
      <c r="I14" s="33"/>
      <c r="V14" s="16">
        <v>42</v>
      </c>
      <c r="W14" s="10">
        <v>4.5</v>
      </c>
      <c r="X14" s="17">
        <f t="shared" si="5"/>
        <v>1385.4423602330987</v>
      </c>
      <c r="Y14" s="10">
        <v>1120</v>
      </c>
      <c r="Z14" s="10">
        <v>1.6</v>
      </c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V14" s="10">
        <v>510</v>
      </c>
      <c r="AW14" s="10">
        <v>795</v>
      </c>
      <c r="AX14" s="10">
        <v>670</v>
      </c>
      <c r="BI14" s="48" t="s">
        <v>150</v>
      </c>
      <c r="BJ14" s="14" t="s">
        <v>151</v>
      </c>
      <c r="BK14" s="49">
        <v>38000</v>
      </c>
      <c r="BL14" s="50">
        <v>36</v>
      </c>
      <c r="BM14" s="50">
        <v>27.5</v>
      </c>
      <c r="BN14" s="51">
        <v>2.4500000000000002</v>
      </c>
      <c r="BO14" s="52">
        <v>1.6</v>
      </c>
      <c r="BP14" s="32" t="s">
        <v>152</v>
      </c>
      <c r="BQ14" s="32">
        <f t="shared" si="9"/>
        <v>40</v>
      </c>
      <c r="CC14" s="37" t="s">
        <v>153</v>
      </c>
      <c r="CD14" s="38">
        <v>500</v>
      </c>
      <c r="CE14" s="38">
        <v>650</v>
      </c>
      <c r="CF14" s="37">
        <f t="shared" si="1"/>
        <v>500</v>
      </c>
      <c r="CG14" s="37">
        <f t="shared" si="10"/>
        <v>434.78260869565219</v>
      </c>
      <c r="CH14" s="37">
        <f t="shared" si="3"/>
        <v>500</v>
      </c>
      <c r="CI14" s="37">
        <v>300</v>
      </c>
      <c r="CJ14" s="39">
        <v>200000</v>
      </c>
      <c r="DA14" s="40">
        <f t="shared" si="8"/>
        <v>1.8000000000000007</v>
      </c>
      <c r="DB14" s="40">
        <v>9.4E-2</v>
      </c>
      <c r="DC14" s="40">
        <v>4.8000000000000001E-2</v>
      </c>
      <c r="DD14" s="53">
        <v>2</v>
      </c>
      <c r="DE14" s="40">
        <v>9.4E-2</v>
      </c>
    </row>
    <row r="15" spans="1:118" ht="15">
      <c r="A15" s="20" t="s">
        <v>42</v>
      </c>
      <c r="B15" s="21">
        <f t="shared" si="0"/>
        <v>206000</v>
      </c>
      <c r="C15" s="21">
        <v>245</v>
      </c>
      <c r="D15" s="21">
        <v>410</v>
      </c>
      <c r="E15" s="33"/>
      <c r="F15" s="33"/>
      <c r="G15" s="33"/>
      <c r="H15" s="33"/>
      <c r="I15" s="33"/>
      <c r="V15" s="16">
        <v>48</v>
      </c>
      <c r="W15" s="10">
        <v>5</v>
      </c>
      <c r="X15" s="17">
        <f t="shared" si="5"/>
        <v>1809.5573684677208</v>
      </c>
      <c r="Y15" s="10">
        <v>1472</v>
      </c>
      <c r="Z15" s="10">
        <v>1.6</v>
      </c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V15" s="10">
        <v>540</v>
      </c>
      <c r="AW15" s="10">
        <v>845</v>
      </c>
      <c r="AX15" s="10">
        <v>710</v>
      </c>
      <c r="BI15" s="48" t="s">
        <v>150</v>
      </c>
      <c r="BJ15" s="14" t="s">
        <v>154</v>
      </c>
      <c r="BK15" s="49">
        <v>39000</v>
      </c>
      <c r="BL15" s="50">
        <v>39.5</v>
      </c>
      <c r="BM15" s="50">
        <v>30</v>
      </c>
      <c r="BN15" s="51">
        <v>2.6</v>
      </c>
      <c r="BO15" s="52">
        <v>1.7</v>
      </c>
      <c r="BP15" s="32" t="s">
        <v>155</v>
      </c>
      <c r="BQ15" s="32">
        <f t="shared" si="9"/>
        <v>45</v>
      </c>
      <c r="CC15" s="37" t="s">
        <v>156</v>
      </c>
      <c r="CD15" s="38">
        <v>235</v>
      </c>
      <c r="CE15" s="38">
        <v>380</v>
      </c>
      <c r="CF15" s="37">
        <f t="shared" si="1"/>
        <v>235</v>
      </c>
      <c r="CG15" s="37">
        <f t="shared" si="2"/>
        <v>204.34782608695653</v>
      </c>
      <c r="CH15" s="37">
        <f t="shared" si="3"/>
        <v>235</v>
      </c>
      <c r="CI15" s="37">
        <f t="shared" si="4"/>
        <v>164.5</v>
      </c>
      <c r="CJ15" s="55">
        <v>200000</v>
      </c>
      <c r="DA15" s="40">
        <f t="shared" si="8"/>
        <v>1.9000000000000008</v>
      </c>
      <c r="DB15" s="40">
        <v>9.8000000000000004E-2</v>
      </c>
      <c r="DC15" s="40">
        <v>4.7E-2</v>
      </c>
      <c r="DD15" s="53">
        <v>2.0000100000000001</v>
      </c>
      <c r="DE15" s="40">
        <v>9.8000000000000004E-2</v>
      </c>
    </row>
    <row r="16" spans="1:118" ht="15.75" thickBot="1">
      <c r="A16" s="20" t="s">
        <v>43</v>
      </c>
      <c r="B16" s="21">
        <f t="shared" si="0"/>
        <v>206000</v>
      </c>
      <c r="C16" s="21">
        <v>235</v>
      </c>
      <c r="D16" s="21">
        <v>410</v>
      </c>
      <c r="E16" s="33"/>
      <c r="F16" s="33"/>
      <c r="G16" s="33"/>
      <c r="H16" s="33"/>
      <c r="I16" s="33"/>
      <c r="AV16" s="10">
        <v>570</v>
      </c>
      <c r="AW16" s="10">
        <v>890</v>
      </c>
      <c r="AX16" s="10">
        <v>750</v>
      </c>
      <c r="BI16" s="56" t="s">
        <v>157</v>
      </c>
      <c r="BJ16" s="57" t="s">
        <v>158</v>
      </c>
      <c r="BK16" s="58">
        <v>39500</v>
      </c>
      <c r="BL16" s="59">
        <v>43</v>
      </c>
      <c r="BM16" s="59">
        <v>33</v>
      </c>
      <c r="BN16" s="60">
        <v>2.75</v>
      </c>
      <c r="BO16" s="61">
        <v>1.8</v>
      </c>
      <c r="BP16" s="32" t="s">
        <v>159</v>
      </c>
      <c r="BQ16" s="32">
        <f t="shared" si="9"/>
        <v>50</v>
      </c>
      <c r="CC16" s="37" t="s">
        <v>160</v>
      </c>
      <c r="CD16" s="38">
        <v>295</v>
      </c>
      <c r="CE16" s="38">
        <v>440</v>
      </c>
      <c r="CF16" s="37">
        <f t="shared" si="1"/>
        <v>295</v>
      </c>
      <c r="CG16" s="37">
        <f t="shared" si="2"/>
        <v>256.52173913043481</v>
      </c>
      <c r="CH16" s="37">
        <f t="shared" si="3"/>
        <v>295</v>
      </c>
      <c r="CI16" s="37">
        <f t="shared" si="4"/>
        <v>206.5</v>
      </c>
      <c r="CJ16" s="55">
        <v>200000</v>
      </c>
      <c r="DA16" s="40">
        <f t="shared" si="8"/>
        <v>2.0000000000000009</v>
      </c>
      <c r="DB16" s="40">
        <v>0.1</v>
      </c>
      <c r="DC16" s="40">
        <v>4.5999999999999999E-2</v>
      </c>
      <c r="DD16" s="53">
        <v>100</v>
      </c>
      <c r="DE16" s="40">
        <v>9.8000000000000004E-2</v>
      </c>
    </row>
    <row r="17" spans="1:109">
      <c r="A17" s="20" t="s">
        <v>44</v>
      </c>
      <c r="B17" s="21">
        <f t="shared" si="0"/>
        <v>206000</v>
      </c>
      <c r="C17" s="21">
        <v>355</v>
      </c>
      <c r="D17" s="21">
        <v>470</v>
      </c>
      <c r="E17" s="33"/>
      <c r="F17" s="33"/>
      <c r="G17" s="33"/>
      <c r="H17" s="33"/>
      <c r="I17" s="33"/>
      <c r="AV17" s="10">
        <v>590</v>
      </c>
      <c r="AW17" s="10">
        <v>920</v>
      </c>
      <c r="AX17" s="10">
        <v>775</v>
      </c>
      <c r="CC17" s="37" t="s">
        <v>161</v>
      </c>
      <c r="CD17" s="38">
        <v>295</v>
      </c>
      <c r="CE17" s="38">
        <v>440</v>
      </c>
      <c r="CF17" s="37">
        <f t="shared" si="1"/>
        <v>295</v>
      </c>
      <c r="CG17" s="37">
        <f t="shared" si="2"/>
        <v>256.52173913043481</v>
      </c>
      <c r="CH17" s="37">
        <f t="shared" si="3"/>
        <v>295</v>
      </c>
      <c r="CI17" s="37">
        <f t="shared" si="4"/>
        <v>206.5</v>
      </c>
      <c r="CJ17" s="55">
        <v>200000</v>
      </c>
      <c r="DA17" s="40">
        <v>2.0001000000000002</v>
      </c>
      <c r="DB17" s="40">
        <v>0.125</v>
      </c>
      <c r="DC17" s="40">
        <v>3.6999999999999998E-2</v>
      </c>
      <c r="DD17" s="40"/>
      <c r="DE17" s="40"/>
    </row>
    <row r="18" spans="1:109">
      <c r="A18" s="20" t="s">
        <v>45</v>
      </c>
      <c r="B18" s="21">
        <f t="shared" si="0"/>
        <v>206000</v>
      </c>
      <c r="C18" s="21">
        <v>345</v>
      </c>
      <c r="D18" s="21">
        <v>470</v>
      </c>
      <c r="E18" s="33"/>
      <c r="F18" s="33"/>
      <c r="G18" s="33"/>
      <c r="H18" s="33"/>
      <c r="I18" s="33"/>
      <c r="AV18" s="10"/>
      <c r="AW18" s="10"/>
      <c r="AX18" s="10"/>
      <c r="CC18" s="37" t="s">
        <v>162</v>
      </c>
      <c r="CD18" s="38">
        <v>390</v>
      </c>
      <c r="CE18" s="38">
        <v>560</v>
      </c>
      <c r="CF18" s="37">
        <f t="shared" si="1"/>
        <v>390</v>
      </c>
      <c r="CG18" s="37">
        <f t="shared" si="2"/>
        <v>339.13043478260875</v>
      </c>
      <c r="CH18" s="37">
        <f t="shared" si="3"/>
        <v>390</v>
      </c>
      <c r="CI18" s="37">
        <f t="shared" si="4"/>
        <v>273</v>
      </c>
      <c r="CJ18" s="54">
        <v>200000</v>
      </c>
      <c r="DA18" s="40">
        <v>999</v>
      </c>
      <c r="DB18" s="40">
        <v>0.125</v>
      </c>
      <c r="DC18" s="40">
        <v>3.6999999999999998E-2</v>
      </c>
      <c r="DD18" s="40"/>
      <c r="DE18" s="40"/>
    </row>
    <row r="19" spans="1:109">
      <c r="A19" s="20" t="s">
        <v>46</v>
      </c>
      <c r="B19" s="21">
        <f t="shared" si="0"/>
        <v>206000</v>
      </c>
      <c r="C19" s="21">
        <v>335</v>
      </c>
      <c r="D19" s="21">
        <v>470</v>
      </c>
      <c r="E19" s="33"/>
      <c r="F19" s="33"/>
      <c r="G19" s="33"/>
      <c r="H19" s="33"/>
      <c r="I19" s="33"/>
      <c r="AV19" s="10"/>
      <c r="AW19" s="10"/>
      <c r="AX19" s="10"/>
      <c r="CC19" s="37" t="s">
        <v>163</v>
      </c>
      <c r="CD19" s="38">
        <v>490</v>
      </c>
      <c r="CE19" s="38">
        <v>620</v>
      </c>
      <c r="CF19" s="37">
        <f t="shared" si="1"/>
        <v>490</v>
      </c>
      <c r="CG19" s="37">
        <f t="shared" si="2"/>
        <v>426.08695652173918</v>
      </c>
      <c r="CH19" s="37">
        <f t="shared" si="3"/>
        <v>490</v>
      </c>
      <c r="CI19" s="37">
        <f t="shared" si="4"/>
        <v>343</v>
      </c>
      <c r="CJ19" s="55">
        <v>200000</v>
      </c>
    </row>
    <row r="20" spans="1:109">
      <c r="A20" s="20" t="s">
        <v>47</v>
      </c>
      <c r="B20" s="21">
        <f t="shared" si="0"/>
        <v>206000</v>
      </c>
      <c r="C20" s="21">
        <v>325</v>
      </c>
      <c r="D20" s="21">
        <v>470</v>
      </c>
      <c r="E20" s="33"/>
      <c r="F20" s="33"/>
      <c r="G20" s="33"/>
      <c r="H20" s="33"/>
      <c r="I20" s="33"/>
      <c r="AV20" s="10"/>
      <c r="AW20" s="10"/>
      <c r="AX20" s="10"/>
      <c r="CC20" s="62"/>
      <c r="CD20" s="63"/>
      <c r="CE20" s="63"/>
    </row>
    <row r="21" spans="1:109">
      <c r="A21" s="20" t="s">
        <v>48</v>
      </c>
      <c r="B21" s="21">
        <f t="shared" si="0"/>
        <v>206000</v>
      </c>
      <c r="C21" s="21">
        <v>315</v>
      </c>
      <c r="D21" s="21">
        <v>470</v>
      </c>
      <c r="E21" s="33"/>
      <c r="F21" s="33"/>
      <c r="G21" s="33"/>
      <c r="H21" s="33"/>
      <c r="I21" s="33"/>
      <c r="AV21" s="10"/>
      <c r="AW21" s="10"/>
      <c r="AX21" s="10"/>
      <c r="CC21" s="62"/>
      <c r="CD21" s="63"/>
      <c r="CE21" s="63"/>
    </row>
    <row r="22" spans="1:109">
      <c r="A22" s="20" t="s">
        <v>164</v>
      </c>
      <c r="B22" s="21">
        <f t="shared" si="0"/>
        <v>206000</v>
      </c>
      <c r="C22" s="21">
        <v>205</v>
      </c>
      <c r="D22" s="21">
        <v>330</v>
      </c>
      <c r="E22" s="33"/>
      <c r="F22" s="33"/>
      <c r="G22" s="33"/>
      <c r="H22" s="33"/>
      <c r="I22" s="33"/>
      <c r="AV22" s="10"/>
      <c r="AW22" s="10"/>
      <c r="AX22" s="10"/>
    </row>
    <row r="23" spans="1:109">
      <c r="A23" s="20" t="s">
        <v>165</v>
      </c>
      <c r="B23" s="21">
        <f t="shared" si="0"/>
        <v>206000</v>
      </c>
      <c r="C23" s="21">
        <v>195</v>
      </c>
      <c r="D23" s="21">
        <v>330</v>
      </c>
      <c r="E23" s="33"/>
      <c r="F23" s="33"/>
      <c r="G23" s="33"/>
      <c r="H23" s="33"/>
      <c r="I23" s="33"/>
      <c r="AV23" s="10"/>
      <c r="AW23" s="10"/>
      <c r="AX23" s="10"/>
    </row>
    <row r="24" spans="1:109">
      <c r="A24" s="20" t="s">
        <v>166</v>
      </c>
      <c r="B24" s="21">
        <f t="shared" si="0"/>
        <v>206000</v>
      </c>
      <c r="C24" s="21">
        <v>245</v>
      </c>
      <c r="D24" s="21">
        <v>400</v>
      </c>
      <c r="E24" s="33"/>
      <c r="F24" s="33"/>
      <c r="G24" s="33"/>
      <c r="H24" s="33"/>
      <c r="I24" s="33"/>
    </row>
    <row r="25" spans="1:109">
      <c r="A25" s="20" t="s">
        <v>167</v>
      </c>
      <c r="B25" s="21">
        <f t="shared" si="0"/>
        <v>206000</v>
      </c>
      <c r="C25" s="21">
        <v>235</v>
      </c>
      <c r="D25" s="21">
        <v>400</v>
      </c>
      <c r="E25" s="33"/>
      <c r="F25" s="33"/>
      <c r="G25" s="33"/>
      <c r="H25" s="33"/>
      <c r="I25" s="33"/>
    </row>
    <row r="26" spans="1:109">
      <c r="A26" s="20" t="s">
        <v>168</v>
      </c>
      <c r="B26" s="21">
        <f t="shared" si="0"/>
        <v>206000</v>
      </c>
      <c r="C26" s="21">
        <v>285</v>
      </c>
      <c r="D26" s="21">
        <v>490</v>
      </c>
      <c r="E26" s="33"/>
      <c r="F26" s="33"/>
      <c r="G26" s="33"/>
      <c r="H26" s="33"/>
      <c r="I26" s="33"/>
    </row>
    <row r="27" spans="1:109">
      <c r="A27" s="20" t="s">
        <v>169</v>
      </c>
      <c r="B27" s="21">
        <f t="shared" si="0"/>
        <v>206000</v>
      </c>
      <c r="C27" s="21">
        <v>275</v>
      </c>
      <c r="D27" s="21">
        <v>490</v>
      </c>
      <c r="E27" s="33"/>
      <c r="F27" s="33"/>
      <c r="G27" s="33"/>
      <c r="H27" s="33"/>
      <c r="I27" s="33"/>
    </row>
    <row r="28" spans="1:109">
      <c r="A28" s="20" t="s">
        <v>170</v>
      </c>
      <c r="B28" s="21">
        <f t="shared" si="0"/>
        <v>206000</v>
      </c>
      <c r="C28" s="21">
        <v>400</v>
      </c>
      <c r="D28" s="21">
        <v>540</v>
      </c>
      <c r="E28" s="33"/>
      <c r="F28" s="33"/>
      <c r="G28" s="33"/>
      <c r="H28" s="33"/>
      <c r="I28" s="33"/>
    </row>
    <row r="29" spans="1:109">
      <c r="A29" s="20" t="s">
        <v>171</v>
      </c>
      <c r="B29" s="21">
        <f t="shared" si="0"/>
        <v>206000</v>
      </c>
      <c r="C29" s="21">
        <v>390</v>
      </c>
      <c r="D29" s="21">
        <v>540</v>
      </c>
      <c r="E29" s="33"/>
      <c r="F29" s="33"/>
      <c r="G29" s="33"/>
      <c r="H29" s="33"/>
      <c r="I29" s="33"/>
    </row>
  </sheetData>
  <mergeCells count="18">
    <mergeCell ref="BK1:BK3"/>
    <mergeCell ref="BL1:BO1"/>
    <mergeCell ref="BP1:BQ2"/>
    <mergeCell ref="CC1:CJ1"/>
    <mergeCell ref="DA1:DE1"/>
    <mergeCell ref="DF1:DG1"/>
    <mergeCell ref="BL2:BM2"/>
    <mergeCell ref="BN2:BO2"/>
    <mergeCell ref="CC2:CC3"/>
    <mergeCell ref="DA2:DC3"/>
    <mergeCell ref="DD2:DE3"/>
    <mergeCell ref="BP3:BP4"/>
    <mergeCell ref="BI1:BJ4"/>
    <mergeCell ref="A1:A2"/>
    <mergeCell ref="K1:O2"/>
    <mergeCell ref="V1:Z2"/>
    <mergeCell ref="AV1:AX1"/>
    <mergeCell ref="AZ1:BB1"/>
  </mergeCells>
  <pageMargins left="0.59055118110236227" right="0.31496062992125984" top="0.59055118110236227" bottom="0.59055118110236227" header="0.31496062992125984" footer="0.31496062992125984"/>
  <pageSetup orientation="portrait"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DDB6-365D-4184-BB83-0AD8F3BD7053}">
  <sheetPr codeName="Sheet3">
    <tabColor rgb="FFC00000"/>
  </sheetPr>
  <dimension ref="A1:X62"/>
  <sheetViews>
    <sheetView showGridLines="0" tabSelected="1" topLeftCell="A70" zoomScale="130" zoomScaleNormal="130" zoomScaleSheetLayoutView="100" workbookViewId="0">
      <selection activeCell="F91" sqref="F91"/>
    </sheetView>
  </sheetViews>
  <sheetFormatPr defaultColWidth="7.28515625" defaultRowHeight="12.75"/>
  <cols>
    <col min="1" max="1" width="7.28515625" style="1"/>
    <col min="2" max="2" width="10" style="1" bestFit="1" customWidth="1"/>
    <col min="3" max="3" width="8.42578125" style="1" bestFit="1" customWidth="1"/>
    <col min="4" max="4" width="7.28515625" style="1"/>
    <col min="5" max="5" width="7.28515625" style="1" customWidth="1"/>
    <col min="6" max="6" width="7.28515625" style="1"/>
    <col min="7" max="7" width="8.5703125" style="1" customWidth="1"/>
    <col min="8" max="8" width="7.7109375" style="1" customWidth="1"/>
    <col min="9" max="9" width="8.140625" style="1" bestFit="1" customWidth="1"/>
    <col min="10" max="10" width="8.140625" style="1" customWidth="1"/>
    <col min="11" max="11" width="8.5703125" style="1" bestFit="1" customWidth="1"/>
    <col min="12" max="12" width="7.7109375" style="1" customWidth="1"/>
    <col min="13" max="13" width="2.85546875" style="2" customWidth="1"/>
    <col min="14" max="16384" width="7.28515625" style="1"/>
  </cols>
  <sheetData>
    <row r="1" spans="1:13" ht="12.75" hidden="1" customHeight="1"/>
    <row r="2" spans="1:13" ht="12.75" hidden="1" customHeight="1"/>
    <row r="3" spans="1:13" ht="12.75" hidden="1" customHeight="1"/>
    <row r="4" spans="1:13" ht="12.75" hidden="1" customHeight="1"/>
    <row r="5" spans="1:13" ht="12.75" hidden="1" customHeight="1"/>
    <row r="6" spans="1:13" ht="12.75" hidden="1" customHeight="1"/>
    <row r="7" spans="1:13" ht="12.75" hidden="1" customHeight="1"/>
    <row r="8" spans="1:13" ht="12.75" hidden="1" customHeight="1"/>
    <row r="9" spans="1:13" ht="12.75" hidden="1" customHeight="1"/>
    <row r="10" spans="1:13" ht="10.5" customHeight="1"/>
    <row r="11" spans="1:13" ht="20.25" customHeight="1">
      <c r="A11" s="130" t="s">
        <v>172</v>
      </c>
      <c r="B11" s="131"/>
      <c r="C11" s="131"/>
      <c r="D11" s="131"/>
      <c r="E11" s="131"/>
      <c r="F11" s="131"/>
      <c r="G11" s="131"/>
      <c r="H11" s="131"/>
      <c r="I11" s="131"/>
      <c r="J11" s="89" t="s">
        <v>173</v>
      </c>
      <c r="K11" s="89"/>
      <c r="L11" s="90"/>
    </row>
    <row r="12" spans="1:13" ht="12.75" customHeight="1">
      <c r="A12" s="132"/>
      <c r="B12" s="133"/>
      <c r="C12" s="133"/>
      <c r="D12" s="133"/>
      <c r="E12" s="133"/>
      <c r="F12" s="133"/>
      <c r="G12" s="133"/>
      <c r="H12" s="133"/>
      <c r="I12" s="133"/>
      <c r="J12" s="91"/>
      <c r="K12" s="91"/>
      <c r="L12" s="92"/>
      <c r="M12" s="3"/>
    </row>
    <row r="13" spans="1:13" ht="15" customHeight="1">
      <c r="A13" s="93" t="s">
        <v>0</v>
      </c>
      <c r="B13" s="94"/>
      <c r="C13" s="94"/>
      <c r="D13" s="98"/>
      <c r="E13" s="98"/>
      <c r="F13" s="98"/>
      <c r="G13" s="98"/>
      <c r="H13" s="98"/>
      <c r="I13" s="98"/>
      <c r="J13" s="98"/>
      <c r="K13" s="98"/>
      <c r="L13" s="4"/>
    </row>
    <row r="14" spans="1:13" ht="12.75" customHeight="1">
      <c r="A14" s="95" t="s">
        <v>174</v>
      </c>
      <c r="B14" s="98"/>
      <c r="C14" s="98"/>
      <c r="D14" s="98"/>
      <c r="E14" s="98"/>
      <c r="F14" s="98"/>
      <c r="G14" s="99"/>
      <c r="H14" s="100"/>
      <c r="I14" s="98"/>
      <c r="J14" s="101"/>
      <c r="K14" s="101"/>
      <c r="L14" s="4"/>
    </row>
    <row r="15" spans="1:13" ht="12.75" customHeight="1">
      <c r="A15" s="95"/>
      <c r="B15" s="98"/>
      <c r="C15" s="98"/>
      <c r="D15" s="98"/>
      <c r="E15" s="98"/>
      <c r="F15" s="98"/>
      <c r="G15" s="99"/>
      <c r="H15" s="100"/>
      <c r="I15" s="98"/>
      <c r="J15" s="101"/>
      <c r="K15" s="101"/>
      <c r="L15" s="4"/>
    </row>
    <row r="16" spans="1:13" ht="12.75" customHeight="1">
      <c r="A16" s="5"/>
      <c r="B16" s="98"/>
      <c r="C16" s="98"/>
      <c r="D16" s="99"/>
      <c r="E16" s="102"/>
      <c r="F16" s="98"/>
      <c r="G16" s="101"/>
      <c r="H16" s="101"/>
      <c r="I16" s="103" t="s">
        <v>175</v>
      </c>
      <c r="J16" s="104" t="s">
        <v>179</v>
      </c>
      <c r="K16" s="105" t="s">
        <v>178</v>
      </c>
      <c r="L16" s="134"/>
    </row>
    <row r="17" spans="1:12" ht="12.75" customHeight="1">
      <c r="A17" s="5"/>
      <c r="B17" s="98"/>
      <c r="C17" s="98"/>
      <c r="D17" s="99"/>
      <c r="E17" s="102"/>
      <c r="F17" s="98"/>
      <c r="G17" s="101"/>
      <c r="H17" s="101"/>
      <c r="I17" s="101"/>
      <c r="J17" s="106"/>
      <c r="K17" s="106"/>
      <c r="L17" s="135"/>
    </row>
    <row r="18" spans="1:12" ht="12.75" customHeight="1">
      <c r="A18" s="5"/>
      <c r="B18" s="98"/>
      <c r="C18" s="98"/>
      <c r="D18" s="99"/>
      <c r="E18" s="102"/>
      <c r="F18" s="98"/>
      <c r="G18" s="101"/>
      <c r="H18" s="101"/>
      <c r="I18" s="103" t="s">
        <v>176</v>
      </c>
      <c r="J18" s="104" t="s">
        <v>179</v>
      </c>
      <c r="K18" s="105" t="s">
        <v>180</v>
      </c>
      <c r="L18" s="134"/>
    </row>
    <row r="19" spans="1:12" ht="12.75" customHeight="1">
      <c r="A19" s="5"/>
      <c r="B19" s="98"/>
      <c r="C19" s="98"/>
      <c r="D19" s="99"/>
      <c r="E19" s="102"/>
      <c r="F19" s="98"/>
      <c r="G19" s="101"/>
      <c r="H19" s="101"/>
      <c r="I19" s="101"/>
      <c r="J19" s="101"/>
      <c r="K19" s="101"/>
      <c r="L19" s="135"/>
    </row>
    <row r="20" spans="1:12" ht="12.75" customHeight="1">
      <c r="A20" s="5"/>
      <c r="B20" s="98"/>
      <c r="C20" s="98"/>
      <c r="D20" s="99"/>
      <c r="E20" s="102"/>
      <c r="F20" s="98"/>
      <c r="G20" s="101"/>
      <c r="H20" s="101"/>
      <c r="I20" s="103" t="s">
        <v>177</v>
      </c>
      <c r="J20" s="104" t="str">
        <f>J18</f>
        <v>2L</v>
      </c>
      <c r="K20" s="105" t="str">
        <f>K18</f>
        <v>125x90x13</v>
      </c>
      <c r="L20" s="134"/>
    </row>
    <row r="21" spans="1:12" ht="12.75" customHeight="1">
      <c r="A21" s="5"/>
      <c r="B21" s="98"/>
      <c r="C21" s="98"/>
      <c r="D21" s="99"/>
      <c r="E21" s="102"/>
      <c r="F21" s="98"/>
      <c r="G21" s="101"/>
      <c r="H21" s="101"/>
      <c r="I21" s="101"/>
      <c r="J21" s="103"/>
      <c r="K21" s="108"/>
      <c r="L21" s="8"/>
    </row>
    <row r="22" spans="1:12" ht="12.75" customHeight="1">
      <c r="A22" s="5"/>
      <c r="B22" s="98"/>
      <c r="C22" s="98"/>
      <c r="D22" s="99"/>
      <c r="E22" s="102"/>
      <c r="F22" s="98"/>
      <c r="G22" s="101"/>
      <c r="H22" s="101"/>
      <c r="I22" s="101"/>
      <c r="J22" s="103"/>
      <c r="K22" s="109"/>
      <c r="L22" s="8"/>
    </row>
    <row r="23" spans="1:12" ht="12.75" customHeight="1">
      <c r="A23" s="95" t="s">
        <v>182</v>
      </c>
      <c r="B23" s="98"/>
      <c r="C23" s="98"/>
      <c r="D23" s="98"/>
      <c r="E23" s="98"/>
      <c r="F23" s="98"/>
      <c r="G23" s="99"/>
      <c r="H23" s="100"/>
      <c r="I23" s="98"/>
      <c r="J23" s="101"/>
      <c r="K23" s="101"/>
      <c r="L23" s="4"/>
    </row>
    <row r="24" spans="1:12" ht="12.75" customHeight="1">
      <c r="A24" s="5"/>
      <c r="B24" s="98" t="str">
        <f>"- Loại thép:"</f>
        <v>- Loại thép:</v>
      </c>
      <c r="C24" s="98"/>
      <c r="D24" s="99"/>
      <c r="E24" s="102"/>
      <c r="F24" s="98"/>
      <c r="G24" s="101"/>
      <c r="H24" s="101"/>
      <c r="I24" s="101"/>
      <c r="J24" s="101"/>
      <c r="K24" s="110" t="s">
        <v>166</v>
      </c>
      <c r="L24" s="6"/>
    </row>
    <row r="25" spans="1:12" ht="12.75" customHeight="1">
      <c r="A25" s="5"/>
      <c r="B25" s="98" t="str">
        <f>"- Cường độ tiêu chuẩn của thép:"</f>
        <v>- Cường độ tiêu chuẩn của thép:</v>
      </c>
      <c r="C25" s="98"/>
      <c r="D25" s="99"/>
      <c r="E25" s="102"/>
      <c r="F25" s="98"/>
      <c r="G25" s="101"/>
      <c r="H25" s="101"/>
      <c r="I25" s="101"/>
      <c r="J25" s="103" t="s">
        <v>1</v>
      </c>
      <c r="K25" s="107">
        <f>VLOOKUP(K24,Data!$A$3:$D$99,3,FALSE)</f>
        <v>245</v>
      </c>
      <c r="L25" s="8" t="s">
        <v>2</v>
      </c>
    </row>
    <row r="26" spans="1:12" ht="12.75" customHeight="1">
      <c r="A26" s="5"/>
      <c r="B26" s="98" t="str">
        <f>"- Cường độ tiêu chuẩn kéo đứt của thép:"</f>
        <v>- Cường độ tiêu chuẩn kéo đứt của thép:</v>
      </c>
      <c r="C26" s="98"/>
      <c r="D26" s="99"/>
      <c r="E26" s="102"/>
      <c r="F26" s="98"/>
      <c r="G26" s="101"/>
      <c r="H26" s="101"/>
      <c r="I26" s="101"/>
      <c r="J26" s="103" t="s">
        <v>4</v>
      </c>
      <c r="K26" s="107">
        <f>VLOOKUP(K24,Data!$A$3:$D$99,4,FALSE)</f>
        <v>400</v>
      </c>
      <c r="L26" s="8" t="s">
        <v>2</v>
      </c>
    </row>
    <row r="27" spans="1:12" ht="12.75" customHeight="1">
      <c r="A27" s="5"/>
      <c r="B27" s="98" t="str">
        <f>"- Cường độ tính toán của thép:"</f>
        <v>- Cường độ tính toán của thép:</v>
      </c>
      <c r="C27" s="98"/>
      <c r="D27" s="99"/>
      <c r="E27" s="102"/>
      <c r="F27" s="101"/>
      <c r="G27" s="101"/>
      <c r="H27" s="111" t="s">
        <v>5</v>
      </c>
      <c r="I27" s="104">
        <v>1.05</v>
      </c>
      <c r="J27" s="103" t="s">
        <v>6</v>
      </c>
      <c r="K27" s="112">
        <f>K25/I27</f>
        <v>233.33333333333331</v>
      </c>
      <c r="L27" s="8" t="s">
        <v>2</v>
      </c>
    </row>
    <row r="28" spans="1:12" ht="12.75" customHeight="1">
      <c r="A28" s="5"/>
      <c r="B28" s="98" t="str">
        <f>"- Cường độ tính toán chịu cắt của thép:"</f>
        <v>- Cường độ tính toán chịu cắt của thép:</v>
      </c>
      <c r="C28" s="98"/>
      <c r="D28" s="99"/>
      <c r="E28" s="102"/>
      <c r="F28" s="98"/>
      <c r="G28" s="101"/>
      <c r="H28" s="101"/>
      <c r="I28" s="101"/>
      <c r="J28" s="103" t="s">
        <v>57</v>
      </c>
      <c r="K28" s="112">
        <f>0.58*K25/I27</f>
        <v>135.33333333333331</v>
      </c>
      <c r="L28" s="8" t="s">
        <v>2</v>
      </c>
    </row>
    <row r="29" spans="1:12" ht="12.75" customHeight="1">
      <c r="A29" s="5"/>
      <c r="B29" s="98" t="str">
        <f>"- Hệ số điều kiện làm việc của kết cấu (Bảng 1 - Mục 9):"</f>
        <v>- Hệ số điều kiện làm việc của kết cấu (Bảng 1 - Mục 9):</v>
      </c>
      <c r="C29" s="98"/>
      <c r="D29" s="99"/>
      <c r="E29" s="102"/>
      <c r="F29" s="98"/>
      <c r="G29" s="101"/>
      <c r="H29" s="101"/>
      <c r="I29" s="101"/>
      <c r="J29" s="111" t="s">
        <v>7</v>
      </c>
      <c r="K29" s="113">
        <v>0.9</v>
      </c>
      <c r="L29" s="8"/>
    </row>
    <row r="30" spans="1:12" ht="12.75" customHeight="1">
      <c r="A30" s="95" t="s">
        <v>181</v>
      </c>
      <c r="B30" s="98"/>
      <c r="C30" s="98"/>
      <c r="D30" s="98"/>
      <c r="E30" s="98"/>
      <c r="F30" s="98"/>
      <c r="G30" s="99"/>
      <c r="H30" s="100"/>
      <c r="I30" s="98"/>
      <c r="J30" s="101"/>
      <c r="K30" s="101"/>
      <c r="L30" s="4"/>
    </row>
    <row r="31" spans="1:12" ht="12.75" customHeight="1">
      <c r="A31" s="5"/>
      <c r="B31" s="98" t="str">
        <f>"- Que hàn:"</f>
        <v>- Que hàn:</v>
      </c>
      <c r="C31" s="98"/>
      <c r="D31" s="99"/>
      <c r="E31" s="102"/>
      <c r="F31" s="98"/>
      <c r="G31" s="101"/>
      <c r="H31" s="101"/>
      <c r="I31" s="101"/>
      <c r="J31" s="101"/>
      <c r="K31" s="104" t="s">
        <v>8</v>
      </c>
      <c r="L31" s="6"/>
    </row>
    <row r="32" spans="1:12" ht="12.75" customHeight="1">
      <c r="A32" s="5"/>
      <c r="B32" s="98" t="str">
        <f>"- Cường độ tiêu chuẩn theo giới hạn bền:"</f>
        <v>- Cường độ tiêu chuẩn theo giới hạn bền:</v>
      </c>
      <c r="C32" s="98"/>
      <c r="D32" s="99"/>
      <c r="E32" s="102"/>
      <c r="F32" s="98"/>
      <c r="G32" s="101"/>
      <c r="H32" s="101"/>
      <c r="I32" s="101"/>
      <c r="J32" s="103" t="s">
        <v>9</v>
      </c>
      <c r="K32" s="109">
        <f>VLOOKUP(K31,Data!$AZ$3:$BB$10,2,FALSE)</f>
        <v>410</v>
      </c>
      <c r="L32" s="8" t="s">
        <v>2</v>
      </c>
    </row>
    <row r="33" spans="1:12" ht="12.75" customHeight="1">
      <c r="A33" s="5"/>
      <c r="B33" s="98" t="str">
        <f>"- Cường độ tính toán theo kim loại đường hàn:"</f>
        <v>- Cường độ tính toán theo kim loại đường hàn:</v>
      </c>
      <c r="C33" s="98"/>
      <c r="D33" s="99"/>
      <c r="E33" s="102"/>
      <c r="F33" s="98"/>
      <c r="G33" s="101"/>
      <c r="H33" s="111" t="s">
        <v>10</v>
      </c>
      <c r="I33" s="104">
        <v>0.7</v>
      </c>
      <c r="J33" s="103" t="s">
        <v>11</v>
      </c>
      <c r="K33" s="109">
        <f>VLOOKUP(K31,Data!$AZ$3:$BB$10,3,FALSE)</f>
        <v>180</v>
      </c>
      <c r="L33" s="8" t="s">
        <v>2</v>
      </c>
    </row>
    <row r="34" spans="1:12" ht="12.75" customHeight="1">
      <c r="A34" s="5"/>
      <c r="B34" s="98" t="str">
        <f>"- Cường độ tính toán theo kim loại biên nóng chảy:"</f>
        <v>- Cường độ tính toán theo kim loại biên nóng chảy:</v>
      </c>
      <c r="C34" s="98"/>
      <c r="D34" s="99"/>
      <c r="E34" s="102"/>
      <c r="F34" s="98"/>
      <c r="G34" s="101"/>
      <c r="H34" s="111" t="s">
        <v>12</v>
      </c>
      <c r="I34" s="108">
        <v>1</v>
      </c>
      <c r="J34" s="103" t="s">
        <v>13</v>
      </c>
      <c r="K34" s="109">
        <f>0.45*K26</f>
        <v>180</v>
      </c>
      <c r="L34" s="8" t="s">
        <v>2</v>
      </c>
    </row>
    <row r="35" spans="1:12" ht="12.75" customHeight="1">
      <c r="A35" s="5"/>
      <c r="B35" s="98" t="str">
        <f>"- Hệ số điều kiện làm việc :"</f>
        <v>- Hệ số điều kiện làm việc :</v>
      </c>
      <c r="C35" s="98"/>
      <c r="D35" s="99"/>
      <c r="E35" s="102"/>
      <c r="F35" s="98"/>
      <c r="G35" s="101"/>
      <c r="H35" s="101"/>
      <c r="I35" s="101"/>
      <c r="J35" s="111" t="s">
        <v>7</v>
      </c>
      <c r="K35" s="104">
        <v>0.9</v>
      </c>
      <c r="L35" s="8"/>
    </row>
    <row r="36" spans="1:12" ht="12.75" customHeight="1">
      <c r="A36" s="5"/>
      <c r="B36" s="98" t="str">
        <f>"- Cường độ tính toán của đường hàn:"</f>
        <v>- Cường độ tính toán của đường hàn:</v>
      </c>
      <c r="C36" s="98"/>
      <c r="D36" s="99"/>
      <c r="E36" s="102"/>
      <c r="F36" s="98"/>
      <c r="G36" s="101"/>
      <c r="H36" s="111"/>
      <c r="I36" s="104"/>
      <c r="J36" s="103" t="s">
        <v>58</v>
      </c>
      <c r="K36" s="108">
        <f>1.15*MIN(I33*K33,I34*K34)*K35</f>
        <v>130.41</v>
      </c>
      <c r="L36" s="8" t="s">
        <v>2</v>
      </c>
    </row>
    <row r="37" spans="1:12" ht="12.75" customHeight="1">
      <c r="A37" s="95" t="s">
        <v>183</v>
      </c>
      <c r="B37" s="98"/>
      <c r="C37" s="98"/>
      <c r="D37" s="98"/>
      <c r="E37" s="98"/>
      <c r="F37" s="98"/>
      <c r="G37" s="98"/>
      <c r="H37" s="100"/>
      <c r="I37" s="98"/>
      <c r="J37" s="101"/>
      <c r="K37" s="101"/>
      <c r="L37" s="4"/>
    </row>
    <row r="38" spans="1:12" ht="12.75" customHeight="1">
      <c r="A38" s="24"/>
      <c r="B38" s="98" t="str">
        <f>"- Chiều dày bản mã:"</f>
        <v>- Chiều dày bản mã:</v>
      </c>
      <c r="C38" s="98"/>
      <c r="D38" s="101"/>
      <c r="E38" s="114"/>
      <c r="F38" s="98"/>
      <c r="G38" s="99"/>
      <c r="H38" s="100"/>
      <c r="I38" s="98"/>
      <c r="J38" s="103" t="s">
        <v>184</v>
      </c>
      <c r="K38" s="104">
        <v>12</v>
      </c>
      <c r="L38" s="8" t="s">
        <v>3</v>
      </c>
    </row>
    <row r="39" spans="1:12" ht="12.75" customHeight="1">
      <c r="A39" s="5"/>
      <c r="B39" s="98" t="str">
        <f>"- Chiều cao đường hàn sống:"</f>
        <v>- Chiều cao đường hàn sống:</v>
      </c>
      <c r="C39" s="98"/>
      <c r="D39" s="99"/>
      <c r="E39" s="98"/>
      <c r="F39" s="98"/>
      <c r="G39" s="101"/>
      <c r="H39" s="101"/>
      <c r="I39" s="101"/>
      <c r="J39" s="103" t="s">
        <v>185</v>
      </c>
      <c r="K39" s="104">
        <v>6</v>
      </c>
      <c r="L39" s="8" t="s">
        <v>3</v>
      </c>
    </row>
    <row r="40" spans="1:12" ht="12.75" customHeight="1">
      <c r="A40" s="5"/>
      <c r="B40" s="98" t="str">
        <f>"- Chiều cao đường hàn mép:"</f>
        <v>- Chiều cao đường hàn mép:</v>
      </c>
      <c r="C40" s="98"/>
      <c r="D40" s="99"/>
      <c r="E40" s="98"/>
      <c r="F40" s="98"/>
      <c r="G40" s="101"/>
      <c r="H40" s="101"/>
      <c r="I40" s="106"/>
      <c r="J40" s="103" t="s">
        <v>186</v>
      </c>
      <c r="K40" s="104">
        <v>6</v>
      </c>
      <c r="L40" s="8" t="s">
        <v>3</v>
      </c>
    </row>
    <row r="41" spans="1:12" ht="12.75" customHeight="1">
      <c r="A41" s="5"/>
      <c r="B41" s="98" t="str">
        <f>"- Hệ số:"</f>
        <v>- Hệ số:</v>
      </c>
      <c r="C41" s="98"/>
      <c r="D41" s="99"/>
      <c r="E41" s="98"/>
      <c r="F41" s="98"/>
      <c r="G41" s="101"/>
      <c r="H41" s="101"/>
      <c r="I41" s="101"/>
      <c r="J41" s="103" t="s">
        <v>187</v>
      </c>
      <c r="K41" s="115">
        <v>0.75</v>
      </c>
      <c r="L41" s="8"/>
    </row>
    <row r="42" spans="1:12" ht="12.75" customHeight="1">
      <c r="A42" s="5"/>
      <c r="B42" s="101"/>
      <c r="C42" s="101"/>
      <c r="D42" s="103"/>
      <c r="E42" s="98"/>
      <c r="F42" s="116"/>
      <c r="G42" s="101"/>
      <c r="H42" s="101"/>
      <c r="I42" s="101"/>
      <c r="J42" s="103" t="s">
        <v>189</v>
      </c>
      <c r="K42" s="115">
        <v>0.6</v>
      </c>
      <c r="L42" s="8"/>
    </row>
    <row r="43" spans="1:12" ht="12.75" customHeight="1">
      <c r="A43" s="24"/>
      <c r="B43" s="98"/>
      <c r="C43" s="98"/>
      <c r="D43" s="101"/>
      <c r="E43" s="114"/>
      <c r="F43" s="98"/>
      <c r="G43" s="99"/>
      <c r="H43" s="100"/>
      <c r="I43" s="98"/>
      <c r="J43" s="103" t="s">
        <v>188</v>
      </c>
      <c r="K43" s="115">
        <v>0.6</v>
      </c>
      <c r="L43" s="4"/>
    </row>
    <row r="44" spans="1:12" ht="12.75" customHeight="1">
      <c r="A44" s="95" t="s">
        <v>190</v>
      </c>
      <c r="B44" s="98"/>
      <c r="C44" s="98"/>
      <c r="D44" s="98"/>
      <c r="E44" s="98"/>
      <c r="F44" s="98"/>
      <c r="G44" s="99"/>
      <c r="H44" s="100"/>
      <c r="I44" s="98"/>
      <c r="J44" s="101"/>
      <c r="K44" s="101"/>
      <c r="L44" s="4"/>
    </row>
    <row r="45" spans="1:12" ht="12.75" customHeight="1">
      <c r="A45" s="95"/>
      <c r="B45" s="98" t="str">
        <f>"- Lực do xà gồ đặt vào mắt giàn:"</f>
        <v>- Lực do xà gồ đặt vào mắt giàn:</v>
      </c>
      <c r="C45" s="98"/>
      <c r="D45" s="98"/>
      <c r="E45" s="102"/>
      <c r="F45" s="98"/>
      <c r="G45" s="101"/>
      <c r="H45" s="101"/>
      <c r="I45" s="102"/>
      <c r="J45" s="103" t="s">
        <v>191</v>
      </c>
      <c r="K45" s="104">
        <v>75</v>
      </c>
      <c r="L45" s="8" t="s">
        <v>15</v>
      </c>
    </row>
    <row r="46" spans="1:12" ht="12.75" customHeight="1">
      <c r="A46" s="95"/>
      <c r="B46" s="98" t="str">
        <f>"- Lực dọc thanh cánh trên (1), bên phải:"</f>
        <v>- Lực dọc thanh cánh trên (1), bên phải:</v>
      </c>
      <c r="C46" s="98"/>
      <c r="D46" s="98"/>
      <c r="E46" s="102"/>
      <c r="F46" s="98"/>
      <c r="G46" s="101"/>
      <c r="H46" s="101"/>
      <c r="I46" s="102"/>
      <c r="J46" s="103" t="s">
        <v>192</v>
      </c>
      <c r="K46" s="104">
        <v>484</v>
      </c>
      <c r="L46" s="8" t="s">
        <v>15</v>
      </c>
    </row>
    <row r="47" spans="1:12" ht="12.75" customHeight="1">
      <c r="A47" s="95"/>
      <c r="B47" s="98" t="str">
        <f>"- Lực dọc thanh cánh trên (1), bên trái:"</f>
        <v>- Lực dọc thanh cánh trên (1), bên trái:</v>
      </c>
      <c r="C47" s="98"/>
      <c r="D47" s="98"/>
      <c r="E47" s="102"/>
      <c r="F47" s="98"/>
      <c r="G47" s="101"/>
      <c r="H47" s="101"/>
      <c r="I47" s="102"/>
      <c r="J47" s="103" t="s">
        <v>193</v>
      </c>
      <c r="K47" s="104">
        <v>151</v>
      </c>
      <c r="L47" s="8" t="s">
        <v>15</v>
      </c>
    </row>
    <row r="48" spans="1:12" ht="12.75" customHeight="1">
      <c r="A48" s="95"/>
      <c r="B48" s="98" t="str">
        <f>"- Lực dọc thanh xiên (2):"</f>
        <v>- Lực dọc thanh xiên (2):</v>
      </c>
      <c r="C48" s="98"/>
      <c r="D48" s="98"/>
      <c r="E48" s="102"/>
      <c r="F48" s="98"/>
      <c r="G48" s="101"/>
      <c r="H48" s="101"/>
      <c r="I48" s="102"/>
      <c r="J48" s="103" t="s">
        <v>194</v>
      </c>
      <c r="K48" s="104">
        <v>525</v>
      </c>
      <c r="L48" s="8" t="s">
        <v>15</v>
      </c>
    </row>
    <row r="49" spans="1:12" ht="15" customHeight="1">
      <c r="A49" s="95"/>
      <c r="B49" s="98" t="str">
        <f>"- Lực dọc thanh xiên (3):"</f>
        <v>- Lực dọc thanh xiên (3):</v>
      </c>
      <c r="C49" s="98"/>
      <c r="D49" s="98"/>
      <c r="E49" s="102"/>
      <c r="F49" s="98"/>
      <c r="G49" s="101"/>
      <c r="H49" s="101"/>
      <c r="I49" s="102"/>
      <c r="J49" s="103" t="s">
        <v>195</v>
      </c>
      <c r="K49" s="104">
        <v>440</v>
      </c>
      <c r="L49" s="8" t="s">
        <v>15</v>
      </c>
    </row>
    <row r="50" spans="1:12">
      <c r="A50" s="96" t="s">
        <v>14</v>
      </c>
      <c r="B50" s="97"/>
      <c r="C50" s="97"/>
      <c r="D50" s="103"/>
      <c r="E50" s="117"/>
      <c r="F50" s="116"/>
      <c r="G50" s="101"/>
      <c r="H50" s="101"/>
      <c r="I50" s="101"/>
      <c r="J50" s="101"/>
      <c r="K50" s="101"/>
      <c r="L50" s="6"/>
    </row>
    <row r="51" spans="1:12" ht="12.75" customHeight="1">
      <c r="A51" s="95" t="s">
        <v>196</v>
      </c>
      <c r="B51" s="98"/>
      <c r="C51" s="98"/>
      <c r="D51" s="98"/>
      <c r="E51" s="98"/>
      <c r="F51" s="98"/>
      <c r="G51" s="99"/>
      <c r="H51" s="100"/>
      <c r="I51" s="98"/>
      <c r="J51" s="101"/>
      <c r="K51" s="101"/>
      <c r="L51" s="4"/>
    </row>
    <row r="52" spans="1:12">
      <c r="A52" s="5" t="str">
        <f>"- Hiệu số nội lực thanh cánh:"</f>
        <v>- Hiệu số nội lực thanh cánh:</v>
      </c>
      <c r="B52" s="118"/>
      <c r="C52" s="118"/>
      <c r="D52" s="103"/>
      <c r="E52" s="117"/>
      <c r="F52" s="116"/>
      <c r="G52" s="101"/>
      <c r="H52" s="101"/>
      <c r="I52" s="101"/>
      <c r="J52" s="103" t="s">
        <v>197</v>
      </c>
      <c r="K52" s="112">
        <f>ABS(K46-K47)</f>
        <v>333</v>
      </c>
      <c r="L52" s="8" t="s">
        <v>15</v>
      </c>
    </row>
    <row r="53" spans="1:12" ht="15">
      <c r="A53" s="5" t="str">
        <f>"- Hợp lực R1 do đường hàn sống chịu:"</f>
        <v>- Hợp lực R1 do đường hàn sống chịu:</v>
      </c>
      <c r="B53" s="118"/>
      <c r="C53" s="118"/>
      <c r="D53" s="103"/>
      <c r="E53" s="117"/>
      <c r="F53" s="116"/>
      <c r="G53" s="101"/>
      <c r="H53" s="101"/>
      <c r="I53" s="101"/>
      <c r="J53" s="119" t="s">
        <v>198</v>
      </c>
      <c r="K53" s="112">
        <f>SQRT((K41*K52)^2+(K45/2)^2)</f>
        <v>252.54962383658383</v>
      </c>
      <c r="L53" s="8" t="s">
        <v>15</v>
      </c>
    </row>
    <row r="54" spans="1:12" ht="15">
      <c r="A54" s="5" t="str">
        <f>"- Chiều dài đường hàn sống 1 thanh:"</f>
        <v>- Chiều dài đường hàn sống 1 thanh:</v>
      </c>
      <c r="B54" s="120"/>
      <c r="C54" s="118"/>
      <c r="D54" s="103"/>
      <c r="E54" s="117"/>
      <c r="F54" s="111"/>
      <c r="G54" s="107"/>
      <c r="H54" s="104"/>
      <c r="I54" s="101"/>
      <c r="J54" s="121" t="s">
        <v>199</v>
      </c>
      <c r="K54" s="122">
        <f>_xlfn.CEILING.MATH(MAX(K53*1000/(K29*K39*K36)/2,4*K39,40),10)</f>
        <v>180</v>
      </c>
      <c r="L54" s="8" t="s">
        <v>3</v>
      </c>
    </row>
    <row r="55" spans="1:12" ht="15">
      <c r="A55" s="5" t="str">
        <f>"- Chiều dài đường hàn mép 1 thanh:"</f>
        <v>- Chiều dài đường hàn mép 1 thanh:</v>
      </c>
      <c r="B55" s="118"/>
      <c r="C55" s="118"/>
      <c r="D55" s="103"/>
      <c r="E55" s="117"/>
      <c r="F55" s="111"/>
      <c r="G55" s="107"/>
      <c r="H55" s="104"/>
      <c r="I55" s="101"/>
      <c r="J55" s="121" t="s">
        <v>200</v>
      </c>
      <c r="K55" s="122">
        <f>_xlfn.CEILING.MATH(MAX(K53*1000/(K29*K40*K36)/2,4*K40,40),10)</f>
        <v>180</v>
      </c>
      <c r="L55" s="8" t="s">
        <v>3</v>
      </c>
    </row>
    <row r="56" spans="1:12">
      <c r="A56" s="95" t="s">
        <v>201</v>
      </c>
      <c r="B56" s="120"/>
      <c r="C56" s="118"/>
      <c r="D56" s="103"/>
      <c r="E56" s="117"/>
      <c r="F56" s="111"/>
      <c r="G56" s="107"/>
      <c r="H56" s="104"/>
      <c r="I56" s="101"/>
      <c r="J56" s="103"/>
      <c r="K56" s="123"/>
      <c r="L56" s="8"/>
    </row>
    <row r="57" spans="1:12" ht="15">
      <c r="A57" s="5" t="str">
        <f>"- Chiều dài đường hàn sống 1 thanh:"</f>
        <v>- Chiều dài đường hàn sống 1 thanh:</v>
      </c>
      <c r="B57" s="120"/>
      <c r="C57" s="118"/>
      <c r="D57" s="103"/>
      <c r="E57" s="117"/>
      <c r="F57" s="111"/>
      <c r="G57" s="107"/>
      <c r="H57" s="104"/>
      <c r="I57" s="101"/>
      <c r="J57" s="121" t="s">
        <v>202</v>
      </c>
      <c r="K57" s="122">
        <f>_xlfn.CEILING.MATH(MAX(K42*K48*1000/(K29*K39*K36)/2,4*K39,40),10)</f>
        <v>230</v>
      </c>
      <c r="L57" s="8" t="s">
        <v>3</v>
      </c>
    </row>
    <row r="58" spans="1:12" ht="15">
      <c r="A58" s="5" t="str">
        <f>"- Chiều dài đường hàn mép 1 thanh:"</f>
        <v>- Chiều dài đường hàn mép 1 thanh:</v>
      </c>
      <c r="B58" s="118"/>
      <c r="C58" s="118"/>
      <c r="D58" s="103"/>
      <c r="E58" s="117"/>
      <c r="F58" s="111"/>
      <c r="G58" s="107"/>
      <c r="H58" s="104"/>
      <c r="I58" s="101"/>
      <c r="J58" s="121" t="s">
        <v>203</v>
      </c>
      <c r="K58" s="122">
        <f>_xlfn.CEILING.MATH(MAX((1-K42)*K48*1000/(K29*K40*K36)/2,4*K40,40),10)</f>
        <v>150</v>
      </c>
      <c r="L58" s="8" t="s">
        <v>3</v>
      </c>
    </row>
    <row r="59" spans="1:12">
      <c r="A59" s="95" t="s">
        <v>204</v>
      </c>
      <c r="B59" s="120"/>
      <c r="C59" s="118"/>
      <c r="D59" s="103"/>
      <c r="E59" s="117"/>
      <c r="F59" s="111"/>
      <c r="G59" s="107"/>
      <c r="H59" s="104"/>
      <c r="I59" s="101"/>
      <c r="J59" s="103"/>
      <c r="K59" s="123"/>
      <c r="L59" s="8"/>
    </row>
    <row r="60" spans="1:12" ht="15">
      <c r="A60" s="5" t="str">
        <f>"- Chiều dài đường hàn sống 1 thanh:"</f>
        <v>- Chiều dài đường hàn sống 1 thanh:</v>
      </c>
      <c r="B60" s="120"/>
      <c r="C60" s="118"/>
      <c r="D60" s="103"/>
      <c r="E60" s="117"/>
      <c r="F60" s="111"/>
      <c r="G60" s="107"/>
      <c r="H60" s="104"/>
      <c r="I60" s="101"/>
      <c r="J60" s="121" t="s">
        <v>205</v>
      </c>
      <c r="K60" s="122">
        <f>_xlfn.CEILING.MATH(MAX(K43*K49*1000/(K29*K39*K36)/2,4*K39,40),10)</f>
        <v>190</v>
      </c>
      <c r="L60" s="8" t="s">
        <v>3</v>
      </c>
    </row>
    <row r="61" spans="1:12" ht="15">
      <c r="A61" s="5" t="str">
        <f>"- Chiều dài đường hàn mép 1 thanh:"</f>
        <v>- Chiều dài đường hàn mép 1 thanh:</v>
      </c>
      <c r="B61" s="118"/>
      <c r="C61" s="118"/>
      <c r="D61" s="103"/>
      <c r="E61" s="117"/>
      <c r="F61" s="111"/>
      <c r="G61" s="107"/>
      <c r="H61" s="104"/>
      <c r="I61" s="101"/>
      <c r="J61" s="121" t="s">
        <v>206</v>
      </c>
      <c r="K61" s="122">
        <f>_xlfn.CEILING.MATH(MAX((1-K43)*K49*1000/(K29*K40*K36)/2,4*K40,40),10)</f>
        <v>130</v>
      </c>
      <c r="L61" s="8" t="s">
        <v>3</v>
      </c>
    </row>
    <row r="62" spans="1:12">
      <c r="A62" s="124"/>
      <c r="B62" s="125"/>
      <c r="C62" s="125"/>
      <c r="D62" s="13"/>
      <c r="E62" s="126"/>
      <c r="F62" s="127"/>
      <c r="G62" s="12"/>
      <c r="H62" s="12"/>
      <c r="I62" s="12"/>
      <c r="J62" s="13"/>
      <c r="K62" s="128"/>
      <c r="L62" s="129"/>
    </row>
  </sheetData>
  <mergeCells count="7">
    <mergeCell ref="A50:C50"/>
    <mergeCell ref="A11:I12"/>
    <mergeCell ref="J11:L12"/>
    <mergeCell ref="A13:C13"/>
    <mergeCell ref="K16:L16"/>
    <mergeCell ref="K18:L18"/>
    <mergeCell ref="K20:L20"/>
  </mergeCells>
  <conditionalFormatting sqref="L62">
    <cfRule type="containsText" dxfId="1" priority="3" operator="containsText" text="Check">
      <formula>NOT(ISERROR(SEARCH("Check",L62)))</formula>
    </cfRule>
    <cfRule type="containsText" dxfId="0" priority="4" operator="containsText" text="OK">
      <formula>NOT(ISERROR(SEARCH("OK",L62)))</formula>
    </cfRule>
  </conditionalFormatting>
  <pageMargins left="0.59055118110236227" right="0.31496062992125984" top="0.59055118110236227" bottom="0.59055118110236227" header="0.31496062992125984" footer="0.31496062992125984"/>
  <pageSetup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78C49A45-FB5E-4E7F-8358-91CB9C887549}">
          <x14:formula1>
            <xm:f>Data!$A$3:$A$99</xm:f>
          </x14:formula1>
          <xm:sqref>K24</xm:sqref>
        </x14:dataValidation>
        <x14:dataValidation type="list" allowBlank="1" showInputMessage="1" showErrorMessage="1" xr:uid="{E894006B-D30E-4FE0-8739-D294589416E8}">
          <x14:formula1>
            <xm:f>Data!$AZ$3:$AZ$99</xm:f>
          </x14:formula1>
          <xm:sqref>K31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toan huynh vu minh</cp:lastModifiedBy>
  <dcterms:created xsi:type="dcterms:W3CDTF">2015-06-05T18:17:20Z</dcterms:created>
  <dcterms:modified xsi:type="dcterms:W3CDTF">2025-10-07T01:17:41Z</dcterms:modified>
</cp:coreProperties>
</file>