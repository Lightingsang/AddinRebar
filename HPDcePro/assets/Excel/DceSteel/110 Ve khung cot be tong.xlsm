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ce Pro\Excel\"/>
    </mc:Choice>
  </mc:AlternateContent>
  <xr:revisionPtr revIDLastSave="0" documentId="13_ncr:1_{66A51A22-E222-4DD6-8071-ADA74D2DFA3B}" xr6:coauthVersionLast="47" xr6:coauthVersionMax="47" xr10:uidLastSave="{00000000-0000-0000-0000-000000000000}"/>
  <bookViews>
    <workbookView xWindow="-28920" yWindow="-120" windowWidth="29040" windowHeight="15720" tabRatio="808" activeTab="1" xr2:uid="{5EFD5A8A-D9C0-475C-897C-38F83BDF0EC7}"/>
  </bookViews>
  <sheets>
    <sheet name="Data" sheetId="2" r:id="rId1"/>
    <sheet name="VKDHBT" sheetId="23" r:id="rId2"/>
    <sheet name="VKBT" sheetId="24" r:id="rId3"/>
    <sheet name="VK3BT" sheetId="26" r:id="rId4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3" l="1"/>
  <c r="T8" i="23"/>
  <c r="U8" i="23"/>
  <c r="V8" i="23"/>
  <c r="R8" i="23"/>
  <c r="R7" i="23"/>
  <c r="T7" i="23"/>
  <c r="S7" i="23"/>
  <c r="Q7" i="23"/>
  <c r="Q7" i="24"/>
  <c r="R7" i="24"/>
  <c r="S7" i="24"/>
  <c r="P7" i="24"/>
  <c r="C33" i="26"/>
  <c r="C32" i="26"/>
  <c r="F14" i="26" s="1"/>
  <c r="C29" i="26"/>
  <c r="D29" i="26" s="1"/>
  <c r="E29" i="26" s="1"/>
  <c r="F29" i="26" s="1"/>
  <c r="G29" i="26" s="1"/>
  <c r="H29" i="26" s="1"/>
  <c r="I29" i="26" s="1"/>
  <c r="J29" i="26" s="1"/>
  <c r="K29" i="26" s="1"/>
  <c r="L29" i="26" s="1"/>
  <c r="M29" i="26" s="1"/>
  <c r="N29" i="26" s="1"/>
  <c r="O29" i="26" s="1"/>
  <c r="P29" i="26" s="1"/>
  <c r="Q29" i="26" s="1"/>
  <c r="R29" i="26" s="1"/>
  <c r="S29" i="26" s="1"/>
  <c r="T29" i="26" s="1"/>
  <c r="U29" i="26" s="1"/>
  <c r="L15" i="26"/>
  <c r="F13" i="26"/>
  <c r="G13" i="26" s="1"/>
  <c r="B9" i="26"/>
  <c r="B8" i="26"/>
  <c r="B7" i="26"/>
  <c r="K7" i="24"/>
  <c r="K7" i="23"/>
  <c r="F15" i="26" l="1"/>
  <c r="G14" i="26"/>
  <c r="F13" i="23"/>
  <c r="F12" i="23"/>
  <c r="G12" i="23" s="1"/>
  <c r="B9" i="23"/>
  <c r="B8" i="23"/>
  <c r="B7" i="23"/>
  <c r="G12" i="24"/>
  <c r="B9" i="24"/>
  <c r="B7" i="24"/>
  <c r="B8" i="24"/>
  <c r="G13" i="24"/>
  <c r="L12" i="24"/>
  <c r="G13" i="23" l="1"/>
  <c r="F14" i="24"/>
  <c r="L12" i="23"/>
  <c r="F14" i="2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N4" authorId="0" shapeId="0" xr:uid="{1DFA7F86-B831-42E8-90EF-C5473CE2B443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F6" authorId="0" shapeId="0" xr:uid="{E92B7DD8-45C9-45C1-9516-F5E7683B8E79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Q6" authorId="1" shapeId="0" xr:uid="{15960DE1-69A7-415D-90C2-46310718B249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Chiều dài bao gồm 10mm để hàn bản cánh và bản đế</t>
        </r>
      </text>
    </comment>
    <comment ref="R6" authorId="0" shapeId="0" xr:uid="{146FAD0D-42F8-4D71-96EA-815E83D5D89B}">
      <text>
        <r>
          <rPr>
            <sz val="9"/>
            <color indexed="81"/>
            <rFont val="Tahoma"/>
            <family val="2"/>
          </rPr>
          <t xml:space="preserve">K-a-b-c
Thông thường chỉ 4 con bu lông
</t>
        </r>
      </text>
    </comment>
    <comment ref="Q7" authorId="1" shapeId="0" xr:uid="{1433C3EA-B1E4-4134-8A07-12C87DA0FCDB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Chiều dài bao gồm 10mm để hàn bản cánh và bản đế</t>
        </r>
      </text>
    </comment>
    <comment ref="F8" authorId="0" shapeId="0" xr:uid="{E860B0F1-822D-4EF5-91A0-C4120ACB1BF0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K8" authorId="0" shapeId="0" xr:uid="{CE2682F0-CDD5-44CB-949E-9B26D5113819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D30" authorId="0" shapeId="0" xr:uid="{A2F4C7A8-8033-4DCC-A10F-378C186D5647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1" authorId="0" shapeId="0" xr:uid="{000A6412-9ED0-428B-84B5-8C9EA5335441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2" authorId="0" shapeId="0" xr:uid="{09D944FC-DDE8-4E9C-AF37-C14AFA21351E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3" authorId="0" shapeId="0" xr:uid="{A4D24CED-5479-408A-980E-673E8F4C59CE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4" authorId="0" shapeId="0" xr:uid="{9DF77F69-88EA-45D1-AF7F-125E83D4414B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0" authorId="0" shapeId="0" xr:uid="{AD01557C-0A0C-4008-B9D7-EE48EBB23136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6" authorId="0" shapeId="0" xr:uid="{25778406-868F-4D60-9712-3009D62F7500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7" authorId="0" shapeId="0" xr:uid="{A4B466E0-977C-4DC2-B3BB-579CD46FBFDE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8" authorId="0" shapeId="0" xr:uid="{17E26DAE-4E5E-4B49-B7CD-598DBDE1D839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9" authorId="0" shapeId="0" xr:uid="{2436B92A-26B7-40DF-8E0F-F164BE476947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50" authorId="0" shapeId="0" xr:uid="{CF0B5A45-F907-46BD-819B-C21E246792BC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Toan</author>
  </authors>
  <commentList>
    <comment ref="N4" authorId="0" shapeId="0" xr:uid="{5F67B6EB-1310-4C87-8329-31E406CFD622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F6" authorId="0" shapeId="0" xr:uid="{AB696CD7-F43F-49EC-AA0A-13CFAE364376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P6" authorId="1" shapeId="0" xr:uid="{4F3FBD2E-05CE-4D37-ADCE-98320CD149E6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Chiều dài này không tính tai bên trái</t>
        </r>
      </text>
    </comment>
    <comment ref="Q6" authorId="0" shapeId="0" xr:uid="{11E2C075-1641-40B5-890C-C10543DE051A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P7" authorId="1" shapeId="0" xr:uid="{ADD216C8-2BD8-4966-95F6-425CF85CBF06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Chiều dài này không tính tai bên trái</t>
        </r>
      </text>
    </comment>
    <comment ref="Q7" authorId="0" shapeId="0" xr:uid="{7DB8CDBB-1F7D-47CE-8584-F964242C9D95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8" authorId="0" shapeId="0" xr:uid="{0E92E9FE-1A45-408A-A56D-F9FB5F66B81B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K8" authorId="0" shapeId="0" xr:uid="{70622CEB-5F69-4D02-9331-9D056D827B30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R14" authorId="0" shapeId="0" xr:uid="{EBD1541D-493E-4E0B-BE39-38D27B5B6554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F28" authorId="0" shapeId="0" xr:uid="{8DE27E3C-EF1E-4FCA-B9C1-EE8DCD42256B}">
      <text>
        <r>
          <rPr>
            <b/>
            <sz val="9"/>
            <color indexed="81"/>
            <rFont val="Tahoma"/>
            <family val="2"/>
          </rPr>
          <t>[HVMT]:
- Bên trái = Bên phải: Ghi 1 số
Ví dụ: 500
-Bên trái &lt;&gt; Bên phải: Bên trái / Bên phải
Ví dụ 700/300</t>
        </r>
      </text>
    </comment>
    <comment ref="H28" authorId="0" shapeId="0" xr:uid="{2223E49D-45D4-4096-99D8-2B122CD5A64C}">
      <text>
        <r>
          <rPr>
            <b/>
            <sz val="9"/>
            <color indexed="81"/>
            <rFont val="Tahoma"/>
            <family val="2"/>
          </rPr>
          <t>[HVMT]:
- Cánh trên = Cánh dưới: Ghi 1 số
Ví dụ: 150
-Cánh trên &lt;&gt; Cánh dưới: Bề rộng cánh trên / Bề rộng cánh dưới
Ví dụ 150/200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0" shapeId="0" xr:uid="{A7A395A8-7FD8-46E4-A095-9BEFDB1C9760}">
      <text>
        <r>
          <rPr>
            <b/>
            <sz val="9"/>
            <color indexed="81"/>
            <rFont val="Tahoma"/>
            <family val="2"/>
          </rPr>
          <t>[HVMT]:
- Cánh trên = Cánh dưới: Ghi 1 số
Ví dụ: 8
-Cánh trên &lt;&gt; Cánh dưới: Chiều rộng cánh trên / Chiều rộng cánh dưới
Ví dụ 8/12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0" authorId="0" shapeId="0" xr:uid="{B6A485B7-C6CC-4E49-A04A-6B5FCE33DD8E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0" authorId="0" shapeId="0" xr:uid="{AD587811-FAFE-4444-B706-5A8A19E043D7}">
      <text>
        <r>
          <rPr>
            <sz val="9"/>
            <color indexed="81"/>
            <rFont val="Tahoma"/>
            <family val="2"/>
          </rPr>
          <t xml:space="preserve">Tạm thời mặc định = 0
</t>
        </r>
      </text>
    </comment>
    <comment ref="P31" authorId="0" shapeId="0" xr:uid="{DB3DF101-C3DD-417B-945C-39C03624914C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1" authorId="0" shapeId="0" xr:uid="{D6E62699-F61F-41FF-BC4B-1DB2A5187F99}">
      <text>
        <r>
          <rPr>
            <sz val="9"/>
            <color indexed="81"/>
            <rFont val="Tahoma"/>
            <family val="2"/>
          </rPr>
          <t xml:space="preserve">Tạm thời mặc định = 0
</t>
        </r>
      </text>
    </comment>
    <comment ref="P32" authorId="0" shapeId="0" xr:uid="{67893633-5DCB-4CA8-A9C4-FAD0C60DF296}">
      <text>
        <r>
          <rPr>
            <b/>
            <sz val="9"/>
            <color indexed="81"/>
            <rFont val="Tahoma"/>
            <family val="2"/>
          </rPr>
          <t>Toan
Bề rộng cột thay đổi thì  nhập Bề rộng chân / Bề rộng đỉnh. Ví dụ 500/1000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2" authorId="0" shapeId="0" xr:uid="{40DFCDCA-E493-4E9A-99D2-228C8B80FA31}">
      <text>
        <r>
          <rPr>
            <sz val="9"/>
            <color indexed="81"/>
            <rFont val="Tahoma"/>
            <family val="2"/>
          </rPr>
          <t xml:space="preserve">Tạm thời mặc định = 0
</t>
        </r>
      </text>
    </comment>
    <comment ref="E40" authorId="0" shapeId="0" xr:uid="{4E89262F-5030-4618-9BBE-009C97965324}">
      <text>
        <r>
          <rPr>
            <sz val="9"/>
            <color indexed="81"/>
            <rFont val="Tahoma"/>
            <family val="2"/>
          </rPr>
          <t>[Toan]
- Chiều dài bên trái = Chiều dài bên phải: Nhập 1 số, ví dụ 1500
- Chiều dài bên trái &lt;&gt; Chiều dài bên phải: Ví dụ: 1500/2000</t>
        </r>
      </text>
    </comment>
    <comment ref="F40" authorId="0" shapeId="0" xr:uid="{68326053-0B78-4663-817E-8D220C76BB03}">
      <text>
        <r>
          <rPr>
            <sz val="9"/>
            <color indexed="81"/>
            <rFont val="Tahoma"/>
            <family val="2"/>
          </rPr>
          <t xml:space="preserve">[Toan]
</t>
        </r>
        <r>
          <rPr>
            <b/>
            <sz val="9"/>
            <color indexed="81"/>
            <rFont val="Tahoma"/>
            <family val="2"/>
          </rPr>
          <t>a_b_c</t>
        </r>
        <r>
          <rPr>
            <sz val="9"/>
            <color indexed="81"/>
            <rFont val="Tahoma"/>
            <family val="2"/>
          </rPr>
          <t xml:space="preserve">
a: Chiều cao bên trái
b: Chiều cao ở giữa
c: Chiều cao bên phải
Giá trị b = 0 được hiểu nối 2 bên trái &amp; phải
Ví dụ:
+ Nhập 1200_1500_1000: Bên trái 1200, giữa 1500, phải 1000
+ Nhập 1200_0_1000: Bên trái 1200, phải 1000, ở giữa kéo ngang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4" authorId="0" shapeId="0" xr:uid="{7393F892-4553-4A51-85DC-2A4FD2897968}">
      <text>
        <r>
          <rPr>
            <sz val="9"/>
            <color indexed="81"/>
            <rFont val="Tahoma"/>
            <family val="2"/>
          </rPr>
          <t xml:space="preserve">Khoảng cách từ đỉnh mái biên đến xà gồ đầu tiên
</t>
        </r>
      </text>
    </comment>
    <comment ref="F6" authorId="0" shapeId="0" xr:uid="{DA1C74DD-D74B-48BD-8031-310EBEE1E92C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K6" authorId="0" shapeId="0" xr:uid="{5526B4C1-4B86-46D0-B0C9-2086C5EFC28B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P6" authorId="0" shapeId="0" xr:uid="{730E3AF7-217E-493C-8EBE-7005C39C23CA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7" authorId="0" shapeId="0" xr:uid="{79D3CD8D-7F19-4E30-8862-A01BDE2E771D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40825D4B-2CEC-48FE-AB98-8BB9812FBED0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P7" authorId="0" shapeId="0" xr:uid="{7D12508B-AFD0-4DBD-A4AD-409FEF57D12D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8" authorId="0" shapeId="0" xr:uid="{DAE9DCBF-CF04-4943-A255-B8A82D8C2D48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P8" authorId="0" shapeId="0" xr:uid="{53D58ADE-F167-48BC-9B96-3BD788BD3969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9" authorId="0" shapeId="0" xr:uid="{6B137B36-DC82-4236-BF78-1941B03956E7}">
      <text>
        <r>
          <rPr>
            <b/>
            <sz val="9"/>
            <color indexed="81"/>
            <rFont val="Tahoma"/>
            <family val="2"/>
          </rPr>
          <t>[Toan]
Chiều cao đỉnh mái và trục mép phải</t>
        </r>
      </text>
    </comment>
    <comment ref="K9" authorId="0" shapeId="0" xr:uid="{25AFD09E-047F-4794-8E65-DB5A3CF68F15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K10" authorId="0" shapeId="0" xr:uid="{C2CC5EB2-DED1-4E6F-BB3B-542816B6E736}">
      <text>
        <r>
          <rPr>
            <sz val="9"/>
            <color indexed="81"/>
            <rFont val="Tahoma"/>
            <family val="2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Q13" authorId="0" shapeId="0" xr:uid="{EF71064F-DDAF-417C-A8C7-9392EF1F2B23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Q15" authorId="0" shapeId="0" xr:uid="{260AD6AB-C9CD-4169-B409-B213AF7EA96E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C30" authorId="0" shapeId="0" xr:uid="{23085870-FA2A-49FA-B020-C4F98C9051B0}">
      <text>
        <r>
          <rPr>
            <b/>
            <sz val="9"/>
            <color indexed="81"/>
            <rFont val="Tahoma"/>
            <family val="2"/>
          </rPr>
          <t>K/c từ trục biên đến trục thứ 2</t>
        </r>
      </text>
    </comment>
    <comment ref="F30" authorId="0" shapeId="0" xr:uid="{D015421D-F3B0-4B06-945D-022C04B2D47C}">
      <text>
        <r>
          <rPr>
            <sz val="9"/>
            <color indexed="81"/>
            <rFont val="Tahoma"/>
            <family val="2"/>
          </rPr>
          <t xml:space="preserve">Toan
Tạm thời nhập = 0
</t>
        </r>
      </text>
    </comment>
    <comment ref="C31" authorId="0" shapeId="0" xr:uid="{79CEC50E-5A23-40C0-9305-1AE79D7CFF9C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F31" authorId="0" shapeId="0" xr:uid="{1BE47990-4ED3-4B57-971A-D74A9CAC63E4}">
      <text>
        <r>
          <rPr>
            <sz val="9"/>
            <color indexed="81"/>
            <rFont val="Tahoma"/>
            <family val="2"/>
          </rPr>
          <t xml:space="preserve">Toan
Tạm thời nhập = 0
</t>
        </r>
      </text>
    </comment>
    <comment ref="C32" authorId="0" shapeId="0" xr:uid="{388C0671-CEBD-40D4-8A25-355658F133E3}">
      <text>
        <r>
          <rPr>
            <b/>
            <sz val="9"/>
            <color indexed="81"/>
            <rFont val="Tahoma"/>
            <family val="2"/>
          </rPr>
          <t>K/c từ giữa nhà đến trục thứ 4</t>
        </r>
      </text>
    </comment>
    <comment ref="F32" authorId="0" shapeId="0" xr:uid="{987F5704-08EC-467D-AC70-76C1EB1C4F68}">
      <text>
        <r>
          <rPr>
            <sz val="9"/>
            <color indexed="81"/>
            <rFont val="Tahoma"/>
            <family val="2"/>
          </rPr>
          <t xml:space="preserve">Toan
Tạm thời nhập = 0
</t>
        </r>
      </text>
    </comment>
    <comment ref="H32" authorId="0" shapeId="0" xr:uid="{B0435E30-9847-4CFA-8B8C-1143E8152ED4}">
      <text>
        <r>
          <rPr>
            <sz val="9"/>
            <color indexed="81"/>
            <rFont val="Tahoma"/>
            <family val="2"/>
          </rPr>
          <t xml:space="preserve">Toàn
Bề rộng bản đế liên kết giữa kèo thép và cột bê tông
</t>
        </r>
      </text>
    </comment>
    <comment ref="C33" authorId="0" shapeId="0" xr:uid="{D80BD5A8-D333-4C11-8106-C1F73E25795D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  <comment ref="F33" authorId="0" shapeId="0" xr:uid="{CBC4C188-F100-44A1-AAF0-6F766333AD80}">
      <text>
        <r>
          <rPr>
            <sz val="9"/>
            <color indexed="81"/>
            <rFont val="Tahoma"/>
            <family val="2"/>
          </rPr>
          <t xml:space="preserve">Toan
Tạm thời nhập = 0
</t>
        </r>
      </text>
    </comment>
    <comment ref="F34" authorId="0" shapeId="0" xr:uid="{E108D6E4-3931-4FBA-8CBC-E0DFB5F6BEC4}">
      <text>
        <r>
          <rPr>
            <sz val="9"/>
            <color indexed="81"/>
            <rFont val="Tahoma"/>
            <family val="2"/>
          </rPr>
          <t xml:space="preserve">Toan
Tạm thời nhập = 0
</t>
        </r>
      </text>
    </comment>
    <comment ref="O34" authorId="0" shapeId="0" xr:uid="{855DCD7A-D50E-4135-B608-77777810F0A8}">
      <text>
        <r>
          <rPr>
            <b/>
            <sz val="9"/>
            <color indexed="81"/>
            <rFont val="Tahoma"/>
            <family val="2"/>
          </rPr>
          <t>- Số thứ 1: Bên mép trái
- Số thứ 2: ở giữa, bên trái cột
- Số thứ 3: Bên mép phải</t>
        </r>
      </text>
    </comment>
    <comment ref="N39" authorId="0" shapeId="0" xr:uid="{A6753329-2AE1-4171-9D76-1DF067CB4A19}">
      <text>
        <r>
          <rPr>
            <sz val="9"/>
            <color indexed="81"/>
            <rFont val="Tahoma"/>
            <family val="2"/>
          </rPr>
          <t>[Toan]
- Chiều dài bên trái = Chiều dài bên phải: Nhập 1 số, ví dụ 1500
- Chiều dài bên trái &lt;&gt; Chiều dài bên phải: Ví dụ: 1500/2000</t>
        </r>
      </text>
    </comment>
    <comment ref="O39" authorId="0" shapeId="0" xr:uid="{286CC609-17E4-43E2-8A0F-F129BF00A778}">
      <text>
        <r>
          <rPr>
            <sz val="9"/>
            <color indexed="81"/>
            <rFont val="Tahoma"/>
            <family val="2"/>
          </rPr>
          <t xml:space="preserve">[Toan]
</t>
        </r>
        <r>
          <rPr>
            <b/>
            <sz val="9"/>
            <color indexed="81"/>
            <rFont val="Tahoma"/>
            <family val="2"/>
          </rPr>
          <t>a_b_c</t>
        </r>
        <r>
          <rPr>
            <sz val="9"/>
            <color indexed="81"/>
            <rFont val="Tahoma"/>
            <family val="2"/>
          </rPr>
          <t xml:space="preserve">
a: Chiều cao bên trái
b: Chiều cao ở giữa
c: Chiều cao bên phải
Giá trị b = 0 được hiểu nối 2 bên trái &amp; phải
Ví dụ:
+ Nhập 1200_1500_1000: Bên trái 1200, giữa 1500, phải 1000
+ Nhập 1200_0_1000: Bên trái 1200, phải 1000, ở giữa kéo ngang</t>
        </r>
      </text>
    </comment>
  </commentList>
</comments>
</file>

<file path=xl/sharedStrings.xml><?xml version="1.0" encoding="utf-8"?>
<sst xmlns="http://schemas.openxmlformats.org/spreadsheetml/2006/main" count="448" uniqueCount="201">
  <si>
    <t>Cao độ chân cột</t>
  </si>
  <si>
    <t>A</t>
  </si>
  <si>
    <t>B</t>
  </si>
  <si>
    <t>C</t>
  </si>
  <si>
    <t>mm</t>
  </si>
  <si>
    <t>Xà gồ mái</t>
  </si>
  <si>
    <t>Z200</t>
  </si>
  <si>
    <t>Xà gồ tường</t>
  </si>
  <si>
    <t>C200</t>
  </si>
  <si>
    <t>Z150</t>
  </si>
  <si>
    <t>Z250</t>
  </si>
  <si>
    <t>Z300</t>
  </si>
  <si>
    <t>C100</t>
  </si>
  <si>
    <t>C150</t>
  </si>
  <si>
    <t>C180</t>
  </si>
  <si>
    <t>C250</t>
  </si>
  <si>
    <t>C300</t>
  </si>
  <si>
    <t>Xà gồ</t>
  </si>
  <si>
    <t>Tiết diện thép</t>
  </si>
  <si>
    <t>Tên cột</t>
  </si>
  <si>
    <t>Chiều dày bụng</t>
  </si>
  <si>
    <t>tw</t>
  </si>
  <si>
    <t>Bảng thông số cột</t>
  </si>
  <si>
    <t>Bu lông</t>
  </si>
  <si>
    <t>Tỉ lệ bản vẽ</t>
  </si>
  <si>
    <t>Tổng bề rộng 1/2 nhà bên trái</t>
  </si>
  <si>
    <t>Tổng bề rộng 1/2 nhà bên phải</t>
  </si>
  <si>
    <t>Tên lưới</t>
  </si>
  <si>
    <t>Bề dày bản mã liên kết (mm)</t>
  </si>
  <si>
    <t>Thông số liên kết</t>
  </si>
  <si>
    <t>Bảng thông số kèo</t>
  </si>
  <si>
    <t>Bolt</t>
  </si>
  <si>
    <t>Cách thể hiện tên cột</t>
  </si>
  <si>
    <t>Cách thể hiện tên kèo</t>
  </si>
  <si>
    <t>Total</t>
  </si>
  <si>
    <t>Chiều cao</t>
  </si>
  <si>
    <t>Bề rộng cánh</t>
  </si>
  <si>
    <t>Chiều dày cánh</t>
  </si>
  <si>
    <t>Chiều dài kèo</t>
  </si>
  <si>
    <t>Tên kèo</t>
  </si>
  <si>
    <t>H</t>
  </si>
  <si>
    <t>Bf</t>
  </si>
  <si>
    <t>Tf</t>
  </si>
  <si>
    <t>Tổng bề rộng nhà, B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</si>
  <si>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</si>
  <si>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</si>
  <si>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</si>
  <si>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</si>
  <si>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</si>
  <si>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</si>
  <si>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</si>
  <si>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</si>
  <si>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</si>
  <si>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</si>
  <si>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</si>
  <si>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KHUNG K2</t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</si>
  <si>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trái</t>
    </r>
  </si>
  <si>
    <r>
      <t xml:space="preserve">Tổng bề rộng </t>
    </r>
    <r>
      <rPr>
        <sz val="10"/>
        <color theme="1"/>
        <rFont val="Aptos Narrow"/>
        <family val="2"/>
        <scheme val="minor"/>
      </rPr>
      <t>1/2</t>
    </r>
    <r>
      <rPr>
        <sz val="11"/>
        <color theme="1"/>
        <rFont val="Aptos Narrow"/>
        <family val="2"/>
        <scheme val="minor"/>
      </rPr>
      <t xml:space="preserve"> nhà bên phải</t>
    </r>
  </si>
  <si>
    <t>Z180</t>
  </si>
  <si>
    <t>Tên liên kết</t>
  </si>
  <si>
    <t>Loại liên kết k</t>
  </si>
  <si>
    <t>Nách</t>
  </si>
  <si>
    <t>Liên kết</t>
  </si>
  <si>
    <t>Vị trí</t>
  </si>
  <si>
    <t>Bản mã</t>
  </si>
  <si>
    <t>Bên trái</t>
  </si>
  <si>
    <t>Chiều cao
trái/phải</t>
  </si>
  <si>
    <t>B cánh trên/dưới</t>
  </si>
  <si>
    <t>t cánh trên/dưới</t>
  </si>
  <si>
    <t>Bề rộng</t>
  </si>
  <si>
    <t>Khoảng cách</t>
  </si>
  <si>
    <t>Chiều cao bệ bê tông</t>
  </si>
  <si>
    <t>Chiều dày bản đế</t>
  </si>
  <si>
    <t>Hệ lưới</t>
  </si>
  <si>
    <t>D</t>
  </si>
  <si>
    <t>Chiều dày lớp vữa</t>
  </si>
  <si>
    <t>Số bolt
(bên trong)</t>
  </si>
  <si>
    <t>Số bu lông bên trong kèo</t>
  </si>
  <si>
    <t xml:space="preserve">I - </t>
  </si>
  <si>
    <t xml:space="preserve">Đỉnh cột </t>
  </si>
  <si>
    <t>Top / Bot</t>
  </si>
  <si>
    <t>Đoạn 1</t>
  </si>
  <si>
    <t>Đoạn 2</t>
  </si>
  <si>
    <t>Đoạn 3</t>
  </si>
  <si>
    <t>Đoạn 5</t>
  </si>
  <si>
    <t>Đoạn 6</t>
  </si>
  <si>
    <t>Đoạn 7</t>
  </si>
  <si>
    <t>Đỉnh mái</t>
  </si>
  <si>
    <t>Chiều dài</t>
  </si>
  <si>
    <t>Chiều dày</t>
  </si>
  <si>
    <t>Đoạn 4</t>
  </si>
  <si>
    <t>Đoạn 8</t>
  </si>
  <si>
    <t>Đoạn 9</t>
  </si>
  <si>
    <t>Đoạn 10</t>
  </si>
  <si>
    <t>Bên phải</t>
  </si>
  <si>
    <t>Loại</t>
  </si>
  <si>
    <t>Ngang</t>
  </si>
  <si>
    <t>VKDHBT</t>
  </si>
  <si>
    <t>EC1</t>
  </si>
  <si>
    <t>Thông tin cột thép</t>
  </si>
  <si>
    <r>
      <rPr>
        <b/>
        <u/>
        <sz val="11"/>
        <rFont val="Aptos Narrow"/>
        <family val="2"/>
        <scheme val="minor"/>
      </rPr>
      <t>Thông số cột/kèo:</t>
    </r>
    <r>
      <rPr>
        <sz val="11"/>
        <rFont val="Aptos Narrow"/>
        <family val="2"/>
        <scheme val="minor"/>
      </rPr>
      <t xml:space="preserve">
- Nếu điền 1 số thì mặc định chiều cao trái = phải, bề rộng cánh trên = dưới, chiều dày trên = dưới. Ví dụ 200
- Nếu điền 2 số thì mặc định số đầu tiên là trái, số thứ 2 là phải.
Phân cách giữa 2 số có thể dùng dấu </t>
    </r>
    <r>
      <rPr>
        <b/>
        <sz val="11"/>
        <color rgb="FFFF0000"/>
        <rFont val="Aptos Narrow"/>
        <family val="2"/>
        <scheme val="minor"/>
      </rPr>
      <t>_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;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/</t>
    </r>
    <r>
      <rPr>
        <sz val="11"/>
        <rFont val="Aptos Narrow"/>
        <family val="2"/>
        <scheme val="minor"/>
      </rPr>
      <t>. Ví dụ 150_200 hoặc 150;200 hoặc 150/200</t>
    </r>
  </si>
  <si>
    <t>Chiều dày tường biên bao che</t>
  </si>
  <si>
    <r>
      <rPr>
        <b/>
        <u/>
        <sz val="11"/>
        <rFont val="Aptos Narrow"/>
        <family val="2"/>
        <scheme val="minor"/>
      </rPr>
      <t>Thông số cột:</t>
    </r>
    <r>
      <rPr>
        <sz val="11"/>
        <rFont val="Aptos Narrow"/>
        <family val="2"/>
        <scheme val="minor"/>
      </rPr>
      <t xml:space="preserve">
- Nếu điền 1 số thì mặc định chiều cao trái = phải, bề rộng cánh trên = dưới, chiều dày trên = dưới. Ví dụ 200
- Nếu điền 2 số thì mặc định số đầu tiên là trái, số thứ 2 là phải. Phân cách giữa 2 số có thể dùng dấu </t>
    </r>
    <r>
      <rPr>
        <b/>
        <sz val="11"/>
        <color rgb="FFFF0000"/>
        <rFont val="Aptos Narrow"/>
        <family val="2"/>
        <scheme val="minor"/>
      </rPr>
      <t>_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;</t>
    </r>
    <r>
      <rPr>
        <sz val="11"/>
        <rFont val="Aptos Narrow"/>
        <family val="2"/>
        <scheme val="minor"/>
      </rPr>
      <t xml:space="preserve"> hoặc </t>
    </r>
    <r>
      <rPr>
        <b/>
        <sz val="11"/>
        <color rgb="FFFF0000"/>
        <rFont val="Aptos Narrow"/>
        <family val="2"/>
        <scheme val="minor"/>
      </rPr>
      <t>/</t>
    </r>
    <r>
      <rPr>
        <sz val="11"/>
        <rFont val="Aptos Narrow"/>
        <family val="2"/>
        <scheme val="minor"/>
      </rPr>
      <t xml:space="preserve">. Ví dụ 150_200 hoặc 150;200 hoặc 150/200
</t>
    </r>
  </si>
  <si>
    <t>VKBT</t>
  </si>
  <si>
    <t>Nếu có cột giữa tại đỉnh mái thì nhập vào hàng  này</t>
  </si>
  <si>
    <t>Cột bê tông</t>
  </si>
  <si>
    <t>Bề
rộng</t>
  </si>
  <si>
    <t>Vị trí cột</t>
  </si>
  <si>
    <t>Biên trái</t>
  </si>
  <si>
    <t>Biên phải</t>
  </si>
  <si>
    <t>Thông số về chiều cao mái</t>
  </si>
  <si>
    <t>Đã tính lớp bao che</t>
  </si>
  <si>
    <t>K/c trục và mép cột thép trái</t>
  </si>
  <si>
    <t>K/c trục và mép cột thép phải</t>
  </si>
  <si>
    <r>
      <t xml:space="preserve">CHỨC NĂNG ÁP DỤNG CHO KHUNG ĐẦU HỒI  
VÀ CỘT CHÍNH LÀ </t>
    </r>
    <r>
      <rPr>
        <b/>
        <u/>
        <sz val="14"/>
        <color rgb="FF0000CC"/>
        <rFont val="Aptos Narrow"/>
        <family val="2"/>
        <scheme val="minor"/>
      </rPr>
      <t>CỘT BÊ TÔNG</t>
    </r>
  </si>
  <si>
    <t>Chưa tính lớp bao che</t>
  </si>
  <si>
    <t>K/c trục và mép cột</t>
  </si>
  <si>
    <t>Tên lệnh Autocad</t>
  </si>
  <si>
    <t>Đỉnh mái (k cột giữa)</t>
  </si>
  <si>
    <t>Đỉnh mái (cột giữa)</t>
  </si>
  <si>
    <t>Chiều cao tường biên bao che</t>
  </si>
  <si>
    <t>Max bolt</t>
  </si>
  <si>
    <t>Bước sườn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</si>
  <si>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kèo thép</t>
    </r>
  </si>
  <si>
    <r>
      <t xml:space="preserve">Gia cường </t>
    </r>
    <r>
      <rPr>
        <b/>
        <u/>
        <sz val="11"/>
        <color theme="1"/>
        <rFont val="Aptos Narrow"/>
        <family val="2"/>
        <scheme val="minor"/>
      </rPr>
      <t>bản bích</t>
    </r>
    <r>
      <rPr>
        <sz val="11"/>
        <color theme="1"/>
        <rFont val="Aptos Narrow"/>
        <family val="2"/>
        <scheme val="minor"/>
      </rPr>
      <t xml:space="preserve"> liên kết bu lông</t>
    </r>
  </si>
  <si>
    <t>K/c mép tường và mép cột</t>
  </si>
  <si>
    <t>Giữa trái</t>
  </si>
  <si>
    <t xml:space="preserve">Giữa phải </t>
  </si>
  <si>
    <t>E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</si>
  <si>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cột</t>
    </r>
  </si>
  <si>
    <t>900/500</t>
  </si>
  <si>
    <t>500/400</t>
  </si>
  <si>
    <t>Lưu ý: Từ đoạn 1 đến đoạn 4, phải có 1 đoạn số lẻ để trống
Từ đoạn 6 đến đoạn 9, phải co 1 đoạn số lẻ để trống</t>
  </si>
  <si>
    <t>500_900</t>
  </si>
  <si>
    <t>400_500</t>
  </si>
  <si>
    <t>Đỉnh cột giữa</t>
  </si>
  <si>
    <t>VK3BT</t>
  </si>
  <si>
    <t>600;1500;500</t>
  </si>
  <si>
    <t>500_1500_600</t>
  </si>
  <si>
    <t>K-4-2-2</t>
  </si>
  <si>
    <t>K-6-2-2</t>
  </si>
  <si>
    <t>K-4-2-4</t>
  </si>
  <si>
    <t>K-8-2-2</t>
  </si>
  <si>
    <t>K-6-2-4</t>
  </si>
  <si>
    <t>K-8-2-4</t>
  </si>
  <si>
    <t>K-4-0-2</t>
  </si>
  <si>
    <t>K-4-0-4</t>
  </si>
  <si>
    <t>K-6-0-2</t>
  </si>
  <si>
    <t>K-6-0-4</t>
  </si>
  <si>
    <t>K-6-2-6</t>
  </si>
  <si>
    <t>K-6-0-6</t>
  </si>
  <si>
    <t>K-8-0-2</t>
  </si>
  <si>
    <t>K-8-0-4</t>
  </si>
  <si>
    <t>K-10-0-2</t>
  </si>
  <si>
    <t>K-10-0-4</t>
  </si>
  <si>
    <t>K-12-0-2</t>
  </si>
  <si>
    <t>Hình dạng vai đỡ máng xối</t>
  </si>
  <si>
    <t>Nghiêng</t>
  </si>
  <si>
    <t>K/c mép</t>
  </si>
  <si>
    <t>500/600</t>
  </si>
  <si>
    <t>600_500</t>
  </si>
  <si>
    <t>Cột giữa</t>
  </si>
  <si>
    <t>Đỉnh mái (dầm nối + cột giữa)</t>
  </si>
  <si>
    <t>500_1000</t>
  </si>
  <si>
    <t>K1</t>
  </si>
  <si>
    <t>Phân đoạn</t>
  </si>
  <si>
    <t>K2</t>
  </si>
  <si>
    <t>K3</t>
  </si>
  <si>
    <t>K4</t>
  </si>
  <si>
    <t>524_324</t>
  </si>
  <si>
    <t>324_624</t>
  </si>
  <si>
    <t>624_324</t>
  </si>
  <si>
    <t>324_524</t>
  </si>
  <si>
    <t>K5</t>
  </si>
  <si>
    <t>K6</t>
  </si>
  <si>
    <t>K7</t>
  </si>
  <si>
    <t>K8</t>
  </si>
  <si>
    <t>KG</t>
  </si>
  <si>
    <t>Thông số chiều cao H</t>
  </si>
  <si>
    <t>400_600_400</t>
  </si>
  <si>
    <t>Tên &amp; Kích thước</t>
  </si>
  <si>
    <t>Tổng số bu lông</t>
  </si>
  <si>
    <t>LƯU Ý: ĐỂ THUẬN TIỆN THỐNG KÊ KHỐI LƯỢNG, SỐ LƯỢNG BU LÔNG LÀ NHẬP SỐ TỔNG (TÍNH LUÔN 2 HOẶC 4 CON BU LÔNG NGOÀI BIÊN)</t>
  </si>
  <si>
    <t>Bố trí</t>
  </si>
  <si>
    <t>Loại
bu lông</t>
  </si>
  <si>
    <t>ĐK
bu lông</t>
  </si>
  <si>
    <t>Thẳng</t>
  </si>
  <si>
    <t>L</t>
  </si>
  <si>
    <t>J</t>
  </si>
  <si>
    <t>Chiều dày
Bản đế</t>
  </si>
  <si>
    <t>Chiều dày
Tăng cứng</t>
  </si>
  <si>
    <t>Điền bên liên kết nách</t>
  </si>
  <si>
    <t>Chiều dày mặt bích (mm)</t>
  </si>
  <si>
    <t>Chiều dày gân cứng tam giác</t>
  </si>
  <si>
    <t>Đường kính bu lông</t>
  </si>
  <si>
    <t>Chiều dài bản đế</t>
  </si>
  <si>
    <t>Nách trái</t>
  </si>
  <si>
    <t>Nách phải</t>
  </si>
  <si>
    <t>Thông số liên kết cuối đoạn kèo</t>
  </si>
  <si>
    <t>624;0;624</t>
  </si>
  <si>
    <t>Cột biên nên bỏ qua, kèo ngồi trực tiếp lên cột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</si>
</sst>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0&quot;)&quot;"/>
    <numFmt numFmtId="165" formatCode="&quot;M&quot;0"/>
    <numFmt numFmtId="166" formatCode="0.0%"/>
  </numFmts>
  <fonts count="37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name val="Aptos Narrow"/>
      <family val="2"/>
      <scheme val="minor"/>
    </font>
    <font>
      <sz val="11"/>
      <color rgb="FFFF00FF"/>
      <name val="Aptos Narrow"/>
      <family val="2"/>
      <scheme val="minor"/>
    </font>
    <font>
      <sz val="20"/>
      <color rgb="FFFF00FF"/>
      <name val="Times New Roman"/>
      <family val="1"/>
    </font>
    <font>
      <sz val="20"/>
      <color rgb="FF0000CC"/>
      <name val="Times New Roman"/>
      <family val="1"/>
    </font>
    <font>
      <sz val="11"/>
      <color rgb="FF0000FF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Times New Roman"/>
      <family val="1"/>
    </font>
    <font>
      <i/>
      <sz val="1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u/>
      <sz val="14"/>
      <color rgb="FF0000CC"/>
      <name val="Aptos Narrow"/>
      <family val="2"/>
      <scheme val="minor"/>
    </font>
    <font>
      <b/>
      <sz val="18"/>
      <color rgb="FF0000CC"/>
      <name val="Aptos Narrow"/>
      <family val="2"/>
      <scheme val="minor"/>
    </font>
    <font>
      <sz val="20"/>
      <color rgb="FF006100"/>
      <name val="Aptos Narrow"/>
      <family val="2"/>
      <scheme val="minor"/>
    </font>
    <font>
      <sz val="18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4" fillId="5" borderId="40" applyNumberFormat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9" fontId="31" fillId="0" borderId="0" applyFont="0" applyFill="0" applyBorder="0" applyAlignment="0" applyProtection="0"/>
  </cellStyleXfs>
  <cellXfs count="291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9" xfId="0" applyFont="1" applyBorder="1" applyAlignment="1">
      <alignment horizontal="center" vertical="center"/>
    </xf>
    <xf numFmtId="0" fontId="0" fillId="0" borderId="10" xfId="0" applyBorder="1"/>
    <xf numFmtId="0" fontId="4" fillId="0" borderId="9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3" fillId="0" borderId="6" xfId="0" applyFont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8" xfId="0" applyBorder="1" applyAlignment="1">
      <alignment horizontal="left" vertical="center" indent="1"/>
    </xf>
    <xf numFmtId="0" fontId="7" fillId="0" borderId="9" xfId="0" applyFont="1" applyBorder="1"/>
    <xf numFmtId="0" fontId="7" fillId="0" borderId="8" xfId="0" applyFont="1" applyBorder="1" applyAlignment="1">
      <alignment horizontal="left" vertical="center" indent="1"/>
    </xf>
    <xf numFmtId="0" fontId="0" fillId="0" borderId="15" xfId="0" applyBorder="1"/>
    <xf numFmtId="0" fontId="0" fillId="0" borderId="17" xfId="0" applyBorder="1"/>
    <xf numFmtId="0" fontId="3" fillId="0" borderId="4" xfId="0" applyFont="1" applyBorder="1" applyAlignment="1">
      <alignment horizontal="center" vertical="center"/>
    </xf>
    <xf numFmtId="0" fontId="0" fillId="0" borderId="36" xfId="0" applyBorder="1"/>
    <xf numFmtId="0" fontId="3" fillId="0" borderId="2" xfId="0" applyFont="1" applyBorder="1" applyAlignment="1">
      <alignment horizontal="center" vertical="center"/>
    </xf>
    <xf numFmtId="0" fontId="0" fillId="0" borderId="16" xfId="0" applyBorder="1"/>
    <xf numFmtId="0" fontId="0" fillId="0" borderId="42" xfId="0" applyBorder="1"/>
    <xf numFmtId="0" fontId="0" fillId="0" borderId="43" xfId="0" applyBorder="1"/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/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0" borderId="1" xfId="0" applyFont="1" applyBorder="1"/>
    <xf numFmtId="0" fontId="3" fillId="9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20" fillId="0" borderId="9" xfId="0" applyFont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3" fillId="0" borderId="8" xfId="0" applyFont="1" applyBorder="1" applyAlignment="1">
      <alignment horizontal="left" indent="3"/>
    </xf>
    <xf numFmtId="0" fontId="3" fillId="0" borderId="20" xfId="0" applyFont="1" applyBorder="1" applyAlignment="1">
      <alignment horizontal="center" vertical="center"/>
    </xf>
    <xf numFmtId="165" fontId="3" fillId="9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26" xfId="0" applyBorder="1"/>
    <xf numFmtId="0" fontId="20" fillId="0" borderId="30" xfId="0" applyFont="1" applyBorder="1" applyAlignment="1">
      <alignment horizontal="center" vertical="center"/>
    </xf>
    <xf numFmtId="0" fontId="0" fillId="9" borderId="0" xfId="0" applyFill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/>
    <xf numFmtId="0" fontId="0" fillId="9" borderId="1" xfId="0" applyFill="1" applyBorder="1"/>
    <xf numFmtId="0" fontId="20" fillId="0" borderId="2" xfId="0" applyFont="1" applyBorder="1" applyAlignment="1">
      <alignment horizontal="center" vertical="center"/>
    </xf>
    <xf numFmtId="0" fontId="0" fillId="0" borderId="3" xfId="0" applyBorder="1"/>
    <xf numFmtId="164" fontId="0" fillId="0" borderId="0" xfId="0" applyNumberFormat="1"/>
    <xf numFmtId="0" fontId="17" fillId="0" borderId="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165" fontId="3" fillId="4" borderId="1" xfId="0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2" fillId="0" borderId="24" xfId="0" applyFont="1" applyBorder="1" applyAlignment="1">
      <alignment vertical="center"/>
    </xf>
    <xf numFmtId="0" fontId="0" fillId="0" borderId="14" xfId="0" applyBorder="1"/>
    <xf numFmtId="0" fontId="0" fillId="0" borderId="19" xfId="0" applyBorder="1"/>
    <xf numFmtId="0" fontId="26" fillId="9" borderId="8" xfId="0" applyFont="1" applyFill="1" applyBorder="1" applyAlignment="1">
      <alignment horizontal="left" indent="1"/>
    </xf>
    <xf numFmtId="0" fontId="4" fillId="9" borderId="9" xfId="0" applyFont="1" applyFill="1" applyBorder="1"/>
    <xf numFmtId="0" fontId="26" fillId="9" borderId="10" xfId="0" applyFont="1" applyFill="1" applyBorder="1"/>
    <xf numFmtId="0" fontId="3" fillId="0" borderId="35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7" xfId="0" applyFont="1" applyBorder="1" applyAlignment="1">
      <alignment vertical="center"/>
    </xf>
    <xf numFmtId="0" fontId="3" fillId="0" borderId="38" xfId="0" applyFont="1" applyBorder="1" applyAlignment="1">
      <alignment vertical="center"/>
    </xf>
    <xf numFmtId="0" fontId="0" fillId="0" borderId="2" xfId="0" applyBorder="1"/>
    <xf numFmtId="0" fontId="3" fillId="4" borderId="52" xfId="0" applyFont="1" applyFill="1" applyBorder="1" applyAlignment="1">
      <alignment horizontal="center" vertical="center"/>
    </xf>
    <xf numFmtId="0" fontId="14" fillId="4" borderId="55" xfId="1" applyFill="1" applyBorder="1" applyAlignment="1">
      <alignment vertical="center"/>
    </xf>
    <xf numFmtId="0" fontId="20" fillId="4" borderId="53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1" xfId="0" applyBorder="1"/>
    <xf numFmtId="0" fontId="0" fillId="0" borderId="56" xfId="0" applyBorder="1"/>
    <xf numFmtId="0" fontId="3" fillId="0" borderId="4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66" fontId="0" fillId="0" borderId="10" xfId="4" applyNumberFormat="1" applyFont="1" applyBorder="1" applyAlignment="1">
      <alignment horizontal="center" vertical="center"/>
    </xf>
    <xf numFmtId="0" fontId="0" fillId="0" borderId="11" xfId="0" applyBorder="1" applyAlignment="1">
      <alignment horizontal="left" indent="1"/>
    </xf>
    <xf numFmtId="0" fontId="0" fillId="0" borderId="12" xfId="0" applyBorder="1" applyAlignment="1">
      <alignment horizontal="center" vertical="center"/>
    </xf>
    <xf numFmtId="0" fontId="0" fillId="0" borderId="43" xfId="0" applyBorder="1" applyAlignment="1">
      <alignment horizontal="left" indent="1"/>
    </xf>
    <xf numFmtId="165" fontId="3" fillId="0" borderId="9" xfId="0" applyNumberFormat="1" applyFont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9" fillId="0" borderId="22" xfId="0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0" fontId="29" fillId="0" borderId="24" xfId="0" applyFont="1" applyBorder="1" applyAlignment="1">
      <alignment vertical="center" wrapText="1"/>
    </xf>
    <xf numFmtId="0" fontId="13" fillId="3" borderId="5" xfId="0" applyFont="1" applyFill="1" applyBorder="1" applyAlignment="1">
      <alignment horizontal="left" indent="1"/>
    </xf>
    <xf numFmtId="0" fontId="23" fillId="0" borderId="9" xfId="0" applyFont="1" applyBorder="1" applyAlignment="1">
      <alignment horizontal="left" indent="3"/>
    </xf>
    <xf numFmtId="0" fontId="27" fillId="0" borderId="14" xfId="0" applyFont="1" applyBorder="1" applyAlignment="1">
      <alignment vertical="center"/>
    </xf>
    <xf numFmtId="0" fontId="30" fillId="0" borderId="14" xfId="0" applyFont="1" applyBorder="1" applyAlignment="1">
      <alignment vertical="center"/>
    </xf>
    <xf numFmtId="0" fontId="0" fillId="0" borderId="58" xfId="0" applyBorder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4" borderId="20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41" xfId="0" applyFont="1" applyFill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4" xfId="0" applyFont="1" applyBorder="1" applyAlignment="1">
      <alignment vertical="center"/>
    </xf>
    <xf numFmtId="0" fontId="0" fillId="0" borderId="39" xfId="0" applyBorder="1"/>
    <xf numFmtId="0" fontId="13" fillId="9" borderId="0" xfId="0" applyFont="1" applyFill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165" fontId="3" fillId="9" borderId="48" xfId="0" applyNumberFormat="1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0" fontId="3" fillId="9" borderId="63" xfId="0" applyFont="1" applyFill="1" applyBorder="1" applyAlignment="1">
      <alignment horizontal="center" vertical="center"/>
    </xf>
    <xf numFmtId="165" fontId="3" fillId="9" borderId="49" xfId="0" applyNumberFormat="1" applyFont="1" applyFill="1" applyBorder="1" applyAlignment="1">
      <alignment horizontal="center" vertical="center"/>
    </xf>
    <xf numFmtId="0" fontId="3" fillId="9" borderId="64" xfId="0" applyFont="1" applyFill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9" borderId="65" xfId="0" applyFont="1" applyFill="1" applyBorder="1" applyAlignment="1">
      <alignment horizontal="center" vertical="center"/>
    </xf>
    <xf numFmtId="165" fontId="3" fillId="9" borderId="66" xfId="0" applyNumberFormat="1" applyFont="1" applyFill="1" applyBorder="1" applyAlignment="1">
      <alignment horizontal="center" vertical="center"/>
    </xf>
    <xf numFmtId="0" fontId="3" fillId="9" borderId="68" xfId="0" applyFont="1" applyFill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1" fontId="3" fillId="0" borderId="42" xfId="0" applyNumberFormat="1" applyFont="1" applyBorder="1" applyAlignment="1">
      <alignment horizontal="center" vertical="center"/>
    </xf>
    <xf numFmtId="0" fontId="3" fillId="9" borderId="69" xfId="0" applyFont="1" applyFill="1" applyBorder="1" applyAlignment="1">
      <alignment horizontal="center" vertical="center"/>
    </xf>
    <xf numFmtId="165" fontId="3" fillId="9" borderId="59" xfId="0" applyNumberFormat="1" applyFont="1" applyFill="1" applyBorder="1" applyAlignment="1">
      <alignment horizontal="center" vertical="center"/>
    </xf>
    <xf numFmtId="0" fontId="3" fillId="9" borderId="70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left" indent="1"/>
    </xf>
    <xf numFmtId="0" fontId="3" fillId="0" borderId="7" xfId="0" applyFont="1" applyBorder="1" applyAlignment="1">
      <alignment horizontal="center" vertical="center"/>
    </xf>
    <xf numFmtId="0" fontId="20" fillId="0" borderId="44" xfId="0" applyFont="1" applyBorder="1" applyAlignment="1">
      <alignment horizontal="center" vertical="center"/>
    </xf>
    <xf numFmtId="0" fontId="3" fillId="0" borderId="33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38" xfId="0" applyBorder="1"/>
    <xf numFmtId="0" fontId="0" fillId="0" borderId="6" xfId="0" applyBorder="1" applyAlignment="1">
      <alignment horizontal="left" indent="1"/>
    </xf>
    <xf numFmtId="0" fontId="22" fillId="7" borderId="1" xfId="3" applyBorder="1" applyAlignment="1">
      <alignment horizontal="left" vertical="center"/>
    </xf>
    <xf numFmtId="0" fontId="21" fillId="6" borderId="1" xfId="2" applyBorder="1" applyAlignment="1">
      <alignment vertical="center"/>
    </xf>
    <xf numFmtId="0" fontId="14" fillId="5" borderId="1" xfId="1" applyBorder="1" applyAlignment="1">
      <alignment vertical="center"/>
    </xf>
    <xf numFmtId="0" fontId="17" fillId="0" borderId="9" xfId="0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14" fillId="5" borderId="1" xfId="1" applyBorder="1" applyAlignment="1">
      <alignment horizontal="center" vertical="center"/>
    </xf>
    <xf numFmtId="0" fontId="22" fillId="7" borderId="1" xfId="3" applyBorder="1" applyAlignment="1">
      <alignment vertical="center"/>
    </xf>
    <xf numFmtId="0" fontId="6" fillId="0" borderId="63" xfId="0" applyFont="1" applyBorder="1" applyAlignment="1">
      <alignment vertical="center"/>
    </xf>
    <xf numFmtId="0" fontId="22" fillId="7" borderId="61" xfId="3" applyBorder="1" applyAlignment="1">
      <alignment horizontal="center" vertical="center"/>
    </xf>
    <xf numFmtId="0" fontId="22" fillId="7" borderId="63" xfId="3" applyBorder="1" applyAlignment="1">
      <alignment horizontal="center" vertical="center"/>
    </xf>
    <xf numFmtId="0" fontId="22" fillId="7" borderId="10" xfId="3" applyBorder="1" applyAlignment="1">
      <alignment horizontal="center" vertical="center"/>
    </xf>
    <xf numFmtId="0" fontId="22" fillId="7" borderId="17" xfId="3" applyBorder="1" applyAlignment="1">
      <alignment horizontal="center" vertical="center"/>
    </xf>
    <xf numFmtId="0" fontId="3" fillId="0" borderId="48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21" fillId="6" borderId="56" xfId="2" applyBorder="1" applyAlignment="1">
      <alignment horizontal="center" vertical="center"/>
    </xf>
    <xf numFmtId="0" fontId="21" fillId="6" borderId="10" xfId="2" applyBorder="1" applyAlignment="1">
      <alignment horizontal="center" vertical="center"/>
    </xf>
    <xf numFmtId="0" fontId="21" fillId="6" borderId="13" xfId="2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0" fillId="0" borderId="49" xfId="0" applyFont="1" applyBorder="1" applyAlignment="1">
      <alignment horizontal="center" vertical="center" wrapText="1"/>
    </xf>
    <xf numFmtId="0" fontId="20" fillId="0" borderId="66" xfId="0" applyFont="1" applyBorder="1" applyAlignment="1">
      <alignment horizontal="center" vertical="center" wrapText="1"/>
    </xf>
    <xf numFmtId="0" fontId="20" fillId="5" borderId="53" xfId="1" applyFont="1" applyBorder="1" applyAlignment="1">
      <alignment horizontal="center" vertical="center"/>
    </xf>
    <xf numFmtId="0" fontId="14" fillId="5" borderId="52" xfId="1" applyBorder="1" applyAlignment="1">
      <alignment vertical="center"/>
    </xf>
    <xf numFmtId="0" fontId="20" fillId="0" borderId="9" xfId="0" applyFont="1" applyBorder="1" applyAlignment="1">
      <alignment horizontal="left" vertical="center" indent="2"/>
    </xf>
    <xf numFmtId="0" fontId="3" fillId="0" borderId="5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20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 wrapText="1"/>
    </xf>
    <xf numFmtId="0" fontId="36" fillId="0" borderId="0" xfId="0" applyFont="1" applyAlignment="1">
      <alignment vertical="top" wrapText="1"/>
    </xf>
    <xf numFmtId="0" fontId="24" fillId="9" borderId="20" xfId="0" applyFont="1" applyFill="1" applyBorder="1"/>
    <xf numFmtId="0" fontId="24" fillId="9" borderId="21" xfId="0" applyFont="1" applyFill="1" applyBorder="1"/>
    <xf numFmtId="0" fontId="24" fillId="9" borderId="22" xfId="0" applyFont="1" applyFill="1" applyBorder="1"/>
    <xf numFmtId="0" fontId="24" fillId="9" borderId="23" xfId="0" applyFont="1" applyFill="1" applyBorder="1"/>
    <xf numFmtId="0" fontId="24" fillId="9" borderId="0" xfId="0" applyFont="1" applyFill="1"/>
    <xf numFmtId="0" fontId="24" fillId="9" borderId="24" xfId="0" applyFont="1" applyFill="1" applyBorder="1"/>
    <xf numFmtId="0" fontId="24" fillId="9" borderId="18" xfId="0" applyFont="1" applyFill="1" applyBorder="1"/>
    <xf numFmtId="0" fontId="24" fillId="9" borderId="14" xfId="0" applyFont="1" applyFill="1" applyBorder="1"/>
    <xf numFmtId="0" fontId="24" fillId="9" borderId="19" xfId="0" applyFont="1" applyFill="1" applyBorder="1"/>
    <xf numFmtId="165" fontId="4" fillId="9" borderId="1" xfId="0" applyNumberFormat="1" applyFont="1" applyFill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165" fontId="3" fillId="0" borderId="43" xfId="0" applyNumberFormat="1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4" fillId="4" borderId="23" xfId="0" applyFont="1" applyFill="1" applyBorder="1" applyAlignment="1">
      <alignment horizontal="center"/>
    </xf>
    <xf numFmtId="0" fontId="24" fillId="4" borderId="0" xfId="0" applyFont="1" applyFill="1" applyAlignment="1">
      <alignment horizontal="center"/>
    </xf>
    <xf numFmtId="0" fontId="24" fillId="4" borderId="24" xfId="0" applyFont="1" applyFill="1" applyBorder="1" applyAlignment="1">
      <alignment horizontal="center"/>
    </xf>
    <xf numFmtId="0" fontId="25" fillId="4" borderId="1" xfId="0" quotePrefix="1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/>
    </xf>
    <xf numFmtId="0" fontId="24" fillId="4" borderId="25" xfId="0" applyFont="1" applyFill="1" applyBorder="1" applyAlignment="1">
      <alignment horizontal="center"/>
    </xf>
    <xf numFmtId="0" fontId="24" fillId="4" borderId="26" xfId="0" applyFont="1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42" xfId="0" applyBorder="1" applyAlignment="1">
      <alignment horizontal="left" vertical="center" indent="1"/>
    </xf>
    <xf numFmtId="0" fontId="0" fillId="0" borderId="43" xfId="0" applyBorder="1" applyAlignment="1">
      <alignment horizontal="left" vertical="center" indent="1"/>
    </xf>
    <xf numFmtId="0" fontId="0" fillId="0" borderId="11" xfId="0" applyBorder="1" applyAlignment="1">
      <alignment horizontal="left" indent="1"/>
    </xf>
    <xf numFmtId="0" fontId="0" fillId="0" borderId="12" xfId="0" applyBorder="1" applyAlignment="1">
      <alignment horizontal="left" indent="1"/>
    </xf>
    <xf numFmtId="0" fontId="35" fillId="6" borderId="0" xfId="2" applyFont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4" fillId="3" borderId="0" xfId="0" applyFont="1" applyFill="1" applyAlignment="1">
      <alignment horizontal="center" vertical="center"/>
    </xf>
    <xf numFmtId="0" fontId="24" fillId="4" borderId="1" xfId="0" applyFont="1" applyFill="1" applyBorder="1" applyAlignment="1">
      <alignment horizontal="center"/>
    </xf>
    <xf numFmtId="0" fontId="24" fillId="4" borderId="1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 wrapText="1"/>
    </xf>
    <xf numFmtId="0" fontId="24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9" borderId="14" xfId="0" applyFont="1" applyFill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6" fillId="9" borderId="0" xfId="0" applyFont="1" applyFill="1" applyAlignment="1">
      <alignment horizontal="center"/>
    </xf>
    <xf numFmtId="0" fontId="0" fillId="0" borderId="20" xfId="0" applyBorder="1" applyAlignment="1">
      <alignment horizontal="left" vertical="center" wrapText="1" indent="1"/>
    </xf>
    <xf numFmtId="0" fontId="0" fillId="0" borderId="21" xfId="0" applyBorder="1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4" xfId="0" applyBorder="1" applyAlignment="1">
      <alignment horizontal="left" vertical="center" wrapText="1" indent="1"/>
    </xf>
    <xf numFmtId="0" fontId="1" fillId="2" borderId="0" xfId="0" applyFont="1" applyFill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indent="1"/>
    </xf>
    <xf numFmtId="0" fontId="36" fillId="0" borderId="0" xfId="0" applyFont="1" applyAlignment="1">
      <alignment horizontal="left" vertical="top" wrapText="1"/>
    </xf>
    <xf numFmtId="0" fontId="28" fillId="0" borderId="14" xfId="0" applyFont="1" applyBorder="1" applyAlignment="1">
      <alignment horizontal="center"/>
    </xf>
    <xf numFmtId="0" fontId="3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right" vertical="center"/>
    </xf>
    <xf numFmtId="0" fontId="0" fillId="0" borderId="42" xfId="0" applyBorder="1" applyAlignment="1">
      <alignment horizontal="left" vertical="center" indent="2"/>
    </xf>
    <xf numFmtId="0" fontId="0" fillId="0" borderId="43" xfId="0" applyBorder="1" applyAlignment="1">
      <alignment horizontal="left" vertical="center" indent="2"/>
    </xf>
    <xf numFmtId="0" fontId="25" fillId="4" borderId="72" xfId="0" quotePrefix="1" applyFont="1" applyFill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1" xfId="0" applyFont="1" applyBorder="1" applyAlignment="1">
      <alignment horizontal="center" vertical="center" wrapText="1"/>
    </xf>
    <xf numFmtId="0" fontId="32" fillId="0" borderId="23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14" fillId="5" borderId="25" xfId="1" applyBorder="1" applyAlignment="1">
      <alignment horizontal="left" vertical="center"/>
    </xf>
    <xf numFmtId="0" fontId="14" fillId="5" borderId="26" xfId="1" applyBorder="1" applyAlignment="1">
      <alignment horizontal="left" vertical="center"/>
    </xf>
    <xf numFmtId="0" fontId="4" fillId="0" borderId="1" xfId="0" applyFont="1" applyBorder="1" applyAlignment="1">
      <alignment horizontal="left" vertical="top" wrapText="1"/>
    </xf>
    <xf numFmtId="0" fontId="0" fillId="4" borderId="60" xfId="0" applyFill="1" applyBorder="1" applyAlignment="1">
      <alignment horizontal="center"/>
    </xf>
    <xf numFmtId="0" fontId="0" fillId="4" borderId="50" xfId="0" applyFill="1" applyBorder="1" applyAlignment="1">
      <alignment horizontal="center"/>
    </xf>
    <xf numFmtId="0" fontId="0" fillId="4" borderId="51" xfId="0" applyFill="1" applyBorder="1" applyAlignment="1">
      <alignment horizontal="center"/>
    </xf>
    <xf numFmtId="0" fontId="24" fillId="4" borderId="44" xfId="0" applyFont="1" applyFill="1" applyBorder="1" applyAlignment="1">
      <alignment horizontal="center" vertical="center" wrapText="1"/>
    </xf>
    <xf numFmtId="0" fontId="24" fillId="4" borderId="46" xfId="0" applyFont="1" applyFill="1" applyBorder="1" applyAlignment="1">
      <alignment horizontal="center" vertical="center" wrapText="1"/>
    </xf>
    <xf numFmtId="0" fontId="24" fillId="4" borderId="20" xfId="0" applyFont="1" applyFill="1" applyBorder="1" applyAlignment="1">
      <alignment horizontal="center" vertical="center" wrapText="1"/>
    </xf>
    <xf numFmtId="0" fontId="24" fillId="4" borderId="23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5" fillId="4" borderId="31" xfId="0" quotePrefix="1" applyFont="1" applyFill="1" applyBorder="1" applyAlignment="1">
      <alignment horizontal="center" vertical="center" wrapText="1"/>
    </xf>
    <xf numFmtId="0" fontId="25" fillId="4" borderId="41" xfId="0" quotePrefix="1" applyFont="1" applyFill="1" applyBorder="1" applyAlignment="1">
      <alignment horizontal="center" vertical="center" wrapText="1"/>
    </xf>
    <xf numFmtId="0" fontId="24" fillId="4" borderId="31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 wrapText="1"/>
    </xf>
    <xf numFmtId="0" fontId="24" fillId="4" borderId="47" xfId="0" applyFont="1" applyFill="1" applyBorder="1" applyAlignment="1">
      <alignment horizontal="center" vertical="center" wrapText="1"/>
    </xf>
    <xf numFmtId="0" fontId="24" fillId="4" borderId="30" xfId="0" applyFont="1" applyFill="1" applyBorder="1" applyAlignment="1">
      <alignment horizontal="center" vertical="center" wrapText="1"/>
    </xf>
    <xf numFmtId="0" fontId="24" fillId="4" borderId="4" xfId="0" applyFont="1" applyFill="1" applyBorder="1" applyAlignment="1">
      <alignment horizontal="center" vertical="center" wrapText="1"/>
    </xf>
    <xf numFmtId="0" fontId="24" fillId="4" borderId="45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/>
    </xf>
    <xf numFmtId="0" fontId="24" fillId="4" borderId="28" xfId="0" applyFont="1" applyFill="1" applyBorder="1" applyAlignment="1">
      <alignment horizontal="center"/>
    </xf>
    <xf numFmtId="0" fontId="24" fillId="4" borderId="29" xfId="0" applyFont="1" applyFill="1" applyBorder="1" applyAlignment="1">
      <alignment horizontal="center"/>
    </xf>
    <xf numFmtId="0" fontId="25" fillId="4" borderId="30" xfId="0" quotePrefix="1" applyFont="1" applyFill="1" applyBorder="1" applyAlignment="1">
      <alignment horizontal="center" vertical="center" wrapText="1"/>
    </xf>
    <xf numFmtId="0" fontId="25" fillId="4" borderId="44" xfId="0" quotePrefix="1" applyFont="1" applyFill="1" applyBorder="1" applyAlignment="1">
      <alignment horizontal="center" vertical="center" wrapText="1"/>
    </xf>
    <xf numFmtId="0" fontId="25" fillId="4" borderId="2" xfId="0" quotePrefix="1" applyFont="1" applyFill="1" applyBorder="1" applyAlignment="1">
      <alignment horizontal="center" vertical="center" wrapText="1"/>
    </xf>
    <xf numFmtId="0" fontId="24" fillId="4" borderId="47" xfId="0" applyFont="1" applyFill="1" applyBorder="1" applyAlignment="1">
      <alignment horizontal="center"/>
    </xf>
    <xf numFmtId="0" fontId="24" fillId="4" borderId="32" xfId="0" applyFont="1" applyFill="1" applyBorder="1" applyAlignment="1">
      <alignment horizontal="center"/>
    </xf>
    <xf numFmtId="0" fontId="24" fillId="4" borderId="71" xfId="0" applyFont="1" applyFill="1" applyBorder="1" applyAlignment="1">
      <alignment horizontal="center"/>
    </xf>
    <xf numFmtId="0" fontId="24" fillId="4" borderId="31" xfId="0" applyFont="1" applyFill="1" applyBorder="1" applyAlignment="1">
      <alignment horizontal="center"/>
    </xf>
    <xf numFmtId="0" fontId="24" fillId="4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0" xfId="0" applyBorder="1" applyAlignment="1">
      <alignment horizontal="left" wrapText="1" indent="1"/>
    </xf>
    <xf numFmtId="0" fontId="0" fillId="0" borderId="21" xfId="0" applyBorder="1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4" xfId="0" applyBorder="1" applyAlignment="1">
      <alignment horizontal="left" wrapText="1" indent="1"/>
    </xf>
    <xf numFmtId="0" fontId="28" fillId="0" borderId="0" xfId="0" applyFont="1" applyAlignment="1">
      <alignment horizontal="center"/>
    </xf>
    <xf numFmtId="165" fontId="20" fillId="9" borderId="1" xfId="0" applyNumberFormat="1" applyFont="1" applyFill="1" applyBorder="1" applyAlignment="1">
      <alignment horizontal="center" vertical="center"/>
    </xf>
  </cellXfs>
  <cellStyles count="5">
    <cellStyle name="Good" xfId="2" builtinId="26"/>
    <cellStyle name="Input" xfId="1" builtinId="20"/>
    <cellStyle name="Neutral" xfId="3" builtinId="28"/>
    <cellStyle name="Normal" xfId="0" builtinId="0"/>
    <cellStyle name="Percent" xfId="4" builtinId="5"/>
  </cellStyles>
  <dxfs count="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00CC"/>
      <color rgb="FFFF00FF"/>
      <color rgb="FFCC00CC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215525</xdr:colOff>
      <xdr:row>32</xdr:row>
      <xdr:rowOff>70205</xdr:rowOff>
    </xdr:from>
    <xdr:to>
      <xdr:col>21</xdr:col>
      <xdr:colOff>542830</xdr:colOff>
      <xdr:row>33</xdr:row>
      <xdr:rowOff>146538</xdr:rowOff>
    </xdr:to>
    <xdr:sp macro="[0]!MirrorVKBTCOT" textlink="">
      <xdr:nvSpPr>
        <xdr:cNvPr id="2" name="Rectangle 1">
          <a:extLst>
            <a:ext uri="{FF2B5EF4-FFF2-40B4-BE49-F238E27FC236}">
              <a16:creationId xmlns:a16="http://schemas.microsoft.com/office/drawing/2014/main" id="{851C6550-3937-46F3-97F8-10374A2FEADC}"/>
            </a:ext>
          </a:extLst>
        </xdr:cNvPr>
        <xdr:cNvSpPr/>
      </xdr:nvSpPr>
      <xdr:spPr>
        <a:xfrm>
          <a:off x="12114448" y="4642205"/>
          <a:ext cx="972074" cy="2668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MIRROR</a:t>
          </a:r>
          <a:r>
            <a:rPr lang="en-US" sz="1100" baseline="0"/>
            <a:t> CỘT</a:t>
          </a:r>
          <a:endParaRPr lang="en-US" sz="1100"/>
        </a:p>
      </xdr:txBody>
    </xdr:sp>
    <xdr:clientData/>
  </xdr:twoCellAnchor>
  <xdr:twoCellAnchor>
    <xdr:from>
      <xdr:col>22</xdr:col>
      <xdr:colOff>424962</xdr:colOff>
      <xdr:row>32</xdr:row>
      <xdr:rowOff>57024</xdr:rowOff>
    </xdr:from>
    <xdr:to>
      <xdr:col>24</xdr:col>
      <xdr:colOff>107499</xdr:colOff>
      <xdr:row>33</xdr:row>
      <xdr:rowOff>168519</xdr:rowOff>
    </xdr:to>
    <xdr:sp macro="[0]!MirrorVKBTKEO" textlink="">
      <xdr:nvSpPr>
        <xdr:cNvPr id="4" name="Rectangle 3">
          <a:extLst>
            <a:ext uri="{FF2B5EF4-FFF2-40B4-BE49-F238E27FC236}">
              <a16:creationId xmlns:a16="http://schemas.microsoft.com/office/drawing/2014/main" id="{77B56FB8-AEE7-486B-BE35-A9B63026F862}"/>
            </a:ext>
          </a:extLst>
        </xdr:cNvPr>
        <xdr:cNvSpPr/>
      </xdr:nvSpPr>
      <xdr:spPr>
        <a:xfrm>
          <a:off x="13613424" y="4629024"/>
          <a:ext cx="972075" cy="30199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MIRROR</a:t>
          </a:r>
          <a:r>
            <a:rPr lang="en-US" sz="1100" baseline="0"/>
            <a:t> KÈO</a:t>
          </a:r>
          <a:endParaRPr lang="en-US" sz="1100"/>
        </a:p>
      </xdr:txBody>
    </xdr:sp>
    <xdr:clientData/>
  </xdr:twoCellAnchor>
  <xdr:twoCellAnchor editAs="oneCell">
    <xdr:from>
      <xdr:col>26</xdr:col>
      <xdr:colOff>395718</xdr:colOff>
      <xdr:row>12</xdr:row>
      <xdr:rowOff>31538</xdr:rowOff>
    </xdr:from>
    <xdr:to>
      <xdr:col>36</xdr:col>
      <xdr:colOff>487720</xdr:colOff>
      <xdr:row>27</xdr:row>
      <xdr:rowOff>158568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57FC41-1C7B-C60F-09D7-E3E0F8402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77506" y="2317538"/>
          <a:ext cx="5411348" cy="14605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552780</xdr:colOff>
      <xdr:row>24</xdr:row>
      <xdr:rowOff>145988</xdr:rowOff>
    </xdr:from>
    <xdr:to>
      <xdr:col>19</xdr:col>
      <xdr:colOff>628180</xdr:colOff>
      <xdr:row>26</xdr:row>
      <xdr:rowOff>157370</xdr:rowOff>
    </xdr:to>
    <xdr:sp macro="[0]!MirrorVKBT" textlink="">
      <xdr:nvSpPr>
        <xdr:cNvPr id="3" name="Rectangle 2">
          <a:extLst>
            <a:ext uri="{FF2B5EF4-FFF2-40B4-BE49-F238E27FC236}">
              <a16:creationId xmlns:a16="http://schemas.microsoft.com/office/drawing/2014/main" id="{313E8F2C-C318-4274-A461-6ACE302AB779}"/>
            </a:ext>
          </a:extLst>
        </xdr:cNvPr>
        <xdr:cNvSpPr/>
      </xdr:nvSpPr>
      <xdr:spPr>
        <a:xfrm>
          <a:off x="10980584" y="3003488"/>
          <a:ext cx="1367487" cy="3923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MIRROR</a:t>
          </a:r>
          <a:r>
            <a:rPr lang="en-US" sz="1600" baseline="0"/>
            <a:t> KÈO</a:t>
          </a:r>
          <a:endParaRPr lang="en-US" sz="1600"/>
        </a:p>
      </xdr:txBody>
    </xdr:sp>
    <xdr:clientData/>
  </xdr:twoCellAnchor>
  <xdr:twoCellAnchor>
    <xdr:from>
      <xdr:col>17</xdr:col>
      <xdr:colOff>597547</xdr:colOff>
      <xdr:row>28</xdr:row>
      <xdr:rowOff>74015</xdr:rowOff>
    </xdr:from>
    <xdr:to>
      <xdr:col>19</xdr:col>
      <xdr:colOff>581838</xdr:colOff>
      <xdr:row>30</xdr:row>
      <xdr:rowOff>41413</xdr:rowOff>
    </xdr:to>
    <xdr:sp macro="[0]!MirrorVKGBTCOT" textlink="">
      <xdr:nvSpPr>
        <xdr:cNvPr id="2" name="Rectangle 1">
          <a:extLst>
            <a:ext uri="{FF2B5EF4-FFF2-40B4-BE49-F238E27FC236}">
              <a16:creationId xmlns:a16="http://schemas.microsoft.com/office/drawing/2014/main" id="{C7CCF290-D0F1-4D05-AED5-8525C03240BD}"/>
            </a:ext>
          </a:extLst>
        </xdr:cNvPr>
        <xdr:cNvSpPr/>
      </xdr:nvSpPr>
      <xdr:spPr>
        <a:xfrm>
          <a:off x="11025351" y="3693515"/>
          <a:ext cx="1276378" cy="34839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MIRROR</a:t>
          </a:r>
          <a:r>
            <a:rPr lang="en-US" sz="1600" baseline="0"/>
            <a:t> CỘT</a:t>
          </a:r>
          <a:endParaRPr 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414130</xdr:colOff>
      <xdr:row>38</xdr:row>
      <xdr:rowOff>3714</xdr:rowOff>
    </xdr:from>
    <xdr:to>
      <xdr:col>5</xdr:col>
      <xdr:colOff>149088</xdr:colOff>
      <xdr:row>39</xdr:row>
      <xdr:rowOff>107674</xdr:rowOff>
    </xdr:to>
    <xdr:sp macro="[0]!MirrorVK3BT" textlink="">
      <xdr:nvSpPr>
        <xdr:cNvPr id="2" name="Rectangle 1">
          <a:extLst>
            <a:ext uri="{FF2B5EF4-FFF2-40B4-BE49-F238E27FC236}">
              <a16:creationId xmlns:a16="http://schemas.microsoft.com/office/drawing/2014/main" id="{20766CDB-8255-4EA1-BAFA-AC1D4AE87A49}"/>
            </a:ext>
          </a:extLst>
        </xdr:cNvPr>
        <xdr:cNvSpPr/>
      </xdr:nvSpPr>
      <xdr:spPr>
        <a:xfrm>
          <a:off x="1842880" y="5947314"/>
          <a:ext cx="954158" cy="30398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KÈO</a:t>
          </a:r>
          <a:endParaRPr lang="en-US" sz="1100"/>
        </a:p>
      </xdr:txBody>
    </xdr:sp>
    <xdr:clientData/>
  </xdr:twoCellAnchor>
  <xdr:twoCellAnchor>
    <xdr:from>
      <xdr:col>5</xdr:col>
      <xdr:colOff>600808</xdr:colOff>
      <xdr:row>38</xdr:row>
      <xdr:rowOff>0</xdr:rowOff>
    </xdr:from>
    <xdr:to>
      <xdr:col>7</xdr:col>
      <xdr:colOff>335766</xdr:colOff>
      <xdr:row>39</xdr:row>
      <xdr:rowOff>103960</xdr:rowOff>
    </xdr:to>
    <xdr:sp macro="[0]!MirrorVK3BTCOT" textlink="">
      <xdr:nvSpPr>
        <xdr:cNvPr id="3" name="Rectangle 2">
          <a:extLst>
            <a:ext uri="{FF2B5EF4-FFF2-40B4-BE49-F238E27FC236}">
              <a16:creationId xmlns:a16="http://schemas.microsoft.com/office/drawing/2014/main" id="{D3C3E61C-FF51-4C8C-820A-1C8074BFAA12}"/>
            </a:ext>
          </a:extLst>
        </xdr:cNvPr>
        <xdr:cNvSpPr/>
      </xdr:nvSpPr>
      <xdr:spPr>
        <a:xfrm>
          <a:off x="3245827" y="5934808"/>
          <a:ext cx="951227" cy="30178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MIRROW</a:t>
          </a:r>
          <a:r>
            <a:rPr lang="en-US" sz="1100" baseline="0"/>
            <a:t> CỘT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C3D5-9914-48F2-9DB7-B1DCDDBAA579}">
  <sheetPr codeName="Sheet1"/>
  <dimension ref="A1:D28"/>
  <sheetViews>
    <sheetView showGridLines="0" topLeftCell="A3" zoomScale="175" zoomScaleNormal="175" workbookViewId="0">
      <selection activeCell="G16" sqref="G16"/>
    </sheetView>
  </sheetViews>
  <sheetFormatPr defaultRowHeight="15" x14ac:dyDescent="0.25"/>
  <sheetData>
    <row r="1" spans="1:4" ht="15" customHeight="1" x14ac:dyDescent="0.25">
      <c r="A1" s="2" t="s">
        <v>17</v>
      </c>
      <c r="B1" s="2" t="s">
        <v>23</v>
      </c>
      <c r="C1" s="235" t="s">
        <v>60</v>
      </c>
      <c r="D1" s="2" t="s">
        <v>95</v>
      </c>
    </row>
    <row r="2" spans="1:4" ht="15" customHeight="1" x14ac:dyDescent="0.25">
      <c r="A2" s="1" t="s">
        <v>9</v>
      </c>
      <c r="B2" s="1">
        <v>12</v>
      </c>
      <c r="C2" s="236"/>
      <c r="D2" s="172" t="s">
        <v>186</v>
      </c>
    </row>
    <row r="3" spans="1:4" ht="15" customHeight="1" x14ac:dyDescent="0.25">
      <c r="A3" s="1" t="s">
        <v>58</v>
      </c>
      <c r="B3" s="1">
        <v>16</v>
      </c>
      <c r="C3" s="173" t="s">
        <v>145</v>
      </c>
      <c r="D3" s="172" t="s">
        <v>187</v>
      </c>
    </row>
    <row r="4" spans="1:4" ht="15" customHeight="1" x14ac:dyDescent="0.25">
      <c r="A4" s="1" t="s">
        <v>6</v>
      </c>
      <c r="B4" s="1">
        <v>20</v>
      </c>
      <c r="C4" s="173" t="s">
        <v>146</v>
      </c>
      <c r="D4" s="172" t="s">
        <v>188</v>
      </c>
    </row>
    <row r="5" spans="1:4" ht="15" customHeight="1" x14ac:dyDescent="0.25">
      <c r="A5" s="1" t="s">
        <v>10</v>
      </c>
      <c r="B5" s="1">
        <v>24</v>
      </c>
      <c r="C5" s="136" t="s">
        <v>139</v>
      </c>
    </row>
    <row r="6" spans="1:4" ht="15" customHeight="1" x14ac:dyDescent="0.25">
      <c r="A6" s="1" t="s">
        <v>11</v>
      </c>
      <c r="B6" s="1">
        <v>27</v>
      </c>
      <c r="C6" s="136" t="s">
        <v>141</v>
      </c>
    </row>
    <row r="7" spans="1:4" ht="15" customHeight="1" x14ac:dyDescent="0.25">
      <c r="A7" s="1" t="s">
        <v>12</v>
      </c>
      <c r="B7" s="1">
        <v>30</v>
      </c>
      <c r="C7" s="136" t="s">
        <v>147</v>
      </c>
    </row>
    <row r="8" spans="1:4" ht="15" customHeight="1" x14ac:dyDescent="0.25">
      <c r="A8" s="1" t="s">
        <v>13</v>
      </c>
      <c r="B8" s="1">
        <v>36</v>
      </c>
      <c r="C8" s="136" t="s">
        <v>148</v>
      </c>
    </row>
    <row r="9" spans="1:4" ht="15" customHeight="1" x14ac:dyDescent="0.25">
      <c r="A9" s="1" t="s">
        <v>14</v>
      </c>
      <c r="B9" s="1">
        <v>42</v>
      </c>
      <c r="C9" s="136" t="s">
        <v>150</v>
      </c>
    </row>
    <row r="10" spans="1:4" ht="15" customHeight="1" x14ac:dyDescent="0.25">
      <c r="A10" s="1" t="s">
        <v>8</v>
      </c>
      <c r="C10" s="136" t="s">
        <v>140</v>
      </c>
    </row>
    <row r="11" spans="1:4" ht="15" customHeight="1" x14ac:dyDescent="0.25">
      <c r="A11" s="1" t="s">
        <v>15</v>
      </c>
      <c r="C11" s="136" t="s">
        <v>143</v>
      </c>
    </row>
    <row r="12" spans="1:4" ht="15" customHeight="1" x14ac:dyDescent="0.25">
      <c r="A12" s="1" t="s">
        <v>16</v>
      </c>
      <c r="C12" s="136" t="s">
        <v>149</v>
      </c>
    </row>
    <row r="13" spans="1:4" ht="15" customHeight="1" x14ac:dyDescent="0.25">
      <c r="C13" s="136" t="s">
        <v>151</v>
      </c>
    </row>
    <row r="14" spans="1:4" ht="15" customHeight="1" x14ac:dyDescent="0.25">
      <c r="C14" s="136" t="s">
        <v>152</v>
      </c>
    </row>
    <row r="15" spans="1:4" ht="15" customHeight="1" x14ac:dyDescent="0.25">
      <c r="A15" s="36"/>
      <c r="C15" s="136" t="s">
        <v>142</v>
      </c>
    </row>
    <row r="16" spans="1:4" ht="15" customHeight="1" x14ac:dyDescent="0.25">
      <c r="A16" s="35"/>
      <c r="C16" s="136" t="s">
        <v>144</v>
      </c>
    </row>
    <row r="17" spans="3:3" ht="15" customHeight="1" x14ac:dyDescent="0.25">
      <c r="C17" s="1" t="s">
        <v>153</v>
      </c>
    </row>
    <row r="18" spans="3:3" ht="15" customHeight="1" x14ac:dyDescent="0.25">
      <c r="C18" s="1" t="s">
        <v>154</v>
      </c>
    </row>
    <row r="19" spans="3:3" ht="15" customHeight="1" x14ac:dyDescent="0.25">
      <c r="C19" s="1" t="s">
        <v>155</v>
      </c>
    </row>
    <row r="20" spans="3:3" ht="15" customHeight="1" x14ac:dyDescent="0.25"/>
    <row r="21" spans="3:3" ht="15" customHeight="1" x14ac:dyDescent="0.25"/>
    <row r="22" spans="3:3" ht="15" customHeight="1" x14ac:dyDescent="0.25"/>
    <row r="23" spans="3:3" ht="15" customHeight="1" x14ac:dyDescent="0.25"/>
    <row r="24" spans="3:3" ht="15" customHeight="1" x14ac:dyDescent="0.25"/>
    <row r="25" spans="3:3" ht="15" customHeight="1" x14ac:dyDescent="0.25"/>
    <row r="26" spans="3:3" ht="15" customHeight="1" x14ac:dyDescent="0.25"/>
    <row r="27" spans="3:3" ht="15" customHeight="1" x14ac:dyDescent="0.25"/>
    <row r="28" spans="3:3" ht="15" customHeight="1" x14ac:dyDescent="0.25"/>
  </sheetData>
  <mergeCells count="1">
    <mergeCell ref="C1:C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0BA03-8CF6-4111-AF88-A56135D3412D}">
  <sheetPr codeName="Sheet17">
    <tabColor rgb="FF7030A0"/>
  </sheetPr>
  <dimension ref="B1:Y56"/>
  <sheetViews>
    <sheetView showGridLines="0" tabSelected="1" zoomScale="130" zoomScaleNormal="130" workbookViewId="0">
      <selection activeCell="N11" sqref="N11"/>
    </sheetView>
  </sheetViews>
  <sheetFormatPr defaultRowHeight="15" x14ac:dyDescent="0.25"/>
  <cols>
    <col min="1" max="1" width="3.140625" customWidth="1"/>
    <col min="2" max="3" width="9.140625" customWidth="1"/>
    <col min="4" max="4" width="9.42578125" bestFit="1" customWidth="1"/>
    <col min="5" max="15" width="9.140625" customWidth="1"/>
    <col min="16" max="16" width="11.5703125" customWidth="1"/>
    <col min="17" max="17" width="9.140625" customWidth="1"/>
    <col min="18" max="24" width="9.7109375" customWidth="1"/>
    <col min="25" max="34" width="7.7109375" customWidth="1"/>
  </cols>
  <sheetData>
    <row r="1" spans="2:24" ht="15" customHeight="1" x14ac:dyDescent="0.25">
      <c r="B1" s="212" t="s">
        <v>55</v>
      </c>
      <c r="C1" s="212"/>
      <c r="D1" s="212"/>
      <c r="E1" s="212"/>
      <c r="F1" s="212"/>
      <c r="G1" s="212"/>
      <c r="H1" s="213" t="s">
        <v>117</v>
      </c>
      <c r="I1" s="213"/>
      <c r="J1" s="213"/>
      <c r="K1" s="213"/>
      <c r="L1" s="211" t="s">
        <v>97</v>
      </c>
      <c r="M1" s="211"/>
      <c r="P1" s="248" t="s">
        <v>114</v>
      </c>
      <c r="Q1" s="249"/>
      <c r="R1" s="249"/>
      <c r="S1" s="249"/>
      <c r="T1" s="249"/>
      <c r="U1" s="249"/>
      <c r="V1" s="249"/>
      <c r="W1" s="249"/>
      <c r="X1" s="92"/>
    </row>
    <row r="2" spans="2:24" ht="15" customHeight="1" x14ac:dyDescent="0.25">
      <c r="B2" s="212"/>
      <c r="C2" s="212"/>
      <c r="D2" s="212"/>
      <c r="E2" s="212"/>
      <c r="F2" s="212"/>
      <c r="G2" s="212"/>
      <c r="H2" s="213"/>
      <c r="I2" s="213"/>
      <c r="J2" s="213"/>
      <c r="K2" s="213"/>
      <c r="L2" s="211"/>
      <c r="M2" s="211"/>
      <c r="P2" s="250"/>
      <c r="Q2" s="251"/>
      <c r="R2" s="251"/>
      <c r="S2" s="251"/>
      <c r="T2" s="251"/>
      <c r="U2" s="251"/>
      <c r="V2" s="251"/>
      <c r="W2" s="251"/>
      <c r="X2" s="95"/>
    </row>
    <row r="3" spans="2:24" ht="15" customHeight="1" x14ac:dyDescent="0.25">
      <c r="H3" s="99"/>
      <c r="I3" s="99"/>
      <c r="J3" s="99"/>
      <c r="K3" s="99"/>
      <c r="L3" s="99"/>
      <c r="M3" s="99"/>
      <c r="N3" s="242"/>
      <c r="O3" s="242"/>
      <c r="P3" s="93"/>
      <c r="Q3" s="94"/>
      <c r="R3" s="94"/>
      <c r="S3" s="94"/>
      <c r="T3" s="94"/>
      <c r="U3" s="94"/>
      <c r="V3" s="94"/>
      <c r="W3" s="94"/>
      <c r="X3" s="95"/>
    </row>
    <row r="4" spans="2:24" ht="15" customHeight="1" x14ac:dyDescent="0.25">
      <c r="B4" s="20" t="s">
        <v>24</v>
      </c>
      <c r="C4" s="7"/>
      <c r="D4" s="7"/>
      <c r="E4" s="7"/>
      <c r="F4" s="17">
        <v>200</v>
      </c>
      <c r="G4" s="8"/>
      <c r="H4" s="21" t="s">
        <v>5</v>
      </c>
      <c r="I4" s="10"/>
      <c r="J4" s="10"/>
      <c r="K4" s="11" t="s">
        <v>6</v>
      </c>
      <c r="L4" s="11">
        <v>1200</v>
      </c>
      <c r="M4" s="137" t="s">
        <v>158</v>
      </c>
      <c r="N4" s="17">
        <v>50</v>
      </c>
      <c r="O4" s="8"/>
      <c r="P4" s="188" t="s">
        <v>62</v>
      </c>
      <c r="Q4" s="187" t="s">
        <v>195</v>
      </c>
      <c r="R4" s="187" t="s">
        <v>183</v>
      </c>
      <c r="S4" s="187" t="s">
        <v>184</v>
      </c>
      <c r="T4" s="187" t="s">
        <v>185</v>
      </c>
      <c r="U4" s="187" t="s">
        <v>189</v>
      </c>
      <c r="V4" s="187" t="s">
        <v>190</v>
      </c>
      <c r="W4" s="94"/>
      <c r="X4" s="95"/>
    </row>
    <row r="5" spans="2:24" ht="15" customHeight="1" x14ac:dyDescent="0.25">
      <c r="B5" s="21" t="s">
        <v>0</v>
      </c>
      <c r="C5" s="10"/>
      <c r="D5" s="10"/>
      <c r="E5" s="10"/>
      <c r="F5" s="41">
        <v>0</v>
      </c>
      <c r="G5" s="12" t="s">
        <v>4</v>
      </c>
      <c r="H5" s="21" t="s">
        <v>7</v>
      </c>
      <c r="I5" s="10"/>
      <c r="J5" s="10"/>
      <c r="K5" s="11" t="s">
        <v>6</v>
      </c>
      <c r="L5" s="11">
        <v>1200</v>
      </c>
      <c r="M5" s="10"/>
      <c r="N5" s="10"/>
      <c r="O5" s="12"/>
      <c r="P5" s="188"/>
      <c r="Q5" s="188"/>
      <c r="R5" s="187"/>
      <c r="S5" s="188"/>
      <c r="T5" s="188"/>
      <c r="U5" s="188"/>
      <c r="V5" s="188"/>
      <c r="W5" s="94"/>
      <c r="X5" s="95"/>
    </row>
    <row r="6" spans="2:24" ht="15" customHeight="1" x14ac:dyDescent="0.25">
      <c r="B6" s="21" t="s">
        <v>110</v>
      </c>
      <c r="C6" s="67"/>
      <c r="D6" s="67"/>
      <c r="E6" s="67"/>
      <c r="F6" s="41" t="s">
        <v>111</v>
      </c>
      <c r="G6" s="91"/>
      <c r="H6" s="22" t="s">
        <v>112</v>
      </c>
      <c r="I6" s="18"/>
      <c r="J6" s="18"/>
      <c r="K6" s="11">
        <v>200</v>
      </c>
      <c r="L6" s="10" t="s">
        <v>4</v>
      </c>
      <c r="M6" s="243"/>
      <c r="N6" s="243"/>
      <c r="O6" s="244"/>
      <c r="P6" s="170" t="s">
        <v>196</v>
      </c>
      <c r="Q6" s="3">
        <v>300</v>
      </c>
      <c r="R6" s="171">
        <v>4</v>
      </c>
      <c r="S6" s="45" t="s">
        <v>188</v>
      </c>
      <c r="T6" s="45">
        <v>20</v>
      </c>
      <c r="U6" s="199">
        <v>16</v>
      </c>
      <c r="V6" s="199">
        <v>10</v>
      </c>
      <c r="X6" s="62"/>
    </row>
    <row r="7" spans="2:24" ht="15" customHeight="1" x14ac:dyDescent="0.25">
      <c r="B7" s="66" t="str">
        <f>"+ Chiều cao đỉnh mái biên trái"</f>
        <v>+ Chiều cao đỉnh mái biên trái</v>
      </c>
      <c r="C7" s="67"/>
      <c r="D7" s="67"/>
      <c r="E7" s="67"/>
      <c r="F7" s="41">
        <v>9000</v>
      </c>
      <c r="G7" s="68" t="s">
        <v>4</v>
      </c>
      <c r="H7" s="22" t="s">
        <v>113</v>
      </c>
      <c r="I7" s="10"/>
      <c r="J7" s="10"/>
      <c r="K7" s="11">
        <f>K6</f>
        <v>200</v>
      </c>
      <c r="L7" s="10" t="s">
        <v>4</v>
      </c>
      <c r="M7" s="243"/>
      <c r="N7" s="243"/>
      <c r="O7" s="244"/>
      <c r="P7" s="170" t="s">
        <v>197</v>
      </c>
      <c r="Q7" s="39">
        <f>Q6</f>
        <v>300</v>
      </c>
      <c r="R7" s="171">
        <f>R6</f>
        <v>4</v>
      </c>
      <c r="S7" s="39" t="str">
        <f t="shared" ref="S7:T7" si="0">S6</f>
        <v>J</v>
      </c>
      <c r="T7" s="290">
        <f t="shared" si="0"/>
        <v>20</v>
      </c>
      <c r="U7" s="200"/>
      <c r="V7" s="200"/>
      <c r="X7" s="62"/>
    </row>
    <row r="8" spans="2:24" ht="15" customHeight="1" x14ac:dyDescent="0.25">
      <c r="B8" s="66" t="str">
        <f>"+ Chiều cao đỉnh mái ở giữa"</f>
        <v>+ Chiều cao đỉnh mái ở giữa</v>
      </c>
      <c r="C8" s="67"/>
      <c r="D8" s="67"/>
      <c r="E8" s="67"/>
      <c r="F8" s="41">
        <v>12000</v>
      </c>
      <c r="G8" s="68" t="s">
        <v>4</v>
      </c>
      <c r="H8" s="21" t="s">
        <v>156</v>
      </c>
      <c r="I8" s="10"/>
      <c r="J8" s="10"/>
      <c r="K8" s="11" t="s">
        <v>157</v>
      </c>
      <c r="L8" s="10"/>
      <c r="M8" s="100"/>
      <c r="N8" s="10"/>
      <c r="O8" s="12"/>
      <c r="P8" s="240" t="s">
        <v>161</v>
      </c>
      <c r="Q8" s="240"/>
      <c r="R8" s="39">
        <f>R6</f>
        <v>4</v>
      </c>
      <c r="S8" s="39" t="str">
        <f t="shared" ref="S8:V8" si="1">S6</f>
        <v>J</v>
      </c>
      <c r="T8" s="290">
        <f t="shared" si="1"/>
        <v>20</v>
      </c>
      <c r="U8" s="39">
        <f t="shared" si="1"/>
        <v>16</v>
      </c>
      <c r="V8" s="39">
        <f t="shared" si="1"/>
        <v>10</v>
      </c>
      <c r="X8" s="62"/>
    </row>
    <row r="9" spans="2:24" ht="15" customHeight="1" x14ac:dyDescent="0.25">
      <c r="B9" s="66" t="str">
        <f>"+ Chiều cao đỉnh mái biên phải"</f>
        <v>+ Chiều cao đỉnh mái biên phải</v>
      </c>
      <c r="C9" s="67"/>
      <c r="D9" s="67"/>
      <c r="E9" s="67"/>
      <c r="F9" s="41">
        <v>9000</v>
      </c>
      <c r="G9" s="68" t="s">
        <v>4</v>
      </c>
      <c r="H9" s="22"/>
      <c r="I9" s="10"/>
      <c r="J9" s="10"/>
      <c r="K9" s="11"/>
      <c r="L9" s="10"/>
      <c r="M9" s="10"/>
      <c r="N9" s="10"/>
      <c r="O9" s="12"/>
      <c r="P9" s="245"/>
      <c r="Q9" s="246"/>
      <c r="R9" s="246"/>
      <c r="S9" s="185"/>
      <c r="T9" s="186"/>
      <c r="U9" s="169"/>
      <c r="X9" s="62"/>
    </row>
    <row r="10" spans="2:24" ht="15" customHeight="1" x14ac:dyDescent="0.25">
      <c r="B10" s="43" t="s">
        <v>72</v>
      </c>
      <c r="C10" s="10"/>
      <c r="D10" s="10"/>
      <c r="E10" s="10"/>
      <c r="F10" s="19" t="s">
        <v>191</v>
      </c>
      <c r="G10" s="12"/>
      <c r="H10" s="21" t="s">
        <v>33</v>
      </c>
      <c r="I10" s="10"/>
      <c r="J10" s="10"/>
      <c r="K10" s="168" t="s">
        <v>180</v>
      </c>
      <c r="L10" s="10"/>
      <c r="M10" s="10"/>
      <c r="N10" s="10"/>
      <c r="O10" s="12"/>
      <c r="P10" s="9"/>
      <c r="Q10" s="10"/>
      <c r="R10" s="10"/>
      <c r="S10" s="10"/>
      <c r="T10" s="10"/>
      <c r="U10" s="12"/>
      <c r="X10" s="62"/>
    </row>
    <row r="11" spans="2:24" ht="15" customHeight="1" x14ac:dyDescent="0.25">
      <c r="B11" s="43" t="s">
        <v>75</v>
      </c>
      <c r="C11" s="10"/>
      <c r="D11" s="10"/>
      <c r="E11" s="10"/>
      <c r="F11" s="41">
        <v>50</v>
      </c>
      <c r="G11" s="12"/>
      <c r="H11" s="21" t="s">
        <v>32</v>
      </c>
      <c r="I11" s="10"/>
      <c r="J11" s="10"/>
      <c r="K11" s="168" t="s">
        <v>180</v>
      </c>
      <c r="L11" s="10"/>
      <c r="M11" s="10"/>
      <c r="N11" s="10"/>
      <c r="O11" s="12"/>
      <c r="P11" s="9"/>
      <c r="Q11" s="10"/>
      <c r="R11" s="10"/>
      <c r="S11" s="11"/>
      <c r="T11" s="10"/>
      <c r="U11" s="12"/>
      <c r="W11" s="6"/>
      <c r="X11" s="63"/>
    </row>
    <row r="12" spans="2:24" ht="15" customHeight="1" x14ac:dyDescent="0.25">
      <c r="B12" s="21" t="s">
        <v>25</v>
      </c>
      <c r="C12" s="10"/>
      <c r="D12" s="10"/>
      <c r="E12" s="10"/>
      <c r="F12" s="13">
        <f>SUM(C30:C39)</f>
        <v>39450</v>
      </c>
      <c r="G12" s="84">
        <f>(F8-F7)/F12</f>
        <v>7.6045627376425853E-2</v>
      </c>
      <c r="H12" s="24" t="s">
        <v>178</v>
      </c>
      <c r="I12" s="10"/>
      <c r="J12" s="10"/>
      <c r="K12" s="11" t="s">
        <v>34</v>
      </c>
      <c r="L12" s="23" t="str">
        <f>IF(K12="Total","Chiều cao tổng","Chiều cao bụng")</f>
        <v>Chiều cao tổng</v>
      </c>
      <c r="M12" s="10"/>
      <c r="N12" s="10"/>
      <c r="O12" s="12"/>
      <c r="P12" s="9"/>
      <c r="Q12" s="10"/>
      <c r="R12" s="10"/>
      <c r="S12" s="11"/>
      <c r="T12" s="10"/>
      <c r="U12" s="12"/>
      <c r="W12" s="6"/>
      <c r="X12" s="63"/>
    </row>
    <row r="13" spans="2:24" x14ac:dyDescent="0.25">
      <c r="B13" s="21" t="s">
        <v>26</v>
      </c>
      <c r="C13" s="10"/>
      <c r="D13" s="10"/>
      <c r="E13" s="10"/>
      <c r="F13" s="13">
        <f>SUM(C41:C50)</f>
        <v>39450</v>
      </c>
      <c r="G13" s="84">
        <f>(F8-F9)/F13</f>
        <v>7.6045627376425853E-2</v>
      </c>
      <c r="H13" s="10"/>
      <c r="I13" s="10"/>
      <c r="J13" s="10"/>
      <c r="K13" s="10"/>
      <c r="L13" s="10"/>
      <c r="M13" s="10"/>
      <c r="N13" s="10"/>
      <c r="O13" s="12"/>
      <c r="P13" s="9"/>
      <c r="Q13" s="10"/>
      <c r="R13" s="10"/>
      <c r="S13" s="11"/>
      <c r="T13" s="10"/>
      <c r="U13" s="12"/>
      <c r="X13" s="62"/>
    </row>
    <row r="14" spans="2:24" x14ac:dyDescent="0.25">
      <c r="B14" s="21" t="s">
        <v>43</v>
      </c>
      <c r="C14" s="10"/>
      <c r="D14" s="10"/>
      <c r="E14" s="10"/>
      <c r="F14" s="19">
        <f>F12+F13</f>
        <v>78900</v>
      </c>
      <c r="G14" s="12" t="s">
        <v>4</v>
      </c>
      <c r="H14" s="10"/>
      <c r="I14" s="10"/>
      <c r="J14" s="10"/>
      <c r="K14" s="10"/>
      <c r="L14" s="10"/>
      <c r="M14" s="10"/>
      <c r="N14" s="10"/>
      <c r="O14" s="12"/>
      <c r="P14" s="9"/>
      <c r="Q14" s="10"/>
      <c r="R14" s="10"/>
      <c r="S14" s="32"/>
      <c r="T14" s="10"/>
      <c r="U14" s="12"/>
      <c r="X14" s="62"/>
    </row>
    <row r="15" spans="2:24" hidden="1" x14ac:dyDescent="0.25">
      <c r="H15" s="9"/>
      <c r="I15" s="10"/>
      <c r="J15" s="10"/>
      <c r="K15" s="10"/>
      <c r="L15" s="10"/>
      <c r="M15" s="10"/>
      <c r="N15" s="10"/>
      <c r="O15" s="12"/>
      <c r="P15" s="9"/>
      <c r="Q15" s="10"/>
      <c r="R15" s="10"/>
      <c r="S15" s="10"/>
      <c r="T15" s="10"/>
      <c r="U15" s="12"/>
      <c r="V15" s="64"/>
      <c r="W15" s="64"/>
      <c r="X15" s="65"/>
    </row>
    <row r="16" spans="2:24" hidden="1" x14ac:dyDescent="0.25">
      <c r="H16" s="9"/>
      <c r="I16" s="10"/>
      <c r="J16" s="10"/>
      <c r="K16" s="10"/>
      <c r="L16" s="10"/>
      <c r="M16" s="10"/>
      <c r="N16" s="10"/>
      <c r="O16" s="12"/>
      <c r="P16" s="9"/>
      <c r="Q16" s="10"/>
      <c r="R16" s="10"/>
      <c r="S16" s="10"/>
      <c r="T16" s="10"/>
      <c r="U16" s="12"/>
    </row>
    <row r="17" spans="2:25" hidden="1" x14ac:dyDescent="0.25">
      <c r="H17" s="9"/>
      <c r="I17" s="10"/>
      <c r="J17" s="10"/>
      <c r="K17" s="10"/>
      <c r="L17" s="10"/>
      <c r="M17" s="10"/>
      <c r="N17" s="10"/>
      <c r="O17" s="12"/>
      <c r="P17" s="9"/>
      <c r="Q17" s="10"/>
      <c r="R17" s="10"/>
      <c r="S17" s="10"/>
      <c r="T17" s="10"/>
      <c r="U17" s="12"/>
    </row>
    <row r="18" spans="2:25" hidden="1" x14ac:dyDescent="0.25">
      <c r="B18" s="9"/>
      <c r="C18" s="10"/>
      <c r="D18" s="10"/>
      <c r="E18" s="10"/>
      <c r="F18" s="10"/>
      <c r="G18" s="12"/>
      <c r="H18" s="9"/>
      <c r="I18" s="10"/>
      <c r="J18" s="10"/>
      <c r="K18" s="10"/>
      <c r="L18" s="10"/>
      <c r="M18" s="10"/>
      <c r="N18" s="10"/>
      <c r="O18" s="12"/>
      <c r="P18" s="9"/>
      <c r="Q18" s="10"/>
      <c r="R18" s="10"/>
      <c r="S18" s="10"/>
      <c r="T18" s="10"/>
      <c r="U18" s="12"/>
    </row>
    <row r="19" spans="2:25" ht="15" hidden="1" customHeight="1" x14ac:dyDescent="0.25">
      <c r="B19" s="9"/>
      <c r="C19" s="10"/>
      <c r="D19" s="10"/>
      <c r="E19" s="10"/>
      <c r="F19" s="10"/>
      <c r="G19" s="12"/>
      <c r="H19" s="9"/>
      <c r="I19" s="10"/>
      <c r="J19" s="10"/>
      <c r="K19" s="10"/>
      <c r="L19" s="10"/>
      <c r="M19" s="10"/>
      <c r="N19" s="10"/>
      <c r="O19" s="12"/>
      <c r="P19" s="9"/>
      <c r="Q19" s="10"/>
      <c r="R19" s="10"/>
      <c r="S19" s="10"/>
      <c r="T19" s="10"/>
      <c r="U19" s="12"/>
    </row>
    <row r="20" spans="2:25" ht="15" hidden="1" customHeight="1" x14ac:dyDescent="0.25">
      <c r="B20" s="9"/>
      <c r="C20" s="10"/>
      <c r="D20" s="10"/>
      <c r="E20" s="10"/>
      <c r="F20" s="10"/>
      <c r="G20" s="12"/>
      <c r="H20" s="9"/>
      <c r="I20" s="10"/>
      <c r="J20" s="10"/>
      <c r="K20" s="10"/>
      <c r="L20" s="10"/>
      <c r="M20" s="10"/>
      <c r="N20" s="10"/>
      <c r="O20" s="12"/>
      <c r="P20" s="9"/>
      <c r="Q20" s="10"/>
      <c r="R20" s="10"/>
      <c r="S20" s="10"/>
      <c r="T20" s="10"/>
      <c r="U20" s="12"/>
    </row>
    <row r="21" spans="2:25" ht="15" hidden="1" customHeight="1" x14ac:dyDescent="0.25">
      <c r="B21" s="9"/>
      <c r="C21" s="10"/>
      <c r="D21" s="10"/>
      <c r="E21" s="10"/>
      <c r="F21" s="10"/>
      <c r="G21" s="12"/>
      <c r="H21" s="9"/>
      <c r="I21" s="10"/>
      <c r="J21" s="10"/>
      <c r="K21" s="10"/>
      <c r="L21" s="10"/>
      <c r="M21" s="10"/>
      <c r="N21" s="10"/>
      <c r="O21" s="12"/>
      <c r="P21" s="9"/>
      <c r="Q21" s="10"/>
      <c r="R21" s="10"/>
      <c r="S21" s="10"/>
      <c r="T21" s="10"/>
      <c r="U21" s="12"/>
    </row>
    <row r="22" spans="2:25" ht="15" hidden="1" customHeight="1" x14ac:dyDescent="0.25">
      <c r="B22" s="9"/>
      <c r="C22" s="10"/>
      <c r="D22" s="10"/>
      <c r="E22" s="10"/>
      <c r="F22" s="10"/>
      <c r="G22" s="12"/>
      <c r="H22" s="9"/>
      <c r="I22" s="10"/>
      <c r="J22" s="10"/>
      <c r="K22" s="10"/>
      <c r="L22" s="10"/>
      <c r="M22" s="10"/>
      <c r="N22" s="10"/>
      <c r="O22" s="12"/>
      <c r="P22" s="9"/>
      <c r="Q22" s="10"/>
      <c r="R22" s="10"/>
      <c r="S22" s="10"/>
      <c r="T22" s="10"/>
      <c r="U22" s="12"/>
    </row>
    <row r="23" spans="2:25" ht="15" customHeight="1" x14ac:dyDescent="0.25">
      <c r="B23" s="30"/>
      <c r="C23" s="25"/>
      <c r="D23" s="25"/>
      <c r="E23" s="25"/>
      <c r="F23" s="25"/>
      <c r="G23" s="26"/>
      <c r="H23" s="14"/>
      <c r="I23" s="15"/>
      <c r="J23" s="15"/>
      <c r="K23" s="15"/>
      <c r="L23" s="15"/>
      <c r="M23" s="15"/>
      <c r="N23" s="15"/>
      <c r="O23" s="16"/>
      <c r="P23" s="14"/>
      <c r="Q23" s="15"/>
      <c r="R23" s="15"/>
      <c r="S23" s="15"/>
      <c r="T23" s="15"/>
      <c r="U23" s="16"/>
    </row>
    <row r="24" spans="2:25" ht="15" customHeight="1" x14ac:dyDescent="0.25">
      <c r="B24" s="189" t="s">
        <v>27</v>
      </c>
      <c r="C24" s="189"/>
      <c r="D24" s="214" t="s">
        <v>22</v>
      </c>
      <c r="E24" s="214"/>
      <c r="F24" s="214"/>
      <c r="G24" s="214"/>
      <c r="H24" s="214"/>
      <c r="I24" s="214"/>
      <c r="J24" s="214"/>
      <c r="K24" s="214" t="s">
        <v>30</v>
      </c>
      <c r="L24" s="214"/>
      <c r="M24" s="214"/>
      <c r="N24" s="214"/>
      <c r="O24" s="214"/>
      <c r="P24" s="214"/>
      <c r="Q24" s="214"/>
      <c r="R24" s="214" t="s">
        <v>29</v>
      </c>
      <c r="S24" s="214"/>
      <c r="T24" s="214"/>
      <c r="U24" s="254" t="s">
        <v>100</v>
      </c>
      <c r="V24" s="254"/>
      <c r="W24" s="254"/>
      <c r="X24" s="254"/>
      <c r="Y24" s="254"/>
    </row>
    <row r="25" spans="2:25" ht="15" customHeight="1" x14ac:dyDescent="0.25">
      <c r="B25" s="189"/>
      <c r="C25" s="189"/>
      <c r="D25" s="189" t="s">
        <v>105</v>
      </c>
      <c r="E25" s="189"/>
      <c r="F25" s="189" t="s">
        <v>99</v>
      </c>
      <c r="G25" s="189"/>
      <c r="H25" s="189"/>
      <c r="I25" s="189"/>
      <c r="J25" s="189"/>
      <c r="K25" s="216" t="s">
        <v>165</v>
      </c>
      <c r="L25" s="189" t="s">
        <v>39</v>
      </c>
      <c r="M25" s="189" t="s">
        <v>38</v>
      </c>
      <c r="N25" s="214" t="s">
        <v>18</v>
      </c>
      <c r="O25" s="214"/>
      <c r="P25" s="214"/>
      <c r="Q25" s="214"/>
      <c r="R25" s="195" t="s">
        <v>181</v>
      </c>
      <c r="S25" s="195" t="s">
        <v>31</v>
      </c>
      <c r="T25" s="195" t="s">
        <v>28</v>
      </c>
      <c r="U25" s="254"/>
      <c r="V25" s="254"/>
      <c r="W25" s="254"/>
      <c r="X25" s="254"/>
      <c r="Y25" s="254"/>
    </row>
    <row r="26" spans="2:25" ht="15" customHeight="1" x14ac:dyDescent="0.25">
      <c r="B26" s="189"/>
      <c r="C26" s="189"/>
      <c r="D26" s="189" t="s">
        <v>69</v>
      </c>
      <c r="E26" s="189" t="s">
        <v>35</v>
      </c>
      <c r="F26" s="189" t="s">
        <v>19</v>
      </c>
      <c r="G26" s="189" t="s">
        <v>35</v>
      </c>
      <c r="H26" s="189" t="s">
        <v>20</v>
      </c>
      <c r="I26" s="189" t="s">
        <v>36</v>
      </c>
      <c r="J26" s="189" t="s">
        <v>37</v>
      </c>
      <c r="K26" s="217"/>
      <c r="L26" s="189"/>
      <c r="M26" s="215"/>
      <c r="N26" s="189" t="s">
        <v>35</v>
      </c>
      <c r="O26" s="189" t="s">
        <v>20</v>
      </c>
      <c r="P26" s="189" t="s">
        <v>36</v>
      </c>
      <c r="Q26" s="189" t="s">
        <v>37</v>
      </c>
      <c r="R26" s="195"/>
      <c r="S26" s="195"/>
      <c r="T26" s="195"/>
      <c r="U26" s="254"/>
      <c r="V26" s="254"/>
      <c r="W26" s="254"/>
      <c r="X26" s="254"/>
      <c r="Y26" s="254"/>
    </row>
    <row r="27" spans="2:25" x14ac:dyDescent="0.25">
      <c r="B27" s="189" t="s">
        <v>73</v>
      </c>
      <c r="C27" s="189" t="s">
        <v>70</v>
      </c>
      <c r="D27" s="189"/>
      <c r="E27" s="189"/>
      <c r="F27" s="189"/>
      <c r="G27" s="189"/>
      <c r="H27" s="189"/>
      <c r="I27" s="189"/>
      <c r="J27" s="189"/>
      <c r="K27" s="144" t="s">
        <v>65</v>
      </c>
      <c r="L27" s="189"/>
      <c r="M27" s="215"/>
      <c r="N27" s="189"/>
      <c r="O27" s="189"/>
      <c r="P27" s="189"/>
      <c r="Q27" s="189"/>
      <c r="R27" s="195"/>
      <c r="S27" s="195"/>
      <c r="T27" s="195"/>
      <c r="U27" s="254"/>
      <c r="V27" s="254"/>
      <c r="W27" s="254"/>
      <c r="X27" s="254"/>
      <c r="Y27" s="254"/>
    </row>
    <row r="28" spans="2:25" ht="15.75" thickBot="1" x14ac:dyDescent="0.3">
      <c r="B28" s="189"/>
      <c r="C28" s="189"/>
      <c r="D28" s="42" t="s">
        <v>2</v>
      </c>
      <c r="E28" s="42" t="s">
        <v>40</v>
      </c>
      <c r="F28" s="189"/>
      <c r="G28" s="42" t="s">
        <v>40</v>
      </c>
      <c r="H28" s="42" t="s">
        <v>21</v>
      </c>
      <c r="I28" s="42" t="s">
        <v>41</v>
      </c>
      <c r="J28" s="42" t="s">
        <v>42</v>
      </c>
      <c r="K28" s="145" t="s">
        <v>94</v>
      </c>
      <c r="L28" s="189"/>
      <c r="M28" s="215"/>
      <c r="N28" s="42" t="s">
        <v>40</v>
      </c>
      <c r="O28" s="42" t="s">
        <v>21</v>
      </c>
      <c r="P28" s="42" t="s">
        <v>80</v>
      </c>
      <c r="Q28" s="42" t="s">
        <v>80</v>
      </c>
      <c r="R28" s="247"/>
      <c r="S28" s="195"/>
      <c r="T28" s="195"/>
      <c r="U28" s="254"/>
      <c r="V28" s="254"/>
      <c r="W28" s="254"/>
      <c r="X28" s="254"/>
      <c r="Y28" s="254"/>
    </row>
    <row r="29" spans="2:25" x14ac:dyDescent="0.25">
      <c r="B29" s="5">
        <v>1</v>
      </c>
      <c r="C29" s="5">
        <v>2</v>
      </c>
      <c r="D29" s="5">
        <v>3</v>
      </c>
      <c r="E29" s="5">
        <v>4</v>
      </c>
      <c r="F29" s="5">
        <v>5</v>
      </c>
      <c r="G29" s="5">
        <v>6</v>
      </c>
      <c r="H29" s="5">
        <v>7</v>
      </c>
      <c r="I29" s="5">
        <v>8</v>
      </c>
      <c r="J29" s="5">
        <v>9</v>
      </c>
      <c r="K29" s="5">
        <v>10</v>
      </c>
      <c r="L29" s="5">
        <v>11</v>
      </c>
      <c r="M29" s="5">
        <v>12</v>
      </c>
      <c r="N29" s="5">
        <v>13</v>
      </c>
      <c r="O29" s="5">
        <v>14</v>
      </c>
      <c r="P29" s="5">
        <v>15</v>
      </c>
      <c r="Q29" s="5">
        <v>16</v>
      </c>
      <c r="R29" s="5">
        <v>17</v>
      </c>
      <c r="S29" s="5">
        <v>18</v>
      </c>
      <c r="T29" s="5">
        <v>19</v>
      </c>
      <c r="U29" s="254"/>
      <c r="V29" s="254"/>
      <c r="W29" s="254"/>
      <c r="X29" s="254"/>
      <c r="Y29" s="254"/>
    </row>
    <row r="30" spans="2:25" x14ac:dyDescent="0.25">
      <c r="B30" s="3" t="s">
        <v>44</v>
      </c>
      <c r="C30" s="3">
        <v>8650</v>
      </c>
      <c r="D30" s="3" t="s">
        <v>163</v>
      </c>
      <c r="E30" s="3">
        <v>0</v>
      </c>
      <c r="F30" s="237" t="s">
        <v>200</v>
      </c>
      <c r="G30" s="238"/>
      <c r="H30" s="238"/>
      <c r="I30" s="238"/>
      <c r="J30" s="239"/>
      <c r="K30" s="151" t="s">
        <v>81</v>
      </c>
      <c r="L30" s="3" t="s">
        <v>164</v>
      </c>
      <c r="M30" s="3">
        <v>12000</v>
      </c>
      <c r="N30" s="3">
        <v>300</v>
      </c>
      <c r="O30" s="3">
        <v>5</v>
      </c>
      <c r="P30" s="3">
        <v>148</v>
      </c>
      <c r="Q30" s="3">
        <v>8</v>
      </c>
      <c r="R30" s="38">
        <v>8</v>
      </c>
      <c r="S30" s="45">
        <v>20</v>
      </c>
      <c r="T30" s="38">
        <v>16</v>
      </c>
      <c r="U30" s="254"/>
      <c r="V30" s="254"/>
      <c r="W30" s="254"/>
      <c r="X30" s="254"/>
      <c r="Y30" s="254"/>
    </row>
    <row r="31" spans="2:25" x14ac:dyDescent="0.25">
      <c r="B31" s="3" t="s">
        <v>45</v>
      </c>
      <c r="C31" s="3">
        <v>8600</v>
      </c>
      <c r="D31" s="3">
        <v>1000</v>
      </c>
      <c r="E31" s="3">
        <v>0</v>
      </c>
      <c r="F31" s="3" t="s">
        <v>98</v>
      </c>
      <c r="G31" s="3">
        <v>264</v>
      </c>
      <c r="H31" s="3">
        <v>5</v>
      </c>
      <c r="I31" s="3">
        <v>164</v>
      </c>
      <c r="J31" s="27">
        <v>10</v>
      </c>
      <c r="K31" s="151" t="s">
        <v>82</v>
      </c>
      <c r="L31" s="3" t="s">
        <v>166</v>
      </c>
      <c r="M31" s="3">
        <v>9000</v>
      </c>
      <c r="N31" s="3">
        <v>300</v>
      </c>
      <c r="O31" s="3">
        <v>5</v>
      </c>
      <c r="P31" s="3">
        <v>148</v>
      </c>
      <c r="Q31" s="3">
        <v>8</v>
      </c>
      <c r="R31" s="38">
        <v>8</v>
      </c>
      <c r="S31" s="45">
        <v>20</v>
      </c>
      <c r="T31" s="38">
        <v>16</v>
      </c>
      <c r="U31" s="254"/>
      <c r="V31" s="254"/>
      <c r="W31" s="254"/>
      <c r="X31" s="254"/>
      <c r="Y31" s="254"/>
    </row>
    <row r="32" spans="2:25" x14ac:dyDescent="0.25">
      <c r="B32" s="3" t="s">
        <v>46</v>
      </c>
      <c r="C32" s="3">
        <v>8600</v>
      </c>
      <c r="D32" s="3">
        <v>1000</v>
      </c>
      <c r="E32" s="3">
        <v>0</v>
      </c>
      <c r="F32" s="3" t="s">
        <v>98</v>
      </c>
      <c r="G32" s="3">
        <v>264</v>
      </c>
      <c r="H32" s="3">
        <v>5</v>
      </c>
      <c r="I32" s="3">
        <v>164</v>
      </c>
      <c r="J32" s="27">
        <v>10</v>
      </c>
      <c r="K32" s="151" t="s">
        <v>83</v>
      </c>
      <c r="L32" s="3" t="s">
        <v>167</v>
      </c>
      <c r="M32" s="3"/>
      <c r="N32" s="3">
        <v>300</v>
      </c>
      <c r="O32" s="3">
        <v>5</v>
      </c>
      <c r="P32" s="3">
        <v>148</v>
      </c>
      <c r="Q32" s="3">
        <v>8</v>
      </c>
      <c r="R32" s="38">
        <v>8</v>
      </c>
      <c r="S32" s="45">
        <v>20</v>
      </c>
      <c r="T32" s="38">
        <v>16</v>
      </c>
      <c r="U32" s="254"/>
      <c r="V32" s="254"/>
      <c r="W32" s="254"/>
      <c r="X32" s="254"/>
      <c r="Y32" s="254"/>
    </row>
    <row r="33" spans="2:25" x14ac:dyDescent="0.25">
      <c r="B33" s="3" t="s">
        <v>47</v>
      </c>
      <c r="C33" s="3">
        <v>8550</v>
      </c>
      <c r="D33" s="3">
        <v>1000</v>
      </c>
      <c r="E33" s="3">
        <v>0</v>
      </c>
      <c r="F33" s="3" t="s">
        <v>98</v>
      </c>
      <c r="G33" s="3">
        <v>264</v>
      </c>
      <c r="H33" s="3">
        <v>5</v>
      </c>
      <c r="I33" s="3">
        <v>164</v>
      </c>
      <c r="J33" s="27">
        <v>10</v>
      </c>
      <c r="K33" s="151" t="s">
        <v>90</v>
      </c>
      <c r="L33" s="3" t="s">
        <v>168</v>
      </c>
      <c r="M33" s="3">
        <v>9000</v>
      </c>
      <c r="N33" s="3">
        <v>300</v>
      </c>
      <c r="O33" s="3">
        <v>5</v>
      </c>
      <c r="P33" s="3">
        <v>148</v>
      </c>
      <c r="Q33" s="3">
        <v>8</v>
      </c>
      <c r="R33" s="38">
        <v>8</v>
      </c>
      <c r="S33" s="45">
        <v>20</v>
      </c>
      <c r="T33" s="38">
        <v>16</v>
      </c>
      <c r="U33" s="254"/>
      <c r="V33" s="254"/>
      <c r="W33" s="254"/>
      <c r="X33" s="254"/>
      <c r="Y33" s="254"/>
    </row>
    <row r="34" spans="2:25" ht="15.75" thickBot="1" x14ac:dyDescent="0.3">
      <c r="B34" s="3" t="s">
        <v>48</v>
      </c>
      <c r="C34" s="3">
        <v>5050</v>
      </c>
      <c r="D34" s="3">
        <v>1000</v>
      </c>
      <c r="E34" s="3">
        <v>0</v>
      </c>
      <c r="F34" s="3" t="s">
        <v>98</v>
      </c>
      <c r="G34" s="3">
        <v>264</v>
      </c>
      <c r="H34" s="3">
        <v>5</v>
      </c>
      <c r="I34" s="3">
        <v>164</v>
      </c>
      <c r="J34" s="27">
        <v>10</v>
      </c>
      <c r="K34" s="151" t="s">
        <v>84</v>
      </c>
      <c r="L34" s="3"/>
      <c r="M34" s="4"/>
      <c r="N34" s="4"/>
      <c r="O34" s="4"/>
      <c r="P34" s="4"/>
      <c r="Q34" s="4"/>
      <c r="R34" s="52"/>
      <c r="S34" s="52"/>
      <c r="T34" s="52"/>
      <c r="U34" s="254"/>
      <c r="V34" s="254"/>
      <c r="W34" s="254"/>
      <c r="X34" s="254"/>
      <c r="Y34" s="254"/>
    </row>
    <row r="35" spans="2:25" hidden="1" x14ac:dyDescent="0.25">
      <c r="B35" s="3"/>
      <c r="C35" s="3"/>
      <c r="D35" s="4"/>
      <c r="E35" s="3"/>
      <c r="F35" s="3"/>
      <c r="G35" s="3"/>
      <c r="H35" s="3"/>
      <c r="I35" s="3"/>
      <c r="J35" s="27"/>
      <c r="K35" s="151" t="s">
        <v>85</v>
      </c>
      <c r="L35" s="46"/>
      <c r="M35" s="4"/>
      <c r="N35" s="4"/>
      <c r="O35" s="4"/>
      <c r="P35" s="4"/>
      <c r="Q35" s="4"/>
      <c r="R35" s="52"/>
      <c r="S35" s="52"/>
      <c r="T35" s="52"/>
      <c r="U35" s="254"/>
      <c r="V35" s="254"/>
      <c r="W35" s="254"/>
      <c r="X35" s="254"/>
      <c r="Y35" s="254"/>
    </row>
    <row r="36" spans="2:25" ht="15" hidden="1" customHeight="1" x14ac:dyDescent="0.25">
      <c r="B36" s="3"/>
      <c r="C36" s="3"/>
      <c r="D36" s="4"/>
      <c r="E36" s="3"/>
      <c r="F36" s="3"/>
      <c r="G36" s="3"/>
      <c r="H36" s="3"/>
      <c r="I36" s="3"/>
      <c r="J36" s="27"/>
      <c r="K36" s="151" t="s">
        <v>86</v>
      </c>
      <c r="L36" s="46"/>
      <c r="M36" s="4"/>
      <c r="N36" s="4"/>
      <c r="O36" s="4"/>
      <c r="P36" s="4"/>
      <c r="Q36" s="4"/>
      <c r="R36" s="52"/>
      <c r="S36" s="52"/>
      <c r="T36" s="52"/>
      <c r="U36" s="254"/>
      <c r="V36" s="254"/>
      <c r="W36" s="254"/>
      <c r="X36" s="254"/>
      <c r="Y36" s="254"/>
    </row>
    <row r="37" spans="2:25" ht="15" hidden="1" customHeight="1" x14ac:dyDescent="0.25">
      <c r="B37" s="3"/>
      <c r="C37" s="3"/>
      <c r="D37" s="4"/>
      <c r="E37" s="3"/>
      <c r="F37" s="3"/>
      <c r="G37" s="3"/>
      <c r="H37" s="3"/>
      <c r="I37" s="3"/>
      <c r="J37" s="27"/>
      <c r="K37" s="151" t="s">
        <v>91</v>
      </c>
      <c r="L37" s="46"/>
      <c r="M37" s="4"/>
      <c r="N37" s="4"/>
      <c r="O37" s="4"/>
      <c r="P37" s="4"/>
      <c r="Q37" s="4"/>
      <c r="R37" s="52"/>
      <c r="S37" s="52"/>
      <c r="T37" s="52"/>
      <c r="U37" s="254"/>
      <c r="V37" s="254"/>
      <c r="W37" s="254"/>
      <c r="X37" s="254"/>
      <c r="Y37" s="254"/>
    </row>
    <row r="38" spans="2:25" ht="15" hidden="1" customHeight="1" x14ac:dyDescent="0.25">
      <c r="B38" s="3"/>
      <c r="C38" s="3"/>
      <c r="D38" s="4"/>
      <c r="E38" s="3"/>
      <c r="F38" s="3"/>
      <c r="G38" s="3"/>
      <c r="H38" s="3"/>
      <c r="I38" s="3"/>
      <c r="J38" s="27"/>
      <c r="K38" s="151" t="s">
        <v>92</v>
      </c>
      <c r="L38" s="46"/>
      <c r="M38" s="4"/>
      <c r="N38" s="4"/>
      <c r="O38" s="4"/>
      <c r="P38" s="4"/>
      <c r="Q38" s="4"/>
      <c r="R38" s="52"/>
      <c r="S38" s="52"/>
      <c r="T38" s="52"/>
      <c r="U38" s="254"/>
      <c r="V38" s="254"/>
      <c r="W38" s="254"/>
      <c r="X38" s="254"/>
      <c r="Y38" s="254"/>
    </row>
    <row r="39" spans="2:25" ht="15.75" hidden="1" customHeight="1" thickBot="1" x14ac:dyDescent="0.3">
      <c r="B39" s="29"/>
      <c r="C39" s="29"/>
      <c r="D39" s="73"/>
      <c r="E39" s="3"/>
      <c r="F39" s="29"/>
      <c r="G39" s="29"/>
      <c r="H39" s="29"/>
      <c r="I39" s="29"/>
      <c r="J39" s="44"/>
      <c r="K39" s="151" t="s">
        <v>93</v>
      </c>
      <c r="L39" s="46"/>
      <c r="M39" s="3"/>
      <c r="N39" s="3"/>
      <c r="O39" s="3"/>
      <c r="P39" s="3"/>
      <c r="Q39" s="3"/>
      <c r="R39" s="38"/>
      <c r="S39" s="45"/>
      <c r="T39" s="38"/>
      <c r="U39" s="254"/>
      <c r="V39" s="254"/>
      <c r="W39" s="254"/>
      <c r="X39" s="254"/>
      <c r="Y39" s="254"/>
    </row>
    <row r="40" spans="2:25" ht="15.75" thickBot="1" x14ac:dyDescent="0.3">
      <c r="B40" s="74" t="s">
        <v>49</v>
      </c>
      <c r="C40" s="75" t="s">
        <v>87</v>
      </c>
      <c r="D40" s="76">
        <v>1000</v>
      </c>
      <c r="E40" s="76">
        <v>0</v>
      </c>
      <c r="F40" s="77" t="s">
        <v>98</v>
      </c>
      <c r="G40" s="77">
        <v>264</v>
      </c>
      <c r="H40" s="77">
        <v>5</v>
      </c>
      <c r="I40" s="77">
        <v>164</v>
      </c>
      <c r="J40" s="78">
        <v>10</v>
      </c>
      <c r="K40" s="252" t="s">
        <v>104</v>
      </c>
      <c r="L40" s="252"/>
      <c r="M40" s="252"/>
      <c r="N40" s="252"/>
      <c r="O40" s="252"/>
      <c r="P40" s="252"/>
      <c r="Q40" s="252"/>
      <c r="R40" s="252"/>
      <c r="S40" s="252"/>
      <c r="T40" s="253"/>
      <c r="U40" s="254"/>
      <c r="V40" s="254"/>
      <c r="W40" s="254"/>
      <c r="X40" s="254"/>
      <c r="Y40" s="254"/>
    </row>
    <row r="41" spans="2:25" ht="15" hidden="1" customHeight="1" x14ac:dyDescent="0.25">
      <c r="B41" s="50"/>
      <c r="C41" s="50"/>
      <c r="D41" s="54"/>
      <c r="E41" s="3"/>
      <c r="F41" s="56"/>
      <c r="G41" s="50"/>
      <c r="H41" s="50"/>
      <c r="I41" s="50"/>
      <c r="J41" s="57"/>
      <c r="K41" s="145" t="s">
        <v>93</v>
      </c>
      <c r="L41" s="46"/>
      <c r="M41" s="3"/>
      <c r="N41" s="3"/>
      <c r="O41" s="3"/>
      <c r="P41" s="3"/>
      <c r="Q41" s="3"/>
      <c r="R41" s="38"/>
      <c r="S41" s="45"/>
      <c r="T41" s="38"/>
      <c r="U41" s="254"/>
      <c r="V41" s="254"/>
      <c r="W41" s="254"/>
      <c r="X41" s="254"/>
      <c r="Y41" s="254"/>
    </row>
    <row r="42" spans="2:25" ht="15" hidden="1" customHeight="1" x14ac:dyDescent="0.25">
      <c r="B42" s="3"/>
      <c r="C42" s="3"/>
      <c r="D42" s="4"/>
      <c r="E42" s="3"/>
      <c r="F42" s="33"/>
      <c r="G42" s="3"/>
      <c r="H42" s="3"/>
      <c r="I42" s="3"/>
      <c r="J42" s="27"/>
      <c r="K42" s="145" t="s">
        <v>92</v>
      </c>
      <c r="L42" s="46"/>
      <c r="M42" s="3"/>
      <c r="N42" s="3"/>
      <c r="O42" s="3"/>
      <c r="P42" s="3"/>
      <c r="Q42" s="3"/>
      <c r="R42" s="38"/>
      <c r="S42" s="45"/>
      <c r="T42" s="38"/>
      <c r="U42" s="254"/>
      <c r="V42" s="254"/>
      <c r="W42" s="254"/>
      <c r="X42" s="254"/>
      <c r="Y42" s="254"/>
    </row>
    <row r="43" spans="2:25" ht="15" hidden="1" customHeight="1" x14ac:dyDescent="0.25">
      <c r="B43" s="3"/>
      <c r="C43" s="3"/>
      <c r="D43" s="4"/>
      <c r="E43" s="3"/>
      <c r="F43" s="33"/>
      <c r="G43" s="3"/>
      <c r="H43" s="3"/>
      <c r="I43" s="3"/>
      <c r="J43" s="27"/>
      <c r="K43" s="145" t="s">
        <v>91</v>
      </c>
      <c r="L43" s="46"/>
      <c r="M43" s="3"/>
      <c r="N43" s="3"/>
      <c r="O43" s="3"/>
      <c r="P43" s="3"/>
      <c r="Q43" s="3"/>
      <c r="R43" s="38"/>
      <c r="S43" s="45"/>
      <c r="T43" s="38"/>
      <c r="U43" s="254"/>
      <c r="V43" s="254"/>
      <c r="W43" s="254"/>
      <c r="X43" s="254"/>
      <c r="Y43" s="254"/>
    </row>
    <row r="44" spans="2:25" ht="15" hidden="1" customHeight="1" x14ac:dyDescent="0.25">
      <c r="B44" s="3"/>
      <c r="C44" s="3"/>
      <c r="D44" s="4"/>
      <c r="E44" s="3"/>
      <c r="F44" s="33"/>
      <c r="G44" s="3"/>
      <c r="H44" s="3"/>
      <c r="I44" s="3"/>
      <c r="J44" s="27"/>
      <c r="K44" s="145" t="s">
        <v>86</v>
      </c>
      <c r="L44" s="46"/>
      <c r="M44" s="3"/>
      <c r="N44" s="3"/>
      <c r="O44" s="3"/>
      <c r="P44" s="3"/>
      <c r="Q44" s="3"/>
      <c r="R44" s="38"/>
      <c r="S44" s="45"/>
      <c r="T44" s="38"/>
      <c r="U44" s="254"/>
      <c r="V44" s="254"/>
      <c r="W44" s="254"/>
      <c r="X44" s="254"/>
      <c r="Y44" s="254"/>
    </row>
    <row r="45" spans="2:25" hidden="1" x14ac:dyDescent="0.25">
      <c r="B45" s="3"/>
      <c r="C45" s="37"/>
      <c r="D45" s="4"/>
      <c r="E45" s="3"/>
      <c r="F45" s="34"/>
      <c r="G45" s="37"/>
      <c r="H45" s="37"/>
      <c r="I45" s="37"/>
      <c r="J45" s="51"/>
      <c r="K45" s="145" t="s">
        <v>85</v>
      </c>
      <c r="L45" s="46"/>
      <c r="M45" s="37"/>
      <c r="N45" s="37"/>
      <c r="O45" s="37"/>
      <c r="P45" s="37"/>
      <c r="Q45" s="37"/>
      <c r="R45" s="38"/>
      <c r="S45" s="45"/>
      <c r="T45" s="52"/>
      <c r="U45" s="254"/>
      <c r="V45" s="254"/>
      <c r="W45" s="254"/>
      <c r="X45" s="254"/>
      <c r="Y45" s="254"/>
    </row>
    <row r="46" spans="2:25" x14ac:dyDescent="0.25">
      <c r="B46" s="3" t="s">
        <v>50</v>
      </c>
      <c r="C46" s="3">
        <v>5050</v>
      </c>
      <c r="D46" s="3">
        <v>1000</v>
      </c>
      <c r="E46" s="3">
        <v>0</v>
      </c>
      <c r="F46" s="3" t="s">
        <v>98</v>
      </c>
      <c r="G46" s="3">
        <v>264</v>
      </c>
      <c r="H46" s="3">
        <v>5</v>
      </c>
      <c r="I46" s="3">
        <v>164</v>
      </c>
      <c r="J46" s="27">
        <v>10</v>
      </c>
      <c r="K46" s="145" t="s">
        <v>84</v>
      </c>
      <c r="L46" s="46"/>
      <c r="M46" s="37"/>
      <c r="N46" s="37"/>
      <c r="O46" s="37"/>
      <c r="P46" s="37"/>
      <c r="Q46" s="37"/>
      <c r="R46" s="38"/>
      <c r="S46" s="45"/>
      <c r="T46" s="52"/>
      <c r="U46" s="254"/>
      <c r="V46" s="254"/>
      <c r="W46" s="254"/>
      <c r="X46" s="254"/>
      <c r="Y46" s="254"/>
    </row>
    <row r="47" spans="2:25" x14ac:dyDescent="0.25">
      <c r="B47" s="3" t="s">
        <v>51</v>
      </c>
      <c r="C47" s="3">
        <v>8550</v>
      </c>
      <c r="D47" s="3">
        <v>1000</v>
      </c>
      <c r="E47" s="3">
        <v>0</v>
      </c>
      <c r="F47" s="3" t="s">
        <v>98</v>
      </c>
      <c r="G47" s="3">
        <v>264</v>
      </c>
      <c r="H47" s="3">
        <v>5</v>
      </c>
      <c r="I47" s="3">
        <v>164</v>
      </c>
      <c r="J47" s="27">
        <v>10</v>
      </c>
      <c r="K47" s="145" t="s">
        <v>90</v>
      </c>
      <c r="L47" s="3" t="s">
        <v>168</v>
      </c>
      <c r="M47" s="3">
        <v>9000</v>
      </c>
      <c r="N47" s="3">
        <v>300</v>
      </c>
      <c r="O47" s="3">
        <v>5</v>
      </c>
      <c r="P47" s="3">
        <v>148</v>
      </c>
      <c r="Q47" s="3">
        <v>8</v>
      </c>
      <c r="R47" s="38">
        <v>8</v>
      </c>
      <c r="S47" s="45">
        <v>20</v>
      </c>
      <c r="T47" s="38">
        <v>16</v>
      </c>
      <c r="U47" s="254"/>
      <c r="V47" s="254"/>
      <c r="W47" s="254"/>
      <c r="X47" s="254"/>
      <c r="Y47" s="254"/>
    </row>
    <row r="48" spans="2:25" x14ac:dyDescent="0.25">
      <c r="B48" s="3" t="s">
        <v>52</v>
      </c>
      <c r="C48" s="3">
        <v>8600</v>
      </c>
      <c r="D48" s="3">
        <v>1000</v>
      </c>
      <c r="E48" s="3">
        <v>0</v>
      </c>
      <c r="F48" s="3" t="s">
        <v>98</v>
      </c>
      <c r="G48" s="3">
        <v>264</v>
      </c>
      <c r="H48" s="3">
        <v>5</v>
      </c>
      <c r="I48" s="3">
        <v>164</v>
      </c>
      <c r="J48" s="27">
        <v>10</v>
      </c>
      <c r="K48" s="145" t="s">
        <v>83</v>
      </c>
      <c r="L48" s="3" t="s">
        <v>167</v>
      </c>
      <c r="M48" s="3"/>
      <c r="N48" s="3">
        <v>300</v>
      </c>
      <c r="O48" s="3">
        <v>5</v>
      </c>
      <c r="P48" s="3">
        <v>148</v>
      </c>
      <c r="Q48" s="3">
        <v>8</v>
      </c>
      <c r="R48" s="38">
        <v>8</v>
      </c>
      <c r="S48" s="45">
        <v>20</v>
      </c>
      <c r="T48" s="38">
        <v>16</v>
      </c>
      <c r="U48" s="254"/>
      <c r="V48" s="254"/>
      <c r="W48" s="254"/>
      <c r="X48" s="254"/>
      <c r="Y48" s="254"/>
    </row>
    <row r="49" spans="2:25" x14ac:dyDescent="0.25">
      <c r="B49" s="3" t="s">
        <v>53</v>
      </c>
      <c r="C49" s="3">
        <v>8600</v>
      </c>
      <c r="D49" s="3">
        <v>1000</v>
      </c>
      <c r="E49" s="3">
        <v>0</v>
      </c>
      <c r="F49" s="3" t="s">
        <v>98</v>
      </c>
      <c r="G49" s="3">
        <v>264</v>
      </c>
      <c r="H49" s="3">
        <v>5</v>
      </c>
      <c r="I49" s="3">
        <v>164</v>
      </c>
      <c r="J49" s="27">
        <v>10</v>
      </c>
      <c r="K49" s="145" t="s">
        <v>82</v>
      </c>
      <c r="L49" s="3" t="s">
        <v>166</v>
      </c>
      <c r="M49" s="3">
        <v>9000</v>
      </c>
      <c r="N49" s="3">
        <v>300</v>
      </c>
      <c r="O49" s="3">
        <v>5</v>
      </c>
      <c r="P49" s="3">
        <v>148</v>
      </c>
      <c r="Q49" s="3">
        <v>8</v>
      </c>
      <c r="R49" s="38">
        <v>8</v>
      </c>
      <c r="S49" s="45">
        <v>20</v>
      </c>
      <c r="T49" s="38">
        <v>16</v>
      </c>
      <c r="U49" s="254"/>
      <c r="V49" s="254"/>
      <c r="W49" s="254"/>
      <c r="X49" s="254"/>
      <c r="Y49" s="254"/>
    </row>
    <row r="50" spans="2:25" x14ac:dyDescent="0.25">
      <c r="B50" s="3" t="s">
        <v>54</v>
      </c>
      <c r="C50" s="3">
        <v>8650</v>
      </c>
      <c r="D50" s="3" t="s">
        <v>163</v>
      </c>
      <c r="E50" s="3">
        <v>0</v>
      </c>
      <c r="F50" s="237" t="s">
        <v>200</v>
      </c>
      <c r="G50" s="238"/>
      <c r="H50" s="238"/>
      <c r="I50" s="238"/>
      <c r="J50" s="239"/>
      <c r="K50" s="145" t="s">
        <v>81</v>
      </c>
      <c r="L50" s="3" t="s">
        <v>164</v>
      </c>
      <c r="M50" s="3">
        <v>12000</v>
      </c>
      <c r="N50" s="3">
        <v>300</v>
      </c>
      <c r="O50" s="3">
        <v>5</v>
      </c>
      <c r="P50" s="3">
        <v>148</v>
      </c>
      <c r="Q50" s="3">
        <v>8</v>
      </c>
      <c r="R50" s="38">
        <v>8</v>
      </c>
      <c r="S50" s="45">
        <v>20</v>
      </c>
      <c r="T50" s="38">
        <v>16</v>
      </c>
      <c r="U50" s="254"/>
      <c r="V50" s="254"/>
      <c r="W50" s="254"/>
      <c r="X50" s="254"/>
      <c r="Y50" s="254"/>
    </row>
    <row r="51" spans="2:25" x14ac:dyDescent="0.25">
      <c r="C51" s="55"/>
    </row>
    <row r="52" spans="2:25" x14ac:dyDescent="0.25"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  <c r="S52" s="241"/>
      <c r="T52" s="241"/>
    </row>
    <row r="53" spans="2:25" x14ac:dyDescent="0.25"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  <c r="S53" s="241"/>
      <c r="T53" s="241"/>
    </row>
    <row r="54" spans="2:25" x14ac:dyDescent="0.25"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  <c r="S54" s="241"/>
      <c r="T54" s="241"/>
    </row>
    <row r="55" spans="2:25" x14ac:dyDescent="0.25"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</row>
    <row r="56" spans="2:25" x14ac:dyDescent="0.25"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41"/>
      <c r="S56" s="241"/>
      <c r="T56" s="241"/>
    </row>
  </sheetData>
  <mergeCells count="49">
    <mergeCell ref="P26:P27"/>
    <mergeCell ref="B27:B28"/>
    <mergeCell ref="C27:C28"/>
    <mergeCell ref="D26:D27"/>
    <mergeCell ref="E26:E27"/>
    <mergeCell ref="P1:W2"/>
    <mergeCell ref="F26:F28"/>
    <mergeCell ref="F25:J25"/>
    <mergeCell ref="K25:K26"/>
    <mergeCell ref="S25:S28"/>
    <mergeCell ref="T25:T28"/>
    <mergeCell ref="G26:G27"/>
    <mergeCell ref="H26:H27"/>
    <mergeCell ref="I26:I27"/>
    <mergeCell ref="J26:J27"/>
    <mergeCell ref="N26:N27"/>
    <mergeCell ref="O26:O27"/>
    <mergeCell ref="D52:T56"/>
    <mergeCell ref="B1:G2"/>
    <mergeCell ref="H1:K2"/>
    <mergeCell ref="L1:M2"/>
    <mergeCell ref="D25:E25"/>
    <mergeCell ref="N3:O3"/>
    <mergeCell ref="M6:O6"/>
    <mergeCell ref="D24:J24"/>
    <mergeCell ref="Q26:Q27"/>
    <mergeCell ref="B24:C26"/>
    <mergeCell ref="K24:Q24"/>
    <mergeCell ref="P9:R9"/>
    <mergeCell ref="M7:O7"/>
    <mergeCell ref="L25:L28"/>
    <mergeCell ref="M25:M28"/>
    <mergeCell ref="N25:Q25"/>
    <mergeCell ref="U4:U5"/>
    <mergeCell ref="V4:V5"/>
    <mergeCell ref="U6:U7"/>
    <mergeCell ref="V6:V7"/>
    <mergeCell ref="F50:J50"/>
    <mergeCell ref="F30:J30"/>
    <mergeCell ref="P8:Q8"/>
    <mergeCell ref="P4:P5"/>
    <mergeCell ref="Q4:Q5"/>
    <mergeCell ref="R4:R5"/>
    <mergeCell ref="S4:S5"/>
    <mergeCell ref="T4:T5"/>
    <mergeCell ref="R25:R28"/>
    <mergeCell ref="K40:T40"/>
    <mergeCell ref="R24:T24"/>
    <mergeCell ref="U24:Y50"/>
  </mergeCells>
  <phoneticPr fontId="8" type="noConversion"/>
  <conditionalFormatting sqref="K30">
    <cfRule type="containsText" dxfId="5" priority="3" operator="containsText" text="P">
      <formula>NOT(ISERROR(SEARCH("P",K30)))</formula>
    </cfRule>
    <cfRule type="containsText" dxfId="4" priority="4" operator="containsText" text="T">
      <formula>NOT(ISERROR(SEARCH("T",K30)))</formula>
    </cfRule>
  </conditionalFormatting>
  <conditionalFormatting sqref="K41">
    <cfRule type="containsText" dxfId="3" priority="1" operator="containsText" text="P">
      <formula>NOT(ISERROR(SEARCH("P",K41)))</formula>
    </cfRule>
    <cfRule type="containsText" dxfId="2" priority="2" operator="containsText" text="T">
      <formula>NOT(ISERROR(SEARCH("T",K41)))</formula>
    </cfRule>
  </conditionalFormatting>
  <dataValidations disablePrompts="1" count="7">
    <dataValidation type="list" allowBlank="1" showInputMessage="1" showErrorMessage="1" sqref="K12" xr:uid="{F22C0E92-2B89-450B-8474-F2843D6AE80F}">
      <formula1>"Total,Web"</formula1>
    </dataValidation>
    <dataValidation type="list" allowBlank="1" showInputMessage="1" showErrorMessage="1" sqref="F6:G6" xr:uid="{8AD193A8-75F0-4750-AD4F-C9DC1F6E610D}">
      <formula1>"Chưa tính lớp bao che,Đã tính lớp bao che"</formula1>
    </dataValidation>
    <dataValidation type="list" allowBlank="1" showInputMessage="1" showErrorMessage="1" prompt="Hiện tại, cột đầu tiên bắt buộc điền số 0" sqref="E30 E50" xr:uid="{F2E89908-BB85-4F7D-A72B-97625FE09FCB}">
      <formula1>"0"</formula1>
    </dataValidation>
    <dataValidation type="list" allowBlank="1" showInputMessage="1" showErrorMessage="1" sqref="K8" xr:uid="{E570BE48-198B-468B-AC54-86B5FC71193F}">
      <formula1>"Nghiêng,Ngang"</formula1>
    </dataValidation>
    <dataValidation type="list" allowBlank="1" showInputMessage="1" showErrorMessage="1" sqref="K10:K11" xr:uid="{1D1F89AF-8EBE-49EF-8311-309E3BF70F36}">
      <formula1>"Tên,Kích thước,Tên &amp; Kích thước"</formula1>
    </dataValidation>
    <dataValidation type="list" allowBlank="1" showInputMessage="1" showErrorMessage="1" sqref="S9" xr:uid="{70D85AC6-F1B1-46ED-AE32-7B742DAE3AA1}">
      <formula1>"4,8"</formula1>
    </dataValidation>
    <dataValidation type="list" allowBlank="1" showInputMessage="1" showErrorMessage="1" sqref="R6:R7" xr:uid="{1E35D9BE-82FC-4902-B197-25E8E2ECCD6C}">
      <formula1>"4,6,8"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D34C68F-E685-4457-8C36-9EEF42963B25}">
          <x14:formula1>
            <xm:f>Data!$B$2:$B$9</xm:f>
          </x14:formula1>
          <xm:sqref>S30:S33 S47:S50 S39 T9</xm:sqref>
        </x14:dataValidation>
        <x14:dataValidation type="list" allowBlank="1" showInputMessage="1" showErrorMessage="1" xr:uid="{4D252D68-A613-458D-B563-C7D87935CAE9}">
          <x14:formula1>
            <xm:f>Data!$A$2:$A$12</xm:f>
          </x14:formula1>
          <xm:sqref>K4:K5</xm:sqref>
        </x14:dataValidation>
        <x14:dataValidation type="list" allowBlank="1" showInputMessage="1" showErrorMessage="1" xr:uid="{70032790-7A9C-432D-884F-A8DB69F58657}">
          <x14:formula1>
            <xm:f>Data!$D$2:$D$4</xm:f>
          </x14:formula1>
          <xm:sqref>S6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331F-C22E-4EC3-963C-E7ECE3140AED}">
  <sheetPr codeName="Sheet18">
    <tabColor rgb="FF7030A0"/>
  </sheetPr>
  <dimension ref="B1:U56"/>
  <sheetViews>
    <sheetView showGridLines="0" zoomScale="115" zoomScaleNormal="115" workbookViewId="0">
      <selection activeCell="W34" sqref="W34"/>
    </sheetView>
  </sheetViews>
  <sheetFormatPr defaultRowHeight="15" x14ac:dyDescent="0.25"/>
  <cols>
    <col min="1" max="1" width="3.140625" customWidth="1"/>
    <col min="2" max="5" width="9.140625" customWidth="1"/>
    <col min="6" max="6" width="13.28515625" bestFit="1" customWidth="1"/>
    <col min="7" max="9" width="9.140625" customWidth="1"/>
    <col min="10" max="10" width="7.42578125" customWidth="1"/>
    <col min="11" max="11" width="10.85546875" customWidth="1"/>
    <col min="12" max="14" width="9.140625" customWidth="1"/>
    <col min="15" max="15" width="11.42578125" bestFit="1" customWidth="1"/>
    <col min="16" max="17" width="9.140625" customWidth="1"/>
    <col min="18" max="20" width="9.7109375" customWidth="1"/>
    <col min="21" max="21" width="10" customWidth="1"/>
    <col min="22" max="27" width="7.7109375" customWidth="1"/>
  </cols>
  <sheetData>
    <row r="1" spans="2:21" ht="15" customHeight="1" x14ac:dyDescent="0.25">
      <c r="B1" s="212" t="s">
        <v>55</v>
      </c>
      <c r="C1" s="212"/>
      <c r="D1" s="212"/>
      <c r="E1" s="212"/>
      <c r="F1" s="212"/>
      <c r="G1" s="212"/>
      <c r="H1" s="213" t="s">
        <v>117</v>
      </c>
      <c r="I1" s="213"/>
      <c r="J1" s="213"/>
      <c r="K1" s="213"/>
      <c r="L1" s="211" t="s">
        <v>103</v>
      </c>
      <c r="M1" s="211"/>
    </row>
    <row r="2" spans="2:21" ht="15" customHeight="1" x14ac:dyDescent="0.25">
      <c r="B2" s="212"/>
      <c r="C2" s="212"/>
      <c r="D2" s="212"/>
      <c r="E2" s="212"/>
      <c r="F2" s="212"/>
      <c r="G2" s="212"/>
      <c r="H2" s="213"/>
      <c r="I2" s="213"/>
      <c r="J2" s="213"/>
      <c r="K2" s="213"/>
      <c r="L2" s="211"/>
      <c r="M2" s="211"/>
    </row>
    <row r="3" spans="2:21" ht="15" customHeight="1" x14ac:dyDescent="0.25">
      <c r="H3" s="219"/>
      <c r="I3" s="219"/>
      <c r="J3" s="219"/>
      <c r="K3" s="219"/>
      <c r="L3" s="219"/>
      <c r="M3" s="219"/>
      <c r="N3" s="219"/>
      <c r="O3" s="220"/>
      <c r="P3" s="230"/>
      <c r="Q3" s="230"/>
    </row>
    <row r="4" spans="2:21" x14ac:dyDescent="0.25">
      <c r="B4" s="20" t="s">
        <v>24</v>
      </c>
      <c r="C4" s="7"/>
      <c r="D4" s="7"/>
      <c r="E4" s="7"/>
      <c r="F4" s="17">
        <v>200</v>
      </c>
      <c r="G4" s="8"/>
      <c r="H4" s="20" t="s">
        <v>5</v>
      </c>
      <c r="I4" s="7"/>
      <c r="J4" s="7"/>
      <c r="K4" s="17" t="s">
        <v>8</v>
      </c>
      <c r="L4" s="17">
        <v>1200</v>
      </c>
      <c r="M4" s="143" t="s">
        <v>158</v>
      </c>
      <c r="N4" s="17">
        <v>50</v>
      </c>
      <c r="O4" s="188" t="s">
        <v>62</v>
      </c>
      <c r="P4" s="187" t="s">
        <v>195</v>
      </c>
      <c r="Q4" s="187" t="s">
        <v>183</v>
      </c>
      <c r="R4" s="187" t="s">
        <v>184</v>
      </c>
      <c r="S4" s="187" t="s">
        <v>185</v>
      </c>
      <c r="T4" s="187" t="s">
        <v>189</v>
      </c>
      <c r="U4" s="187" t="s">
        <v>190</v>
      </c>
    </row>
    <row r="5" spans="2:21" x14ac:dyDescent="0.25">
      <c r="B5" s="21" t="s">
        <v>0</v>
      </c>
      <c r="C5" s="10"/>
      <c r="D5" s="10"/>
      <c r="E5" s="10"/>
      <c r="F5" s="11">
        <v>0</v>
      </c>
      <c r="G5" s="12" t="s">
        <v>4</v>
      </c>
      <c r="H5" s="21" t="s">
        <v>7</v>
      </c>
      <c r="I5" s="10"/>
      <c r="J5" s="10"/>
      <c r="K5" s="11" t="s">
        <v>8</v>
      </c>
      <c r="L5" s="11">
        <v>1200</v>
      </c>
      <c r="M5" s="10"/>
      <c r="N5" s="10"/>
      <c r="O5" s="188"/>
      <c r="P5" s="188"/>
      <c r="Q5" s="187"/>
      <c r="R5" s="188"/>
      <c r="S5" s="188"/>
      <c r="T5" s="188"/>
      <c r="U5" s="188"/>
    </row>
    <row r="6" spans="2:21" ht="15" customHeight="1" x14ac:dyDescent="0.25">
      <c r="B6" s="21" t="s">
        <v>110</v>
      </c>
      <c r="C6" s="67"/>
      <c r="D6" s="67"/>
      <c r="E6" s="67"/>
      <c r="F6" s="190" t="s">
        <v>111</v>
      </c>
      <c r="G6" s="191"/>
      <c r="H6" s="22" t="s">
        <v>112</v>
      </c>
      <c r="I6" s="18"/>
      <c r="J6" s="18"/>
      <c r="K6" s="11">
        <v>200</v>
      </c>
      <c r="L6" s="10" t="s">
        <v>4</v>
      </c>
      <c r="M6" s="10"/>
      <c r="N6" s="10"/>
      <c r="O6" s="170" t="s">
        <v>196</v>
      </c>
      <c r="P6" s="3">
        <v>650</v>
      </c>
      <c r="Q6" s="171" t="s">
        <v>147</v>
      </c>
      <c r="R6" s="45" t="s">
        <v>188</v>
      </c>
      <c r="S6" s="45">
        <v>24</v>
      </c>
      <c r="T6" s="199">
        <v>20</v>
      </c>
      <c r="U6" s="199">
        <v>10</v>
      </c>
    </row>
    <row r="7" spans="2:21" ht="15" customHeight="1" x14ac:dyDescent="0.25">
      <c r="B7" s="66" t="str">
        <f>"+ Chiều cao đỉnh mái biên trái"</f>
        <v>+ Chiều cao đỉnh mái biên trái</v>
      </c>
      <c r="C7" s="67"/>
      <c r="D7" s="67"/>
      <c r="E7" s="67"/>
      <c r="F7" s="147">
        <v>8000</v>
      </c>
      <c r="G7" s="68" t="s">
        <v>4</v>
      </c>
      <c r="H7" s="22" t="s">
        <v>113</v>
      </c>
      <c r="I7" s="10"/>
      <c r="J7" s="10"/>
      <c r="K7" s="11">
        <f>K6</f>
        <v>200</v>
      </c>
      <c r="L7" s="10" t="s">
        <v>4</v>
      </c>
      <c r="M7" s="10"/>
      <c r="N7" s="10"/>
      <c r="O7" s="170" t="s">
        <v>197</v>
      </c>
      <c r="P7" s="46">
        <f>P6</f>
        <v>650</v>
      </c>
      <c r="Q7" s="46" t="str">
        <f t="shared" ref="Q7:S7" si="0">Q6</f>
        <v>K-6-0-2</v>
      </c>
      <c r="R7" s="46" t="str">
        <f t="shared" si="0"/>
        <v>J</v>
      </c>
      <c r="S7" s="184">
        <f t="shared" si="0"/>
        <v>24</v>
      </c>
      <c r="T7" s="200"/>
      <c r="U7" s="200"/>
    </row>
    <row r="8" spans="2:21" ht="15" customHeight="1" x14ac:dyDescent="0.25">
      <c r="B8" s="66" t="str">
        <f>"+ Chiều cao đỉnh mái ở giữa"</f>
        <v>+ Chiều cao đỉnh mái ở giữa</v>
      </c>
      <c r="C8" s="67"/>
      <c r="D8" s="67"/>
      <c r="E8" s="67"/>
      <c r="F8" s="147">
        <v>12000</v>
      </c>
      <c r="G8" s="68" t="s">
        <v>4</v>
      </c>
      <c r="H8" s="21" t="s">
        <v>156</v>
      </c>
      <c r="I8" s="10"/>
      <c r="J8" s="10"/>
      <c r="K8" s="11" t="s">
        <v>96</v>
      </c>
      <c r="L8" s="10"/>
      <c r="M8" s="10"/>
      <c r="N8" s="10"/>
      <c r="O8" s="207" t="s">
        <v>162</v>
      </c>
      <c r="P8" s="208"/>
      <c r="Q8" s="208"/>
      <c r="R8" s="208"/>
      <c r="S8" s="169">
        <v>20</v>
      </c>
    </row>
    <row r="9" spans="2:21" ht="15" customHeight="1" x14ac:dyDescent="0.25">
      <c r="B9" s="66" t="str">
        <f>"+ Chiều cao đỉnh mái biên phải"</f>
        <v>+ Chiều cao đỉnh mái biên phải</v>
      </c>
      <c r="C9" s="67"/>
      <c r="D9" s="67"/>
      <c r="E9" s="67"/>
      <c r="F9" s="147">
        <v>8000</v>
      </c>
      <c r="G9" s="68" t="s">
        <v>4</v>
      </c>
      <c r="H9" s="22"/>
      <c r="I9" s="10"/>
      <c r="J9" s="10"/>
      <c r="K9" s="11"/>
      <c r="L9" s="10"/>
      <c r="M9" s="10"/>
      <c r="N9" s="10"/>
      <c r="O9" s="9"/>
      <c r="P9" s="10"/>
      <c r="Q9" s="10"/>
      <c r="R9" s="10"/>
      <c r="S9" s="12"/>
    </row>
    <row r="10" spans="2:21" ht="15" customHeight="1" x14ac:dyDescent="0.25">
      <c r="B10" s="43" t="s">
        <v>72</v>
      </c>
      <c r="C10" s="43"/>
      <c r="D10" s="10"/>
      <c r="E10" s="10"/>
      <c r="F10" s="19" t="s">
        <v>191</v>
      </c>
      <c r="G10" s="12"/>
      <c r="H10" s="21" t="s">
        <v>33</v>
      </c>
      <c r="I10" s="10"/>
      <c r="J10" s="10"/>
      <c r="K10" s="168" t="s">
        <v>180</v>
      </c>
      <c r="L10" s="10"/>
      <c r="M10" s="10"/>
      <c r="N10" s="10"/>
      <c r="O10" s="209"/>
      <c r="P10" s="210"/>
      <c r="Q10" s="210"/>
      <c r="R10" s="210"/>
      <c r="S10" s="102"/>
    </row>
    <row r="11" spans="2:21" ht="15" customHeight="1" x14ac:dyDescent="0.25">
      <c r="B11" s="43" t="s">
        <v>75</v>
      </c>
      <c r="C11" s="43"/>
      <c r="D11" s="10"/>
      <c r="E11" s="10"/>
      <c r="F11" s="41">
        <v>50</v>
      </c>
      <c r="G11" s="12"/>
      <c r="H11" s="21" t="s">
        <v>32</v>
      </c>
      <c r="I11" s="10"/>
      <c r="J11" s="10"/>
      <c r="K11" s="168" t="s">
        <v>180</v>
      </c>
      <c r="L11" s="10"/>
      <c r="M11" s="10"/>
      <c r="N11" s="10"/>
      <c r="O11" s="201"/>
      <c r="P11" s="202"/>
      <c r="Q11" s="202"/>
      <c r="R11" s="202"/>
      <c r="S11" s="203"/>
    </row>
    <row r="12" spans="2:21" ht="15" customHeight="1" x14ac:dyDescent="0.25">
      <c r="B12" s="21" t="s">
        <v>56</v>
      </c>
      <c r="C12" s="10"/>
      <c r="D12" s="10"/>
      <c r="E12" s="10"/>
      <c r="F12" s="147">
        <v>20000</v>
      </c>
      <c r="G12" s="84">
        <f>(F8-F7)/F12</f>
        <v>0.2</v>
      </c>
      <c r="H12" s="24" t="s">
        <v>178</v>
      </c>
      <c r="I12" s="10"/>
      <c r="J12" s="10"/>
      <c r="K12" s="11" t="s">
        <v>34</v>
      </c>
      <c r="L12" s="23" t="str">
        <f>IF(K12="Total","Chiều cao tổng","Chiều cao bụng")</f>
        <v>Chiều cao tổng</v>
      </c>
      <c r="M12" s="10"/>
      <c r="N12" s="10"/>
      <c r="O12" s="204"/>
      <c r="P12" s="205"/>
      <c r="Q12" s="205"/>
      <c r="R12" s="205"/>
      <c r="S12" s="206"/>
    </row>
    <row r="13" spans="2:21" x14ac:dyDescent="0.25">
      <c r="B13" s="21" t="s">
        <v>57</v>
      </c>
      <c r="C13" s="10"/>
      <c r="D13" s="10"/>
      <c r="E13" s="10"/>
      <c r="F13" s="147">
        <v>20000</v>
      </c>
      <c r="G13" s="84">
        <f>(F8-F9)/F13</f>
        <v>0.2</v>
      </c>
      <c r="H13" s="9"/>
      <c r="I13" s="10"/>
      <c r="J13" s="10"/>
      <c r="K13" s="10"/>
      <c r="L13" s="10"/>
      <c r="M13" s="10"/>
      <c r="N13" s="10"/>
      <c r="O13" s="231" t="s">
        <v>123</v>
      </c>
      <c r="P13" s="232"/>
      <c r="Q13" s="232"/>
      <c r="R13" s="80" t="s">
        <v>89</v>
      </c>
      <c r="S13" s="8" t="s">
        <v>122</v>
      </c>
    </row>
    <row r="14" spans="2:21" x14ac:dyDescent="0.25">
      <c r="B14" s="85" t="s">
        <v>43</v>
      </c>
      <c r="C14" s="15"/>
      <c r="D14" s="15"/>
      <c r="E14" s="15"/>
      <c r="F14" s="86">
        <f>F12+F13</f>
        <v>40000</v>
      </c>
      <c r="G14" s="16"/>
      <c r="H14" s="85"/>
      <c r="I14" s="15"/>
      <c r="J14" s="15"/>
      <c r="K14" s="101"/>
      <c r="L14" s="15"/>
      <c r="M14" s="15"/>
      <c r="N14" s="15"/>
      <c r="O14" s="233"/>
      <c r="P14" s="234"/>
      <c r="Q14" s="234"/>
      <c r="R14" s="101">
        <v>5</v>
      </c>
      <c r="S14" s="102">
        <v>1500</v>
      </c>
    </row>
    <row r="15" spans="2:21" hidden="1" x14ac:dyDescent="0.25">
      <c r="H15" s="87"/>
      <c r="I15" s="32"/>
      <c r="J15" s="32"/>
      <c r="L15" s="32"/>
      <c r="M15" s="32"/>
      <c r="N15" s="32"/>
      <c r="O15" s="32"/>
      <c r="P15" s="32"/>
      <c r="Q15" s="81"/>
    </row>
    <row r="16" spans="2:21" hidden="1" x14ac:dyDescent="0.25">
      <c r="H16" s="10"/>
      <c r="I16" s="10"/>
      <c r="J16" s="10"/>
      <c r="K16" s="10"/>
      <c r="L16" s="10"/>
      <c r="M16" s="10"/>
      <c r="N16" s="10"/>
      <c r="O16" s="10"/>
      <c r="P16" s="10"/>
      <c r="Q16" s="12"/>
    </row>
    <row r="17" spans="2:21" hidden="1" x14ac:dyDescent="0.25">
      <c r="H17" s="10"/>
      <c r="I17" s="10"/>
      <c r="J17" s="10"/>
      <c r="K17" s="10"/>
      <c r="L17" s="10"/>
      <c r="M17" s="10"/>
      <c r="N17" s="10"/>
      <c r="O17" s="10"/>
      <c r="P17" s="10"/>
      <c r="Q17" s="12"/>
    </row>
    <row r="18" spans="2:21" hidden="1" x14ac:dyDescent="0.25">
      <c r="B18" s="21"/>
      <c r="C18" s="10"/>
      <c r="D18" s="10"/>
      <c r="E18" s="40"/>
      <c r="F18" s="41"/>
      <c r="G18" s="12"/>
      <c r="H18" s="10"/>
      <c r="I18" s="10"/>
      <c r="J18" s="10"/>
      <c r="K18" s="10"/>
      <c r="L18" s="10"/>
      <c r="M18" s="10"/>
      <c r="N18" s="10"/>
      <c r="O18" s="10"/>
      <c r="P18" s="10"/>
      <c r="Q18" s="10"/>
    </row>
    <row r="19" spans="2:21" ht="15" hidden="1" customHeight="1" x14ac:dyDescent="0.25">
      <c r="B19" s="61"/>
      <c r="G19" s="62"/>
      <c r="H19" s="10"/>
      <c r="I19" s="10"/>
      <c r="J19" s="10"/>
      <c r="K19" s="10"/>
      <c r="L19" s="10"/>
      <c r="M19" s="10"/>
      <c r="N19" s="10"/>
      <c r="O19" s="10"/>
      <c r="P19" s="10"/>
      <c r="Q19" s="10"/>
    </row>
    <row r="20" spans="2:21" ht="15" hidden="1" customHeight="1" x14ac:dyDescent="0.25">
      <c r="B20" s="61"/>
      <c r="G20" s="62"/>
      <c r="H20" s="10"/>
      <c r="I20" s="10"/>
      <c r="J20" s="10"/>
      <c r="K20" s="10"/>
      <c r="L20" s="10"/>
      <c r="M20" s="10"/>
      <c r="N20" s="10"/>
      <c r="O20" s="10"/>
      <c r="P20" s="10"/>
      <c r="Q20" s="10"/>
    </row>
    <row r="21" spans="2:21" ht="15" hidden="1" customHeight="1" x14ac:dyDescent="0.25">
      <c r="B21" s="61"/>
      <c r="G21" s="62"/>
      <c r="H21" s="10"/>
      <c r="I21" s="10"/>
      <c r="J21" s="10"/>
      <c r="K21" s="10"/>
      <c r="L21" s="10"/>
      <c r="M21" s="10"/>
      <c r="N21" s="10"/>
      <c r="O21" s="10"/>
      <c r="P21" s="10"/>
      <c r="Q21" s="10"/>
    </row>
    <row r="22" spans="2:21" ht="15" hidden="1" customHeight="1" x14ac:dyDescent="0.25">
      <c r="B22" s="61"/>
      <c r="G22" s="62"/>
      <c r="H22" s="10"/>
      <c r="I22" s="10"/>
      <c r="J22" s="10"/>
      <c r="K22" s="10"/>
      <c r="L22" s="10"/>
      <c r="M22" s="10"/>
      <c r="N22" s="10"/>
      <c r="O22" s="10"/>
      <c r="P22" s="10"/>
      <c r="Q22" s="10"/>
    </row>
    <row r="23" spans="2:21" ht="15" hidden="1" customHeight="1" x14ac:dyDescent="0.25">
      <c r="B23" s="14"/>
      <c r="C23" s="15"/>
      <c r="D23" s="15"/>
      <c r="E23" s="15"/>
      <c r="G23" s="16"/>
      <c r="H23" s="15"/>
      <c r="I23" s="15"/>
      <c r="J23" s="15"/>
      <c r="K23" s="15"/>
      <c r="L23" s="15"/>
      <c r="M23" s="15"/>
      <c r="N23" s="25"/>
      <c r="O23" s="25"/>
      <c r="P23" s="25"/>
      <c r="Q23" s="25"/>
    </row>
    <row r="24" spans="2:21" ht="15" customHeight="1" x14ac:dyDescent="0.25">
      <c r="B24" s="189" t="s">
        <v>27</v>
      </c>
      <c r="C24" s="214" t="s">
        <v>30</v>
      </c>
      <c r="D24" s="214"/>
      <c r="E24" s="214"/>
      <c r="F24" s="214"/>
      <c r="G24" s="214"/>
      <c r="H24" s="214"/>
      <c r="I24" s="214"/>
      <c r="J24" s="192" t="s">
        <v>198</v>
      </c>
      <c r="K24" s="193"/>
      <c r="L24" s="193"/>
      <c r="M24" s="193"/>
      <c r="N24" s="194"/>
      <c r="O24" s="196" t="s">
        <v>22</v>
      </c>
      <c r="P24" s="197"/>
      <c r="Q24" s="198"/>
      <c r="R24" s="175"/>
      <c r="S24" s="176"/>
      <c r="T24" s="176"/>
      <c r="U24" s="177"/>
    </row>
    <row r="25" spans="2:21" ht="15" customHeight="1" x14ac:dyDescent="0.25">
      <c r="B25" s="189"/>
      <c r="C25" s="216" t="s">
        <v>165</v>
      </c>
      <c r="D25" s="189" t="s">
        <v>39</v>
      </c>
      <c r="E25" s="189" t="s">
        <v>38</v>
      </c>
      <c r="F25" s="214" t="s">
        <v>18</v>
      </c>
      <c r="G25" s="214"/>
      <c r="H25" s="214"/>
      <c r="I25" s="214"/>
      <c r="J25" s="195" t="s">
        <v>59</v>
      </c>
      <c r="K25" s="195" t="s">
        <v>76</v>
      </c>
      <c r="L25" s="195" t="s">
        <v>194</v>
      </c>
      <c r="M25" s="195" t="s">
        <v>192</v>
      </c>
      <c r="N25" s="195" t="s">
        <v>193</v>
      </c>
      <c r="O25" s="189" t="s">
        <v>107</v>
      </c>
      <c r="P25" s="189" t="s">
        <v>105</v>
      </c>
      <c r="Q25" s="189"/>
      <c r="R25" s="178"/>
      <c r="S25" s="179"/>
      <c r="T25" s="179"/>
      <c r="U25" s="180"/>
    </row>
    <row r="26" spans="2:21" ht="15" customHeight="1" x14ac:dyDescent="0.25">
      <c r="B26" s="189"/>
      <c r="C26" s="217"/>
      <c r="D26" s="189"/>
      <c r="E26" s="215"/>
      <c r="F26" s="189" t="s">
        <v>66</v>
      </c>
      <c r="G26" s="189" t="s">
        <v>20</v>
      </c>
      <c r="H26" s="189" t="s">
        <v>67</v>
      </c>
      <c r="I26" s="189" t="s">
        <v>68</v>
      </c>
      <c r="J26" s="195"/>
      <c r="K26" s="195"/>
      <c r="L26" s="195"/>
      <c r="M26" s="195"/>
      <c r="N26" s="195"/>
      <c r="O26" s="189"/>
      <c r="P26" s="189" t="s">
        <v>106</v>
      </c>
      <c r="Q26" s="189" t="s">
        <v>35</v>
      </c>
      <c r="R26" s="178"/>
      <c r="S26" s="179"/>
      <c r="T26" s="179"/>
      <c r="U26" s="180"/>
    </row>
    <row r="27" spans="2:21" x14ac:dyDescent="0.25">
      <c r="B27" s="189"/>
      <c r="C27" s="144" t="s">
        <v>65</v>
      </c>
      <c r="D27" s="189"/>
      <c r="E27" s="215"/>
      <c r="F27" s="189"/>
      <c r="G27" s="189"/>
      <c r="H27" s="189"/>
      <c r="I27" s="189"/>
      <c r="J27" s="195"/>
      <c r="K27" s="195"/>
      <c r="L27" s="195"/>
      <c r="M27" s="195"/>
      <c r="N27" s="195"/>
      <c r="O27" s="189"/>
      <c r="P27" s="189"/>
      <c r="Q27" s="189"/>
      <c r="R27" s="178"/>
      <c r="S27" s="179"/>
      <c r="T27" s="179"/>
      <c r="U27" s="180"/>
    </row>
    <row r="28" spans="2:21" x14ac:dyDescent="0.25">
      <c r="B28" s="189"/>
      <c r="C28" s="145" t="s">
        <v>94</v>
      </c>
      <c r="D28" s="189"/>
      <c r="E28" s="215"/>
      <c r="F28" s="42" t="s">
        <v>40</v>
      </c>
      <c r="G28" s="42" t="s">
        <v>21</v>
      </c>
      <c r="H28" s="42" t="s">
        <v>41</v>
      </c>
      <c r="I28" s="42" t="s">
        <v>42</v>
      </c>
      <c r="J28" s="195"/>
      <c r="K28" s="195"/>
      <c r="L28" s="195"/>
      <c r="M28" s="195"/>
      <c r="N28" s="195"/>
      <c r="O28" s="189"/>
      <c r="P28" s="189"/>
      <c r="Q28" s="189"/>
      <c r="R28" s="178"/>
      <c r="S28" s="179"/>
      <c r="T28" s="179"/>
      <c r="U28" s="180"/>
    </row>
    <row r="29" spans="2:21" x14ac:dyDescent="0.25">
      <c r="B29" s="5">
        <v>1</v>
      </c>
      <c r="C29" s="5">
        <v>2</v>
      </c>
      <c r="D29" s="5">
        <v>3</v>
      </c>
      <c r="E29" s="5">
        <v>4</v>
      </c>
      <c r="F29" s="5">
        <v>5</v>
      </c>
      <c r="G29" s="5">
        <v>6</v>
      </c>
      <c r="H29" s="5">
        <v>7</v>
      </c>
      <c r="I29" s="5">
        <v>8</v>
      </c>
      <c r="J29" s="5">
        <v>9</v>
      </c>
      <c r="K29" s="5">
        <v>10</v>
      </c>
      <c r="L29" s="5">
        <v>11</v>
      </c>
      <c r="M29" s="5">
        <v>12</v>
      </c>
      <c r="N29" s="5">
        <v>13</v>
      </c>
      <c r="O29" s="5">
        <v>14</v>
      </c>
      <c r="P29" s="5">
        <v>15</v>
      </c>
      <c r="Q29" s="5">
        <v>16</v>
      </c>
      <c r="R29" s="178"/>
      <c r="S29" s="179"/>
      <c r="T29" s="179"/>
      <c r="U29" s="180"/>
    </row>
    <row r="30" spans="2:21" x14ac:dyDescent="0.25">
      <c r="B30" s="3" t="s">
        <v>1</v>
      </c>
      <c r="C30" s="144" t="s">
        <v>81</v>
      </c>
      <c r="D30" s="3" t="s">
        <v>164</v>
      </c>
      <c r="E30" s="33">
        <v>6000</v>
      </c>
      <c r="F30" s="33" t="s">
        <v>169</v>
      </c>
      <c r="G30" s="33">
        <v>8</v>
      </c>
      <c r="H30" s="33">
        <v>200</v>
      </c>
      <c r="I30" s="33">
        <v>12</v>
      </c>
      <c r="J30" s="52"/>
      <c r="K30" s="38">
        <v>8</v>
      </c>
      <c r="L30" s="45">
        <v>20</v>
      </c>
      <c r="M30" s="38">
        <v>20</v>
      </c>
      <c r="N30" s="38">
        <v>10</v>
      </c>
      <c r="O30" s="4" t="s">
        <v>108</v>
      </c>
      <c r="P30" s="3" t="s">
        <v>163</v>
      </c>
      <c r="Q30" s="3">
        <v>0</v>
      </c>
      <c r="R30" s="178"/>
      <c r="S30" s="179"/>
      <c r="T30" s="179"/>
      <c r="U30" s="180"/>
    </row>
    <row r="31" spans="2:21" ht="15" customHeight="1" x14ac:dyDescent="0.25">
      <c r="B31" s="3" t="s">
        <v>2</v>
      </c>
      <c r="C31" s="144" t="s">
        <v>82</v>
      </c>
      <c r="D31" s="3" t="s">
        <v>166</v>
      </c>
      <c r="E31" s="33"/>
      <c r="F31" s="33">
        <v>324</v>
      </c>
      <c r="G31" s="33">
        <v>8</v>
      </c>
      <c r="H31" s="33">
        <v>200</v>
      </c>
      <c r="I31" s="33">
        <v>12</v>
      </c>
      <c r="J31" s="52"/>
      <c r="K31" s="38">
        <v>8</v>
      </c>
      <c r="L31" s="45">
        <v>20</v>
      </c>
      <c r="M31" s="38">
        <v>20</v>
      </c>
      <c r="N31" s="38">
        <v>10</v>
      </c>
      <c r="O31" s="4" t="s">
        <v>161</v>
      </c>
      <c r="P31" s="3"/>
      <c r="Q31" s="3"/>
      <c r="R31" s="178"/>
      <c r="S31" s="179"/>
      <c r="T31" s="179"/>
      <c r="U31" s="180"/>
    </row>
    <row r="32" spans="2:21" x14ac:dyDescent="0.25">
      <c r="B32" s="3" t="s">
        <v>3</v>
      </c>
      <c r="C32" s="144" t="s">
        <v>83</v>
      </c>
      <c r="D32" s="3" t="s">
        <v>167</v>
      </c>
      <c r="E32" s="33">
        <v>9000</v>
      </c>
      <c r="F32" s="33" t="s">
        <v>170</v>
      </c>
      <c r="G32" s="33">
        <v>8</v>
      </c>
      <c r="H32" s="33">
        <v>200</v>
      </c>
      <c r="I32" s="33">
        <v>12</v>
      </c>
      <c r="J32" s="52"/>
      <c r="K32" s="38">
        <v>8</v>
      </c>
      <c r="L32" s="45">
        <v>20</v>
      </c>
      <c r="M32" s="38">
        <v>20</v>
      </c>
      <c r="N32" s="38">
        <v>10</v>
      </c>
      <c r="O32" s="4" t="s">
        <v>109</v>
      </c>
      <c r="P32" s="3" t="s">
        <v>163</v>
      </c>
      <c r="Q32" s="3">
        <v>0</v>
      </c>
      <c r="R32" s="181"/>
      <c r="S32" s="182"/>
      <c r="T32" s="182"/>
      <c r="U32" s="183"/>
    </row>
    <row r="33" spans="2:21" ht="15" customHeight="1" x14ac:dyDescent="0.25">
      <c r="B33" s="218"/>
      <c r="C33" s="144" t="s">
        <v>90</v>
      </c>
      <c r="D33" s="3" t="s">
        <v>168</v>
      </c>
      <c r="E33" s="33"/>
      <c r="F33" s="33"/>
      <c r="G33" s="33"/>
      <c r="H33" s="33"/>
      <c r="I33" s="33"/>
      <c r="J33" s="52"/>
      <c r="K33" s="38"/>
      <c r="L33" s="45"/>
      <c r="M33" s="38"/>
      <c r="N33" s="38"/>
      <c r="O33" s="221" t="s">
        <v>102</v>
      </c>
      <c r="P33" s="222"/>
      <c r="Q33" s="222"/>
      <c r="R33" s="222"/>
      <c r="S33" s="222"/>
      <c r="T33" s="222"/>
      <c r="U33" s="223"/>
    </row>
    <row r="34" spans="2:21" x14ac:dyDescent="0.25">
      <c r="B34" s="218"/>
      <c r="C34" s="144" t="s">
        <v>84</v>
      </c>
      <c r="D34" s="3"/>
      <c r="E34" s="34"/>
      <c r="F34" s="34"/>
      <c r="G34" s="34"/>
      <c r="H34" s="34"/>
      <c r="I34" s="34"/>
      <c r="J34" s="52"/>
      <c r="K34" s="38"/>
      <c r="L34" s="45"/>
      <c r="M34" s="38"/>
      <c r="N34" s="38"/>
      <c r="O34" s="224"/>
      <c r="P34" s="225"/>
      <c r="Q34" s="225"/>
      <c r="R34" s="225"/>
      <c r="S34" s="225"/>
      <c r="T34" s="225"/>
      <c r="U34" s="226"/>
    </row>
    <row r="35" spans="2:21" ht="15" hidden="1" customHeight="1" x14ac:dyDescent="0.25">
      <c r="B35" s="218"/>
      <c r="C35" s="144" t="s">
        <v>85</v>
      </c>
      <c r="D35" s="3"/>
      <c r="E35" s="34"/>
      <c r="F35" s="34"/>
      <c r="G35" s="34"/>
      <c r="H35" s="34"/>
      <c r="I35" s="34"/>
      <c r="J35" s="52"/>
      <c r="K35" s="38"/>
      <c r="L35" s="45"/>
      <c r="M35" s="38"/>
      <c r="N35" s="38"/>
      <c r="O35" s="224"/>
      <c r="P35" s="225"/>
      <c r="Q35" s="225"/>
      <c r="R35" s="225"/>
      <c r="S35" s="225"/>
      <c r="T35" s="225"/>
      <c r="U35" s="226"/>
    </row>
    <row r="36" spans="2:21" ht="15" hidden="1" customHeight="1" x14ac:dyDescent="0.25">
      <c r="B36" s="218"/>
      <c r="C36" s="144" t="s">
        <v>86</v>
      </c>
      <c r="D36" s="3"/>
      <c r="E36" s="34"/>
      <c r="F36" s="34"/>
      <c r="G36" s="34"/>
      <c r="H36" s="34"/>
      <c r="I36" s="34"/>
      <c r="J36" s="52"/>
      <c r="K36" s="38"/>
      <c r="L36" s="45"/>
      <c r="M36" s="38"/>
      <c r="N36" s="38"/>
      <c r="O36" s="224"/>
      <c r="P36" s="225"/>
      <c r="Q36" s="225"/>
      <c r="R36" s="225"/>
      <c r="S36" s="225"/>
      <c r="T36" s="225"/>
      <c r="U36" s="226"/>
    </row>
    <row r="37" spans="2:21" ht="15" hidden="1" customHeight="1" x14ac:dyDescent="0.25">
      <c r="B37" s="218"/>
      <c r="C37" s="144" t="s">
        <v>91</v>
      </c>
      <c r="D37" s="3"/>
      <c r="E37" s="34"/>
      <c r="F37" s="34"/>
      <c r="G37" s="34"/>
      <c r="H37" s="34"/>
      <c r="I37" s="34"/>
      <c r="J37" s="52"/>
      <c r="K37" s="38"/>
      <c r="L37" s="45"/>
      <c r="M37" s="38"/>
      <c r="N37" s="38"/>
      <c r="O37" s="224"/>
      <c r="P37" s="225"/>
      <c r="Q37" s="225"/>
      <c r="R37" s="225"/>
      <c r="S37" s="225"/>
      <c r="T37" s="225"/>
      <c r="U37" s="226"/>
    </row>
    <row r="38" spans="2:21" ht="15" hidden="1" customHeight="1" x14ac:dyDescent="0.25">
      <c r="B38" s="218"/>
      <c r="C38" s="144" t="s">
        <v>92</v>
      </c>
      <c r="D38" s="3"/>
      <c r="E38" s="34"/>
      <c r="F38" s="34"/>
      <c r="G38" s="34"/>
      <c r="H38" s="34"/>
      <c r="I38" s="34"/>
      <c r="J38" s="52"/>
      <c r="K38" s="38"/>
      <c r="L38" s="45"/>
      <c r="M38" s="38"/>
      <c r="N38" s="38"/>
      <c r="O38" s="224"/>
      <c r="P38" s="225"/>
      <c r="Q38" s="225"/>
      <c r="R38" s="225"/>
      <c r="S38" s="225"/>
      <c r="T38" s="225"/>
      <c r="U38" s="226"/>
    </row>
    <row r="39" spans="2:21" ht="15" hidden="1" customHeight="1" x14ac:dyDescent="0.25">
      <c r="B39" s="218"/>
      <c r="C39" s="144" t="s">
        <v>93</v>
      </c>
      <c r="D39" s="3"/>
      <c r="E39" s="33"/>
      <c r="F39" s="33"/>
      <c r="G39" s="33"/>
      <c r="H39" s="33"/>
      <c r="I39" s="33"/>
      <c r="J39" s="52"/>
      <c r="K39" s="38"/>
      <c r="L39" s="45"/>
      <c r="M39" s="38"/>
      <c r="N39" s="38"/>
      <c r="O39" s="224"/>
      <c r="P39" s="225"/>
      <c r="Q39" s="225"/>
      <c r="R39" s="225"/>
      <c r="S39" s="225"/>
      <c r="T39" s="225"/>
      <c r="U39" s="226"/>
    </row>
    <row r="40" spans="2:21" ht="15" customHeight="1" x14ac:dyDescent="0.25">
      <c r="B40" s="218"/>
      <c r="C40" s="146" t="s">
        <v>87</v>
      </c>
      <c r="D40" s="150" t="s">
        <v>173</v>
      </c>
      <c r="E40" s="148">
        <v>1500</v>
      </c>
      <c r="F40" s="148" t="s">
        <v>199</v>
      </c>
      <c r="G40" s="148">
        <v>8</v>
      </c>
      <c r="H40" s="148">
        <v>200</v>
      </c>
      <c r="I40" s="148">
        <v>12</v>
      </c>
      <c r="J40" s="59"/>
      <c r="K40" s="58"/>
      <c r="L40" s="60"/>
      <c r="M40" s="58"/>
      <c r="N40" s="58"/>
      <c r="O40" s="224"/>
      <c r="P40" s="225"/>
      <c r="Q40" s="225"/>
      <c r="R40" s="225"/>
      <c r="S40" s="225"/>
      <c r="T40" s="225"/>
      <c r="U40" s="226"/>
    </row>
    <row r="41" spans="2:21" ht="15" hidden="1" customHeight="1" x14ac:dyDescent="0.25">
      <c r="B41" s="218"/>
      <c r="C41" s="145" t="s">
        <v>93</v>
      </c>
      <c r="D41" s="3"/>
      <c r="E41" s="33"/>
      <c r="F41" s="33"/>
      <c r="G41" s="33"/>
      <c r="H41" s="33"/>
      <c r="I41" s="33"/>
      <c r="J41" s="52"/>
      <c r="K41" s="38"/>
      <c r="L41" s="45"/>
      <c r="M41" s="38"/>
      <c r="N41" s="38"/>
      <c r="O41" s="224"/>
      <c r="P41" s="225"/>
      <c r="Q41" s="225"/>
      <c r="R41" s="225"/>
      <c r="S41" s="225"/>
      <c r="T41" s="225"/>
      <c r="U41" s="226"/>
    </row>
    <row r="42" spans="2:21" ht="15" hidden="1" customHeight="1" x14ac:dyDescent="0.25">
      <c r="B42" s="218"/>
      <c r="C42" s="145" t="s">
        <v>92</v>
      </c>
      <c r="D42" s="3"/>
      <c r="E42" s="33"/>
      <c r="F42" s="33"/>
      <c r="G42" s="33"/>
      <c r="H42" s="33"/>
      <c r="I42" s="33"/>
      <c r="J42" s="52"/>
      <c r="K42" s="38"/>
      <c r="L42" s="45"/>
      <c r="M42" s="38"/>
      <c r="N42" s="38"/>
      <c r="O42" s="224"/>
      <c r="P42" s="225"/>
      <c r="Q42" s="225"/>
      <c r="R42" s="225"/>
      <c r="S42" s="225"/>
      <c r="T42" s="225"/>
      <c r="U42" s="226"/>
    </row>
    <row r="43" spans="2:21" ht="15" hidden="1" customHeight="1" x14ac:dyDescent="0.25">
      <c r="B43" s="218"/>
      <c r="C43" s="145" t="s">
        <v>91</v>
      </c>
      <c r="D43" s="3"/>
      <c r="E43" s="33"/>
      <c r="F43" s="33"/>
      <c r="G43" s="33"/>
      <c r="H43" s="33"/>
      <c r="I43" s="33"/>
      <c r="J43" s="52"/>
      <c r="K43" s="38"/>
      <c r="L43" s="45"/>
      <c r="M43" s="38"/>
      <c r="N43" s="38"/>
      <c r="O43" s="224"/>
      <c r="P43" s="225"/>
      <c r="Q43" s="225"/>
      <c r="R43" s="225"/>
      <c r="S43" s="225"/>
      <c r="T43" s="225"/>
      <c r="U43" s="226"/>
    </row>
    <row r="44" spans="2:21" ht="15" hidden="1" customHeight="1" x14ac:dyDescent="0.25">
      <c r="B44" s="218"/>
      <c r="C44" s="145" t="s">
        <v>86</v>
      </c>
      <c r="D44" s="3"/>
      <c r="E44" s="33"/>
      <c r="F44" s="33"/>
      <c r="G44" s="33"/>
      <c r="H44" s="33"/>
      <c r="I44" s="33"/>
      <c r="J44" s="52"/>
      <c r="K44" s="38"/>
      <c r="L44" s="45"/>
      <c r="M44" s="38"/>
      <c r="N44" s="38"/>
      <c r="O44" s="224"/>
      <c r="P44" s="225"/>
      <c r="Q44" s="225"/>
      <c r="R44" s="225"/>
      <c r="S44" s="225"/>
      <c r="T44" s="225"/>
      <c r="U44" s="226"/>
    </row>
    <row r="45" spans="2:21" ht="15" hidden="1" customHeight="1" x14ac:dyDescent="0.25">
      <c r="B45" s="218"/>
      <c r="C45" s="145" t="s">
        <v>85</v>
      </c>
      <c r="D45" s="3"/>
      <c r="E45" s="34"/>
      <c r="F45" s="34"/>
      <c r="G45" s="34"/>
      <c r="H45" s="33"/>
      <c r="I45" s="33"/>
      <c r="J45" s="52"/>
      <c r="K45" s="38"/>
      <c r="L45" s="45"/>
      <c r="M45" s="52"/>
      <c r="N45" s="52"/>
      <c r="O45" s="224"/>
      <c r="P45" s="225"/>
      <c r="Q45" s="225"/>
      <c r="R45" s="225"/>
      <c r="S45" s="225"/>
      <c r="T45" s="225"/>
      <c r="U45" s="226"/>
    </row>
    <row r="46" spans="2:21" x14ac:dyDescent="0.25">
      <c r="B46" s="218"/>
      <c r="C46" s="145" t="s">
        <v>84</v>
      </c>
      <c r="D46" s="3"/>
      <c r="E46" s="34"/>
      <c r="F46" s="34"/>
      <c r="G46" s="34"/>
      <c r="H46" s="33"/>
      <c r="I46" s="33"/>
      <c r="J46" s="52"/>
      <c r="K46" s="38"/>
      <c r="L46" s="45"/>
      <c r="M46" s="52"/>
      <c r="N46" s="52"/>
      <c r="O46" s="224"/>
      <c r="P46" s="225"/>
      <c r="Q46" s="225"/>
      <c r="R46" s="225"/>
      <c r="S46" s="225"/>
      <c r="T46" s="225"/>
      <c r="U46" s="226"/>
    </row>
    <row r="47" spans="2:21" x14ac:dyDescent="0.25">
      <c r="B47" s="218"/>
      <c r="C47" s="145" t="s">
        <v>90</v>
      </c>
      <c r="D47" s="3"/>
      <c r="E47" s="33"/>
      <c r="F47" s="33"/>
      <c r="G47" s="33"/>
      <c r="H47" s="33"/>
      <c r="I47" s="33"/>
      <c r="J47" s="52"/>
      <c r="K47" s="38"/>
      <c r="L47" s="45"/>
      <c r="M47" s="38"/>
      <c r="N47" s="38"/>
      <c r="O47" s="224"/>
      <c r="P47" s="225"/>
      <c r="Q47" s="225"/>
      <c r="R47" s="225"/>
      <c r="S47" s="225"/>
      <c r="T47" s="225"/>
      <c r="U47" s="226"/>
    </row>
    <row r="48" spans="2:21" x14ac:dyDescent="0.25">
      <c r="B48" s="218"/>
      <c r="C48" s="145" t="s">
        <v>83</v>
      </c>
      <c r="D48" s="3" t="s">
        <v>167</v>
      </c>
      <c r="E48" s="33">
        <v>9000</v>
      </c>
      <c r="F48" s="33" t="s">
        <v>171</v>
      </c>
      <c r="G48" s="33">
        <v>8</v>
      </c>
      <c r="H48" s="33">
        <v>200</v>
      </c>
      <c r="I48" s="33">
        <v>12</v>
      </c>
      <c r="J48" s="52"/>
      <c r="K48" s="38">
        <v>8</v>
      </c>
      <c r="L48" s="45">
        <v>20</v>
      </c>
      <c r="M48" s="38">
        <v>20</v>
      </c>
      <c r="N48" s="38">
        <v>10</v>
      </c>
      <c r="O48" s="224"/>
      <c r="P48" s="225"/>
      <c r="Q48" s="225"/>
      <c r="R48" s="225"/>
      <c r="S48" s="225"/>
      <c r="T48" s="225"/>
      <c r="U48" s="226"/>
    </row>
    <row r="49" spans="2:21" x14ac:dyDescent="0.25">
      <c r="B49" s="218"/>
      <c r="C49" s="145" t="s">
        <v>82</v>
      </c>
      <c r="D49" s="3" t="s">
        <v>166</v>
      </c>
      <c r="E49" s="33"/>
      <c r="F49" s="33">
        <v>324</v>
      </c>
      <c r="G49" s="33">
        <v>8</v>
      </c>
      <c r="H49" s="33">
        <v>200</v>
      </c>
      <c r="I49" s="33">
        <v>12</v>
      </c>
      <c r="J49" s="52"/>
      <c r="K49" s="38">
        <v>8</v>
      </c>
      <c r="L49" s="45">
        <v>20</v>
      </c>
      <c r="M49" s="38">
        <v>20</v>
      </c>
      <c r="N49" s="38">
        <v>10</v>
      </c>
      <c r="O49" s="224"/>
      <c r="P49" s="225"/>
      <c r="Q49" s="225"/>
      <c r="R49" s="225"/>
      <c r="S49" s="225"/>
      <c r="T49" s="225"/>
      <c r="U49" s="226"/>
    </row>
    <row r="50" spans="2:21" x14ac:dyDescent="0.25">
      <c r="B50" s="218"/>
      <c r="C50" s="145" t="s">
        <v>81</v>
      </c>
      <c r="D50" s="3" t="s">
        <v>164</v>
      </c>
      <c r="E50" s="33">
        <v>6000</v>
      </c>
      <c r="F50" s="33" t="s">
        <v>172</v>
      </c>
      <c r="G50" s="33">
        <v>8</v>
      </c>
      <c r="H50" s="33">
        <v>200</v>
      </c>
      <c r="I50" s="33">
        <v>12</v>
      </c>
      <c r="J50" s="52"/>
      <c r="K50" s="38">
        <v>8</v>
      </c>
      <c r="L50" s="45">
        <v>20</v>
      </c>
      <c r="M50" s="38">
        <v>20</v>
      </c>
      <c r="N50" s="38">
        <v>12</v>
      </c>
      <c r="O50" s="227"/>
      <c r="P50" s="228"/>
      <c r="Q50" s="228"/>
      <c r="R50" s="228"/>
      <c r="S50" s="228"/>
      <c r="T50" s="228"/>
      <c r="U50" s="229"/>
    </row>
    <row r="52" spans="2:21" ht="15" customHeight="1" x14ac:dyDescent="0.25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</row>
    <row r="53" spans="2:21" ht="15" customHeight="1" x14ac:dyDescent="0.25"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</row>
    <row r="54" spans="2:21" ht="15" customHeight="1" x14ac:dyDescent="0.25"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</row>
    <row r="55" spans="2:21" ht="15" customHeight="1" x14ac:dyDescent="0.25"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</row>
    <row r="56" spans="2:21" ht="15" customHeight="1" x14ac:dyDescent="0.25">
      <c r="B56" s="174"/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  <c r="P56" s="174"/>
      <c r="Q56" s="174"/>
      <c r="R56" s="174"/>
    </row>
  </sheetData>
  <mergeCells count="42">
    <mergeCell ref="B33:B50"/>
    <mergeCell ref="H3:O3"/>
    <mergeCell ref="F26:F27"/>
    <mergeCell ref="K25:K28"/>
    <mergeCell ref="L25:L28"/>
    <mergeCell ref="M25:M28"/>
    <mergeCell ref="G26:G27"/>
    <mergeCell ref="H26:H27"/>
    <mergeCell ref="I26:I27"/>
    <mergeCell ref="O33:U50"/>
    <mergeCell ref="P4:P5"/>
    <mergeCell ref="P3:Q3"/>
    <mergeCell ref="O25:O28"/>
    <mergeCell ref="P26:P28"/>
    <mergeCell ref="Q26:Q28"/>
    <mergeCell ref="O13:Q14"/>
    <mergeCell ref="L1:M2"/>
    <mergeCell ref="B1:G2"/>
    <mergeCell ref="H1:K2"/>
    <mergeCell ref="B24:B28"/>
    <mergeCell ref="C24:I24"/>
    <mergeCell ref="D25:D28"/>
    <mergeCell ref="E25:E28"/>
    <mergeCell ref="F25:I25"/>
    <mergeCell ref="J25:J28"/>
    <mergeCell ref="C25:C26"/>
    <mergeCell ref="U4:U5"/>
    <mergeCell ref="T4:T5"/>
    <mergeCell ref="P25:Q25"/>
    <mergeCell ref="F6:G6"/>
    <mergeCell ref="O4:O5"/>
    <mergeCell ref="Q4:Q5"/>
    <mergeCell ref="R4:R5"/>
    <mergeCell ref="J24:N24"/>
    <mergeCell ref="N25:N28"/>
    <mergeCell ref="O24:Q24"/>
    <mergeCell ref="U6:U7"/>
    <mergeCell ref="T6:T7"/>
    <mergeCell ref="O11:S12"/>
    <mergeCell ref="O8:R8"/>
    <mergeCell ref="O10:R10"/>
    <mergeCell ref="S4:S5"/>
  </mergeCells>
  <conditionalFormatting sqref="C41">
    <cfRule type="containsText" dxfId="7" priority="1" operator="containsText" text="P">
      <formula>NOT(ISERROR(SEARCH("P",C41)))</formula>
    </cfRule>
    <cfRule type="containsText" dxfId="6" priority="2" operator="containsText" text="T">
      <formula>NOT(ISERROR(SEARCH("T",C41)))</formula>
    </cfRule>
  </conditionalFormatting>
  <dataValidations disablePrompts="1" count="7">
    <dataValidation type="list" allowBlank="1" showInputMessage="1" showErrorMessage="1" sqref="K50" xr:uid="{B7472497-0CF9-4DD5-9AB5-894431EFDF8D}">
      <formula1>"2,4,6,8,10"</formula1>
    </dataValidation>
    <dataValidation type="list" allowBlank="1" showInputMessage="1" showErrorMessage="1" sqref="E18" xr:uid="{DE8F1E0A-1112-41A8-87E4-63B8A90C5545}">
      <formula1>"Bên trái,Bên phải"</formula1>
    </dataValidation>
    <dataValidation type="list" allowBlank="1" showInputMessage="1" showErrorMessage="1" sqref="K12" xr:uid="{F82C136F-41F1-432D-B732-5E2E0E433F64}">
      <formula1>"Total,Web"</formula1>
    </dataValidation>
    <dataValidation type="list" allowBlank="1" showInputMessage="1" showErrorMessage="1" sqref="F6:G6" xr:uid="{A7E557B4-EEB4-4598-A274-F2277FE35BA4}">
      <formula1>"Chưa tính lớp bao che,Đã tính lớp bao che"</formula1>
    </dataValidation>
    <dataValidation type="list" allowBlank="1" showInputMessage="1" showErrorMessage="1" sqref="K8" xr:uid="{83F47985-118A-4A7F-BD94-2FF7C4A72E02}">
      <formula1>"Nghiêng,Ngang"</formula1>
    </dataValidation>
    <dataValidation type="list" allowBlank="1" showInputMessage="1" showErrorMessage="1" sqref="K10:K11" xr:uid="{F4AB34AA-AD00-43B0-BDF7-9C4459AF3A32}">
      <formula1>"Tên,Kích thước,Tên &amp; Kích thước"</formula1>
    </dataValidation>
    <dataValidation type="list" allowBlank="1" showInputMessage="1" showErrorMessage="1" sqref="K30:K32" xr:uid="{A0C4B718-C492-41C9-B79F-66EFC6AB41E0}">
      <formula1>"4,6,8,10,12,14,16,18,20"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4F1435C-C06E-48C3-AB20-02E5D25CBDEA}">
          <x14:formula1>
            <xm:f>Data!$A$2:$A$12</xm:f>
          </x14:formula1>
          <xm:sqref>K4:K5</xm:sqref>
        </x14:dataValidation>
        <x14:dataValidation type="list" allowBlank="1" showInputMessage="1" showErrorMessage="1" xr:uid="{909372E1-61CC-4D15-99A2-15BD9D4FA646}">
          <x14:formula1>
            <xm:f>Data!$C$3:$C$99</xm:f>
          </x14:formula1>
          <xm:sqref>Q6</xm:sqref>
        </x14:dataValidation>
        <x14:dataValidation type="list" allowBlank="1" showInputMessage="1" showErrorMessage="1" xr:uid="{0A6EC0AF-170C-4F1B-B367-4F44C7487224}">
          <x14:formula1>
            <xm:f>Data!$D$2:$D$4</xm:f>
          </x14:formula1>
          <xm:sqref>R6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62CF9-57C4-46B8-A33F-367643AB1611}">
  <sheetPr codeName="Sheet12">
    <tabColor rgb="FF7030A0"/>
  </sheetPr>
  <dimension ref="B1:U54"/>
  <sheetViews>
    <sheetView showGridLines="0" zoomScale="130" zoomScaleNormal="130" workbookViewId="0">
      <selection activeCell="G42" sqref="G42"/>
    </sheetView>
  </sheetViews>
  <sheetFormatPr defaultRowHeight="15" x14ac:dyDescent="0.25"/>
  <cols>
    <col min="1" max="1" width="3.140625" customWidth="1"/>
    <col min="2" max="12" width="9.140625" customWidth="1"/>
    <col min="13" max="13" width="8.7109375" customWidth="1"/>
    <col min="14" max="14" width="9.140625" customWidth="1"/>
    <col min="15" max="15" width="13.5703125" bestFit="1" customWidth="1"/>
    <col min="16" max="17" width="9.140625" customWidth="1"/>
    <col min="18" max="20" width="9.7109375" customWidth="1"/>
    <col min="21" max="28" width="7.7109375" customWidth="1"/>
  </cols>
  <sheetData>
    <row r="1" spans="2:19" ht="15" customHeight="1" x14ac:dyDescent="0.25">
      <c r="B1" s="212" t="s">
        <v>55</v>
      </c>
      <c r="C1" s="212"/>
      <c r="D1" s="212"/>
      <c r="E1" s="212"/>
      <c r="F1" s="212"/>
      <c r="G1" s="212"/>
      <c r="H1" s="213" t="s">
        <v>117</v>
      </c>
      <c r="I1" s="213"/>
      <c r="J1" s="213"/>
      <c r="K1" s="213"/>
      <c r="L1" s="211" t="s">
        <v>136</v>
      </c>
      <c r="M1" s="211"/>
      <c r="R1" s="36"/>
    </row>
    <row r="2" spans="2:19" ht="15" customHeight="1" x14ac:dyDescent="0.25">
      <c r="B2" s="212"/>
      <c r="C2" s="212"/>
      <c r="D2" s="212"/>
      <c r="E2" s="212"/>
      <c r="F2" s="212"/>
      <c r="G2" s="212"/>
      <c r="H2" s="213"/>
      <c r="I2" s="213"/>
      <c r="J2" s="213"/>
      <c r="K2" s="213"/>
      <c r="L2" s="211"/>
      <c r="M2" s="211"/>
      <c r="R2" s="35"/>
    </row>
    <row r="3" spans="2:19" ht="15" customHeight="1" x14ac:dyDescent="0.25">
      <c r="B3" s="20"/>
      <c r="C3" s="7"/>
      <c r="D3" s="7"/>
      <c r="E3" s="7"/>
      <c r="F3" s="17"/>
      <c r="G3" s="8"/>
      <c r="H3" s="98"/>
      <c r="I3" s="98"/>
      <c r="J3" s="98"/>
      <c r="K3" s="98"/>
      <c r="L3" s="98"/>
      <c r="M3" s="98"/>
      <c r="N3" s="289"/>
      <c r="O3" s="289"/>
    </row>
    <row r="4" spans="2:19" ht="15" customHeight="1" x14ac:dyDescent="0.25">
      <c r="B4" s="20" t="s">
        <v>24</v>
      </c>
      <c r="C4" s="7"/>
      <c r="D4" s="7"/>
      <c r="E4" s="7"/>
      <c r="F4" s="17">
        <v>150</v>
      </c>
      <c r="G4" s="8"/>
      <c r="H4" s="20" t="s">
        <v>5</v>
      </c>
      <c r="I4" s="7"/>
      <c r="J4" s="17" t="s">
        <v>8</v>
      </c>
      <c r="K4" s="17">
        <v>1200</v>
      </c>
      <c r="L4" s="137" t="s">
        <v>158</v>
      </c>
      <c r="M4" s="138">
        <v>50</v>
      </c>
      <c r="N4" s="96" t="s">
        <v>62</v>
      </c>
      <c r="O4" s="89" t="s">
        <v>63</v>
      </c>
      <c r="P4" s="89" t="s">
        <v>95</v>
      </c>
      <c r="Q4" s="89" t="s">
        <v>31</v>
      </c>
      <c r="R4" s="90" t="s">
        <v>64</v>
      </c>
      <c r="S4" s="112"/>
    </row>
    <row r="5" spans="2:19" ht="15" customHeight="1" x14ac:dyDescent="0.25">
      <c r="B5" s="21" t="s">
        <v>0</v>
      </c>
      <c r="C5" s="10"/>
      <c r="D5" s="10"/>
      <c r="E5" s="10"/>
      <c r="F5" s="11">
        <v>0</v>
      </c>
      <c r="G5" s="12" t="s">
        <v>4</v>
      </c>
      <c r="H5" s="21" t="s">
        <v>7</v>
      </c>
      <c r="I5" s="10"/>
      <c r="J5" s="11" t="s">
        <v>8</v>
      </c>
      <c r="K5" s="11">
        <v>1200</v>
      </c>
      <c r="L5" s="11"/>
      <c r="M5" s="12"/>
      <c r="N5" s="21" t="s">
        <v>61</v>
      </c>
      <c r="Q5" s="88">
        <v>20</v>
      </c>
      <c r="R5" s="83">
        <v>20</v>
      </c>
    </row>
    <row r="6" spans="2:19" ht="15" customHeight="1" x14ac:dyDescent="0.25">
      <c r="B6" s="21" t="s">
        <v>110</v>
      </c>
      <c r="C6" s="67"/>
      <c r="D6" s="67"/>
      <c r="E6" s="67"/>
      <c r="F6" s="190" t="s">
        <v>115</v>
      </c>
      <c r="G6" s="191"/>
      <c r="H6" s="21" t="s">
        <v>116</v>
      </c>
      <c r="I6" s="10"/>
      <c r="J6" s="10"/>
      <c r="K6" s="11">
        <v>200</v>
      </c>
      <c r="L6" s="11"/>
      <c r="M6" s="12"/>
      <c r="N6" s="283" t="s">
        <v>118</v>
      </c>
      <c r="O6" s="284"/>
      <c r="P6" s="11">
        <v>4</v>
      </c>
      <c r="Q6" s="88">
        <v>20</v>
      </c>
      <c r="R6" s="83">
        <v>20</v>
      </c>
    </row>
    <row r="7" spans="2:19" ht="15" customHeight="1" x14ac:dyDescent="0.25">
      <c r="B7" s="66" t="str">
        <f>"+ Chiều cao đỉnh mái biên trái"</f>
        <v>+ Chiều cao đỉnh mái biên trái</v>
      </c>
      <c r="C7" s="67"/>
      <c r="D7" s="67"/>
      <c r="E7" s="67"/>
      <c r="F7" s="41">
        <v>10000</v>
      </c>
      <c r="G7" s="68" t="s">
        <v>4</v>
      </c>
      <c r="H7" s="22" t="s">
        <v>101</v>
      </c>
      <c r="I7" s="18"/>
      <c r="J7" s="18"/>
      <c r="K7" s="11">
        <v>200</v>
      </c>
      <c r="L7" s="10" t="s">
        <v>4</v>
      </c>
      <c r="M7" s="12"/>
      <c r="N7" s="283" t="s">
        <v>119</v>
      </c>
      <c r="O7" s="284"/>
      <c r="P7" s="11">
        <v>4</v>
      </c>
      <c r="Q7" s="88">
        <v>20</v>
      </c>
      <c r="R7" s="83">
        <v>20</v>
      </c>
    </row>
    <row r="8" spans="2:19" ht="15" customHeight="1" x14ac:dyDescent="0.25">
      <c r="B8" s="66" t="str">
        <f>"+ Chiều cao đỉnh mái ở giữa"</f>
        <v>+ Chiều cao đỉnh mái ở giữa</v>
      </c>
      <c r="C8" s="67"/>
      <c r="D8" s="67"/>
      <c r="E8" s="67"/>
      <c r="F8" s="41">
        <v>15000</v>
      </c>
      <c r="G8" s="68" t="s">
        <v>4</v>
      </c>
      <c r="H8" s="21" t="s">
        <v>120</v>
      </c>
      <c r="I8" s="10"/>
      <c r="J8" s="10"/>
      <c r="K8" s="11">
        <v>2500</v>
      </c>
      <c r="L8" s="10" t="s">
        <v>4</v>
      </c>
      <c r="M8" s="12"/>
      <c r="N8" s="283" t="s">
        <v>135</v>
      </c>
      <c r="O8" s="284"/>
      <c r="P8" s="11">
        <v>4</v>
      </c>
      <c r="Q8" s="88">
        <v>20</v>
      </c>
      <c r="R8" s="83">
        <v>20</v>
      </c>
      <c r="S8" s="49"/>
    </row>
    <row r="9" spans="2:19" ht="15" customHeight="1" x14ac:dyDescent="0.25">
      <c r="B9" s="66" t="str">
        <f>"+ Chiều cao đỉnh mái biên phải"</f>
        <v>+ Chiều cao đỉnh mái biên phải</v>
      </c>
      <c r="C9" s="67"/>
      <c r="D9" s="67"/>
      <c r="E9" s="67"/>
      <c r="F9" s="41">
        <v>10000</v>
      </c>
      <c r="G9" s="68" t="s">
        <v>4</v>
      </c>
      <c r="H9" s="21" t="s">
        <v>125</v>
      </c>
      <c r="I9" s="10"/>
      <c r="J9" s="10"/>
      <c r="K9" s="11">
        <v>250</v>
      </c>
      <c r="L9" s="10" t="s">
        <v>4</v>
      </c>
      <c r="M9" s="12"/>
      <c r="N9" s="9"/>
      <c r="O9" s="10"/>
      <c r="P9" s="10"/>
      <c r="Q9" s="10"/>
      <c r="R9" s="12"/>
      <c r="S9" s="49"/>
    </row>
    <row r="10" spans="2:19" ht="15" customHeight="1" x14ac:dyDescent="0.25">
      <c r="B10" s="43" t="s">
        <v>72</v>
      </c>
      <c r="C10" s="97"/>
      <c r="D10" s="10"/>
      <c r="E10" s="10"/>
      <c r="F10" s="41">
        <v>20</v>
      </c>
      <c r="G10" s="12"/>
      <c r="H10" s="21" t="s">
        <v>156</v>
      </c>
      <c r="I10" s="10"/>
      <c r="J10" s="10"/>
      <c r="K10" s="11" t="s">
        <v>96</v>
      </c>
      <c r="L10" s="10"/>
      <c r="M10" s="12"/>
      <c r="N10" s="285" t="s">
        <v>124</v>
      </c>
      <c r="O10" s="286"/>
      <c r="P10" s="7" t="s">
        <v>121</v>
      </c>
      <c r="Q10" s="7" t="s">
        <v>89</v>
      </c>
      <c r="R10" s="8" t="s">
        <v>88</v>
      </c>
      <c r="S10" s="49"/>
    </row>
    <row r="11" spans="2:19" ht="15" customHeight="1" x14ac:dyDescent="0.25">
      <c r="B11" s="43" t="s">
        <v>75</v>
      </c>
      <c r="C11" s="97"/>
      <c r="D11" s="10"/>
      <c r="E11" s="10"/>
      <c r="F11" s="41">
        <v>50</v>
      </c>
      <c r="G11" s="12"/>
      <c r="H11" s="21"/>
      <c r="I11" s="10"/>
      <c r="J11" s="10"/>
      <c r="K11" s="13"/>
      <c r="L11" s="10"/>
      <c r="M11" s="12"/>
      <c r="N11" s="287"/>
      <c r="O11" s="288"/>
      <c r="P11" s="101">
        <v>300</v>
      </c>
      <c r="Q11" s="101">
        <v>6</v>
      </c>
      <c r="R11" s="102">
        <v>180</v>
      </c>
      <c r="S11" s="49"/>
    </row>
    <row r="12" spans="2:19" ht="15" customHeight="1" x14ac:dyDescent="0.25">
      <c r="B12" s="43" t="s">
        <v>71</v>
      </c>
      <c r="C12" s="97"/>
      <c r="D12" s="10"/>
      <c r="E12" s="10"/>
      <c r="F12" s="41">
        <v>300</v>
      </c>
      <c r="G12" s="12"/>
      <c r="H12" s="21"/>
      <c r="I12" s="10"/>
      <c r="J12" s="10"/>
      <c r="K12" s="13"/>
      <c r="L12" s="10"/>
      <c r="M12" s="12"/>
      <c r="N12" s="231" t="s">
        <v>129</v>
      </c>
      <c r="O12" s="232"/>
      <c r="P12" s="232"/>
      <c r="Q12" s="80" t="s">
        <v>89</v>
      </c>
      <c r="R12" s="8" t="s">
        <v>122</v>
      </c>
      <c r="S12" s="49"/>
    </row>
    <row r="13" spans="2:19" x14ac:dyDescent="0.25">
      <c r="B13" s="21" t="s">
        <v>56</v>
      </c>
      <c r="C13" s="10"/>
      <c r="D13" s="10"/>
      <c r="E13" s="10"/>
      <c r="F13" s="13">
        <f>C30+C31</f>
        <v>55000</v>
      </c>
      <c r="G13" s="84">
        <f>(F8-F7)/F13</f>
        <v>9.0909090909090912E-2</v>
      </c>
      <c r="H13" s="21" t="s">
        <v>33</v>
      </c>
      <c r="I13" s="10"/>
      <c r="J13" s="10"/>
      <c r="K13" s="168" t="s">
        <v>180</v>
      </c>
      <c r="L13" s="10"/>
      <c r="M13" s="12"/>
      <c r="N13" s="233"/>
      <c r="O13" s="234"/>
      <c r="P13" s="234"/>
      <c r="Q13" s="101">
        <v>8</v>
      </c>
      <c r="R13" s="102">
        <v>2000</v>
      </c>
      <c r="S13" s="49"/>
    </row>
    <row r="14" spans="2:19" x14ac:dyDescent="0.25">
      <c r="B14" s="21" t="s">
        <v>57</v>
      </c>
      <c r="C14" s="10"/>
      <c r="D14" s="10"/>
      <c r="E14" s="10"/>
      <c r="F14" s="13">
        <f>C32+C33</f>
        <v>55000</v>
      </c>
      <c r="G14" s="84">
        <f>(F8-F9)/F14</f>
        <v>9.0909090909090912E-2</v>
      </c>
      <c r="H14" s="21" t="s">
        <v>32</v>
      </c>
      <c r="I14" s="10"/>
      <c r="J14" s="10"/>
      <c r="K14" s="168" t="s">
        <v>180</v>
      </c>
      <c r="L14" s="10"/>
      <c r="M14" s="12"/>
      <c r="N14" s="231" t="s">
        <v>123</v>
      </c>
      <c r="O14" s="232"/>
      <c r="P14" s="232"/>
      <c r="Q14" s="80" t="s">
        <v>89</v>
      </c>
      <c r="R14" s="8" t="s">
        <v>122</v>
      </c>
      <c r="S14" s="49"/>
    </row>
    <row r="15" spans="2:19" x14ac:dyDescent="0.25">
      <c r="B15" s="21" t="s">
        <v>43</v>
      </c>
      <c r="C15" s="10"/>
      <c r="D15" s="10"/>
      <c r="E15" s="10"/>
      <c r="F15" s="19">
        <f>F13+F14</f>
        <v>110000</v>
      </c>
      <c r="G15" s="12"/>
      <c r="H15" s="24" t="s">
        <v>178</v>
      </c>
      <c r="I15" s="10"/>
      <c r="J15" s="10"/>
      <c r="K15" s="11" t="s">
        <v>34</v>
      </c>
      <c r="L15" s="23" t="str">
        <f>IF(K15="Total","Chiều cao tổng","Chiều cao bụng")</f>
        <v>Chiều cao tổng</v>
      </c>
      <c r="M15" s="12"/>
      <c r="N15" s="233"/>
      <c r="O15" s="234"/>
      <c r="P15" s="234"/>
      <c r="Q15" s="101">
        <v>8</v>
      </c>
      <c r="R15" s="102">
        <v>2000</v>
      </c>
      <c r="S15" s="49"/>
    </row>
    <row r="16" spans="2:19" ht="15" hidden="1" customHeight="1" x14ac:dyDescent="0.25">
      <c r="B16" s="21"/>
      <c r="C16" s="10"/>
      <c r="D16" s="10"/>
      <c r="E16" s="10"/>
      <c r="F16" s="19"/>
      <c r="G16" s="12"/>
      <c r="H16" s="9"/>
      <c r="I16" s="10"/>
      <c r="J16" s="10"/>
      <c r="K16" s="10"/>
      <c r="L16" s="10"/>
      <c r="M16" s="12"/>
      <c r="N16" s="9"/>
      <c r="O16" s="10"/>
      <c r="P16" s="10"/>
      <c r="Q16" s="10"/>
      <c r="R16" s="10"/>
      <c r="S16" s="49"/>
    </row>
    <row r="17" spans="2:21" ht="15" hidden="1" customHeight="1" x14ac:dyDescent="0.25">
      <c r="B17" s="21"/>
      <c r="C17" s="10"/>
      <c r="D17" s="10"/>
      <c r="E17" s="10"/>
      <c r="F17" s="19"/>
      <c r="G17" s="12"/>
      <c r="H17" s="9"/>
      <c r="I17" s="10"/>
      <c r="J17" s="10"/>
      <c r="K17" s="10"/>
      <c r="L17" s="10"/>
      <c r="M17" s="12"/>
      <c r="N17" s="9"/>
      <c r="O17" s="10"/>
      <c r="P17" s="10"/>
      <c r="Q17" s="10"/>
      <c r="R17" s="10"/>
      <c r="S17" s="49"/>
    </row>
    <row r="18" spans="2:21" ht="15.75" thickBot="1" x14ac:dyDescent="0.3">
      <c r="B18" s="9"/>
      <c r="C18" s="10"/>
      <c r="D18" s="10"/>
      <c r="E18" s="10"/>
      <c r="F18" s="10"/>
      <c r="G18" s="12"/>
      <c r="H18" s="14"/>
      <c r="I18" s="15"/>
      <c r="J18" s="15"/>
      <c r="K18" s="15"/>
      <c r="L18" s="15"/>
      <c r="M18" s="16"/>
      <c r="N18" s="9"/>
      <c r="O18" s="10"/>
      <c r="P18" s="10"/>
      <c r="Q18" s="10"/>
      <c r="R18" s="10"/>
      <c r="S18" s="49"/>
    </row>
    <row r="19" spans="2:21" ht="15" hidden="1" customHeight="1" x14ac:dyDescent="0.25">
      <c r="B19" s="9"/>
      <c r="C19" s="10"/>
      <c r="D19" s="10"/>
      <c r="E19" s="10"/>
      <c r="F19" s="10"/>
      <c r="G19" s="12"/>
      <c r="H19" s="31"/>
      <c r="I19" s="32"/>
      <c r="J19" s="32"/>
      <c r="K19" s="32"/>
      <c r="L19" s="32"/>
      <c r="M19" s="32"/>
      <c r="N19" s="9"/>
      <c r="O19" s="10"/>
      <c r="P19" s="10"/>
      <c r="Q19" s="10"/>
      <c r="R19" s="12"/>
    </row>
    <row r="20" spans="2:21" ht="15" hidden="1" customHeight="1" x14ac:dyDescent="0.25">
      <c r="B20" s="9"/>
      <c r="C20" s="10"/>
      <c r="D20" s="10"/>
      <c r="E20" s="10"/>
      <c r="F20" s="10"/>
      <c r="G20" s="12"/>
      <c r="H20" s="9"/>
      <c r="I20" s="10"/>
      <c r="J20" s="10"/>
      <c r="K20" s="10"/>
      <c r="L20" s="10"/>
      <c r="M20" s="10"/>
      <c r="N20" s="9"/>
      <c r="O20" s="10"/>
      <c r="P20" s="10"/>
      <c r="Q20" s="10"/>
      <c r="R20" s="12"/>
    </row>
    <row r="21" spans="2:21" ht="15" hidden="1" customHeight="1" x14ac:dyDescent="0.25">
      <c r="B21" s="9"/>
      <c r="C21" s="10"/>
      <c r="D21" s="10"/>
      <c r="E21" s="10"/>
      <c r="F21" s="10"/>
      <c r="G21" s="12"/>
      <c r="H21" s="9"/>
      <c r="I21" s="10"/>
      <c r="J21" s="10"/>
      <c r="K21" s="10"/>
      <c r="L21" s="10"/>
      <c r="M21" s="10"/>
      <c r="N21" s="9"/>
      <c r="O21" s="10"/>
      <c r="P21" s="10"/>
      <c r="Q21" s="10"/>
      <c r="R21" s="12"/>
    </row>
    <row r="22" spans="2:21" ht="15" hidden="1" customHeight="1" x14ac:dyDescent="0.25">
      <c r="B22" s="9"/>
      <c r="C22" s="10"/>
      <c r="D22" s="10"/>
      <c r="E22" s="10"/>
      <c r="F22" s="10"/>
      <c r="G22" s="12"/>
      <c r="H22" s="9"/>
      <c r="I22" s="10"/>
      <c r="J22" s="10"/>
      <c r="K22" s="10"/>
      <c r="L22" s="10"/>
      <c r="M22" s="10"/>
      <c r="N22" s="9"/>
      <c r="O22" s="10"/>
      <c r="P22" s="10"/>
      <c r="Q22" s="10"/>
      <c r="R22" s="12"/>
    </row>
    <row r="23" spans="2:21" ht="15" hidden="1" customHeight="1" thickBot="1" x14ac:dyDescent="0.3">
      <c r="B23" s="30"/>
      <c r="C23" s="25"/>
      <c r="D23" s="25"/>
      <c r="E23" s="25"/>
      <c r="F23" s="25"/>
      <c r="G23" s="26"/>
      <c r="H23" s="30"/>
      <c r="I23" s="25"/>
      <c r="J23" s="25"/>
      <c r="K23" s="25"/>
      <c r="L23" s="15"/>
      <c r="M23" s="15"/>
      <c r="N23" s="9"/>
      <c r="O23" s="10"/>
      <c r="P23" s="10"/>
      <c r="Q23" s="10"/>
      <c r="R23" s="12"/>
    </row>
    <row r="24" spans="2:21" ht="15" customHeight="1" x14ac:dyDescent="0.25">
      <c r="B24" s="267" t="s">
        <v>27</v>
      </c>
      <c r="C24" s="268"/>
      <c r="D24" s="271" t="s">
        <v>107</v>
      </c>
      <c r="E24" s="278" t="s">
        <v>22</v>
      </c>
      <c r="F24" s="279"/>
      <c r="G24" s="279"/>
      <c r="H24" s="279"/>
      <c r="I24" s="279"/>
      <c r="J24" s="279"/>
      <c r="K24" s="280"/>
      <c r="L24" s="272" t="s">
        <v>30</v>
      </c>
      <c r="M24" s="273"/>
      <c r="N24" s="273"/>
      <c r="O24" s="273"/>
      <c r="P24" s="273"/>
      <c r="Q24" s="273"/>
      <c r="R24" s="278"/>
      <c r="S24" s="272" t="s">
        <v>29</v>
      </c>
      <c r="T24" s="273"/>
      <c r="U24" s="274"/>
    </row>
    <row r="25" spans="2:21" ht="15" customHeight="1" x14ac:dyDescent="0.25">
      <c r="B25" s="269"/>
      <c r="C25" s="270"/>
      <c r="D25" s="259"/>
      <c r="E25" s="189" t="s">
        <v>105</v>
      </c>
      <c r="F25" s="189"/>
      <c r="G25" s="189" t="s">
        <v>19</v>
      </c>
      <c r="H25" s="214" t="s">
        <v>18</v>
      </c>
      <c r="I25" s="214"/>
      <c r="J25" s="214"/>
      <c r="K25" s="281"/>
      <c r="L25" s="216" t="s">
        <v>165</v>
      </c>
      <c r="M25" s="189" t="s">
        <v>39</v>
      </c>
      <c r="N25" s="189" t="s">
        <v>38</v>
      </c>
      <c r="O25" s="214" t="s">
        <v>18</v>
      </c>
      <c r="P25" s="214"/>
      <c r="Q25" s="214"/>
      <c r="R25" s="196"/>
      <c r="S25" s="275" t="s">
        <v>77</v>
      </c>
      <c r="T25" s="195" t="s">
        <v>31</v>
      </c>
      <c r="U25" s="264" t="s">
        <v>28</v>
      </c>
    </row>
    <row r="26" spans="2:21" ht="15" customHeight="1" x14ac:dyDescent="0.25">
      <c r="B26" s="269"/>
      <c r="C26" s="270"/>
      <c r="D26" s="259"/>
      <c r="E26" s="189" t="s">
        <v>106</v>
      </c>
      <c r="F26" s="189" t="s">
        <v>35</v>
      </c>
      <c r="G26" s="189"/>
      <c r="H26" s="189" t="s">
        <v>35</v>
      </c>
      <c r="I26" s="189" t="s">
        <v>20</v>
      </c>
      <c r="J26" s="189" t="s">
        <v>36</v>
      </c>
      <c r="K26" s="266" t="s">
        <v>37</v>
      </c>
      <c r="L26" s="217"/>
      <c r="M26" s="189"/>
      <c r="N26" s="215"/>
      <c r="O26" s="189" t="s">
        <v>35</v>
      </c>
      <c r="P26" s="189" t="s">
        <v>20</v>
      </c>
      <c r="Q26" s="189" t="s">
        <v>36</v>
      </c>
      <c r="R26" s="270" t="s">
        <v>37</v>
      </c>
      <c r="S26" s="275"/>
      <c r="T26" s="195"/>
      <c r="U26" s="264"/>
    </row>
    <row r="27" spans="2:21" x14ac:dyDescent="0.25">
      <c r="B27" s="258" t="s">
        <v>73</v>
      </c>
      <c r="C27" s="260" t="s">
        <v>70</v>
      </c>
      <c r="D27" s="259"/>
      <c r="E27" s="189"/>
      <c r="F27" s="189"/>
      <c r="G27" s="189"/>
      <c r="H27" s="189"/>
      <c r="I27" s="189"/>
      <c r="J27" s="189"/>
      <c r="K27" s="266"/>
      <c r="L27" s="144" t="s">
        <v>65</v>
      </c>
      <c r="M27" s="189"/>
      <c r="N27" s="215"/>
      <c r="O27" s="189"/>
      <c r="P27" s="189"/>
      <c r="Q27" s="189"/>
      <c r="R27" s="270"/>
      <c r="S27" s="275"/>
      <c r="T27" s="195"/>
      <c r="U27" s="264"/>
    </row>
    <row r="28" spans="2:21" ht="15.75" thickBot="1" x14ac:dyDescent="0.3">
      <c r="B28" s="259"/>
      <c r="C28" s="261"/>
      <c r="D28" s="259"/>
      <c r="E28" s="216"/>
      <c r="F28" s="216"/>
      <c r="G28" s="216"/>
      <c r="H28" s="104" t="s">
        <v>40</v>
      </c>
      <c r="I28" s="104" t="s">
        <v>21</v>
      </c>
      <c r="J28" s="104" t="s">
        <v>41</v>
      </c>
      <c r="K28" s="105" t="s">
        <v>42</v>
      </c>
      <c r="L28" s="145" t="s">
        <v>94</v>
      </c>
      <c r="M28" s="189"/>
      <c r="N28" s="282"/>
      <c r="O28" s="104" t="s">
        <v>40</v>
      </c>
      <c r="P28" s="104" t="s">
        <v>21</v>
      </c>
      <c r="Q28" s="104" t="s">
        <v>80</v>
      </c>
      <c r="R28" s="103" t="s">
        <v>80</v>
      </c>
      <c r="S28" s="276"/>
      <c r="T28" s="277"/>
      <c r="U28" s="265"/>
    </row>
    <row r="29" spans="2:21" x14ac:dyDescent="0.25">
      <c r="B29" s="5">
        <v>1</v>
      </c>
      <c r="C29" s="5">
        <f>B29+1</f>
        <v>2</v>
      </c>
      <c r="D29" s="5">
        <f t="shared" ref="D29:U29" si="0">C29+1</f>
        <v>3</v>
      </c>
      <c r="E29" s="5">
        <f t="shared" si="0"/>
        <v>4</v>
      </c>
      <c r="F29" s="5">
        <f t="shared" si="0"/>
        <v>5</v>
      </c>
      <c r="G29" s="5">
        <f t="shared" si="0"/>
        <v>6</v>
      </c>
      <c r="H29" s="5">
        <f t="shared" si="0"/>
        <v>7</v>
      </c>
      <c r="I29" s="5">
        <f t="shared" si="0"/>
        <v>8</v>
      </c>
      <c r="J29" s="5">
        <f t="shared" si="0"/>
        <v>9</v>
      </c>
      <c r="K29" s="5">
        <f t="shared" si="0"/>
        <v>10</v>
      </c>
      <c r="L29" s="108">
        <f t="shared" si="0"/>
        <v>11</v>
      </c>
      <c r="M29" s="106">
        <f t="shared" si="0"/>
        <v>12</v>
      </c>
      <c r="N29" s="106">
        <f t="shared" si="0"/>
        <v>13</v>
      </c>
      <c r="O29" s="106">
        <f t="shared" si="0"/>
        <v>14</v>
      </c>
      <c r="P29" s="106">
        <f t="shared" si="0"/>
        <v>15</v>
      </c>
      <c r="Q29" s="106">
        <f t="shared" si="0"/>
        <v>16</v>
      </c>
      <c r="R29" s="106">
        <f t="shared" si="0"/>
        <v>17</v>
      </c>
      <c r="S29" s="106">
        <f t="shared" si="0"/>
        <v>18</v>
      </c>
      <c r="T29" s="106">
        <f t="shared" si="0"/>
        <v>19</v>
      </c>
      <c r="U29" s="107">
        <f t="shared" si="0"/>
        <v>20</v>
      </c>
    </row>
    <row r="30" spans="2:21" ht="15" customHeight="1" x14ac:dyDescent="0.25">
      <c r="B30" s="48" t="s">
        <v>1</v>
      </c>
      <c r="C30" s="39">
        <v>25000</v>
      </c>
      <c r="D30" s="47" t="s">
        <v>108</v>
      </c>
      <c r="E30" s="39">
        <v>1000</v>
      </c>
      <c r="F30" s="39">
        <v>0</v>
      </c>
      <c r="G30" s="3" t="s">
        <v>78</v>
      </c>
      <c r="H30" s="39">
        <v>600</v>
      </c>
      <c r="I30" s="39">
        <v>6</v>
      </c>
      <c r="J30" s="39">
        <v>200</v>
      </c>
      <c r="K30" s="39">
        <v>8</v>
      </c>
      <c r="L30" s="153" t="s">
        <v>81</v>
      </c>
      <c r="M30" s="157" t="s">
        <v>164</v>
      </c>
      <c r="N30" s="113">
        <v>9000</v>
      </c>
      <c r="O30" s="113" t="s">
        <v>130</v>
      </c>
      <c r="P30" s="113">
        <v>6</v>
      </c>
      <c r="Q30" s="113">
        <v>200</v>
      </c>
      <c r="R30" s="109">
        <v>8</v>
      </c>
      <c r="S30" s="114">
        <v>4</v>
      </c>
      <c r="T30" s="115">
        <v>20</v>
      </c>
      <c r="U30" s="116">
        <v>16</v>
      </c>
    </row>
    <row r="31" spans="2:21" x14ac:dyDescent="0.25">
      <c r="B31" s="48" t="s">
        <v>2</v>
      </c>
      <c r="C31" s="39">
        <v>30000</v>
      </c>
      <c r="D31" s="47" t="s">
        <v>126</v>
      </c>
      <c r="E31" s="39">
        <v>1000</v>
      </c>
      <c r="F31" s="39">
        <v>0</v>
      </c>
      <c r="G31" s="3" t="s">
        <v>78</v>
      </c>
      <c r="H31" s="39">
        <v>600</v>
      </c>
      <c r="I31" s="39">
        <v>5</v>
      </c>
      <c r="J31" s="39">
        <v>210</v>
      </c>
      <c r="K31" s="39">
        <v>8</v>
      </c>
      <c r="L31" s="154" t="s">
        <v>82</v>
      </c>
      <c r="M31" s="158" t="s">
        <v>166</v>
      </c>
      <c r="N31" s="82"/>
      <c r="O31" s="82" t="s">
        <v>159</v>
      </c>
      <c r="P31" s="82">
        <v>6</v>
      </c>
      <c r="Q31" s="82">
        <v>200</v>
      </c>
      <c r="R31" s="109">
        <v>8</v>
      </c>
      <c r="S31" s="117">
        <v>4</v>
      </c>
      <c r="T31" s="118">
        <v>20</v>
      </c>
      <c r="U31" s="119">
        <v>16</v>
      </c>
    </row>
    <row r="32" spans="2:21" x14ac:dyDescent="0.25">
      <c r="B32" s="48" t="s">
        <v>3</v>
      </c>
      <c r="C32" s="39">
        <f>C31</f>
        <v>30000</v>
      </c>
      <c r="D32" s="47" t="s">
        <v>87</v>
      </c>
      <c r="E32" s="39"/>
      <c r="F32" s="39"/>
      <c r="G32" s="3"/>
      <c r="H32" s="39"/>
      <c r="I32" s="39"/>
      <c r="J32" s="39"/>
      <c r="K32" s="39"/>
      <c r="L32" s="154" t="s">
        <v>83</v>
      </c>
      <c r="M32" s="158" t="s">
        <v>167</v>
      </c>
      <c r="N32" s="82">
        <v>3000</v>
      </c>
      <c r="O32" s="82">
        <v>600</v>
      </c>
      <c r="P32" s="82">
        <v>6</v>
      </c>
      <c r="Q32" s="82">
        <v>200</v>
      </c>
      <c r="R32" s="109">
        <v>8</v>
      </c>
      <c r="S32" s="117">
        <v>4</v>
      </c>
      <c r="T32" s="118">
        <v>20</v>
      </c>
      <c r="U32" s="119">
        <v>16</v>
      </c>
    </row>
    <row r="33" spans="2:21" x14ac:dyDescent="0.25">
      <c r="B33" s="48" t="s">
        <v>74</v>
      </c>
      <c r="C33" s="39">
        <f>C30</f>
        <v>25000</v>
      </c>
      <c r="D33" s="47" t="s">
        <v>127</v>
      </c>
      <c r="E33" s="39">
        <v>1000</v>
      </c>
      <c r="F33" s="39">
        <v>0</v>
      </c>
      <c r="G33" s="3" t="s">
        <v>78</v>
      </c>
      <c r="H33" s="39">
        <v>600</v>
      </c>
      <c r="I33" s="39">
        <v>5</v>
      </c>
      <c r="J33" s="39">
        <v>210</v>
      </c>
      <c r="K33" s="39">
        <v>8</v>
      </c>
      <c r="L33" s="154" t="s">
        <v>90</v>
      </c>
      <c r="M33" s="158"/>
      <c r="N33" s="82"/>
      <c r="O33" s="82"/>
      <c r="P33" s="82"/>
      <c r="Q33" s="82"/>
      <c r="R33" s="109"/>
      <c r="S33" s="117"/>
      <c r="T33" s="118"/>
      <c r="U33" s="119"/>
    </row>
    <row r="34" spans="2:21" ht="15.75" thickBot="1" x14ac:dyDescent="0.3">
      <c r="B34" s="139" t="s">
        <v>128</v>
      </c>
      <c r="C34" s="53"/>
      <c r="D34" s="79" t="s">
        <v>109</v>
      </c>
      <c r="E34" s="39">
        <v>1000</v>
      </c>
      <c r="F34" s="39">
        <v>0</v>
      </c>
      <c r="G34" s="29" t="s">
        <v>78</v>
      </c>
      <c r="H34" s="53">
        <v>600</v>
      </c>
      <c r="I34" s="53">
        <v>6</v>
      </c>
      <c r="J34" s="53">
        <v>200</v>
      </c>
      <c r="K34" s="53">
        <v>8</v>
      </c>
      <c r="L34" s="152" t="s">
        <v>79</v>
      </c>
      <c r="M34" s="149" t="s">
        <v>168</v>
      </c>
      <c r="N34" s="120">
        <v>12000</v>
      </c>
      <c r="O34" s="120" t="s">
        <v>137</v>
      </c>
      <c r="P34" s="120">
        <v>6</v>
      </c>
      <c r="Q34" s="120">
        <v>250</v>
      </c>
      <c r="R34" s="121">
        <v>8</v>
      </c>
      <c r="S34" s="117">
        <v>4</v>
      </c>
      <c r="T34" s="118">
        <v>20</v>
      </c>
      <c r="U34" s="119">
        <v>16</v>
      </c>
    </row>
    <row r="35" spans="2:21" x14ac:dyDescent="0.25">
      <c r="B35" s="140"/>
      <c r="C35" s="110"/>
      <c r="D35" s="110"/>
      <c r="E35" s="110"/>
      <c r="F35" s="110"/>
      <c r="G35" s="110"/>
      <c r="H35" s="110"/>
      <c r="I35" s="110"/>
      <c r="J35" s="110"/>
      <c r="K35" s="110"/>
      <c r="L35" s="155" t="s">
        <v>85</v>
      </c>
      <c r="M35" s="158" t="s">
        <v>173</v>
      </c>
      <c r="N35" s="82">
        <v>3000</v>
      </c>
      <c r="O35" s="82">
        <v>500</v>
      </c>
      <c r="P35" s="82">
        <v>6</v>
      </c>
      <c r="Q35" s="82">
        <v>200</v>
      </c>
      <c r="R35" s="109">
        <v>8</v>
      </c>
      <c r="S35" s="117">
        <v>4</v>
      </c>
      <c r="T35" s="118">
        <v>20</v>
      </c>
      <c r="U35" s="119">
        <v>16</v>
      </c>
    </row>
    <row r="36" spans="2:21" x14ac:dyDescent="0.25">
      <c r="B36" s="262" t="s">
        <v>132</v>
      </c>
      <c r="C36" s="263"/>
      <c r="D36" s="263"/>
      <c r="E36" s="263"/>
      <c r="F36" s="263"/>
      <c r="G36" s="263"/>
      <c r="H36" s="263"/>
      <c r="I36" s="263"/>
      <c r="K36" s="28"/>
      <c r="L36" s="155" t="s">
        <v>86</v>
      </c>
      <c r="M36" s="158" t="s">
        <v>174</v>
      </c>
      <c r="N36" s="82"/>
      <c r="O36" s="82">
        <v>500</v>
      </c>
      <c r="P36" s="82">
        <v>6</v>
      </c>
      <c r="Q36" s="82">
        <v>200</v>
      </c>
      <c r="R36" s="109">
        <v>8</v>
      </c>
      <c r="S36" s="117">
        <v>4</v>
      </c>
      <c r="T36" s="118">
        <v>20</v>
      </c>
      <c r="U36" s="119">
        <v>16</v>
      </c>
    </row>
    <row r="37" spans="2:21" x14ac:dyDescent="0.25">
      <c r="B37" s="262"/>
      <c r="C37" s="263"/>
      <c r="D37" s="263"/>
      <c r="E37" s="263"/>
      <c r="F37" s="263"/>
      <c r="G37" s="263"/>
      <c r="H37" s="263"/>
      <c r="I37" s="263"/>
      <c r="K37" s="28"/>
      <c r="L37" s="155" t="s">
        <v>91</v>
      </c>
      <c r="M37" s="158" t="s">
        <v>175</v>
      </c>
      <c r="N37" s="82">
        <v>6000</v>
      </c>
      <c r="O37" s="82" t="s">
        <v>131</v>
      </c>
      <c r="P37" s="82">
        <v>6</v>
      </c>
      <c r="Q37" s="82">
        <v>200</v>
      </c>
      <c r="R37" s="109">
        <v>8</v>
      </c>
      <c r="S37" s="117">
        <v>4</v>
      </c>
      <c r="T37" s="118">
        <v>20</v>
      </c>
      <c r="U37" s="119">
        <v>16</v>
      </c>
    </row>
    <row r="38" spans="2:21" ht="15.75" thickBot="1" x14ac:dyDescent="0.3">
      <c r="B38" s="69"/>
      <c r="C38" s="70"/>
      <c r="D38" s="70"/>
      <c r="E38" s="70"/>
      <c r="F38" s="70"/>
      <c r="G38" s="70"/>
      <c r="H38" s="70"/>
      <c r="K38" s="28"/>
      <c r="L38" s="156" t="s">
        <v>92</v>
      </c>
      <c r="M38" s="159" t="s">
        <v>176</v>
      </c>
      <c r="N38" s="129">
        <v>6000</v>
      </c>
      <c r="O38" s="129">
        <v>400</v>
      </c>
      <c r="P38" s="129">
        <v>6</v>
      </c>
      <c r="Q38" s="129">
        <v>200</v>
      </c>
      <c r="R38" s="130">
        <v>8</v>
      </c>
      <c r="S38" s="117">
        <v>4</v>
      </c>
      <c r="T38" s="118">
        <v>20</v>
      </c>
      <c r="U38" s="119">
        <v>16</v>
      </c>
    </row>
    <row r="39" spans="2:21" ht="15.75" thickBot="1" x14ac:dyDescent="0.3">
      <c r="B39" s="69"/>
      <c r="C39" s="70"/>
      <c r="D39" s="70"/>
      <c r="E39" s="70"/>
      <c r="F39" s="70"/>
      <c r="G39" s="70"/>
      <c r="H39" s="70"/>
      <c r="K39" s="28"/>
      <c r="L39" s="167" t="s">
        <v>87</v>
      </c>
      <c r="M39" s="166" t="s">
        <v>177</v>
      </c>
      <c r="N39" s="77">
        <v>1500</v>
      </c>
      <c r="O39" s="76" t="s">
        <v>179</v>
      </c>
      <c r="P39" s="77">
        <v>6</v>
      </c>
      <c r="Q39" s="77">
        <v>200</v>
      </c>
      <c r="R39" s="77">
        <v>8</v>
      </c>
      <c r="S39" s="255"/>
      <c r="T39" s="256"/>
      <c r="U39" s="257"/>
    </row>
    <row r="40" spans="2:21" x14ac:dyDescent="0.25">
      <c r="B40" s="69"/>
      <c r="C40" s="70"/>
      <c r="D40" s="70"/>
      <c r="E40" s="70"/>
      <c r="F40" s="70"/>
      <c r="G40" s="70"/>
      <c r="H40" s="70"/>
      <c r="K40" s="28"/>
      <c r="L40" s="160" t="s">
        <v>92</v>
      </c>
      <c r="M40" s="163" t="s">
        <v>176</v>
      </c>
      <c r="N40" s="131">
        <v>6000</v>
      </c>
      <c r="O40" s="131">
        <v>400</v>
      </c>
      <c r="P40" s="131">
        <v>6</v>
      </c>
      <c r="Q40" s="131">
        <v>200</v>
      </c>
      <c r="R40" s="132">
        <v>8</v>
      </c>
      <c r="S40" s="133">
        <v>4</v>
      </c>
      <c r="T40" s="134">
        <v>20</v>
      </c>
      <c r="U40" s="135">
        <v>16</v>
      </c>
    </row>
    <row r="41" spans="2:21" x14ac:dyDescent="0.25">
      <c r="B41" s="69"/>
      <c r="C41" s="70"/>
      <c r="D41" s="70"/>
      <c r="E41" s="70"/>
      <c r="F41" s="70"/>
      <c r="G41" s="70"/>
      <c r="H41" s="70"/>
      <c r="K41" s="28"/>
      <c r="L41" s="161" t="s">
        <v>91</v>
      </c>
      <c r="M41" s="164" t="s">
        <v>175</v>
      </c>
      <c r="N41" s="82">
        <v>6000</v>
      </c>
      <c r="O41" s="82" t="s">
        <v>134</v>
      </c>
      <c r="P41" s="82">
        <v>6</v>
      </c>
      <c r="Q41" s="82">
        <v>200</v>
      </c>
      <c r="R41" s="126">
        <v>8</v>
      </c>
      <c r="S41" s="117">
        <v>4</v>
      </c>
      <c r="T41" s="118">
        <v>20</v>
      </c>
      <c r="U41" s="119">
        <v>16</v>
      </c>
    </row>
    <row r="42" spans="2:21" x14ac:dyDescent="0.25">
      <c r="B42" s="69"/>
      <c r="C42" s="70"/>
      <c r="D42" s="70"/>
      <c r="E42" s="70"/>
      <c r="F42" s="70"/>
      <c r="G42" s="70"/>
      <c r="H42" s="70"/>
      <c r="K42" s="28"/>
      <c r="L42" s="161" t="s">
        <v>86</v>
      </c>
      <c r="M42" s="164" t="s">
        <v>174</v>
      </c>
      <c r="N42" s="82"/>
      <c r="O42" s="82">
        <v>500</v>
      </c>
      <c r="P42" s="82">
        <v>6</v>
      </c>
      <c r="Q42" s="82">
        <v>200</v>
      </c>
      <c r="R42" s="126">
        <v>8</v>
      </c>
      <c r="S42" s="117">
        <v>4</v>
      </c>
      <c r="T42" s="118">
        <v>20</v>
      </c>
      <c r="U42" s="119">
        <v>16</v>
      </c>
    </row>
    <row r="43" spans="2:21" x14ac:dyDescent="0.25">
      <c r="B43" s="69"/>
      <c r="C43" s="70"/>
      <c r="D43" s="70"/>
      <c r="E43" s="70"/>
      <c r="F43" s="70"/>
      <c r="G43" s="70"/>
      <c r="H43" s="70"/>
      <c r="K43" s="28"/>
      <c r="L43" s="161" t="s">
        <v>85</v>
      </c>
      <c r="M43" s="164" t="s">
        <v>173</v>
      </c>
      <c r="N43" s="82">
        <v>3000</v>
      </c>
      <c r="O43" s="82">
        <v>500</v>
      </c>
      <c r="P43" s="82">
        <v>6</v>
      </c>
      <c r="Q43" s="82">
        <v>200</v>
      </c>
      <c r="R43" s="126">
        <v>8</v>
      </c>
      <c r="S43" s="117">
        <v>4</v>
      </c>
      <c r="T43" s="118">
        <v>20</v>
      </c>
      <c r="U43" s="119">
        <v>16</v>
      </c>
    </row>
    <row r="44" spans="2:21" x14ac:dyDescent="0.25">
      <c r="B44" s="69"/>
      <c r="C44" s="70"/>
      <c r="D44" s="70"/>
      <c r="E44" s="70"/>
      <c r="F44" s="70"/>
      <c r="G44" s="70"/>
      <c r="H44" s="70"/>
      <c r="K44" s="28"/>
      <c r="L44" s="141" t="s">
        <v>79</v>
      </c>
      <c r="M44" s="149" t="s">
        <v>168</v>
      </c>
      <c r="N44" s="120">
        <v>12000</v>
      </c>
      <c r="O44" s="120" t="s">
        <v>138</v>
      </c>
      <c r="P44" s="120">
        <v>6</v>
      </c>
      <c r="Q44" s="120">
        <v>250</v>
      </c>
      <c r="R44" s="127">
        <v>8</v>
      </c>
      <c r="S44" s="117">
        <v>4</v>
      </c>
      <c r="T44" s="118">
        <v>20</v>
      </c>
      <c r="U44" s="119">
        <v>16</v>
      </c>
    </row>
    <row r="45" spans="2:21" x14ac:dyDescent="0.25">
      <c r="B45" s="69"/>
      <c r="C45" s="70"/>
      <c r="D45" s="70"/>
      <c r="E45" s="70"/>
      <c r="F45" s="70"/>
      <c r="G45" s="70"/>
      <c r="H45" s="70"/>
      <c r="K45" s="28"/>
      <c r="L45" s="161" t="s">
        <v>90</v>
      </c>
      <c r="M45" s="164"/>
      <c r="N45" s="82"/>
      <c r="O45" s="82"/>
      <c r="P45" s="82"/>
      <c r="Q45" s="82"/>
      <c r="R45" s="126"/>
      <c r="S45" s="117"/>
      <c r="T45" s="118"/>
      <c r="U45" s="119"/>
    </row>
    <row r="46" spans="2:21" x14ac:dyDescent="0.25">
      <c r="B46" s="69"/>
      <c r="C46" s="70"/>
      <c r="D46" s="70"/>
      <c r="E46" s="70"/>
      <c r="F46" s="70"/>
      <c r="G46" s="70"/>
      <c r="H46" s="70"/>
      <c r="K46" s="28"/>
      <c r="L46" s="161" t="s">
        <v>83</v>
      </c>
      <c r="M46" s="164" t="s">
        <v>167</v>
      </c>
      <c r="N46" s="82">
        <v>3000</v>
      </c>
      <c r="O46" s="82">
        <v>600</v>
      </c>
      <c r="P46" s="82">
        <v>6</v>
      </c>
      <c r="Q46" s="82">
        <v>200</v>
      </c>
      <c r="R46" s="126">
        <v>8</v>
      </c>
      <c r="S46" s="117">
        <v>4</v>
      </c>
      <c r="T46" s="118">
        <v>20</v>
      </c>
      <c r="U46" s="119">
        <v>16</v>
      </c>
    </row>
    <row r="47" spans="2:21" ht="15" customHeight="1" x14ac:dyDescent="0.25">
      <c r="B47" s="69"/>
      <c r="C47" s="70"/>
      <c r="D47" s="70"/>
      <c r="E47" s="70"/>
      <c r="F47" s="70"/>
      <c r="G47" s="70"/>
      <c r="H47" s="70"/>
      <c r="K47" s="28"/>
      <c r="L47" s="161" t="s">
        <v>82</v>
      </c>
      <c r="M47" s="164" t="s">
        <v>166</v>
      </c>
      <c r="N47" s="82"/>
      <c r="O47" s="82" t="s">
        <v>160</v>
      </c>
      <c r="P47" s="82">
        <v>6</v>
      </c>
      <c r="Q47" s="82">
        <v>200</v>
      </c>
      <c r="R47" s="126">
        <v>8</v>
      </c>
      <c r="S47" s="117">
        <v>4</v>
      </c>
      <c r="T47" s="118">
        <v>20</v>
      </c>
      <c r="U47" s="119">
        <v>16</v>
      </c>
    </row>
    <row r="48" spans="2:21" ht="15.75" thickBot="1" x14ac:dyDescent="0.3">
      <c r="B48" s="71"/>
      <c r="C48" s="72"/>
      <c r="D48" s="72"/>
      <c r="E48" s="72"/>
      <c r="F48" s="72"/>
      <c r="G48" s="72"/>
      <c r="H48" s="72"/>
      <c r="I48" s="142"/>
      <c r="J48" s="142"/>
      <c r="K48" s="111"/>
      <c r="L48" s="162" t="s">
        <v>81</v>
      </c>
      <c r="M48" s="165" t="s">
        <v>164</v>
      </c>
      <c r="N48" s="122">
        <v>9000</v>
      </c>
      <c r="O48" s="122" t="s">
        <v>133</v>
      </c>
      <c r="P48" s="122">
        <v>6</v>
      </c>
      <c r="Q48" s="122">
        <v>200</v>
      </c>
      <c r="R48" s="128">
        <v>8</v>
      </c>
      <c r="S48" s="123">
        <v>4</v>
      </c>
      <c r="T48" s="124">
        <v>20</v>
      </c>
      <c r="U48" s="125">
        <v>16</v>
      </c>
    </row>
    <row r="50" spans="2:18" x14ac:dyDescent="0.25">
      <c r="B50" s="241" t="s">
        <v>182</v>
      </c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41"/>
    </row>
    <row r="51" spans="2:18" x14ac:dyDescent="0.25"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41"/>
    </row>
    <row r="52" spans="2:18" x14ac:dyDescent="0.25"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41"/>
    </row>
    <row r="53" spans="2:18" x14ac:dyDescent="0.25"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41"/>
    </row>
    <row r="54" spans="2:18" x14ac:dyDescent="0.25"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41"/>
    </row>
  </sheetData>
  <mergeCells count="41">
    <mergeCell ref="B1:G2"/>
    <mergeCell ref="H1:K2"/>
    <mergeCell ref="L1:M2"/>
    <mergeCell ref="N3:O3"/>
    <mergeCell ref="F6:G6"/>
    <mergeCell ref="N6:O6"/>
    <mergeCell ref="N7:O7"/>
    <mergeCell ref="N8:O8"/>
    <mergeCell ref="N10:O11"/>
    <mergeCell ref="N12:P13"/>
    <mergeCell ref="N14:P15"/>
    <mergeCell ref="E25:F25"/>
    <mergeCell ref="O25:R25"/>
    <mergeCell ref="S25:S28"/>
    <mergeCell ref="T25:T28"/>
    <mergeCell ref="E24:K24"/>
    <mergeCell ref="L24:R24"/>
    <mergeCell ref="R26:R27"/>
    <mergeCell ref="P26:P27"/>
    <mergeCell ref="Q26:Q27"/>
    <mergeCell ref="G25:G28"/>
    <mergeCell ref="H25:K25"/>
    <mergeCell ref="L25:L26"/>
    <mergeCell ref="M25:M28"/>
    <mergeCell ref="N25:N28"/>
    <mergeCell ref="B50:R54"/>
    <mergeCell ref="S39:U39"/>
    <mergeCell ref="B27:B28"/>
    <mergeCell ref="C27:C28"/>
    <mergeCell ref="B36:I37"/>
    <mergeCell ref="U25:U28"/>
    <mergeCell ref="E26:E28"/>
    <mergeCell ref="F26:F28"/>
    <mergeCell ref="H26:H27"/>
    <mergeCell ref="I26:I27"/>
    <mergeCell ref="J26:J27"/>
    <mergeCell ref="K26:K27"/>
    <mergeCell ref="O26:O27"/>
    <mergeCell ref="B24:C26"/>
    <mergeCell ref="D24:D28"/>
    <mergeCell ref="S24:U24"/>
  </mergeCells>
  <conditionalFormatting sqref="L35:L38 L30:L33 L45:L48 L40:L43">
    <cfRule type="containsText" dxfId="1" priority="1" operator="containsText" text="P">
      <formula>NOT(ISERROR(SEARCH("P",L30)))</formula>
    </cfRule>
    <cfRule type="containsText" dxfId="0" priority="2" operator="containsText" text="T">
      <formula>NOT(ISERROR(SEARCH("T",L30)))</formula>
    </cfRule>
  </conditionalFormatting>
  <dataValidations count="8">
    <dataValidation type="list" allowBlank="1" showInputMessage="1" showErrorMessage="1" sqref="K10" xr:uid="{5D504719-CC76-44B6-9C73-85F75B19CE54}">
      <formula1>"Nghiêng,Ngang"</formula1>
    </dataValidation>
    <dataValidation type="list" allowBlank="1" showInputMessage="1" showErrorMessage="1" sqref="P6" xr:uid="{2428A351-1F14-4A5F-96D9-832242ED72C3}">
      <formula1>"4,8"</formula1>
    </dataValidation>
    <dataValidation type="list" allowBlank="1" showInputMessage="1" showErrorMessage="1" sqref="F6:G6" xr:uid="{FC1C5C2E-45B5-4718-8C2B-9ACD23207939}">
      <formula1>"Chưa tính lớp bao che,Đã tính lớp bao che"</formula1>
    </dataValidation>
    <dataValidation type="list" allowBlank="1" showInputMessage="1" showErrorMessage="1" sqref="K15" xr:uid="{3E5CA6AC-810E-47FC-8C79-D1B972AC4AF9}">
      <formula1>"Total,Web"</formula1>
    </dataValidation>
    <dataValidation type="list" allowBlank="1" showInputMessage="1" showErrorMessage="1" sqref="P7:P8" xr:uid="{5C436DC4-6DBB-45E2-BC01-D1B2517FAC51}">
      <formula1>"4"</formula1>
    </dataValidation>
    <dataValidation type="list" allowBlank="1" showInputMessage="1" showErrorMessage="1" sqref="K11:K12" xr:uid="{DECEBCC4-4043-4C51-87B1-C74D0647E770}">
      <formula1>"Name,Total,Web"</formula1>
    </dataValidation>
    <dataValidation type="list" allowBlank="1" showInputMessage="1" showErrorMessage="1" sqref="L30:L33 L45:L48 L35:L38 L40:L43" xr:uid="{09AF3781-DC8E-411E-B4B6-9B470104428A}">
      <formula1>"T,P"</formula1>
    </dataValidation>
    <dataValidation type="list" allowBlank="1" showInputMessage="1" showErrorMessage="1" sqref="K13:K14" xr:uid="{D27BBC20-4BA1-401D-B573-7C5C4099C0B5}">
      <formula1>"Tên,Kích thước,Tên &amp; Kích thước"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VKDHBT</vt:lpstr>
      <vt:lpstr>VKBT</vt:lpstr>
      <vt:lpstr>VK3BT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2026-02-15T12:07:21Z</dcterms:modified>
</cp:coreProperties>
</file>