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5B78AF7E-5655-4CFB-973E-7662F83FE35F}" xr6:coauthVersionLast="47" xr6:coauthVersionMax="47" xr10:uidLastSave="{00000000-0000-0000-0000-000000000000}"/>
  <bookViews>
    <workbookView xWindow="-120" yWindow="-120" windowWidth="29040" windowHeight="15720" xr2:uid="{E8BD81A4-CC33-4EE3-9741-CD42DA873D33}"/>
  </bookViews>
  <sheets>
    <sheet name="CFS_SA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45" i="1" l="1"/>
  <c r="D25" i="1"/>
  <c r="DC46" i="1"/>
  <c r="DB47" i="1"/>
  <c r="DB46" i="1"/>
  <c r="DA47" i="1"/>
  <c r="DA46" i="1"/>
  <c r="DA41" i="1"/>
  <c r="DA33" i="1"/>
  <c r="DA25" i="1"/>
  <c r="DA17" i="1"/>
  <c r="DA9" i="1"/>
  <c r="DA1" i="1"/>
  <c r="DE46" i="1"/>
  <c r="DF46" i="1" s="1"/>
  <c r="DE45" i="1"/>
  <c r="DF45" i="1" s="1"/>
  <c r="DH47" i="1"/>
  <c r="DG47" i="1"/>
  <c r="DH46" i="1"/>
  <c r="DG46" i="1"/>
  <c r="DH45" i="1"/>
  <c r="DG45" i="1"/>
  <c r="DC45" i="1"/>
  <c r="DA45" i="1"/>
  <c r="DE38" i="1"/>
  <c r="DF38" i="1" s="1"/>
  <c r="DE37" i="1"/>
  <c r="DF37" i="1" s="1"/>
  <c r="DH39" i="1"/>
  <c r="DG39" i="1"/>
  <c r="DH38" i="1"/>
  <c r="DG38" i="1"/>
  <c r="DH37" i="1"/>
  <c r="DG37" i="1"/>
  <c r="DC37" i="1"/>
  <c r="DB37" i="1"/>
  <c r="DA37" i="1"/>
  <c r="DE30" i="1"/>
  <c r="DF30" i="1" s="1"/>
  <c r="DE29" i="1"/>
  <c r="DF29" i="1" s="1"/>
  <c r="DH31" i="1"/>
  <c r="DG31" i="1"/>
  <c r="DH30" i="1"/>
  <c r="DG30" i="1"/>
  <c r="DH29" i="1"/>
  <c r="DG29" i="1"/>
  <c r="DC29" i="1"/>
  <c r="DB29" i="1"/>
  <c r="DA29" i="1"/>
  <c r="DE22" i="1"/>
  <c r="DF22" i="1" s="1"/>
  <c r="DE21" i="1"/>
  <c r="DF21" i="1" s="1"/>
  <c r="DC21" i="1"/>
  <c r="DB21" i="1"/>
  <c r="DA21" i="1"/>
  <c r="DE14" i="1"/>
  <c r="DF14" i="1" s="1"/>
  <c r="DE13" i="1"/>
  <c r="DF13" i="1" s="1"/>
  <c r="DC13" i="1"/>
  <c r="DB13" i="1"/>
  <c r="DA13" i="1"/>
  <c r="DE6" i="1"/>
  <c r="DF6" i="1" s="1"/>
  <c r="DB6" i="1"/>
  <c r="DB7" i="1" s="1"/>
  <c r="DB15" i="1" s="1"/>
  <c r="DB23" i="1" s="1"/>
  <c r="DB31" i="1" s="1"/>
  <c r="DB39" i="1" s="1"/>
  <c r="DA6" i="1"/>
  <c r="DA14" i="1" s="1"/>
  <c r="DA22" i="1" s="1"/>
  <c r="DA30" i="1" s="1"/>
  <c r="DA38" i="1" s="1"/>
  <c r="DE5" i="1"/>
  <c r="DF5" i="1" s="1"/>
  <c r="DG41" i="1"/>
  <c r="DG33" i="1"/>
  <c r="DG25" i="1"/>
  <c r="DG17" i="1"/>
  <c r="DG9" i="1"/>
  <c r="DG1" i="1"/>
  <c r="C5" i="1"/>
  <c r="DE7" i="1" s="1"/>
  <c r="DH23" i="1"/>
  <c r="DG23" i="1"/>
  <c r="DH22" i="1"/>
  <c r="DG22" i="1"/>
  <c r="DH21" i="1"/>
  <c r="DG21" i="1"/>
  <c r="DH15" i="1"/>
  <c r="DG15" i="1"/>
  <c r="DH14" i="1"/>
  <c r="DG14" i="1"/>
  <c r="DH13" i="1"/>
  <c r="DG13" i="1"/>
  <c r="DH7" i="1"/>
  <c r="DG7" i="1"/>
  <c r="DH6" i="1"/>
  <c r="DG6" i="1"/>
  <c r="DH5" i="1"/>
  <c r="DG5" i="1"/>
  <c r="CE25" i="1"/>
  <c r="CD25" i="1"/>
  <c r="CC25" i="1"/>
  <c r="CB25" i="1"/>
  <c r="CA25" i="1"/>
  <c r="CE24" i="1"/>
  <c r="CD24" i="1"/>
  <c r="CC24" i="1"/>
  <c r="CB24" i="1"/>
  <c r="CA24" i="1"/>
  <c r="CE23" i="1"/>
  <c r="CD23" i="1"/>
  <c r="CC23" i="1"/>
  <c r="CB23" i="1"/>
  <c r="CA23" i="1"/>
  <c r="CE22" i="1"/>
  <c r="CD22" i="1"/>
  <c r="CC22" i="1"/>
  <c r="CB22" i="1"/>
  <c r="CA22" i="1"/>
  <c r="CE21" i="1"/>
  <c r="CD21" i="1"/>
  <c r="CC21" i="1"/>
  <c r="CB21" i="1"/>
  <c r="CA21" i="1"/>
  <c r="CE20" i="1"/>
  <c r="CD20" i="1"/>
  <c r="CC20" i="1"/>
  <c r="CB20" i="1"/>
  <c r="CA20" i="1"/>
  <c r="CE19" i="1"/>
  <c r="CD19" i="1"/>
  <c r="CC19" i="1"/>
  <c r="CB19" i="1"/>
  <c r="CA19" i="1"/>
  <c r="CE18" i="1"/>
  <c r="CD18" i="1"/>
  <c r="CC18" i="1"/>
  <c r="CB18" i="1"/>
  <c r="CA18" i="1"/>
  <c r="CE17" i="1"/>
  <c r="CD17" i="1"/>
  <c r="CC17" i="1"/>
  <c r="CB17" i="1"/>
  <c r="CA17" i="1"/>
  <c r="CE16" i="1"/>
  <c r="CD16" i="1"/>
  <c r="CC16" i="1"/>
  <c r="CB16" i="1"/>
  <c r="CA16" i="1"/>
  <c r="CE15" i="1"/>
  <c r="CD15" i="1"/>
  <c r="CC15" i="1"/>
  <c r="CB15" i="1"/>
  <c r="CA15" i="1"/>
  <c r="CE14" i="1"/>
  <c r="CD14" i="1"/>
  <c r="CC14" i="1"/>
  <c r="CB14" i="1"/>
  <c r="CA14" i="1"/>
  <c r="CE13" i="1"/>
  <c r="CD13" i="1"/>
  <c r="CC13" i="1"/>
  <c r="CB13" i="1"/>
  <c r="CA13" i="1"/>
  <c r="CE12" i="1"/>
  <c r="CD12" i="1"/>
  <c r="CC12" i="1"/>
  <c r="CB12" i="1"/>
  <c r="CA12" i="1"/>
  <c r="CE11" i="1"/>
  <c r="CD11" i="1"/>
  <c r="CC11" i="1"/>
  <c r="CB11" i="1"/>
  <c r="CA11" i="1"/>
  <c r="CE10" i="1"/>
  <c r="CD10" i="1"/>
  <c r="CC10" i="1"/>
  <c r="CB10" i="1"/>
  <c r="CA10" i="1"/>
  <c r="CE9" i="1"/>
  <c r="CD9" i="1"/>
  <c r="CC9" i="1"/>
  <c r="CB9" i="1"/>
  <c r="CA9" i="1"/>
  <c r="CE8" i="1"/>
  <c r="CD8" i="1"/>
  <c r="CC8" i="1"/>
  <c r="CB8" i="1"/>
  <c r="CA8" i="1"/>
  <c r="CE7" i="1"/>
  <c r="CD7" i="1"/>
  <c r="CC7" i="1"/>
  <c r="CB7" i="1"/>
  <c r="CA7" i="1"/>
  <c r="CE6" i="1"/>
  <c r="CD6" i="1"/>
  <c r="CC6" i="1"/>
  <c r="CB6" i="1"/>
  <c r="CA6" i="1"/>
  <c r="CE5" i="1"/>
  <c r="CD5" i="1"/>
  <c r="CC5" i="1"/>
  <c r="CB5" i="1"/>
  <c r="CA5" i="1"/>
  <c r="BG5" i="1"/>
  <c r="BI5" i="1"/>
  <c r="BH5" i="1"/>
  <c r="BF5" i="1"/>
  <c r="BE5" i="1"/>
  <c r="BD5" i="1"/>
  <c r="AJ5" i="1"/>
  <c r="AK5" i="1" s="1"/>
  <c r="A14" i="1"/>
  <c r="AD5" i="1"/>
  <c r="AH5" i="1" s="1"/>
  <c r="BB5" i="1" s="1"/>
  <c r="AB5" i="1"/>
  <c r="BA5" i="1" s="1"/>
  <c r="AA6" i="1"/>
  <c r="AA7" i="1" s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B25" i="1" s="1"/>
  <c r="B5" i="1"/>
  <c r="DE39" i="1" l="1"/>
  <c r="DF39" i="1" s="1"/>
  <c r="DE47" i="1"/>
  <c r="DF47" i="1" s="1"/>
  <c r="DE15" i="1"/>
  <c r="DF15" i="1" s="1"/>
  <c r="DE23" i="1"/>
  <c r="DF23" i="1" s="1"/>
  <c r="DE31" i="1"/>
  <c r="DF31" i="1" s="1"/>
  <c r="DF7" i="1"/>
  <c r="DB14" i="1"/>
  <c r="DB22" i="1" s="1"/>
  <c r="DB30" i="1" s="1"/>
  <c r="DB38" i="1" s="1"/>
  <c r="DA7" i="1"/>
  <c r="DA15" i="1" s="1"/>
  <c r="DA23" i="1" s="1"/>
  <c r="DA31" i="1" s="1"/>
  <c r="DA39" i="1" s="1"/>
  <c r="BG10" i="1"/>
  <c r="BG19" i="1"/>
  <c r="BG7" i="1"/>
  <c r="BG6" i="1"/>
  <c r="BG17" i="1"/>
  <c r="BG8" i="1"/>
  <c r="BG12" i="1"/>
  <c r="BG14" i="1"/>
  <c r="BG15" i="1"/>
  <c r="BG20" i="1"/>
  <c r="BG21" i="1"/>
  <c r="BG11" i="1"/>
  <c r="BG16" i="1"/>
  <c r="BG18" i="1"/>
  <c r="BG22" i="1"/>
  <c r="BG9" i="1"/>
  <c r="BG13" i="1"/>
  <c r="BG23" i="1"/>
  <c r="BG24" i="1"/>
  <c r="BG25" i="1"/>
  <c r="AE5" i="1"/>
  <c r="BF8" i="1"/>
  <c r="BE11" i="1"/>
  <c r="BE12" i="1"/>
  <c r="BE13" i="1"/>
  <c r="BF9" i="1"/>
  <c r="BF10" i="1"/>
  <c r="AD14" i="1"/>
  <c r="BF11" i="1"/>
  <c r="BF12" i="1"/>
  <c r="AJ17" i="1"/>
  <c r="BH6" i="1"/>
  <c r="BI6" i="1"/>
  <c r="BD10" i="1"/>
  <c r="BH7" i="1"/>
  <c r="BD11" i="1"/>
  <c r="BI7" i="1"/>
  <c r="BD12" i="1"/>
  <c r="BH8" i="1"/>
  <c r="BD13" i="1"/>
  <c r="BI8" i="1"/>
  <c r="BH9" i="1"/>
  <c r="BE9" i="1"/>
  <c r="BH16" i="1"/>
  <c r="BE10" i="1"/>
  <c r="BI16" i="1"/>
  <c r="AK15" i="1"/>
  <c r="AH17" i="1"/>
  <c r="BD22" i="1"/>
  <c r="BE21" i="1"/>
  <c r="BF20" i="1"/>
  <c r="BH12" i="1"/>
  <c r="BH22" i="1"/>
  <c r="AI25" i="1"/>
  <c r="BE14" i="1"/>
  <c r="BA15" i="1"/>
  <c r="BE16" i="1"/>
  <c r="BH10" i="1"/>
  <c r="BE18" i="1"/>
  <c r="BH21" i="1"/>
  <c r="BC14" i="1"/>
  <c r="BE22" i="1"/>
  <c r="BF21" i="1"/>
  <c r="BI12" i="1"/>
  <c r="BI22" i="1"/>
  <c r="BH18" i="1"/>
  <c r="BD15" i="1"/>
  <c r="BF13" i="1"/>
  <c r="AE14" i="1"/>
  <c r="BF14" i="1"/>
  <c r="BA16" i="1"/>
  <c r="BF15" i="1"/>
  <c r="BF16" i="1"/>
  <c r="BB14" i="1"/>
  <c r="BI20" i="1"/>
  <c r="BE19" i="1"/>
  <c r="BH11" i="1"/>
  <c r="BE20" i="1"/>
  <c r="BI11" i="1"/>
  <c r="AB6" i="1"/>
  <c r="BA6" i="1" s="1"/>
  <c r="BC15" i="1"/>
  <c r="BF22" i="1"/>
  <c r="BH13" i="1"/>
  <c r="BH23" i="1"/>
  <c r="AB8" i="1"/>
  <c r="BA8" i="1" s="1"/>
  <c r="AH20" i="1"/>
  <c r="AJ12" i="1"/>
  <c r="AK12" i="1" s="1"/>
  <c r="BD25" i="1"/>
  <c r="BE24" i="1"/>
  <c r="BF23" i="1"/>
  <c r="BI13" i="1"/>
  <c r="BI23" i="1"/>
  <c r="BI17" i="1"/>
  <c r="AK14" i="1"/>
  <c r="AK16" i="1"/>
  <c r="BD16" i="1"/>
  <c r="BH19" i="1"/>
  <c r="AE15" i="1"/>
  <c r="BD17" i="1"/>
  <c r="BI9" i="1"/>
  <c r="AK18" i="1"/>
  <c r="BE17" i="1"/>
  <c r="AK19" i="1"/>
  <c r="BI10" i="1"/>
  <c r="BB15" i="1"/>
  <c r="BF18" i="1"/>
  <c r="AE19" i="1"/>
  <c r="BD21" i="1"/>
  <c r="BF19" i="1"/>
  <c r="AJ9" i="1"/>
  <c r="AK9" i="1" s="1"/>
  <c r="AH18" i="1"/>
  <c r="AB7" i="1"/>
  <c r="BA7" i="1" s="1"/>
  <c r="BD24" i="1"/>
  <c r="BD6" i="1"/>
  <c r="BH24" i="1"/>
  <c r="AB10" i="1"/>
  <c r="BA10" i="1" s="1"/>
  <c r="AH22" i="1"/>
  <c r="AJ14" i="1"/>
  <c r="BD7" i="1"/>
  <c r="BE6" i="1"/>
  <c r="BF25" i="1"/>
  <c r="BI14" i="1"/>
  <c r="BI24" i="1"/>
  <c r="BH17" i="1"/>
  <c r="BD14" i="1"/>
  <c r="AJ10" i="1"/>
  <c r="AK10" i="1" s="1"/>
  <c r="AH19" i="1"/>
  <c r="BE23" i="1"/>
  <c r="AH21" i="1"/>
  <c r="BH14" i="1"/>
  <c r="AF6" i="1"/>
  <c r="AH23" i="1"/>
  <c r="AJ15" i="1"/>
  <c r="BD8" i="1"/>
  <c r="BE7" i="1"/>
  <c r="BF6" i="1"/>
  <c r="BH15" i="1"/>
  <c r="BH25" i="1"/>
  <c r="AI24" i="1"/>
  <c r="AD25" i="1"/>
  <c r="BA14" i="1"/>
  <c r="BI18" i="1"/>
  <c r="BE15" i="1"/>
  <c r="AK17" i="1"/>
  <c r="BI19" i="1"/>
  <c r="AE16" i="1"/>
  <c r="BD18" i="1"/>
  <c r="BH20" i="1"/>
  <c r="AE17" i="1"/>
  <c r="BD19" i="1"/>
  <c r="BF17" i="1"/>
  <c r="AE18" i="1"/>
  <c r="BD20" i="1"/>
  <c r="BB16" i="1"/>
  <c r="BI21" i="1"/>
  <c r="BD23" i="1"/>
  <c r="AJ11" i="1"/>
  <c r="AK11" i="1" s="1"/>
  <c r="AB9" i="1"/>
  <c r="BA9" i="1" s="1"/>
  <c r="AJ13" i="1"/>
  <c r="AK13" i="1" s="1"/>
  <c r="BE25" i="1"/>
  <c r="BF24" i="1"/>
  <c r="AF13" i="1"/>
  <c r="AH24" i="1"/>
  <c r="AJ16" i="1"/>
  <c r="BD9" i="1"/>
  <c r="BE8" i="1"/>
  <c r="BF7" i="1"/>
  <c r="BI15" i="1"/>
  <c r="BI25" i="1"/>
  <c r="BC18" i="1"/>
  <c r="AK20" i="1"/>
  <c r="BC19" i="1"/>
  <c r="AI14" i="1"/>
  <c r="AK21" i="1"/>
  <c r="AD16" i="1"/>
  <c r="AK22" i="1"/>
  <c r="BA19" i="1"/>
  <c r="AE23" i="1"/>
  <c r="BA20" i="1"/>
  <c r="AI17" i="1"/>
  <c r="BA21" i="1"/>
  <c r="AD19" i="1"/>
  <c r="AE25" i="1"/>
  <c r="AI18" i="1"/>
  <c r="AK25" i="1"/>
  <c r="AJ23" i="1"/>
  <c r="BA22" i="1"/>
  <c r="BB21" i="1"/>
  <c r="BC20" i="1"/>
  <c r="AJ18" i="1"/>
  <c r="AE21" i="1"/>
  <c r="BB17" i="1"/>
  <c r="AI15" i="1"/>
  <c r="BB18" i="1"/>
  <c r="AK23" i="1"/>
  <c r="AD18" i="1"/>
  <c r="BB20" i="1"/>
  <c r="AD20" i="1"/>
  <c r="AI19" i="1"/>
  <c r="AJ24" i="1"/>
  <c r="BA23" i="1"/>
  <c r="BB22" i="1"/>
  <c r="BC21" i="1"/>
  <c r="AD15" i="1"/>
  <c r="BA18" i="1"/>
  <c r="BC17" i="1"/>
  <c r="AI16" i="1"/>
  <c r="AJ21" i="1"/>
  <c r="AE24" i="1"/>
  <c r="AJ22" i="1"/>
  <c r="AD21" i="1"/>
  <c r="AI20" i="1"/>
  <c r="AJ25" i="1"/>
  <c r="BA24" i="1"/>
  <c r="BB23" i="1"/>
  <c r="BC22" i="1"/>
  <c r="AE20" i="1"/>
  <c r="BA17" i="1"/>
  <c r="BC16" i="1"/>
  <c r="AE22" i="1"/>
  <c r="AJ20" i="1"/>
  <c r="AD17" i="1"/>
  <c r="BB19" i="1"/>
  <c r="AK24" i="1"/>
  <c r="AD22" i="1"/>
  <c r="AH14" i="1"/>
  <c r="AI21" i="1"/>
  <c r="AJ6" i="1"/>
  <c r="AK6" i="1" s="1"/>
  <c r="BA25" i="1"/>
  <c r="BB24" i="1"/>
  <c r="BC23" i="1"/>
  <c r="AD23" i="1"/>
  <c r="AH15" i="1"/>
  <c r="AI22" i="1"/>
  <c r="AJ7" i="1"/>
  <c r="AK7" i="1" s="1"/>
  <c r="BB25" i="1"/>
  <c r="BC24" i="1"/>
  <c r="AH25" i="1"/>
  <c r="AJ19" i="1"/>
  <c r="AD24" i="1"/>
  <c r="AH16" i="1"/>
  <c r="AI23" i="1"/>
  <c r="AJ8" i="1"/>
  <c r="AK8" i="1" s="1"/>
  <c r="BC25" i="1"/>
  <c r="AF14" i="1"/>
  <c r="AF25" i="1"/>
  <c r="AF24" i="1"/>
  <c r="AF22" i="1"/>
  <c r="AB12" i="1"/>
  <c r="BA12" i="1" s="1"/>
  <c r="AB13" i="1"/>
  <c r="BA13" i="1" s="1"/>
  <c r="AB15" i="1"/>
  <c r="AB17" i="1"/>
  <c r="AB20" i="1"/>
  <c r="AF12" i="1"/>
  <c r="AF23" i="1"/>
  <c r="AB11" i="1"/>
  <c r="BA11" i="1" s="1"/>
  <c r="AF19" i="1"/>
  <c r="AF17" i="1"/>
  <c r="AF15" i="1"/>
  <c r="AB19" i="1"/>
  <c r="AB21" i="1"/>
  <c r="AF11" i="1"/>
  <c r="AF21" i="1"/>
  <c r="AF18" i="1"/>
  <c r="AB16" i="1"/>
  <c r="AB18" i="1"/>
  <c r="AB22" i="1"/>
  <c r="AF10" i="1"/>
  <c r="AF20" i="1"/>
  <c r="AB14" i="1"/>
  <c r="AF16" i="1"/>
  <c r="AB23" i="1"/>
  <c r="AF9" i="1"/>
  <c r="AB24" i="1"/>
  <c r="AF8" i="1"/>
  <c r="AF7" i="1"/>
  <c r="AI5" i="1" l="1"/>
  <c r="BC5" i="1" s="1"/>
  <c r="DD5" i="1"/>
  <c r="AD6" i="1"/>
  <c r="AE6" i="1" s="1"/>
  <c r="AI6" i="1" s="1"/>
  <c r="DC6" i="1" l="1"/>
  <c r="DC14" i="1" s="1"/>
  <c r="DC22" i="1" s="1"/>
  <c r="DC30" i="1" s="1"/>
  <c r="DC38" i="1" s="1"/>
  <c r="DD13" i="1"/>
  <c r="DD21" i="1" s="1"/>
  <c r="DD29" i="1" s="1"/>
  <c r="DD37" i="1" s="1"/>
  <c r="BC6" i="1"/>
  <c r="AD7" i="1"/>
  <c r="AE7" i="1" s="1"/>
  <c r="AI7" i="1" s="1"/>
  <c r="BC7" i="1" s="1"/>
  <c r="AH6" i="1"/>
  <c r="BB6" i="1" s="1"/>
  <c r="AH7" i="1"/>
  <c r="BB7" i="1" s="1"/>
  <c r="AD8" i="1" l="1"/>
  <c r="AE8" i="1" s="1"/>
  <c r="AI8" i="1" l="1"/>
  <c r="AD9" i="1"/>
  <c r="AE9" i="1" s="1"/>
  <c r="AH8" i="1"/>
  <c r="BB8" i="1" s="1"/>
  <c r="BC8" i="1" l="1"/>
  <c r="AH9" i="1"/>
  <c r="BB9" i="1" s="1"/>
  <c r="AI9" i="1"/>
  <c r="BC9" i="1" s="1"/>
  <c r="AD10" i="1"/>
  <c r="AE10" i="1" s="1"/>
  <c r="AH10" i="1" l="1"/>
  <c r="BB10" i="1" s="1"/>
  <c r="AI10" i="1"/>
  <c r="BC10" i="1" s="1"/>
  <c r="AD11" i="1"/>
  <c r="AE11" i="1" s="1"/>
  <c r="DD6" i="1" s="1" a="1"/>
  <c r="DD6" i="1" s="1"/>
  <c r="DD14" i="1" l="1"/>
  <c r="DD22" i="1" s="1"/>
  <c r="DD30" i="1" s="1"/>
  <c r="DD38" i="1" s="1"/>
  <c r="DC7" i="1"/>
  <c r="DC15" i="1" s="1"/>
  <c r="DC23" i="1" s="1"/>
  <c r="DC31" i="1" s="1"/>
  <c r="DC39" i="1" s="1"/>
  <c r="AI11" i="1"/>
  <c r="AD12" i="1"/>
  <c r="AE12" i="1" s="1"/>
  <c r="AH11" i="1"/>
  <c r="BB11" i="1" s="1"/>
  <c r="BC11" i="1" l="1"/>
  <c r="AI12" i="1"/>
  <c r="BC12" i="1" s="1"/>
  <c r="AD13" i="1"/>
  <c r="AH12" i="1"/>
  <c r="BB12" i="1" s="1"/>
  <c r="AE13" i="1" l="1"/>
  <c r="AI13" i="1" s="1"/>
  <c r="AH13" i="1"/>
  <c r="BB13" i="1" s="1"/>
  <c r="BC13" i="1" l="1"/>
  <c r="DD47" i="1"/>
  <c r="DD46" i="1" s="1"/>
  <c r="DC47" i="1" s="1"/>
  <c r="DD7" i="1"/>
  <c r="DD15" i="1" s="1"/>
  <c r="DD23" i="1" s="1"/>
  <c r="DD31" i="1" s="1"/>
  <c r="DD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<sst xmlns="http://schemas.openxmlformats.org/spreadsheetml/2006/main" count="108" uniqueCount="66">
  <si>
    <t>Section</t>
  </si>
  <si>
    <t>Location
Start (m)</t>
  </si>
  <si>
    <t>Location
End (m)</t>
  </si>
  <si>
    <t>Braced
Flange</t>
  </si>
  <si>
    <t>Reduction
Factor, R</t>
  </si>
  <si>
    <t>Length
Lm (m)</t>
  </si>
  <si>
    <t>Load Point
ex (mm)</t>
  </si>
  <si>
    <t>Load Point
ey (mm)</t>
  </si>
  <si>
    <r>
      <t>Stiffness,
k</t>
    </r>
    <r>
      <rPr>
        <sz val="11"/>
        <color rgb="FF0070C0"/>
        <rFont val="Symbol"/>
        <family val="1"/>
        <charset val="2"/>
      </rPr>
      <t>f</t>
    </r>
    <r>
      <rPr>
        <sz val="11"/>
        <color rgb="FF0070C0"/>
        <rFont val="Aptos Narrow"/>
        <family val="2"/>
        <scheme val="minor"/>
      </rPr>
      <t>(kN)</t>
    </r>
  </si>
  <si>
    <t>STT</t>
  </si>
  <si>
    <t>Tiết diện</t>
  </si>
  <si>
    <t>Nhịp</t>
  </si>
  <si>
    <t>Lap trái
(m)</t>
  </si>
  <si>
    <t>Lap phải
(m)</t>
  </si>
  <si>
    <t>Tọa độ</t>
  </si>
  <si>
    <t>Bắt đầu</t>
  </si>
  <si>
    <t>Kết thúc</t>
  </si>
  <si>
    <t>Ty giằng</t>
  </si>
  <si>
    <t>Số ty</t>
  </si>
  <si>
    <t>K/c</t>
  </si>
  <si>
    <t>Phần nhập dữ liệu</t>
  </si>
  <si>
    <t>Vị trí</t>
  </si>
  <si>
    <t>Biên trái</t>
  </si>
  <si>
    <t>Giữa</t>
  </si>
  <si>
    <t>Biên phải</t>
  </si>
  <si>
    <t>Số nhịp</t>
  </si>
  <si>
    <t>Members (CFS Sofware)</t>
  </si>
  <si>
    <t>Bố trí ty giằng</t>
  </si>
  <si>
    <t>Braced Flange</t>
  </si>
  <si>
    <t>Reduction
Factor</t>
  </si>
  <si>
    <t>Top</t>
  </si>
  <si>
    <t>Z200x72x78x1.8</t>
  </si>
  <si>
    <t>Supports (CFS Sofware)</t>
  </si>
  <si>
    <t>Type</t>
  </si>
  <si>
    <t>Location
(m)</t>
  </si>
  <si>
    <t>Bearing
(mm)</t>
  </si>
  <si>
    <t>Fastened
(mm)</t>
  </si>
  <si>
    <t>Effective Length, K</t>
  </si>
  <si>
    <t>Angle
(deg)</t>
  </si>
  <si>
    <t>DL</t>
  </si>
  <si>
    <t>COL</t>
  </si>
  <si>
    <t>Z200x72x78x2.3</t>
  </si>
  <si>
    <t>Lr</t>
  </si>
  <si>
    <t>Solar</t>
  </si>
  <si>
    <t>Wdown</t>
  </si>
  <si>
    <t>Wup</t>
  </si>
  <si>
    <t>Loại tải</t>
  </si>
  <si>
    <t>Tải trọng bản thân</t>
  </si>
  <si>
    <t>Tải treo</t>
  </si>
  <si>
    <t>Tải Solar</t>
  </si>
  <si>
    <t>Hoạt tải mái</t>
  </si>
  <si>
    <t>Ký hiệu</t>
  </si>
  <si>
    <t>Giá trị</t>
  </si>
  <si>
    <t>Tọa độ bắt đầu</t>
  </si>
  <si>
    <t>Gió đè</t>
  </si>
  <si>
    <t>Gió bốc</t>
  </si>
  <si>
    <t>Vùng biên</t>
  </si>
  <si>
    <t>Vùng giữa</t>
  </si>
  <si>
    <t>Khoảng cách</t>
  </si>
  <si>
    <t>Distributed</t>
  </si>
  <si>
    <t>Unit</t>
  </si>
  <si>
    <t>Start Magnitude</t>
  </si>
  <si>
    <t>End Magnitude</t>
  </si>
  <si>
    <t>Bề rộng vùng biên (m)</t>
  </si>
  <si>
    <t>Vật liệu</t>
  </si>
  <si>
    <t>G450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</si>
</sst>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color rgb="FF0070C0"/>
      <name val="Symbol"/>
      <family val="1"/>
      <charset val="2"/>
    </font>
    <font>
      <sz val="11"/>
      <color rgb="FF0000CC"/>
      <name val="Aptos Narrow"/>
      <family val="2"/>
      <scheme val="minor"/>
    </font>
    <font>
      <sz val="20"/>
      <name val="Aptos Narrow"/>
      <family val="2"/>
      <scheme val="minor"/>
    </font>
    <font>
      <sz val="11"/>
      <name val="Aptos Narrow"/>
      <family val="2"/>
      <scheme val="minor"/>
    </font>
    <font>
      <sz val="2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vertical="center"/>
    </xf>
    <xf numFmtId="0" fontId="3" fillId="0" borderId="1" xfId="0" applyFont="1" applyBorder="1"/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/>
    <xf numFmtId="0" fontId="3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/>
    <xf numFmtId="0" fontId="3" fillId="0" borderId="1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5" fillId="0" borderId="1" xfId="0" applyFont="1" applyBorder="1" applyAlignment="1">
      <alignment horizontal="center" vertical="center"/>
    </xf>
    <xf numFmtId="0" fontId="0" fillId="0" borderId="8" xfId="0" applyBorder="1"/>
    <xf numFmtId="0" fontId="3" fillId="0" borderId="8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3" fillId="0" borderId="1" xfId="0" applyFont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0" fillId="0" borderId="1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1" xfId="0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392F4-C8EB-4B29-A14B-115CD5CC28F5}">
  <dimension ref="A1:DH47"/>
  <sheetViews>
    <sheetView showGridLines="0" tabSelected="1" zoomScaleNormal="100" workbookViewId="0">
      <selection activeCell="D25" sqref="D25"/>
    </sheetView>
  </sheetViews>
  <sheetFormatPr defaultRowHeight="15" x14ac:dyDescent="0.25"/>
  <cols>
    <col min="2" max="2" width="14.7109375" customWidth="1"/>
    <col min="4" max="4" width="7.7109375" customWidth="1"/>
    <col min="5" max="25" width="0" hidden="1" customWidth="1"/>
    <col min="26" max="26" width="4.28515625" style="5" customWidth="1"/>
    <col min="27" max="27" width="9.140625" style="1"/>
    <col min="28" max="28" width="16" customWidth="1"/>
    <col min="30" max="31" width="8.85546875" hidden="1" customWidth="1"/>
    <col min="36" max="36" width="9.140625" customWidth="1"/>
    <col min="37" max="37" width="9.140625" style="2" customWidth="1"/>
    <col min="38" max="51" width="9.140625" hidden="1" customWidth="1"/>
    <col min="52" max="52" width="4.28515625" style="5" customWidth="1"/>
    <col min="53" max="53" width="15.7109375" customWidth="1"/>
    <col min="57" max="57" width="9.7109375" customWidth="1"/>
    <col min="60" max="60" width="10.140625" customWidth="1"/>
    <col min="61" max="61" width="10.28515625" customWidth="1"/>
    <col min="62" max="77" width="0" hidden="1" customWidth="1"/>
    <col min="78" max="78" width="4.28515625" style="5" customWidth="1"/>
    <col min="84" max="103" width="0" hidden="1" customWidth="1"/>
    <col min="104" max="104" width="4.28515625" style="5" customWidth="1"/>
    <col min="105" max="105" width="10.7109375" bestFit="1" customWidth="1"/>
    <col min="109" max="109" width="9.5703125" customWidth="1"/>
  </cols>
  <sheetData>
    <row r="1" spans="1:112" ht="15" customHeight="1" x14ac:dyDescent="0.25">
      <c r="A1" s="26" t="s">
        <v>64</v>
      </c>
      <c r="B1" s="27" t="s">
        <v>65</v>
      </c>
      <c r="AA1" s="30" t="s">
        <v>20</v>
      </c>
      <c r="AB1" s="30"/>
      <c r="AC1" s="30"/>
      <c r="AD1" s="30"/>
      <c r="AE1" s="30"/>
      <c r="AF1" s="30"/>
      <c r="AG1" s="30"/>
      <c r="AH1" s="30"/>
      <c r="AI1" s="30"/>
      <c r="AJ1" s="30"/>
      <c r="AK1" s="30"/>
      <c r="BA1" s="30" t="s">
        <v>26</v>
      </c>
      <c r="BB1" s="30"/>
      <c r="BC1" s="30"/>
      <c r="BD1" s="30"/>
      <c r="BE1" s="30"/>
      <c r="BF1" s="30"/>
      <c r="BG1" s="30"/>
      <c r="BH1" s="30"/>
      <c r="BI1" s="30"/>
      <c r="CA1" s="30" t="s">
        <v>32</v>
      </c>
      <c r="CB1" s="30"/>
      <c r="CC1" s="30"/>
      <c r="CD1" s="30"/>
      <c r="CE1" s="30"/>
      <c r="DA1" s="30" t="str">
        <f>A18</f>
        <v>Tải trọng bản thân</v>
      </c>
      <c r="DB1" s="30"/>
      <c r="DC1" s="30"/>
      <c r="DD1" s="30"/>
      <c r="DE1" s="30"/>
      <c r="DF1" s="30"/>
      <c r="DG1" s="31" t="str">
        <f>C18</f>
        <v>DL</v>
      </c>
      <c r="DH1" s="31"/>
    </row>
    <row r="2" spans="1:112" ht="15" customHeight="1" x14ac:dyDescent="0.25">
      <c r="A2" s="18" t="s">
        <v>21</v>
      </c>
      <c r="B2" s="19" t="s">
        <v>10</v>
      </c>
      <c r="C2" s="34" t="s">
        <v>58</v>
      </c>
      <c r="D2" s="35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BA2" s="30"/>
      <c r="BB2" s="30"/>
      <c r="BC2" s="30"/>
      <c r="BD2" s="30"/>
      <c r="BE2" s="30"/>
      <c r="BF2" s="30"/>
      <c r="BG2" s="30"/>
      <c r="BH2" s="30"/>
      <c r="BI2" s="30"/>
      <c r="CA2" s="30"/>
      <c r="CB2" s="30"/>
      <c r="CC2" s="30"/>
      <c r="CD2" s="30"/>
      <c r="CE2" s="30"/>
      <c r="DA2" s="30"/>
      <c r="DB2" s="30"/>
      <c r="DC2" s="30"/>
      <c r="DD2" s="30"/>
      <c r="DE2" s="30"/>
      <c r="DF2" s="30"/>
      <c r="DG2" s="31"/>
      <c r="DH2" s="31"/>
    </row>
    <row r="3" spans="1:112" ht="15" customHeight="1" x14ac:dyDescent="0.25">
      <c r="A3" s="11" t="s">
        <v>22</v>
      </c>
      <c r="B3" s="9" t="s">
        <v>41</v>
      </c>
      <c r="C3" s="36">
        <v>0.6</v>
      </c>
      <c r="D3" s="36"/>
      <c r="AA3" s="28" t="s">
        <v>9</v>
      </c>
      <c r="AB3" s="28" t="s">
        <v>10</v>
      </c>
      <c r="AC3" s="28" t="s">
        <v>11</v>
      </c>
      <c r="AD3" s="29" t="s">
        <v>14</v>
      </c>
      <c r="AE3" s="29"/>
      <c r="AF3" s="29" t="s">
        <v>12</v>
      </c>
      <c r="AG3" s="29" t="s">
        <v>13</v>
      </c>
      <c r="AH3" s="29" t="s">
        <v>14</v>
      </c>
      <c r="AI3" s="29"/>
      <c r="AJ3" s="29" t="s">
        <v>17</v>
      </c>
      <c r="AK3" s="29"/>
      <c r="BA3" s="28" t="s">
        <v>0</v>
      </c>
      <c r="BB3" s="29" t="s">
        <v>1</v>
      </c>
      <c r="BC3" s="29" t="s">
        <v>2</v>
      </c>
      <c r="BD3" s="29" t="s">
        <v>3</v>
      </c>
      <c r="BE3" s="29" t="s">
        <v>4</v>
      </c>
      <c r="BF3" s="29" t="s">
        <v>8</v>
      </c>
      <c r="BG3" s="29" t="s">
        <v>5</v>
      </c>
      <c r="BH3" s="29" t="s">
        <v>6</v>
      </c>
      <c r="BI3" s="29" t="s">
        <v>7</v>
      </c>
      <c r="CA3" s="28" t="s">
        <v>33</v>
      </c>
      <c r="CB3" s="29" t="s">
        <v>34</v>
      </c>
      <c r="CC3" s="29" t="s">
        <v>35</v>
      </c>
      <c r="CD3" s="29" t="s">
        <v>36</v>
      </c>
      <c r="CE3" s="29" t="s">
        <v>37</v>
      </c>
      <c r="DA3" s="28" t="s">
        <v>33</v>
      </c>
      <c r="DB3" s="29" t="s">
        <v>38</v>
      </c>
      <c r="DC3" s="29" t="s">
        <v>1</v>
      </c>
      <c r="DD3" s="29" t="s">
        <v>2</v>
      </c>
      <c r="DE3" s="29" t="s">
        <v>61</v>
      </c>
      <c r="DF3" s="29" t="s">
        <v>62</v>
      </c>
      <c r="DG3" s="29" t="s">
        <v>60</v>
      </c>
      <c r="DH3" s="29"/>
    </row>
    <row r="4" spans="1:112" x14ac:dyDescent="0.25">
      <c r="A4" s="11" t="s">
        <v>23</v>
      </c>
      <c r="B4" s="9" t="s">
        <v>31</v>
      </c>
      <c r="C4" s="36">
        <v>1.2</v>
      </c>
      <c r="D4" s="36"/>
      <c r="AA4" s="28"/>
      <c r="AB4" s="28"/>
      <c r="AC4" s="28"/>
      <c r="AD4" s="8" t="s">
        <v>15</v>
      </c>
      <c r="AE4" s="8" t="s">
        <v>16</v>
      </c>
      <c r="AF4" s="28"/>
      <c r="AG4" s="28"/>
      <c r="AH4" s="8" t="s">
        <v>15</v>
      </c>
      <c r="AI4" s="8" t="s">
        <v>16</v>
      </c>
      <c r="AJ4" s="4" t="s">
        <v>18</v>
      </c>
      <c r="AK4" s="4" t="s">
        <v>19</v>
      </c>
      <c r="BA4" s="28"/>
      <c r="BB4" s="28"/>
      <c r="BC4" s="28"/>
      <c r="BD4" s="28"/>
      <c r="BE4" s="28"/>
      <c r="BF4" s="28"/>
      <c r="BG4" s="28"/>
      <c r="BH4" s="28"/>
      <c r="BI4" s="28"/>
      <c r="CA4" s="28"/>
      <c r="CB4" s="28"/>
      <c r="CC4" s="28"/>
      <c r="CD4" s="28"/>
      <c r="CE4" s="28"/>
      <c r="DA4" s="28"/>
      <c r="DB4" s="28"/>
      <c r="DC4" s="28"/>
      <c r="DD4" s="28"/>
      <c r="DE4" s="28"/>
      <c r="DF4" s="28"/>
      <c r="DG4" s="28"/>
      <c r="DH4" s="28"/>
    </row>
    <row r="5" spans="1:112" x14ac:dyDescent="0.25">
      <c r="A5" s="11" t="s">
        <v>24</v>
      </c>
      <c r="B5" s="9" t="str">
        <f>B3</f>
        <v>Z200x72x78x2.3</v>
      </c>
      <c r="C5" s="36">
        <f>C3</f>
        <v>0.6</v>
      </c>
      <c r="D5" s="36"/>
      <c r="AA5" s="12">
        <v>1</v>
      </c>
      <c r="AB5" s="13" t="str">
        <f t="shared" ref="AB5:AB25" si="0">IF(AA5="","",IF(AA5=1,$B$3,IF(AA5=$C$7,$B$5,$B$4)))</f>
        <v>Z200x72x78x2.3</v>
      </c>
      <c r="AC5" s="14">
        <v>9.1999999999999993</v>
      </c>
      <c r="AD5" s="16">
        <f t="shared" ref="AD5:AD25" si="1">IF(AA5="","",IF(AA5=1,$C$8,AE4))</f>
        <v>0</v>
      </c>
      <c r="AE5" s="16">
        <f>IF(AA5="","",AC5+AD5)</f>
        <v>9.1999999999999993</v>
      </c>
      <c r="AF5" s="16">
        <v>0</v>
      </c>
      <c r="AG5" s="14">
        <v>1.2</v>
      </c>
      <c r="AH5" s="21">
        <f>IF(AA5="","",AD5-AF5)</f>
        <v>0</v>
      </c>
      <c r="AI5" s="21">
        <f>IF(AA5="","",AG5+AE5)</f>
        <v>10.399999999999999</v>
      </c>
      <c r="AJ5" s="16">
        <f t="shared" ref="AJ5:AJ25" si="2">IF(AA5="","",IF(AC5&lt;$A$13,$B$13,IF(AC5&gt;$A$15,$B$15,$B$14)))</f>
        <v>3</v>
      </c>
      <c r="AK5" s="21">
        <f>IF(AA5="","",AC5/(AJ5+1))</f>
        <v>2.2999999999999998</v>
      </c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BA5" s="6" t="str">
        <f>IF(AA5="","",AB5)</f>
        <v>Z200x72x78x2.3</v>
      </c>
      <c r="BB5" s="23">
        <f>IF(AA5="","",AH5)</f>
        <v>0</v>
      </c>
      <c r="BC5" s="23">
        <f>IF(AA5="","",AI5)</f>
        <v>10.399999999999999</v>
      </c>
      <c r="BD5" s="23" t="str">
        <f t="shared" ref="BD5:BD25" si="3">IF(AA5="","",$C$9)</f>
        <v>Top</v>
      </c>
      <c r="BE5" s="23">
        <f t="shared" ref="BE5:BE25" si="4">IF(AA5="","",$C$10)</f>
        <v>0.7</v>
      </c>
      <c r="BF5" s="23">
        <f>IF(AA5="","",0)</f>
        <v>0</v>
      </c>
      <c r="BG5" s="23">
        <f>IF(AA5="","",AC5)</f>
        <v>9.1999999999999993</v>
      </c>
      <c r="BH5" s="23">
        <f>IF(AA5="","",0)</f>
        <v>0</v>
      </c>
      <c r="BI5" s="23">
        <f>IF(AA5="","",0)</f>
        <v>0</v>
      </c>
      <c r="CA5" s="23" t="str">
        <f t="shared" ref="CA5:CE20" si="5">IF(AS5="","",0)</f>
        <v/>
      </c>
      <c r="CB5" s="23" t="str">
        <f t="shared" si="5"/>
        <v/>
      </c>
      <c r="CC5" s="23" t="str">
        <f t="shared" si="5"/>
        <v/>
      </c>
      <c r="CD5" s="23" t="str">
        <f t="shared" si="5"/>
        <v/>
      </c>
      <c r="CE5" s="23" t="str">
        <f t="shared" si="5"/>
        <v/>
      </c>
      <c r="DA5" s="23" t="s">
        <v>59</v>
      </c>
      <c r="DB5" s="23">
        <v>90</v>
      </c>
      <c r="DC5" s="23">
        <v>0</v>
      </c>
      <c r="DD5" s="23">
        <f>IF(C3=C4,MAX($AI$5:$AI$25),AE5)</f>
        <v>9.1999999999999993</v>
      </c>
      <c r="DE5" s="23">
        <f>C3*D18</f>
        <v>0.06</v>
      </c>
      <c r="DF5" s="23">
        <f>DE5</f>
        <v>0.06</v>
      </c>
      <c r="DG5" s="23" t="str">
        <f t="shared" ref="DG5:DG7" si="6">IF(BY5="","",0)</f>
        <v/>
      </c>
      <c r="DH5" s="23" t="str">
        <f t="shared" ref="DH5:DH7" si="7">IF(BZ5="","",0)</f>
        <v/>
      </c>
    </row>
    <row r="6" spans="1:112" x14ac:dyDescent="0.25">
      <c r="AA6" s="10">
        <f t="shared" ref="AA6:AA25" si="8">IF(AA5="","",IF(AA5+1&lt;=$C$7,AA5+1,""))</f>
        <v>2</v>
      </c>
      <c r="AB6" s="7" t="str">
        <f t="shared" si="0"/>
        <v>Z200x72x78x1.8</v>
      </c>
      <c r="AC6" s="15">
        <v>9.1999999999999993</v>
      </c>
      <c r="AD6" s="17">
        <f t="shared" si="1"/>
        <v>9.1999999999999993</v>
      </c>
      <c r="AE6" s="16">
        <f t="shared" ref="AE6:AE25" si="9">IF(AA6="","",AC6+AD6)</f>
        <v>18.399999999999999</v>
      </c>
      <c r="AF6" s="17">
        <f>IF(AA6="","",AG5)</f>
        <v>1.2</v>
      </c>
      <c r="AG6" s="15">
        <v>0.46</v>
      </c>
      <c r="AH6" s="22">
        <f t="shared" ref="AH6:AH25" si="10">IF(AA6="","",AD6-AF6)</f>
        <v>7.9999999999999991</v>
      </c>
      <c r="AI6" s="22">
        <f t="shared" ref="AI6:AI25" si="11">IF(AA6="","",AG6+AE6)</f>
        <v>18.86</v>
      </c>
      <c r="AJ6" s="17">
        <f t="shared" si="2"/>
        <v>3</v>
      </c>
      <c r="AK6" s="22">
        <f t="shared" ref="AK6:AK25" si="12">IF(AA6="","",AC6/(AJ6+1))</f>
        <v>2.2999999999999998</v>
      </c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BA6" s="7" t="str">
        <f t="shared" ref="BA6:BA25" si="13">IF(AA6="","",AB6)</f>
        <v>Z200x72x78x1.8</v>
      </c>
      <c r="BB6" s="17">
        <f t="shared" ref="BB6:BB25" si="14">IF(AA6="","",AH6)</f>
        <v>7.9999999999999991</v>
      </c>
      <c r="BC6" s="17">
        <f t="shared" ref="BC6:BC25" si="15">IF(AA6="","",AI6)</f>
        <v>18.86</v>
      </c>
      <c r="BD6" s="17" t="str">
        <f t="shared" si="3"/>
        <v>Top</v>
      </c>
      <c r="BE6" s="17">
        <f t="shared" si="4"/>
        <v>0.7</v>
      </c>
      <c r="BF6" s="17">
        <f t="shared" ref="BF6:BF25" si="16">IF(AA6="","",0)</f>
        <v>0</v>
      </c>
      <c r="BG6" s="17">
        <f t="shared" ref="BG6:BG25" si="17">IF(AA6="","",AC6)</f>
        <v>9.1999999999999993</v>
      </c>
      <c r="BH6" s="17">
        <f t="shared" ref="BH6:BH25" si="18">IF(AA6="","",0)</f>
        <v>0</v>
      </c>
      <c r="BI6" s="17">
        <f t="shared" ref="BI6:BI25" si="19">IF(AA6="","",0)</f>
        <v>0</v>
      </c>
      <c r="CA6" s="17" t="str">
        <f t="shared" si="5"/>
        <v/>
      </c>
      <c r="CB6" s="17" t="str">
        <f t="shared" si="5"/>
        <v/>
      </c>
      <c r="CC6" s="17" t="str">
        <f t="shared" si="5"/>
        <v/>
      </c>
      <c r="CD6" s="17" t="str">
        <f t="shared" si="5"/>
        <v/>
      </c>
      <c r="CE6" s="17" t="str">
        <f t="shared" si="5"/>
        <v/>
      </c>
      <c r="DA6" s="17" t="str">
        <f>IF($C$3=$C$4,"",DA5)</f>
        <v>Distributed</v>
      </c>
      <c r="DB6" s="17">
        <f>IF($C$3=$C$4,"",DB5)</f>
        <v>90</v>
      </c>
      <c r="DC6" s="17">
        <f>IF($C$3=$C$4,"",DD5)</f>
        <v>9.1999999999999993</v>
      </c>
      <c r="DD6" s="17" cm="1">
        <f t="array" ref="DD6">IF($C$3=$C$4,"",INDEX($AE$5:$AE$25,MAX($AA$5:$AA$25)-1))</f>
        <v>64.400000000000006</v>
      </c>
      <c r="DE6" s="17">
        <f>IF($C$3=$C$4,"",C4*D18)</f>
        <v>0.12</v>
      </c>
      <c r="DF6" s="17">
        <f>IF($C$3=$C$4,"",DE6)</f>
        <v>0.12</v>
      </c>
      <c r="DG6" s="17" t="str">
        <f t="shared" si="6"/>
        <v/>
      </c>
      <c r="DH6" s="17" t="str">
        <f t="shared" si="7"/>
        <v/>
      </c>
    </row>
    <row r="7" spans="1:112" x14ac:dyDescent="0.25">
      <c r="A7" s="43" t="s">
        <v>25</v>
      </c>
      <c r="B7" s="43"/>
      <c r="C7" s="20">
        <v>8</v>
      </c>
      <c r="AA7" s="10">
        <f t="shared" si="8"/>
        <v>3</v>
      </c>
      <c r="AB7" s="7" t="str">
        <f t="shared" si="0"/>
        <v>Z200x72x78x1.8</v>
      </c>
      <c r="AC7" s="15">
        <v>9.1999999999999993</v>
      </c>
      <c r="AD7" s="17">
        <f t="shared" si="1"/>
        <v>18.399999999999999</v>
      </c>
      <c r="AE7" s="16">
        <f t="shared" si="9"/>
        <v>27.599999999999998</v>
      </c>
      <c r="AF7" s="17">
        <f t="shared" ref="AF7:AF25" si="20">IF(AA7="","",AG6)</f>
        <v>0.46</v>
      </c>
      <c r="AG7" s="15">
        <v>0.46</v>
      </c>
      <c r="AH7" s="22">
        <f t="shared" si="10"/>
        <v>17.939999999999998</v>
      </c>
      <c r="AI7" s="22">
        <f t="shared" si="11"/>
        <v>28.06</v>
      </c>
      <c r="AJ7" s="17">
        <f t="shared" si="2"/>
        <v>3</v>
      </c>
      <c r="AK7" s="22">
        <f t="shared" si="12"/>
        <v>2.2999999999999998</v>
      </c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BA7" s="7" t="str">
        <f t="shared" si="13"/>
        <v>Z200x72x78x1.8</v>
      </c>
      <c r="BB7" s="17">
        <f t="shared" si="14"/>
        <v>17.939999999999998</v>
      </c>
      <c r="BC7" s="17">
        <f t="shared" si="15"/>
        <v>28.06</v>
      </c>
      <c r="BD7" s="17" t="str">
        <f t="shared" si="3"/>
        <v>Top</v>
      </c>
      <c r="BE7" s="17">
        <f t="shared" si="4"/>
        <v>0.7</v>
      </c>
      <c r="BF7" s="17">
        <f t="shared" si="16"/>
        <v>0</v>
      </c>
      <c r="BG7" s="17">
        <f t="shared" si="17"/>
        <v>9.1999999999999993</v>
      </c>
      <c r="BH7" s="17">
        <f t="shared" si="18"/>
        <v>0</v>
      </c>
      <c r="BI7" s="17">
        <f t="shared" si="19"/>
        <v>0</v>
      </c>
      <c r="CA7" s="17" t="str">
        <f t="shared" si="5"/>
        <v/>
      </c>
      <c r="CB7" s="17" t="str">
        <f t="shared" si="5"/>
        <v/>
      </c>
      <c r="CC7" s="17" t="str">
        <f t="shared" si="5"/>
        <v/>
      </c>
      <c r="CD7" s="17" t="str">
        <f t="shared" si="5"/>
        <v/>
      </c>
      <c r="CE7" s="17" t="str">
        <f t="shared" si="5"/>
        <v/>
      </c>
      <c r="DA7" s="17" t="str">
        <f>IF($C$3=$C$4,"",DA6)</f>
        <v>Distributed</v>
      </c>
      <c r="DB7" s="17">
        <f>IF($C$3=$C$4,"",DB6)</f>
        <v>90</v>
      </c>
      <c r="DC7" s="17">
        <f>IF($C$3=$C$4,"",DD6)</f>
        <v>64.400000000000006</v>
      </c>
      <c r="DD7" s="17">
        <f>IF($C$3=$C$4,"",MAX($AI$5:$AI$25))</f>
        <v>73.600000000000009</v>
      </c>
      <c r="DE7" s="17">
        <f>IF($C$3=$C$4,"",C5*D18)</f>
        <v>0.06</v>
      </c>
      <c r="DF7" s="17">
        <f>IF($C$3=$C$4,"",DE7)</f>
        <v>0.06</v>
      </c>
      <c r="DG7" s="17" t="str">
        <f t="shared" si="6"/>
        <v/>
      </c>
      <c r="DH7" s="17" t="str">
        <f t="shared" si="7"/>
        <v/>
      </c>
    </row>
    <row r="8" spans="1:112" x14ac:dyDescent="0.25">
      <c r="A8" s="43" t="s">
        <v>53</v>
      </c>
      <c r="B8" s="43"/>
      <c r="C8" s="25">
        <v>0</v>
      </c>
      <c r="AA8" s="10">
        <f t="shared" si="8"/>
        <v>4</v>
      </c>
      <c r="AB8" s="7" t="str">
        <f t="shared" si="0"/>
        <v>Z200x72x78x1.8</v>
      </c>
      <c r="AC8" s="15">
        <v>9.1999999999999993</v>
      </c>
      <c r="AD8" s="17">
        <f t="shared" si="1"/>
        <v>27.599999999999998</v>
      </c>
      <c r="AE8" s="16">
        <f t="shared" si="9"/>
        <v>36.799999999999997</v>
      </c>
      <c r="AF8" s="17">
        <f t="shared" si="20"/>
        <v>0.46</v>
      </c>
      <c r="AG8" s="15">
        <v>0.46</v>
      </c>
      <c r="AH8" s="22">
        <f t="shared" si="10"/>
        <v>27.139999999999997</v>
      </c>
      <c r="AI8" s="22">
        <f t="shared" si="11"/>
        <v>37.26</v>
      </c>
      <c r="AJ8" s="17">
        <f t="shared" si="2"/>
        <v>3</v>
      </c>
      <c r="AK8" s="22">
        <f t="shared" si="12"/>
        <v>2.2999999999999998</v>
      </c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BA8" s="7" t="str">
        <f t="shared" si="13"/>
        <v>Z200x72x78x1.8</v>
      </c>
      <c r="BB8" s="17">
        <f t="shared" si="14"/>
        <v>27.139999999999997</v>
      </c>
      <c r="BC8" s="17">
        <f t="shared" si="15"/>
        <v>37.26</v>
      </c>
      <c r="BD8" s="17" t="str">
        <f t="shared" si="3"/>
        <v>Top</v>
      </c>
      <c r="BE8" s="17">
        <f t="shared" si="4"/>
        <v>0.7</v>
      </c>
      <c r="BF8" s="17">
        <f t="shared" si="16"/>
        <v>0</v>
      </c>
      <c r="BG8" s="17">
        <f t="shared" si="17"/>
        <v>9.1999999999999993</v>
      </c>
      <c r="BH8" s="17">
        <f t="shared" si="18"/>
        <v>0</v>
      </c>
      <c r="BI8" s="17">
        <f t="shared" si="19"/>
        <v>0</v>
      </c>
      <c r="CA8" s="17" t="str">
        <f t="shared" si="5"/>
        <v/>
      </c>
      <c r="CB8" s="17" t="str">
        <f t="shared" si="5"/>
        <v/>
      </c>
      <c r="CC8" s="17" t="str">
        <f t="shared" si="5"/>
        <v/>
      </c>
      <c r="CD8" s="17" t="str">
        <f t="shared" si="5"/>
        <v/>
      </c>
      <c r="CE8" s="17" t="str">
        <f t="shared" si="5"/>
        <v/>
      </c>
    </row>
    <row r="9" spans="1:112" x14ac:dyDescent="0.25">
      <c r="A9" s="43" t="s">
        <v>28</v>
      </c>
      <c r="B9" s="43"/>
      <c r="C9" s="20" t="s">
        <v>30</v>
      </c>
      <c r="AA9" s="10">
        <f t="shared" si="8"/>
        <v>5</v>
      </c>
      <c r="AB9" s="7" t="str">
        <f t="shared" si="0"/>
        <v>Z200x72x78x1.8</v>
      </c>
      <c r="AC9" s="15">
        <v>9.1999999999999993</v>
      </c>
      <c r="AD9" s="17">
        <f t="shared" si="1"/>
        <v>36.799999999999997</v>
      </c>
      <c r="AE9" s="16">
        <f t="shared" si="9"/>
        <v>46</v>
      </c>
      <c r="AF9" s="17">
        <f t="shared" si="20"/>
        <v>0.46</v>
      </c>
      <c r="AG9" s="15">
        <v>0.46</v>
      </c>
      <c r="AH9" s="22">
        <f t="shared" si="10"/>
        <v>36.339999999999996</v>
      </c>
      <c r="AI9" s="22">
        <f t="shared" si="11"/>
        <v>46.46</v>
      </c>
      <c r="AJ9" s="17">
        <f t="shared" si="2"/>
        <v>3</v>
      </c>
      <c r="AK9" s="22">
        <f t="shared" si="12"/>
        <v>2.2999999999999998</v>
      </c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BA9" s="7" t="str">
        <f t="shared" si="13"/>
        <v>Z200x72x78x1.8</v>
      </c>
      <c r="BB9" s="17">
        <f t="shared" si="14"/>
        <v>36.339999999999996</v>
      </c>
      <c r="BC9" s="17">
        <f t="shared" si="15"/>
        <v>46.46</v>
      </c>
      <c r="BD9" s="17" t="str">
        <f t="shared" si="3"/>
        <v>Top</v>
      </c>
      <c r="BE9" s="17">
        <f t="shared" si="4"/>
        <v>0.7</v>
      </c>
      <c r="BF9" s="17">
        <f t="shared" si="16"/>
        <v>0</v>
      </c>
      <c r="BG9" s="17">
        <f t="shared" si="17"/>
        <v>9.1999999999999993</v>
      </c>
      <c r="BH9" s="17">
        <f t="shared" si="18"/>
        <v>0</v>
      </c>
      <c r="BI9" s="17">
        <f t="shared" si="19"/>
        <v>0</v>
      </c>
      <c r="CA9" s="17" t="str">
        <f t="shared" si="5"/>
        <v/>
      </c>
      <c r="CB9" s="17" t="str">
        <f t="shared" si="5"/>
        <v/>
      </c>
      <c r="CC9" s="17" t="str">
        <f t="shared" si="5"/>
        <v/>
      </c>
      <c r="CD9" s="17" t="str">
        <f t="shared" si="5"/>
        <v/>
      </c>
      <c r="CE9" s="17" t="str">
        <f t="shared" si="5"/>
        <v/>
      </c>
      <c r="DA9" s="30" t="str">
        <f>A19</f>
        <v>Tải treo</v>
      </c>
      <c r="DB9" s="30"/>
      <c r="DC9" s="30"/>
      <c r="DD9" s="30"/>
      <c r="DE9" s="30"/>
      <c r="DF9" s="30"/>
      <c r="DG9" s="31" t="str">
        <f>C19</f>
        <v>COL</v>
      </c>
      <c r="DH9" s="31"/>
    </row>
    <row r="10" spans="1:112" x14ac:dyDescent="0.25">
      <c r="A10" s="43" t="s">
        <v>29</v>
      </c>
      <c r="B10" s="43"/>
      <c r="C10" s="20">
        <v>0.7</v>
      </c>
      <c r="AA10" s="10">
        <f t="shared" si="8"/>
        <v>6</v>
      </c>
      <c r="AB10" s="7" t="str">
        <f t="shared" si="0"/>
        <v>Z200x72x78x1.8</v>
      </c>
      <c r="AC10" s="15">
        <v>9.1999999999999993</v>
      </c>
      <c r="AD10" s="17">
        <f t="shared" si="1"/>
        <v>46</v>
      </c>
      <c r="AE10" s="16">
        <f t="shared" si="9"/>
        <v>55.2</v>
      </c>
      <c r="AF10" s="17">
        <f t="shared" si="20"/>
        <v>0.46</v>
      </c>
      <c r="AG10" s="15">
        <v>0.46</v>
      </c>
      <c r="AH10" s="22">
        <f t="shared" si="10"/>
        <v>45.54</v>
      </c>
      <c r="AI10" s="22">
        <f t="shared" si="11"/>
        <v>55.660000000000004</v>
      </c>
      <c r="AJ10" s="17">
        <f t="shared" si="2"/>
        <v>3</v>
      </c>
      <c r="AK10" s="22">
        <f t="shared" si="12"/>
        <v>2.2999999999999998</v>
      </c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BA10" s="7" t="str">
        <f t="shared" si="13"/>
        <v>Z200x72x78x1.8</v>
      </c>
      <c r="BB10" s="17">
        <f t="shared" si="14"/>
        <v>45.54</v>
      </c>
      <c r="BC10" s="17">
        <f t="shared" si="15"/>
        <v>55.660000000000004</v>
      </c>
      <c r="BD10" s="17" t="str">
        <f t="shared" si="3"/>
        <v>Top</v>
      </c>
      <c r="BE10" s="17">
        <f t="shared" si="4"/>
        <v>0.7</v>
      </c>
      <c r="BF10" s="17">
        <f t="shared" si="16"/>
        <v>0</v>
      </c>
      <c r="BG10" s="17">
        <f t="shared" si="17"/>
        <v>9.1999999999999993</v>
      </c>
      <c r="BH10" s="17">
        <f t="shared" si="18"/>
        <v>0</v>
      </c>
      <c r="BI10" s="17">
        <f t="shared" si="19"/>
        <v>0</v>
      </c>
      <c r="CA10" s="17" t="str">
        <f t="shared" si="5"/>
        <v/>
      </c>
      <c r="CB10" s="17" t="str">
        <f t="shared" si="5"/>
        <v/>
      </c>
      <c r="CC10" s="17" t="str">
        <f t="shared" si="5"/>
        <v/>
      </c>
      <c r="CD10" s="17" t="str">
        <f t="shared" si="5"/>
        <v/>
      </c>
      <c r="CE10" s="17" t="str">
        <f t="shared" si="5"/>
        <v/>
      </c>
      <c r="DA10" s="30"/>
      <c r="DB10" s="30"/>
      <c r="DC10" s="30"/>
      <c r="DD10" s="30"/>
      <c r="DE10" s="30"/>
      <c r="DF10" s="30"/>
      <c r="DG10" s="31"/>
      <c r="DH10" s="31"/>
    </row>
    <row r="11" spans="1:112" ht="14.45" customHeight="1" x14ac:dyDescent="0.25">
      <c r="AA11" s="10">
        <f t="shared" si="8"/>
        <v>7</v>
      </c>
      <c r="AB11" s="7" t="str">
        <f t="shared" si="0"/>
        <v>Z200x72x78x1.8</v>
      </c>
      <c r="AC11" s="15">
        <v>9.1999999999999993</v>
      </c>
      <c r="AD11" s="17">
        <f t="shared" si="1"/>
        <v>55.2</v>
      </c>
      <c r="AE11" s="16">
        <f t="shared" si="9"/>
        <v>64.400000000000006</v>
      </c>
      <c r="AF11" s="17">
        <f t="shared" si="20"/>
        <v>0.46</v>
      </c>
      <c r="AG11" s="15">
        <v>1.2</v>
      </c>
      <c r="AH11" s="22">
        <f t="shared" si="10"/>
        <v>54.74</v>
      </c>
      <c r="AI11" s="22">
        <f t="shared" si="11"/>
        <v>65.600000000000009</v>
      </c>
      <c r="AJ11" s="17">
        <f t="shared" si="2"/>
        <v>3</v>
      </c>
      <c r="AK11" s="22">
        <f t="shared" si="12"/>
        <v>2.2999999999999998</v>
      </c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BA11" s="7" t="str">
        <f t="shared" si="13"/>
        <v>Z200x72x78x1.8</v>
      </c>
      <c r="BB11" s="17">
        <f t="shared" si="14"/>
        <v>54.74</v>
      </c>
      <c r="BC11" s="17">
        <f t="shared" si="15"/>
        <v>65.600000000000009</v>
      </c>
      <c r="BD11" s="17" t="str">
        <f t="shared" si="3"/>
        <v>Top</v>
      </c>
      <c r="BE11" s="17">
        <f t="shared" si="4"/>
        <v>0.7</v>
      </c>
      <c r="BF11" s="17">
        <f t="shared" si="16"/>
        <v>0</v>
      </c>
      <c r="BG11" s="17">
        <f t="shared" si="17"/>
        <v>9.1999999999999993</v>
      </c>
      <c r="BH11" s="17">
        <f t="shared" si="18"/>
        <v>0</v>
      </c>
      <c r="BI11" s="17">
        <f t="shared" si="19"/>
        <v>0</v>
      </c>
      <c r="CA11" s="17" t="str">
        <f t="shared" si="5"/>
        <v/>
      </c>
      <c r="CB11" s="17" t="str">
        <f t="shared" si="5"/>
        <v/>
      </c>
      <c r="CC11" s="17" t="str">
        <f t="shared" si="5"/>
        <v/>
      </c>
      <c r="CD11" s="17" t="str">
        <f t="shared" si="5"/>
        <v/>
      </c>
      <c r="CE11" s="17" t="str">
        <f t="shared" si="5"/>
        <v/>
      </c>
      <c r="DA11" s="28" t="s">
        <v>33</v>
      </c>
      <c r="DB11" s="29" t="s">
        <v>38</v>
      </c>
      <c r="DC11" s="29" t="s">
        <v>1</v>
      </c>
      <c r="DD11" s="29" t="s">
        <v>2</v>
      </c>
      <c r="DE11" s="29" t="s">
        <v>1</v>
      </c>
      <c r="DF11" s="29" t="s">
        <v>2</v>
      </c>
      <c r="DG11" s="29" t="s">
        <v>60</v>
      </c>
      <c r="DH11" s="29"/>
    </row>
    <row r="12" spans="1:112" x14ac:dyDescent="0.25">
      <c r="A12" s="41" t="s">
        <v>27</v>
      </c>
      <c r="B12" s="42"/>
      <c r="AA12" s="10">
        <f t="shared" si="8"/>
        <v>8</v>
      </c>
      <c r="AB12" s="7" t="str">
        <f t="shared" si="0"/>
        <v>Z200x72x78x2.3</v>
      </c>
      <c r="AC12" s="15">
        <v>9.1999999999999993</v>
      </c>
      <c r="AD12" s="17">
        <f t="shared" si="1"/>
        <v>64.400000000000006</v>
      </c>
      <c r="AE12" s="16">
        <f t="shared" si="9"/>
        <v>73.600000000000009</v>
      </c>
      <c r="AF12" s="17">
        <f t="shared" si="20"/>
        <v>1.2</v>
      </c>
      <c r="AG12" s="15">
        <v>0</v>
      </c>
      <c r="AH12" s="22">
        <f t="shared" si="10"/>
        <v>63.2</v>
      </c>
      <c r="AI12" s="22">
        <f t="shared" si="11"/>
        <v>73.600000000000009</v>
      </c>
      <c r="AJ12" s="17">
        <f t="shared" si="2"/>
        <v>3</v>
      </c>
      <c r="AK12" s="22">
        <f t="shared" si="12"/>
        <v>2.2999999999999998</v>
      </c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BA12" s="7" t="str">
        <f t="shared" si="13"/>
        <v>Z200x72x78x2.3</v>
      </c>
      <c r="BB12" s="17">
        <f t="shared" si="14"/>
        <v>63.2</v>
      </c>
      <c r="BC12" s="17">
        <f t="shared" si="15"/>
        <v>73.600000000000009</v>
      </c>
      <c r="BD12" s="17" t="str">
        <f t="shared" si="3"/>
        <v>Top</v>
      </c>
      <c r="BE12" s="17">
        <f t="shared" si="4"/>
        <v>0.7</v>
      </c>
      <c r="BF12" s="17">
        <f t="shared" si="16"/>
        <v>0</v>
      </c>
      <c r="BG12" s="17">
        <f t="shared" si="17"/>
        <v>9.1999999999999993</v>
      </c>
      <c r="BH12" s="17">
        <f t="shared" si="18"/>
        <v>0</v>
      </c>
      <c r="BI12" s="17">
        <f t="shared" si="19"/>
        <v>0</v>
      </c>
      <c r="CA12" s="17" t="str">
        <f t="shared" si="5"/>
        <v/>
      </c>
      <c r="CB12" s="17" t="str">
        <f t="shared" si="5"/>
        <v/>
      </c>
      <c r="CC12" s="17" t="str">
        <f t="shared" si="5"/>
        <v/>
      </c>
      <c r="CD12" s="17" t="str">
        <f t="shared" si="5"/>
        <v/>
      </c>
      <c r="CE12" s="17" t="str">
        <f t="shared" si="5"/>
        <v/>
      </c>
      <c r="DA12" s="28"/>
      <c r="DB12" s="28"/>
      <c r="DC12" s="28"/>
      <c r="DD12" s="28"/>
      <c r="DE12" s="28"/>
      <c r="DF12" s="28"/>
      <c r="DG12" s="28"/>
      <c r="DH12" s="28"/>
    </row>
    <row r="13" spans="1:112" x14ac:dyDescent="0.25">
      <c r="A13" s="20">
        <v>8</v>
      </c>
      <c r="B13" s="20">
        <v>1</v>
      </c>
      <c r="AA13" s="10" t="str">
        <f t="shared" si="8"/>
        <v/>
      </c>
      <c r="AB13" s="7" t="str">
        <f t="shared" si="0"/>
        <v/>
      </c>
      <c r="AC13" s="15"/>
      <c r="AD13" s="17" t="str">
        <f t="shared" si="1"/>
        <v/>
      </c>
      <c r="AE13" s="17" t="str">
        <f t="shared" si="9"/>
        <v/>
      </c>
      <c r="AF13" s="17" t="str">
        <f t="shared" si="20"/>
        <v/>
      </c>
      <c r="AG13" s="15"/>
      <c r="AH13" s="22" t="str">
        <f t="shared" si="10"/>
        <v/>
      </c>
      <c r="AI13" s="22" t="str">
        <f t="shared" si="11"/>
        <v/>
      </c>
      <c r="AJ13" s="17" t="str">
        <f t="shared" si="2"/>
        <v/>
      </c>
      <c r="AK13" s="22" t="str">
        <f t="shared" si="12"/>
        <v/>
      </c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BA13" s="7" t="str">
        <f t="shared" si="13"/>
        <v/>
      </c>
      <c r="BB13" s="17" t="str">
        <f t="shared" si="14"/>
        <v/>
      </c>
      <c r="BC13" s="17" t="str">
        <f t="shared" si="15"/>
        <v/>
      </c>
      <c r="BD13" s="17" t="str">
        <f t="shared" si="3"/>
        <v/>
      </c>
      <c r="BE13" s="17" t="str">
        <f t="shared" si="4"/>
        <v/>
      </c>
      <c r="BF13" s="17" t="str">
        <f t="shared" si="16"/>
        <v/>
      </c>
      <c r="BG13" s="17" t="str">
        <f t="shared" si="17"/>
        <v/>
      </c>
      <c r="BH13" s="17" t="str">
        <f t="shared" si="18"/>
        <v/>
      </c>
      <c r="BI13" s="17" t="str">
        <f t="shared" si="19"/>
        <v/>
      </c>
      <c r="CA13" s="17" t="str">
        <f t="shared" si="5"/>
        <v/>
      </c>
      <c r="CB13" s="17" t="str">
        <f t="shared" si="5"/>
        <v/>
      </c>
      <c r="CC13" s="17" t="str">
        <f t="shared" si="5"/>
        <v/>
      </c>
      <c r="CD13" s="17" t="str">
        <f t="shared" si="5"/>
        <v/>
      </c>
      <c r="CE13" s="17" t="str">
        <f t="shared" si="5"/>
        <v/>
      </c>
      <c r="DA13" s="23" t="str">
        <f>DA5</f>
        <v>Distributed</v>
      </c>
      <c r="DB13" s="23">
        <f t="shared" ref="DB13:DD13" si="21">DB5</f>
        <v>90</v>
      </c>
      <c r="DC13" s="23">
        <f t="shared" si="21"/>
        <v>0</v>
      </c>
      <c r="DD13" s="23">
        <f t="shared" si="21"/>
        <v>9.1999999999999993</v>
      </c>
      <c r="DE13" s="23">
        <f>C3*D19</f>
        <v>0.09</v>
      </c>
      <c r="DF13" s="23">
        <f>DE13</f>
        <v>0.09</v>
      </c>
      <c r="DG13" s="23" t="str">
        <f t="shared" ref="DG13:DG15" si="22">IF(BY13="","",0)</f>
        <v/>
      </c>
      <c r="DH13" s="23" t="str">
        <f t="shared" ref="DH13:DH15" si="23">IF(BZ13="","",0)</f>
        <v/>
      </c>
    </row>
    <row r="14" spans="1:112" x14ac:dyDescent="0.25">
      <c r="A14" s="3" t="str">
        <f>CONCATENATE(A13,"m  - ",A15,"m")</f>
        <v>8m  - 9m</v>
      </c>
      <c r="B14" s="20">
        <v>2</v>
      </c>
      <c r="AA14" s="10" t="str">
        <f t="shared" si="8"/>
        <v/>
      </c>
      <c r="AB14" s="7" t="str">
        <f t="shared" si="0"/>
        <v/>
      </c>
      <c r="AC14" s="15"/>
      <c r="AD14" s="17" t="str">
        <f t="shared" si="1"/>
        <v/>
      </c>
      <c r="AE14" s="17" t="str">
        <f t="shared" si="9"/>
        <v/>
      </c>
      <c r="AF14" s="17" t="str">
        <f t="shared" si="20"/>
        <v/>
      </c>
      <c r="AG14" s="15"/>
      <c r="AH14" s="22" t="str">
        <f t="shared" si="10"/>
        <v/>
      </c>
      <c r="AI14" s="22" t="str">
        <f t="shared" si="11"/>
        <v/>
      </c>
      <c r="AJ14" s="17" t="str">
        <f t="shared" si="2"/>
        <v/>
      </c>
      <c r="AK14" s="22" t="str">
        <f t="shared" si="12"/>
        <v/>
      </c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BA14" s="7" t="str">
        <f t="shared" si="13"/>
        <v/>
      </c>
      <c r="BB14" s="17" t="str">
        <f t="shared" si="14"/>
        <v/>
      </c>
      <c r="BC14" s="17" t="str">
        <f t="shared" si="15"/>
        <v/>
      </c>
      <c r="BD14" s="17" t="str">
        <f t="shared" si="3"/>
        <v/>
      </c>
      <c r="BE14" s="17" t="str">
        <f t="shared" si="4"/>
        <v/>
      </c>
      <c r="BF14" s="17" t="str">
        <f t="shared" si="16"/>
        <v/>
      </c>
      <c r="BG14" s="17" t="str">
        <f t="shared" si="17"/>
        <v/>
      </c>
      <c r="BH14" s="17" t="str">
        <f t="shared" si="18"/>
        <v/>
      </c>
      <c r="BI14" s="17" t="str">
        <f t="shared" si="19"/>
        <v/>
      </c>
      <c r="CA14" s="17" t="str">
        <f t="shared" si="5"/>
        <v/>
      </c>
      <c r="CB14" s="17" t="str">
        <f t="shared" si="5"/>
        <v/>
      </c>
      <c r="CC14" s="17" t="str">
        <f t="shared" si="5"/>
        <v/>
      </c>
      <c r="CD14" s="17" t="str">
        <f t="shared" si="5"/>
        <v/>
      </c>
      <c r="CE14" s="17" t="str">
        <f t="shared" si="5"/>
        <v/>
      </c>
      <c r="DA14" s="17" t="str">
        <f t="shared" ref="DA14:DD15" si="24">DA6</f>
        <v>Distributed</v>
      </c>
      <c r="DB14" s="17">
        <f t="shared" si="24"/>
        <v>90</v>
      </c>
      <c r="DC14" s="17">
        <f t="shared" si="24"/>
        <v>9.1999999999999993</v>
      </c>
      <c r="DD14" s="17">
        <f t="shared" si="24"/>
        <v>64.400000000000006</v>
      </c>
      <c r="DE14" s="17">
        <f>IF($C$3=$C$4,"",C4*D19)</f>
        <v>0.18</v>
      </c>
      <c r="DF14" s="17">
        <f>IF($C$3=$C$4,"",DE14)</f>
        <v>0.18</v>
      </c>
      <c r="DG14" s="17" t="str">
        <f t="shared" si="22"/>
        <v/>
      </c>
      <c r="DH14" s="17" t="str">
        <f t="shared" si="23"/>
        <v/>
      </c>
    </row>
    <row r="15" spans="1:112" x14ac:dyDescent="0.25">
      <c r="A15" s="20">
        <v>9</v>
      </c>
      <c r="B15" s="20">
        <v>3</v>
      </c>
      <c r="AA15" s="10" t="str">
        <f t="shared" si="8"/>
        <v/>
      </c>
      <c r="AB15" s="7" t="str">
        <f t="shared" si="0"/>
        <v/>
      </c>
      <c r="AC15" s="15"/>
      <c r="AD15" s="17" t="str">
        <f t="shared" si="1"/>
        <v/>
      </c>
      <c r="AE15" s="17" t="str">
        <f t="shared" si="9"/>
        <v/>
      </c>
      <c r="AF15" s="17" t="str">
        <f t="shared" si="20"/>
        <v/>
      </c>
      <c r="AG15" s="15"/>
      <c r="AH15" s="22" t="str">
        <f t="shared" si="10"/>
        <v/>
      </c>
      <c r="AI15" s="22" t="str">
        <f t="shared" si="11"/>
        <v/>
      </c>
      <c r="AJ15" s="17" t="str">
        <f t="shared" si="2"/>
        <v/>
      </c>
      <c r="AK15" s="22" t="str">
        <f t="shared" si="12"/>
        <v/>
      </c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BA15" s="7" t="str">
        <f t="shared" si="13"/>
        <v/>
      </c>
      <c r="BB15" s="17" t="str">
        <f t="shared" si="14"/>
        <v/>
      </c>
      <c r="BC15" s="17" t="str">
        <f t="shared" si="15"/>
        <v/>
      </c>
      <c r="BD15" s="17" t="str">
        <f t="shared" si="3"/>
        <v/>
      </c>
      <c r="BE15" s="17" t="str">
        <f t="shared" si="4"/>
        <v/>
      </c>
      <c r="BF15" s="17" t="str">
        <f t="shared" si="16"/>
        <v/>
      </c>
      <c r="BG15" s="17" t="str">
        <f t="shared" si="17"/>
        <v/>
      </c>
      <c r="BH15" s="17" t="str">
        <f t="shared" si="18"/>
        <v/>
      </c>
      <c r="BI15" s="17" t="str">
        <f t="shared" si="19"/>
        <v/>
      </c>
      <c r="CA15" s="17" t="str">
        <f t="shared" si="5"/>
        <v/>
      </c>
      <c r="CB15" s="17" t="str">
        <f t="shared" si="5"/>
        <v/>
      </c>
      <c r="CC15" s="17" t="str">
        <f t="shared" si="5"/>
        <v/>
      </c>
      <c r="CD15" s="17" t="str">
        <f t="shared" si="5"/>
        <v/>
      </c>
      <c r="CE15" s="17" t="str">
        <f t="shared" si="5"/>
        <v/>
      </c>
      <c r="DA15" s="17" t="str">
        <f t="shared" si="24"/>
        <v>Distributed</v>
      </c>
      <c r="DB15" s="17">
        <f t="shared" si="24"/>
        <v>90</v>
      </c>
      <c r="DC15" s="17">
        <f t="shared" si="24"/>
        <v>64.400000000000006</v>
      </c>
      <c r="DD15" s="17">
        <f t="shared" si="24"/>
        <v>73.600000000000009</v>
      </c>
      <c r="DE15" s="17">
        <f>IF($C$3=$C$4,"",C5*D19)</f>
        <v>0.09</v>
      </c>
      <c r="DF15" s="17">
        <f>IF($C$3=$C$4,"",DE15)</f>
        <v>0.09</v>
      </c>
      <c r="DG15" s="17" t="str">
        <f t="shared" si="22"/>
        <v/>
      </c>
      <c r="DH15" s="17" t="str">
        <f t="shared" si="23"/>
        <v/>
      </c>
    </row>
    <row r="16" spans="1:112" x14ac:dyDescent="0.25">
      <c r="AA16" s="10" t="str">
        <f t="shared" si="8"/>
        <v/>
      </c>
      <c r="AB16" s="7" t="str">
        <f t="shared" si="0"/>
        <v/>
      </c>
      <c r="AC16" s="15"/>
      <c r="AD16" s="17" t="str">
        <f t="shared" si="1"/>
        <v/>
      </c>
      <c r="AE16" s="17" t="str">
        <f t="shared" si="9"/>
        <v/>
      </c>
      <c r="AF16" s="17" t="str">
        <f t="shared" si="20"/>
        <v/>
      </c>
      <c r="AG16" s="15"/>
      <c r="AH16" s="22" t="str">
        <f t="shared" si="10"/>
        <v/>
      </c>
      <c r="AI16" s="22" t="str">
        <f t="shared" si="11"/>
        <v/>
      </c>
      <c r="AJ16" s="17" t="str">
        <f t="shared" si="2"/>
        <v/>
      </c>
      <c r="AK16" s="22" t="str">
        <f t="shared" si="12"/>
        <v/>
      </c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BA16" s="7" t="str">
        <f t="shared" si="13"/>
        <v/>
      </c>
      <c r="BB16" s="17" t="str">
        <f t="shared" si="14"/>
        <v/>
      </c>
      <c r="BC16" s="17" t="str">
        <f t="shared" si="15"/>
        <v/>
      </c>
      <c r="BD16" s="17" t="str">
        <f t="shared" si="3"/>
        <v/>
      </c>
      <c r="BE16" s="17" t="str">
        <f t="shared" si="4"/>
        <v/>
      </c>
      <c r="BF16" s="17" t="str">
        <f t="shared" si="16"/>
        <v/>
      </c>
      <c r="BG16" s="17" t="str">
        <f t="shared" si="17"/>
        <v/>
      </c>
      <c r="BH16" s="17" t="str">
        <f t="shared" si="18"/>
        <v/>
      </c>
      <c r="BI16" s="17" t="str">
        <f t="shared" si="19"/>
        <v/>
      </c>
      <c r="CA16" s="17" t="str">
        <f t="shared" si="5"/>
        <v/>
      </c>
      <c r="CB16" s="17" t="str">
        <f t="shared" si="5"/>
        <v/>
      </c>
      <c r="CC16" s="17" t="str">
        <f t="shared" si="5"/>
        <v/>
      </c>
      <c r="CD16" s="17" t="str">
        <f t="shared" si="5"/>
        <v/>
      </c>
      <c r="CE16" s="17" t="str">
        <f t="shared" si="5"/>
        <v/>
      </c>
    </row>
    <row r="17" spans="1:112" ht="15" customHeight="1" x14ac:dyDescent="0.25">
      <c r="A17" s="40" t="s">
        <v>46</v>
      </c>
      <c r="B17" s="40"/>
      <c r="C17" s="3" t="s">
        <v>51</v>
      </c>
      <c r="D17" s="3" t="s">
        <v>52</v>
      </c>
      <c r="AA17" s="10" t="str">
        <f t="shared" si="8"/>
        <v/>
      </c>
      <c r="AB17" s="7" t="str">
        <f t="shared" si="0"/>
        <v/>
      </c>
      <c r="AC17" s="15"/>
      <c r="AD17" s="17" t="str">
        <f t="shared" si="1"/>
        <v/>
      </c>
      <c r="AE17" s="17" t="str">
        <f t="shared" si="9"/>
        <v/>
      </c>
      <c r="AF17" s="17" t="str">
        <f t="shared" si="20"/>
        <v/>
      </c>
      <c r="AG17" s="15"/>
      <c r="AH17" s="22" t="str">
        <f t="shared" si="10"/>
        <v/>
      </c>
      <c r="AI17" s="22" t="str">
        <f t="shared" si="11"/>
        <v/>
      </c>
      <c r="AJ17" s="17" t="str">
        <f t="shared" si="2"/>
        <v/>
      </c>
      <c r="AK17" s="22" t="str">
        <f t="shared" si="12"/>
        <v/>
      </c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BA17" s="7" t="str">
        <f t="shared" si="13"/>
        <v/>
      </c>
      <c r="BB17" s="17" t="str">
        <f t="shared" si="14"/>
        <v/>
      </c>
      <c r="BC17" s="17" t="str">
        <f t="shared" si="15"/>
        <v/>
      </c>
      <c r="BD17" s="17" t="str">
        <f t="shared" si="3"/>
        <v/>
      </c>
      <c r="BE17" s="17" t="str">
        <f t="shared" si="4"/>
        <v/>
      </c>
      <c r="BF17" s="17" t="str">
        <f t="shared" si="16"/>
        <v/>
      </c>
      <c r="BG17" s="17" t="str">
        <f t="shared" si="17"/>
        <v/>
      </c>
      <c r="BH17" s="17" t="str">
        <f t="shared" si="18"/>
        <v/>
      </c>
      <c r="BI17" s="17" t="str">
        <f t="shared" si="19"/>
        <v/>
      </c>
      <c r="CA17" s="17" t="str">
        <f t="shared" si="5"/>
        <v/>
      </c>
      <c r="CB17" s="17" t="str">
        <f t="shared" si="5"/>
        <v/>
      </c>
      <c r="CC17" s="17" t="str">
        <f t="shared" si="5"/>
        <v/>
      </c>
      <c r="CD17" s="17" t="str">
        <f t="shared" si="5"/>
        <v/>
      </c>
      <c r="CE17" s="17" t="str">
        <f t="shared" si="5"/>
        <v/>
      </c>
      <c r="DA17" s="30" t="str">
        <f>A20</f>
        <v>Tải Solar</v>
      </c>
      <c r="DB17" s="30"/>
      <c r="DC17" s="30"/>
      <c r="DD17" s="30"/>
      <c r="DE17" s="30"/>
      <c r="DF17" s="30"/>
      <c r="DG17" s="31" t="str">
        <f>C20</f>
        <v>Solar</v>
      </c>
      <c r="DH17" s="31"/>
    </row>
    <row r="18" spans="1:112" ht="15" customHeight="1" x14ac:dyDescent="0.25">
      <c r="A18" s="32" t="s">
        <v>47</v>
      </c>
      <c r="B18" s="32"/>
      <c r="C18" s="20" t="s">
        <v>39</v>
      </c>
      <c r="D18" s="20">
        <v>0.1</v>
      </c>
      <c r="AA18" s="10" t="str">
        <f t="shared" si="8"/>
        <v/>
      </c>
      <c r="AB18" s="7" t="str">
        <f t="shared" si="0"/>
        <v/>
      </c>
      <c r="AC18" s="15"/>
      <c r="AD18" s="17" t="str">
        <f t="shared" si="1"/>
        <v/>
      </c>
      <c r="AE18" s="17" t="str">
        <f t="shared" si="9"/>
        <v/>
      </c>
      <c r="AF18" s="17" t="str">
        <f t="shared" si="20"/>
        <v/>
      </c>
      <c r="AG18" s="15"/>
      <c r="AH18" s="22" t="str">
        <f t="shared" si="10"/>
        <v/>
      </c>
      <c r="AI18" s="22" t="str">
        <f t="shared" si="11"/>
        <v/>
      </c>
      <c r="AJ18" s="17" t="str">
        <f t="shared" si="2"/>
        <v/>
      </c>
      <c r="AK18" s="22" t="str">
        <f t="shared" si="12"/>
        <v/>
      </c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BA18" s="7" t="str">
        <f t="shared" si="13"/>
        <v/>
      </c>
      <c r="BB18" s="17" t="str">
        <f t="shared" si="14"/>
        <v/>
      </c>
      <c r="BC18" s="17" t="str">
        <f t="shared" si="15"/>
        <v/>
      </c>
      <c r="BD18" s="17" t="str">
        <f t="shared" si="3"/>
        <v/>
      </c>
      <c r="BE18" s="17" t="str">
        <f t="shared" si="4"/>
        <v/>
      </c>
      <c r="BF18" s="17" t="str">
        <f t="shared" si="16"/>
        <v/>
      </c>
      <c r="BG18" s="17" t="str">
        <f t="shared" si="17"/>
        <v/>
      </c>
      <c r="BH18" s="17" t="str">
        <f t="shared" si="18"/>
        <v/>
      </c>
      <c r="BI18" s="17" t="str">
        <f t="shared" si="19"/>
        <v/>
      </c>
      <c r="CA18" s="17" t="str">
        <f t="shared" si="5"/>
        <v/>
      </c>
      <c r="CB18" s="17" t="str">
        <f t="shared" si="5"/>
        <v/>
      </c>
      <c r="CC18" s="17" t="str">
        <f t="shared" si="5"/>
        <v/>
      </c>
      <c r="CD18" s="17" t="str">
        <f t="shared" si="5"/>
        <v/>
      </c>
      <c r="CE18" s="17" t="str">
        <f t="shared" si="5"/>
        <v/>
      </c>
      <c r="DA18" s="30"/>
      <c r="DB18" s="30"/>
      <c r="DC18" s="30"/>
      <c r="DD18" s="30"/>
      <c r="DE18" s="30"/>
      <c r="DF18" s="30"/>
      <c r="DG18" s="31"/>
      <c r="DH18" s="31"/>
    </row>
    <row r="19" spans="1:112" ht="14.45" customHeight="1" x14ac:dyDescent="0.25">
      <c r="A19" s="32" t="s">
        <v>48</v>
      </c>
      <c r="B19" s="32"/>
      <c r="C19" s="20" t="s">
        <v>40</v>
      </c>
      <c r="D19" s="20">
        <v>0.15</v>
      </c>
      <c r="AA19" s="10" t="str">
        <f t="shared" si="8"/>
        <v/>
      </c>
      <c r="AB19" s="7" t="str">
        <f t="shared" si="0"/>
        <v/>
      </c>
      <c r="AC19" s="15"/>
      <c r="AD19" s="17" t="str">
        <f t="shared" si="1"/>
        <v/>
      </c>
      <c r="AE19" s="17" t="str">
        <f t="shared" si="9"/>
        <v/>
      </c>
      <c r="AF19" s="17" t="str">
        <f t="shared" si="20"/>
        <v/>
      </c>
      <c r="AG19" s="15"/>
      <c r="AH19" s="22" t="str">
        <f t="shared" si="10"/>
        <v/>
      </c>
      <c r="AI19" s="22" t="str">
        <f t="shared" si="11"/>
        <v/>
      </c>
      <c r="AJ19" s="17" t="str">
        <f t="shared" si="2"/>
        <v/>
      </c>
      <c r="AK19" s="22" t="str">
        <f t="shared" si="12"/>
        <v/>
      </c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BA19" s="7" t="str">
        <f t="shared" si="13"/>
        <v/>
      </c>
      <c r="BB19" s="17" t="str">
        <f t="shared" si="14"/>
        <v/>
      </c>
      <c r="BC19" s="17" t="str">
        <f t="shared" si="15"/>
        <v/>
      </c>
      <c r="BD19" s="17" t="str">
        <f t="shared" si="3"/>
        <v/>
      </c>
      <c r="BE19" s="17" t="str">
        <f t="shared" si="4"/>
        <v/>
      </c>
      <c r="BF19" s="17" t="str">
        <f t="shared" si="16"/>
        <v/>
      </c>
      <c r="BG19" s="17" t="str">
        <f t="shared" si="17"/>
        <v/>
      </c>
      <c r="BH19" s="17" t="str">
        <f t="shared" si="18"/>
        <v/>
      </c>
      <c r="BI19" s="17" t="str">
        <f t="shared" si="19"/>
        <v/>
      </c>
      <c r="CA19" s="17" t="str">
        <f t="shared" si="5"/>
        <v/>
      </c>
      <c r="CB19" s="17" t="str">
        <f t="shared" si="5"/>
        <v/>
      </c>
      <c r="CC19" s="17" t="str">
        <f t="shared" si="5"/>
        <v/>
      </c>
      <c r="CD19" s="17" t="str">
        <f t="shared" si="5"/>
        <v/>
      </c>
      <c r="CE19" s="17" t="str">
        <f t="shared" si="5"/>
        <v/>
      </c>
      <c r="DA19" s="28" t="s">
        <v>33</v>
      </c>
      <c r="DB19" s="29" t="s">
        <v>38</v>
      </c>
      <c r="DC19" s="29" t="s">
        <v>1</v>
      </c>
      <c r="DD19" s="29" t="s">
        <v>2</v>
      </c>
      <c r="DE19" s="29" t="s">
        <v>1</v>
      </c>
      <c r="DF19" s="29" t="s">
        <v>2</v>
      </c>
      <c r="DG19" s="29" t="s">
        <v>60</v>
      </c>
      <c r="DH19" s="29"/>
    </row>
    <row r="20" spans="1:112" x14ac:dyDescent="0.25">
      <c r="A20" s="32" t="s">
        <v>49</v>
      </c>
      <c r="B20" s="32"/>
      <c r="C20" s="20" t="s">
        <v>43</v>
      </c>
      <c r="D20" s="20">
        <v>0.2</v>
      </c>
      <c r="AA20" s="10" t="str">
        <f t="shared" si="8"/>
        <v/>
      </c>
      <c r="AB20" s="7" t="str">
        <f t="shared" si="0"/>
        <v/>
      </c>
      <c r="AC20" s="15"/>
      <c r="AD20" s="17" t="str">
        <f t="shared" si="1"/>
        <v/>
      </c>
      <c r="AE20" s="17" t="str">
        <f t="shared" si="9"/>
        <v/>
      </c>
      <c r="AF20" s="17" t="str">
        <f t="shared" si="20"/>
        <v/>
      </c>
      <c r="AG20" s="15"/>
      <c r="AH20" s="22" t="str">
        <f t="shared" si="10"/>
        <v/>
      </c>
      <c r="AI20" s="22" t="str">
        <f t="shared" si="11"/>
        <v/>
      </c>
      <c r="AJ20" s="17" t="str">
        <f t="shared" si="2"/>
        <v/>
      </c>
      <c r="AK20" s="22" t="str">
        <f t="shared" si="12"/>
        <v/>
      </c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BA20" s="7" t="str">
        <f t="shared" si="13"/>
        <v/>
      </c>
      <c r="BB20" s="17" t="str">
        <f t="shared" si="14"/>
        <v/>
      </c>
      <c r="BC20" s="17" t="str">
        <f t="shared" si="15"/>
        <v/>
      </c>
      <c r="BD20" s="17" t="str">
        <f t="shared" si="3"/>
        <v/>
      </c>
      <c r="BE20" s="17" t="str">
        <f t="shared" si="4"/>
        <v/>
      </c>
      <c r="BF20" s="17" t="str">
        <f t="shared" si="16"/>
        <v/>
      </c>
      <c r="BG20" s="17" t="str">
        <f t="shared" si="17"/>
        <v/>
      </c>
      <c r="BH20" s="17" t="str">
        <f t="shared" si="18"/>
        <v/>
      </c>
      <c r="BI20" s="17" t="str">
        <f t="shared" si="19"/>
        <v/>
      </c>
      <c r="CA20" s="17" t="str">
        <f t="shared" si="5"/>
        <v/>
      </c>
      <c r="CB20" s="17" t="str">
        <f t="shared" si="5"/>
        <v/>
      </c>
      <c r="CC20" s="17" t="str">
        <f t="shared" si="5"/>
        <v/>
      </c>
      <c r="CD20" s="17" t="str">
        <f t="shared" si="5"/>
        <v/>
      </c>
      <c r="CE20" s="17" t="str">
        <f t="shared" si="5"/>
        <v/>
      </c>
      <c r="DA20" s="28"/>
      <c r="DB20" s="28"/>
      <c r="DC20" s="28"/>
      <c r="DD20" s="28"/>
      <c r="DE20" s="28"/>
      <c r="DF20" s="28"/>
      <c r="DG20" s="28"/>
      <c r="DH20" s="28"/>
    </row>
    <row r="21" spans="1:112" x14ac:dyDescent="0.25">
      <c r="A21" s="32" t="s">
        <v>50</v>
      </c>
      <c r="B21" s="32"/>
      <c r="C21" s="20" t="s">
        <v>42</v>
      </c>
      <c r="D21" s="20">
        <v>0.56999999999999995</v>
      </c>
      <c r="AA21" s="10" t="str">
        <f t="shared" si="8"/>
        <v/>
      </c>
      <c r="AB21" s="7" t="str">
        <f t="shared" si="0"/>
        <v/>
      </c>
      <c r="AC21" s="15"/>
      <c r="AD21" s="17" t="str">
        <f t="shared" si="1"/>
        <v/>
      </c>
      <c r="AE21" s="17" t="str">
        <f t="shared" si="9"/>
        <v/>
      </c>
      <c r="AF21" s="17" t="str">
        <f t="shared" si="20"/>
        <v/>
      </c>
      <c r="AG21" s="15"/>
      <c r="AH21" s="22" t="str">
        <f t="shared" si="10"/>
        <v/>
      </c>
      <c r="AI21" s="22" t="str">
        <f t="shared" si="11"/>
        <v/>
      </c>
      <c r="AJ21" s="17" t="str">
        <f t="shared" si="2"/>
        <v/>
      </c>
      <c r="AK21" s="22" t="str">
        <f t="shared" si="12"/>
        <v/>
      </c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BA21" s="7" t="str">
        <f t="shared" si="13"/>
        <v/>
      </c>
      <c r="BB21" s="17" t="str">
        <f t="shared" si="14"/>
        <v/>
      </c>
      <c r="BC21" s="17" t="str">
        <f t="shared" si="15"/>
        <v/>
      </c>
      <c r="BD21" s="17" t="str">
        <f t="shared" si="3"/>
        <v/>
      </c>
      <c r="BE21" s="17" t="str">
        <f t="shared" si="4"/>
        <v/>
      </c>
      <c r="BF21" s="17" t="str">
        <f t="shared" si="16"/>
        <v/>
      </c>
      <c r="BG21" s="17" t="str">
        <f t="shared" si="17"/>
        <v/>
      </c>
      <c r="BH21" s="17" t="str">
        <f t="shared" si="18"/>
        <v/>
      </c>
      <c r="BI21" s="17" t="str">
        <f t="shared" si="19"/>
        <v/>
      </c>
      <c r="CA21" s="17" t="str">
        <f t="shared" ref="CA21:CA25" si="25">IF(AS21="","",0)</f>
        <v/>
      </c>
      <c r="CB21" s="17" t="str">
        <f t="shared" ref="CB21:CB25" si="26">IF(AT21="","",0)</f>
        <v/>
      </c>
      <c r="CC21" s="17" t="str">
        <f t="shared" ref="CC21:CC25" si="27">IF(AU21="","",0)</f>
        <v/>
      </c>
      <c r="CD21" s="17" t="str">
        <f t="shared" ref="CD21:CD25" si="28">IF(AV21="","",0)</f>
        <v/>
      </c>
      <c r="CE21" s="17" t="str">
        <f t="shared" ref="CE21:CE25" si="29">IF(AW21="","",0)</f>
        <v/>
      </c>
      <c r="DA21" s="23" t="str">
        <f>DA13</f>
        <v>Distributed</v>
      </c>
      <c r="DB21" s="23">
        <f t="shared" ref="DB21:DD21" si="30">DB13</f>
        <v>90</v>
      </c>
      <c r="DC21" s="23">
        <f t="shared" si="30"/>
        <v>0</v>
      </c>
      <c r="DD21" s="23">
        <f t="shared" si="30"/>
        <v>9.1999999999999993</v>
      </c>
      <c r="DE21" s="23">
        <f>C3*D20</f>
        <v>0.12</v>
      </c>
      <c r="DF21" s="23">
        <f>DE21</f>
        <v>0.12</v>
      </c>
      <c r="DG21" s="23" t="str">
        <f t="shared" ref="DG21:DG23" si="31">IF(BY21="","",0)</f>
        <v/>
      </c>
      <c r="DH21" s="23" t="str">
        <f t="shared" ref="DH21:DH23" si="32">IF(BZ21="","",0)</f>
        <v/>
      </c>
    </row>
    <row r="22" spans="1:112" x14ac:dyDescent="0.25">
      <c r="A22" s="32" t="s">
        <v>54</v>
      </c>
      <c r="B22" s="32"/>
      <c r="C22" s="20" t="s">
        <v>44</v>
      </c>
      <c r="D22" s="20">
        <v>0.8</v>
      </c>
      <c r="AA22" s="10" t="str">
        <f t="shared" si="8"/>
        <v/>
      </c>
      <c r="AB22" s="7" t="str">
        <f t="shared" si="0"/>
        <v/>
      </c>
      <c r="AC22" s="15"/>
      <c r="AD22" s="17" t="str">
        <f t="shared" si="1"/>
        <v/>
      </c>
      <c r="AE22" s="17" t="str">
        <f t="shared" si="9"/>
        <v/>
      </c>
      <c r="AF22" s="17" t="str">
        <f t="shared" si="20"/>
        <v/>
      </c>
      <c r="AG22" s="15"/>
      <c r="AH22" s="22" t="str">
        <f t="shared" si="10"/>
        <v/>
      </c>
      <c r="AI22" s="22" t="str">
        <f t="shared" si="11"/>
        <v/>
      </c>
      <c r="AJ22" s="17" t="str">
        <f t="shared" si="2"/>
        <v/>
      </c>
      <c r="AK22" s="22" t="str">
        <f t="shared" si="12"/>
        <v/>
      </c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BA22" s="7" t="str">
        <f t="shared" si="13"/>
        <v/>
      </c>
      <c r="BB22" s="17" t="str">
        <f t="shared" si="14"/>
        <v/>
      </c>
      <c r="BC22" s="17" t="str">
        <f t="shared" si="15"/>
        <v/>
      </c>
      <c r="BD22" s="17" t="str">
        <f t="shared" si="3"/>
        <v/>
      </c>
      <c r="BE22" s="17" t="str">
        <f t="shared" si="4"/>
        <v/>
      </c>
      <c r="BF22" s="17" t="str">
        <f t="shared" si="16"/>
        <v/>
      </c>
      <c r="BG22" s="17" t="str">
        <f t="shared" si="17"/>
        <v/>
      </c>
      <c r="BH22" s="17" t="str">
        <f t="shared" si="18"/>
        <v/>
      </c>
      <c r="BI22" s="17" t="str">
        <f t="shared" si="19"/>
        <v/>
      </c>
      <c r="CA22" s="17" t="str">
        <f t="shared" si="25"/>
        <v/>
      </c>
      <c r="CB22" s="17" t="str">
        <f t="shared" si="26"/>
        <v/>
      </c>
      <c r="CC22" s="17" t="str">
        <f t="shared" si="27"/>
        <v/>
      </c>
      <c r="CD22" s="17" t="str">
        <f t="shared" si="28"/>
        <v/>
      </c>
      <c r="CE22" s="17" t="str">
        <f t="shared" si="29"/>
        <v/>
      </c>
      <c r="DA22" s="17" t="str">
        <f t="shared" ref="DA22:DD22" si="33">DA14</f>
        <v>Distributed</v>
      </c>
      <c r="DB22" s="17">
        <f t="shared" si="33"/>
        <v>90</v>
      </c>
      <c r="DC22" s="17">
        <f t="shared" si="33"/>
        <v>9.1999999999999993</v>
      </c>
      <c r="DD22" s="17">
        <f t="shared" si="33"/>
        <v>64.400000000000006</v>
      </c>
      <c r="DE22" s="17">
        <f>IF($C$3=$C$4,"",C4*D20)</f>
        <v>0.24</v>
      </c>
      <c r="DF22" s="17">
        <f>IF($C$3=$C$4,"",DE22)</f>
        <v>0.24</v>
      </c>
      <c r="DG22" s="17" t="str">
        <f t="shared" si="31"/>
        <v/>
      </c>
      <c r="DH22" s="17" t="str">
        <f t="shared" si="32"/>
        <v/>
      </c>
    </row>
    <row r="23" spans="1:112" x14ac:dyDescent="0.25">
      <c r="A23" s="37" t="s">
        <v>55</v>
      </c>
      <c r="B23" s="24" t="s">
        <v>56</v>
      </c>
      <c r="C23" s="33" t="s">
        <v>45</v>
      </c>
      <c r="D23" s="20">
        <v>0.9</v>
      </c>
      <c r="AA23" s="10" t="str">
        <f t="shared" si="8"/>
        <v/>
      </c>
      <c r="AB23" s="7" t="str">
        <f t="shared" si="0"/>
        <v/>
      </c>
      <c r="AC23" s="15"/>
      <c r="AD23" s="17" t="str">
        <f t="shared" si="1"/>
        <v/>
      </c>
      <c r="AE23" s="17" t="str">
        <f t="shared" si="9"/>
        <v/>
      </c>
      <c r="AF23" s="17" t="str">
        <f t="shared" si="20"/>
        <v/>
      </c>
      <c r="AG23" s="15"/>
      <c r="AH23" s="22" t="str">
        <f t="shared" si="10"/>
        <v/>
      </c>
      <c r="AI23" s="22" t="str">
        <f t="shared" si="11"/>
        <v/>
      </c>
      <c r="AJ23" s="17" t="str">
        <f t="shared" si="2"/>
        <v/>
      </c>
      <c r="AK23" s="22" t="str">
        <f t="shared" si="12"/>
        <v/>
      </c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BA23" s="7" t="str">
        <f t="shared" si="13"/>
        <v/>
      </c>
      <c r="BB23" s="17" t="str">
        <f t="shared" si="14"/>
        <v/>
      </c>
      <c r="BC23" s="17" t="str">
        <f t="shared" si="15"/>
        <v/>
      </c>
      <c r="BD23" s="17" t="str">
        <f t="shared" si="3"/>
        <v/>
      </c>
      <c r="BE23" s="17" t="str">
        <f t="shared" si="4"/>
        <v/>
      </c>
      <c r="BF23" s="17" t="str">
        <f t="shared" si="16"/>
        <v/>
      </c>
      <c r="BG23" s="17" t="str">
        <f t="shared" si="17"/>
        <v/>
      </c>
      <c r="BH23" s="17" t="str">
        <f t="shared" si="18"/>
        <v/>
      </c>
      <c r="BI23" s="17" t="str">
        <f t="shared" si="19"/>
        <v/>
      </c>
      <c r="CA23" s="17" t="str">
        <f t="shared" si="25"/>
        <v/>
      </c>
      <c r="CB23" s="17" t="str">
        <f t="shared" si="26"/>
        <v/>
      </c>
      <c r="CC23" s="17" t="str">
        <f t="shared" si="27"/>
        <v/>
      </c>
      <c r="CD23" s="17" t="str">
        <f t="shared" si="28"/>
        <v/>
      </c>
      <c r="CE23" s="17" t="str">
        <f t="shared" si="29"/>
        <v/>
      </c>
      <c r="DA23" s="17" t="str">
        <f t="shared" ref="DA23:DD23" si="34">DA15</f>
        <v>Distributed</v>
      </c>
      <c r="DB23" s="17">
        <f t="shared" si="34"/>
        <v>90</v>
      </c>
      <c r="DC23" s="17">
        <f t="shared" si="34"/>
        <v>64.400000000000006</v>
      </c>
      <c r="DD23" s="17">
        <f t="shared" si="34"/>
        <v>73.600000000000009</v>
      </c>
      <c r="DE23" s="17">
        <f>IF($C$3=$C$4,"",C5*D20)</f>
        <v>0.12</v>
      </c>
      <c r="DF23" s="17">
        <f>IF($C$3=$C$4,"",DE23)</f>
        <v>0.12</v>
      </c>
      <c r="DG23" s="17" t="str">
        <f t="shared" si="31"/>
        <v/>
      </c>
      <c r="DH23" s="17" t="str">
        <f t="shared" si="32"/>
        <v/>
      </c>
    </row>
    <row r="24" spans="1:112" x14ac:dyDescent="0.25">
      <c r="A24" s="37"/>
      <c r="B24" s="24" t="s">
        <v>57</v>
      </c>
      <c r="C24" s="33"/>
      <c r="D24" s="20">
        <v>0.6</v>
      </c>
      <c r="AA24" s="10" t="str">
        <f t="shared" si="8"/>
        <v/>
      </c>
      <c r="AB24" s="7" t="str">
        <f t="shared" si="0"/>
        <v/>
      </c>
      <c r="AC24" s="15"/>
      <c r="AD24" s="17" t="str">
        <f t="shared" si="1"/>
        <v/>
      </c>
      <c r="AE24" s="17" t="str">
        <f t="shared" si="9"/>
        <v/>
      </c>
      <c r="AF24" s="17" t="str">
        <f t="shared" si="20"/>
        <v/>
      </c>
      <c r="AG24" s="15"/>
      <c r="AH24" s="22" t="str">
        <f t="shared" si="10"/>
        <v/>
      </c>
      <c r="AI24" s="22" t="str">
        <f t="shared" si="11"/>
        <v/>
      </c>
      <c r="AJ24" s="17" t="str">
        <f t="shared" si="2"/>
        <v/>
      </c>
      <c r="AK24" s="22" t="str">
        <f t="shared" si="12"/>
        <v/>
      </c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BA24" s="7" t="str">
        <f t="shared" si="13"/>
        <v/>
      </c>
      <c r="BB24" s="17" t="str">
        <f t="shared" si="14"/>
        <v/>
      </c>
      <c r="BC24" s="17" t="str">
        <f t="shared" si="15"/>
        <v/>
      </c>
      <c r="BD24" s="17" t="str">
        <f t="shared" si="3"/>
        <v/>
      </c>
      <c r="BE24" s="17" t="str">
        <f t="shared" si="4"/>
        <v/>
      </c>
      <c r="BF24" s="17" t="str">
        <f t="shared" si="16"/>
        <v/>
      </c>
      <c r="BG24" s="17" t="str">
        <f t="shared" si="17"/>
        <v/>
      </c>
      <c r="BH24" s="17" t="str">
        <f t="shared" si="18"/>
        <v/>
      </c>
      <c r="BI24" s="17" t="str">
        <f t="shared" si="19"/>
        <v/>
      </c>
      <c r="CA24" s="17" t="str">
        <f t="shared" si="25"/>
        <v/>
      </c>
      <c r="CB24" s="17" t="str">
        <f t="shared" si="26"/>
        <v/>
      </c>
      <c r="CC24" s="17" t="str">
        <f t="shared" si="27"/>
        <v/>
      </c>
      <c r="CD24" s="17" t="str">
        <f t="shared" si="28"/>
        <v/>
      </c>
      <c r="CE24" s="17" t="str">
        <f t="shared" si="29"/>
        <v/>
      </c>
    </row>
    <row r="25" spans="1:112" x14ac:dyDescent="0.25">
      <c r="A25" s="37"/>
      <c r="B25" s="38" t="s">
        <v>63</v>
      </c>
      <c r="C25" s="39"/>
      <c r="D25" s="20">
        <f>AC5</f>
        <v>9.1999999999999993</v>
      </c>
      <c r="AA25" s="10" t="str">
        <f t="shared" si="8"/>
        <v/>
      </c>
      <c r="AB25" s="7" t="str">
        <f t="shared" si="0"/>
        <v/>
      </c>
      <c r="AC25" s="15"/>
      <c r="AD25" s="17" t="str">
        <f t="shared" si="1"/>
        <v/>
      </c>
      <c r="AE25" s="17" t="str">
        <f t="shared" si="9"/>
        <v/>
      </c>
      <c r="AF25" s="17" t="str">
        <f t="shared" si="20"/>
        <v/>
      </c>
      <c r="AG25" s="15"/>
      <c r="AH25" s="22" t="str">
        <f t="shared" si="10"/>
        <v/>
      </c>
      <c r="AI25" s="22" t="str">
        <f t="shared" si="11"/>
        <v/>
      </c>
      <c r="AJ25" s="17" t="str">
        <f t="shared" si="2"/>
        <v/>
      </c>
      <c r="AK25" s="22" t="str">
        <f t="shared" si="12"/>
        <v/>
      </c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BA25" s="7" t="str">
        <f t="shared" si="13"/>
        <v/>
      </c>
      <c r="BB25" s="17" t="str">
        <f t="shared" si="14"/>
        <v/>
      </c>
      <c r="BC25" s="17" t="str">
        <f t="shared" si="15"/>
        <v/>
      </c>
      <c r="BD25" s="17" t="str">
        <f t="shared" si="3"/>
        <v/>
      </c>
      <c r="BE25" s="17" t="str">
        <f t="shared" si="4"/>
        <v/>
      </c>
      <c r="BF25" s="17" t="str">
        <f t="shared" si="16"/>
        <v/>
      </c>
      <c r="BG25" s="17" t="str">
        <f t="shared" si="17"/>
        <v/>
      </c>
      <c r="BH25" s="17" t="str">
        <f t="shared" si="18"/>
        <v/>
      </c>
      <c r="BI25" s="17" t="str">
        <f t="shared" si="19"/>
        <v/>
      </c>
      <c r="CA25" s="17" t="str">
        <f t="shared" si="25"/>
        <v/>
      </c>
      <c r="CB25" s="17" t="str">
        <f t="shared" si="26"/>
        <v/>
      </c>
      <c r="CC25" s="17" t="str">
        <f t="shared" si="27"/>
        <v/>
      </c>
      <c r="CD25" s="17" t="str">
        <f t="shared" si="28"/>
        <v/>
      </c>
      <c r="CE25" s="17" t="str">
        <f t="shared" si="29"/>
        <v/>
      </c>
      <c r="DA25" s="30" t="str">
        <f>A21</f>
        <v>Hoạt tải mái</v>
      </c>
      <c r="DB25" s="30"/>
      <c r="DC25" s="30"/>
      <c r="DD25" s="30"/>
      <c r="DE25" s="30"/>
      <c r="DF25" s="30"/>
      <c r="DG25" s="31" t="str">
        <f>C21</f>
        <v>Lr</v>
      </c>
      <c r="DH25" s="31"/>
    </row>
    <row r="26" spans="1:112" x14ac:dyDescent="0.25">
      <c r="DA26" s="30"/>
      <c r="DB26" s="30"/>
      <c r="DC26" s="30"/>
      <c r="DD26" s="30"/>
      <c r="DE26" s="30"/>
      <c r="DF26" s="30"/>
      <c r="DG26" s="31"/>
      <c r="DH26" s="31"/>
    </row>
    <row r="27" spans="1:112" ht="14.45" customHeight="1" x14ac:dyDescent="0.25">
      <c r="DA27" s="28" t="s">
        <v>33</v>
      </c>
      <c r="DB27" s="29" t="s">
        <v>38</v>
      </c>
      <c r="DC27" s="29" t="s">
        <v>1</v>
      </c>
      <c r="DD27" s="29" t="s">
        <v>2</v>
      </c>
      <c r="DE27" s="29" t="s">
        <v>1</v>
      </c>
      <c r="DF27" s="29" t="s">
        <v>2</v>
      </c>
      <c r="DG27" s="29" t="s">
        <v>60</v>
      </c>
      <c r="DH27" s="29"/>
    </row>
    <row r="28" spans="1:112" x14ac:dyDescent="0.25">
      <c r="DA28" s="28"/>
      <c r="DB28" s="28"/>
      <c r="DC28" s="28"/>
      <c r="DD28" s="28"/>
      <c r="DE28" s="28"/>
      <c r="DF28" s="28"/>
      <c r="DG28" s="28"/>
      <c r="DH28" s="28"/>
    </row>
    <row r="29" spans="1:112" x14ac:dyDescent="0.25">
      <c r="DA29" s="23" t="str">
        <f>DA21</f>
        <v>Distributed</v>
      </c>
      <c r="DB29" s="23">
        <f t="shared" ref="DB29:DD29" si="35">DB21</f>
        <v>90</v>
      </c>
      <c r="DC29" s="23">
        <f t="shared" si="35"/>
        <v>0</v>
      </c>
      <c r="DD29" s="23">
        <f t="shared" si="35"/>
        <v>9.1999999999999993</v>
      </c>
      <c r="DE29" s="23">
        <f>C3*D21</f>
        <v>0.34199999999999997</v>
      </c>
      <c r="DF29" s="23">
        <f>DE29</f>
        <v>0.34199999999999997</v>
      </c>
      <c r="DG29" s="23" t="str">
        <f t="shared" ref="DG29:DG31" si="36">IF(BY29="","",0)</f>
        <v/>
      </c>
      <c r="DH29" s="23" t="str">
        <f t="shared" ref="DH29:DH31" si="37">IF(BZ29="","",0)</f>
        <v/>
      </c>
    </row>
    <row r="30" spans="1:112" x14ac:dyDescent="0.25">
      <c r="DA30" s="17" t="str">
        <f t="shared" ref="DA30:DD30" si="38">DA22</f>
        <v>Distributed</v>
      </c>
      <c r="DB30" s="17">
        <f t="shared" si="38"/>
        <v>90</v>
      </c>
      <c r="DC30" s="17">
        <f t="shared" si="38"/>
        <v>9.1999999999999993</v>
      </c>
      <c r="DD30" s="17">
        <f t="shared" si="38"/>
        <v>64.400000000000006</v>
      </c>
      <c r="DE30" s="17">
        <f>IF($C$3=$C$4,"",C4*D21)</f>
        <v>0.68399999999999994</v>
      </c>
      <c r="DF30" s="17">
        <f>IF($C$3=$C$4,"",DE30)</f>
        <v>0.68399999999999994</v>
      </c>
      <c r="DG30" s="17" t="str">
        <f t="shared" si="36"/>
        <v/>
      </c>
      <c r="DH30" s="17" t="str">
        <f t="shared" si="37"/>
        <v/>
      </c>
    </row>
    <row r="31" spans="1:112" x14ac:dyDescent="0.25">
      <c r="DA31" s="17" t="str">
        <f t="shared" ref="DA31:DD31" si="39">DA23</f>
        <v>Distributed</v>
      </c>
      <c r="DB31" s="17">
        <f t="shared" si="39"/>
        <v>90</v>
      </c>
      <c r="DC31" s="17">
        <f t="shared" si="39"/>
        <v>64.400000000000006</v>
      </c>
      <c r="DD31" s="17">
        <f t="shared" si="39"/>
        <v>73.600000000000009</v>
      </c>
      <c r="DE31" s="17">
        <f>IF($C$3=$C$4,"",C5*D21)</f>
        <v>0.34199999999999997</v>
      </c>
      <c r="DF31" s="17">
        <f>IF($C$3=$C$4,"",DE31)</f>
        <v>0.34199999999999997</v>
      </c>
      <c r="DG31" s="17" t="str">
        <f t="shared" si="36"/>
        <v/>
      </c>
      <c r="DH31" s="17" t="str">
        <f t="shared" si="37"/>
        <v/>
      </c>
    </row>
    <row r="33" spans="105:112" x14ac:dyDescent="0.25">
      <c r="DA33" s="30" t="str">
        <f>A22</f>
        <v>Gió đè</v>
      </c>
      <c r="DB33" s="30"/>
      <c r="DC33" s="30"/>
      <c r="DD33" s="30"/>
      <c r="DE33" s="30"/>
      <c r="DF33" s="30"/>
      <c r="DG33" s="31" t="str">
        <f>C22</f>
        <v>Wdown</v>
      </c>
      <c r="DH33" s="31"/>
    </row>
    <row r="34" spans="105:112" x14ac:dyDescent="0.25">
      <c r="DA34" s="30"/>
      <c r="DB34" s="30"/>
      <c r="DC34" s="30"/>
      <c r="DD34" s="30"/>
      <c r="DE34" s="30"/>
      <c r="DF34" s="30"/>
      <c r="DG34" s="31"/>
      <c r="DH34" s="31"/>
    </row>
    <row r="35" spans="105:112" ht="14.45" customHeight="1" x14ac:dyDescent="0.25">
      <c r="DA35" s="28" t="s">
        <v>33</v>
      </c>
      <c r="DB35" s="29" t="s">
        <v>38</v>
      </c>
      <c r="DC35" s="29" t="s">
        <v>1</v>
      </c>
      <c r="DD35" s="29" t="s">
        <v>2</v>
      </c>
      <c r="DE35" s="29" t="s">
        <v>1</v>
      </c>
      <c r="DF35" s="29" t="s">
        <v>2</v>
      </c>
      <c r="DG35" s="29" t="s">
        <v>60</v>
      </c>
      <c r="DH35" s="29"/>
    </row>
    <row r="36" spans="105:112" x14ac:dyDescent="0.25">
      <c r="DA36" s="28"/>
      <c r="DB36" s="28"/>
      <c r="DC36" s="28"/>
      <c r="DD36" s="28"/>
      <c r="DE36" s="28"/>
      <c r="DF36" s="28"/>
      <c r="DG36" s="28"/>
      <c r="DH36" s="28"/>
    </row>
    <row r="37" spans="105:112" x14ac:dyDescent="0.25">
      <c r="DA37" s="23" t="str">
        <f>DA29</f>
        <v>Distributed</v>
      </c>
      <c r="DB37" s="23">
        <f t="shared" ref="DB37:DD37" si="40">DB29</f>
        <v>90</v>
      </c>
      <c r="DC37" s="23">
        <f t="shared" si="40"/>
        <v>0</v>
      </c>
      <c r="DD37" s="23">
        <f t="shared" si="40"/>
        <v>9.1999999999999993</v>
      </c>
      <c r="DE37" s="23">
        <f>C3*D22</f>
        <v>0.48</v>
      </c>
      <c r="DF37" s="23">
        <f>DE37</f>
        <v>0.48</v>
      </c>
      <c r="DG37" s="23" t="str">
        <f t="shared" ref="DG37:DG39" si="41">IF(BY37="","",0)</f>
        <v/>
      </c>
      <c r="DH37" s="23" t="str">
        <f t="shared" ref="DH37:DH39" si="42">IF(BZ37="","",0)</f>
        <v/>
      </c>
    </row>
    <row r="38" spans="105:112" x14ac:dyDescent="0.25">
      <c r="DA38" s="17" t="str">
        <f t="shared" ref="DA38:DD38" si="43">DA30</f>
        <v>Distributed</v>
      </c>
      <c r="DB38" s="17">
        <f t="shared" si="43"/>
        <v>90</v>
      </c>
      <c r="DC38" s="17">
        <f t="shared" si="43"/>
        <v>9.1999999999999993</v>
      </c>
      <c r="DD38" s="17">
        <f t="shared" si="43"/>
        <v>64.400000000000006</v>
      </c>
      <c r="DE38" s="17">
        <f>IF($C$3=$C$4,"",C4*D22)</f>
        <v>0.96</v>
      </c>
      <c r="DF38" s="17">
        <f>IF($C$3=$C$4,"",DE38)</f>
        <v>0.96</v>
      </c>
      <c r="DG38" s="17" t="str">
        <f t="shared" si="41"/>
        <v/>
      </c>
      <c r="DH38" s="17" t="str">
        <f t="shared" si="42"/>
        <v/>
      </c>
    </row>
    <row r="39" spans="105:112" x14ac:dyDescent="0.25">
      <c r="DA39" s="17" t="str">
        <f t="shared" ref="DA39:DD39" si="44">DA31</f>
        <v>Distributed</v>
      </c>
      <c r="DB39" s="17">
        <f t="shared" si="44"/>
        <v>90</v>
      </c>
      <c r="DC39" s="17">
        <f t="shared" si="44"/>
        <v>64.400000000000006</v>
      </c>
      <c r="DD39" s="17">
        <f t="shared" si="44"/>
        <v>73.600000000000009</v>
      </c>
      <c r="DE39" s="17">
        <f>IF($C$3=$C$4,"",C5*D22)</f>
        <v>0.48</v>
      </c>
      <c r="DF39" s="17">
        <f>IF($C$3=$C$4,"",DE39)</f>
        <v>0.48</v>
      </c>
      <c r="DG39" s="17" t="str">
        <f t="shared" si="41"/>
        <v/>
      </c>
      <c r="DH39" s="17" t="str">
        <f t="shared" si="42"/>
        <v/>
      </c>
    </row>
    <row r="41" spans="105:112" x14ac:dyDescent="0.25">
      <c r="DA41" s="30" t="str">
        <f>A23</f>
        <v>Gió bốc</v>
      </c>
      <c r="DB41" s="30"/>
      <c r="DC41" s="30"/>
      <c r="DD41" s="30"/>
      <c r="DE41" s="30"/>
      <c r="DF41" s="30"/>
      <c r="DG41" s="31" t="str">
        <f>C23</f>
        <v>Wup</v>
      </c>
      <c r="DH41" s="31"/>
    </row>
    <row r="42" spans="105:112" x14ac:dyDescent="0.25">
      <c r="DA42" s="30"/>
      <c r="DB42" s="30"/>
      <c r="DC42" s="30"/>
      <c r="DD42" s="30"/>
      <c r="DE42" s="30"/>
      <c r="DF42" s="30"/>
      <c r="DG42" s="31"/>
      <c r="DH42" s="31"/>
    </row>
    <row r="43" spans="105:112" ht="14.45" customHeight="1" x14ac:dyDescent="0.25">
      <c r="DA43" s="28" t="s">
        <v>33</v>
      </c>
      <c r="DB43" s="29" t="s">
        <v>38</v>
      </c>
      <c r="DC43" s="29" t="s">
        <v>1</v>
      </c>
      <c r="DD43" s="29" t="s">
        <v>2</v>
      </c>
      <c r="DE43" s="29" t="s">
        <v>1</v>
      </c>
      <c r="DF43" s="29" t="s">
        <v>2</v>
      </c>
      <c r="DG43" s="29" t="s">
        <v>60</v>
      </c>
      <c r="DH43" s="29"/>
    </row>
    <row r="44" spans="105:112" x14ac:dyDescent="0.25">
      <c r="DA44" s="28"/>
      <c r="DB44" s="28"/>
      <c r="DC44" s="28"/>
      <c r="DD44" s="28"/>
      <c r="DE44" s="28"/>
      <c r="DF44" s="28"/>
      <c r="DG44" s="28"/>
      <c r="DH44" s="28"/>
    </row>
    <row r="45" spans="105:112" x14ac:dyDescent="0.25">
      <c r="DA45" s="23" t="str">
        <f>DA37</f>
        <v>Distributed</v>
      </c>
      <c r="DB45" s="23">
        <v>-90</v>
      </c>
      <c r="DC45" s="23">
        <f t="shared" ref="DC45" si="45">DC37</f>
        <v>0</v>
      </c>
      <c r="DD45" s="23">
        <f>D25</f>
        <v>9.1999999999999993</v>
      </c>
      <c r="DE45" s="23">
        <f>C3*D23</f>
        <v>0.54</v>
      </c>
      <c r="DF45" s="23">
        <f>DE45</f>
        <v>0.54</v>
      </c>
      <c r="DG45" s="23" t="str">
        <f t="shared" ref="DG45:DG47" si="46">IF(BY45="","",0)</f>
        <v/>
      </c>
      <c r="DH45" s="23" t="str">
        <f t="shared" ref="DH45:DH47" si="47">IF(BZ45="","",0)</f>
        <v/>
      </c>
    </row>
    <row r="46" spans="105:112" x14ac:dyDescent="0.25">
      <c r="DA46" s="17" t="str">
        <f>DA45</f>
        <v>Distributed</v>
      </c>
      <c r="DB46" s="17">
        <f>DB45</f>
        <v>-90</v>
      </c>
      <c r="DC46" s="17">
        <f>DD45</f>
        <v>9.1999999999999993</v>
      </c>
      <c r="DD46" s="22">
        <f>DD47-D25</f>
        <v>64.400000000000006</v>
      </c>
      <c r="DE46" s="17">
        <f>C4*D24</f>
        <v>0.72</v>
      </c>
      <c r="DF46" s="17">
        <f t="shared" ref="DF46:DF47" si="48">DE46</f>
        <v>0.72</v>
      </c>
      <c r="DG46" s="17" t="str">
        <f t="shared" si="46"/>
        <v/>
      </c>
      <c r="DH46" s="17" t="str">
        <f t="shared" si="47"/>
        <v/>
      </c>
    </row>
    <row r="47" spans="105:112" x14ac:dyDescent="0.25">
      <c r="DA47" s="17" t="str">
        <f>DA46</f>
        <v>Distributed</v>
      </c>
      <c r="DB47" s="17">
        <f>DB46</f>
        <v>-90</v>
      </c>
      <c r="DC47" s="17">
        <f>DD46</f>
        <v>64.400000000000006</v>
      </c>
      <c r="DD47" s="22">
        <f>MAX($AI$5:$AI$25)</f>
        <v>73.600000000000009</v>
      </c>
      <c r="DE47" s="17">
        <f>C5*D23</f>
        <v>0.54</v>
      </c>
      <c r="DF47" s="17">
        <f t="shared" si="48"/>
        <v>0.54</v>
      </c>
      <c r="DG47" s="17" t="str">
        <f t="shared" si="46"/>
        <v/>
      </c>
      <c r="DH47" s="17" t="str">
        <f t="shared" si="47"/>
        <v/>
      </c>
    </row>
  </sheetData>
  <mergeCells count="103">
    <mergeCell ref="AA3:AA4"/>
    <mergeCell ref="AA1:AK2"/>
    <mergeCell ref="AC3:AC4"/>
    <mergeCell ref="AF3:AF4"/>
    <mergeCell ref="AG3:AG4"/>
    <mergeCell ref="A22:B22"/>
    <mergeCell ref="C23:C24"/>
    <mergeCell ref="C2:D2"/>
    <mergeCell ref="C5:D5"/>
    <mergeCell ref="C4:D4"/>
    <mergeCell ref="C3:D3"/>
    <mergeCell ref="A23:A25"/>
    <mergeCell ref="B25:C25"/>
    <mergeCell ref="A17:B17"/>
    <mergeCell ref="A21:B21"/>
    <mergeCell ref="A20:B20"/>
    <mergeCell ref="A19:B19"/>
    <mergeCell ref="A18:B18"/>
    <mergeCell ref="A12:B12"/>
    <mergeCell ref="A7:B7"/>
    <mergeCell ref="A8:B8"/>
    <mergeCell ref="A9:B9"/>
    <mergeCell ref="A10:B10"/>
    <mergeCell ref="CA1:CE2"/>
    <mergeCell ref="CA3:CA4"/>
    <mergeCell ref="CB3:CB4"/>
    <mergeCell ref="CC3:CC4"/>
    <mergeCell ref="CD3:CD4"/>
    <mergeCell ref="CE3:CE4"/>
    <mergeCell ref="BG3:BG4"/>
    <mergeCell ref="BH3:BH4"/>
    <mergeCell ref="BI3:BI4"/>
    <mergeCell ref="BA1:BI2"/>
    <mergeCell ref="BF3:BF4"/>
    <mergeCell ref="AB3:AB4"/>
    <mergeCell ref="BA3:BA4"/>
    <mergeCell ref="BB3:BB4"/>
    <mergeCell ref="BC3:BC4"/>
    <mergeCell ref="BD3:BD4"/>
    <mergeCell ref="BE3:BE4"/>
    <mergeCell ref="DF3:DF4"/>
    <mergeCell ref="DG3:DG4"/>
    <mergeCell ref="DH3:DH4"/>
    <mergeCell ref="AH3:AI3"/>
    <mergeCell ref="AJ3:AK3"/>
    <mergeCell ref="AD3:AE3"/>
    <mergeCell ref="DA1:DF2"/>
    <mergeCell ref="DG1:DH2"/>
    <mergeCell ref="DA3:DA4"/>
    <mergeCell ref="DB3:DB4"/>
    <mergeCell ref="DC3:DC4"/>
    <mergeCell ref="DD3:DD4"/>
    <mergeCell ref="DE3:DE4"/>
    <mergeCell ref="DA9:DF10"/>
    <mergeCell ref="DG9:DH10"/>
    <mergeCell ref="DA11:DA12"/>
    <mergeCell ref="DB11:DB12"/>
    <mergeCell ref="DC11:DC12"/>
    <mergeCell ref="DD11:DD12"/>
    <mergeCell ref="DE11:DE12"/>
    <mergeCell ref="DF11:DF12"/>
    <mergeCell ref="DG11:DG12"/>
    <mergeCell ref="DH11:DH12"/>
    <mergeCell ref="DA17:DF18"/>
    <mergeCell ref="DG17:DH18"/>
    <mergeCell ref="DA19:DA20"/>
    <mergeCell ref="DB19:DB20"/>
    <mergeCell ref="DC19:DC20"/>
    <mergeCell ref="DD19:DD20"/>
    <mergeCell ref="DE19:DE20"/>
    <mergeCell ref="DF19:DF20"/>
    <mergeCell ref="DG19:DG20"/>
    <mergeCell ref="DH19:DH20"/>
    <mergeCell ref="DA25:DF26"/>
    <mergeCell ref="DG25:DH26"/>
    <mergeCell ref="DA27:DA28"/>
    <mergeCell ref="DB27:DB28"/>
    <mergeCell ref="DC27:DC28"/>
    <mergeCell ref="DD27:DD28"/>
    <mergeCell ref="DE27:DE28"/>
    <mergeCell ref="DF27:DF28"/>
    <mergeCell ref="DG27:DG28"/>
    <mergeCell ref="DH27:DH28"/>
    <mergeCell ref="DA33:DF34"/>
    <mergeCell ref="DG33:DH34"/>
    <mergeCell ref="DA43:DA44"/>
    <mergeCell ref="DB43:DB44"/>
    <mergeCell ref="DC43:DC44"/>
    <mergeCell ref="DD43:DD44"/>
    <mergeCell ref="DE43:DE44"/>
    <mergeCell ref="DF43:DF44"/>
    <mergeCell ref="DG43:DG44"/>
    <mergeCell ref="DH43:DH44"/>
    <mergeCell ref="DA35:DA36"/>
    <mergeCell ref="DB35:DB36"/>
    <mergeCell ref="DC35:DC36"/>
    <mergeCell ref="DD35:DD36"/>
    <mergeCell ref="DE35:DE36"/>
    <mergeCell ref="DF35:DF36"/>
    <mergeCell ref="DG35:DG36"/>
    <mergeCell ref="DH35:DH36"/>
    <mergeCell ref="DA41:DF42"/>
    <mergeCell ref="DG41:DH42"/>
  </mergeCells>
  <dataValidations count="3">
    <dataValidation type="list" allowBlank="1" showInputMessage="1" showErrorMessage="1" sqref="C9" xr:uid="{2DB40262-3136-4A63-A71F-EF98E50ACB04}">
      <formula1>"Top,None"</formula1>
    </dataValidation>
    <dataValidation type="list" allowBlank="1" showInputMessage="1" showErrorMessage="1" sqref="C10" xr:uid="{173FA200-5F8E-4A73-A29D-08C5FE001487}">
      <formula1>"0,0.4,0.5,0.6,0.7"</formula1>
    </dataValidation>
    <dataValidation type="list" allowBlank="1" showInputMessage="1" showErrorMessage="1" sqref="B1" xr:uid="{A8AA9D29-DD78-4CAA-B3AB-83013636D515}">
      <formula1>"G350,G450,G500"</formula1>
    </dataValidation>
  </dataValidations>
  <pageMargins left="0.7" right="0.7" top="0.75" bottom="0.75" header="0.3" footer="0.3"/>
  <pageSetup orientation="portrait" r:id="rId1"/>
  <ignoredErrors>
    <ignoredError sqref="DE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CFS_SAP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2025-11-15T02:49:43Z</dcterms:created>
  <dcterms:modified xsi:type="dcterms:W3CDTF">2025-11-19T15:21:30Z</dcterms:modified>
</cp:coreProperties>
</file>