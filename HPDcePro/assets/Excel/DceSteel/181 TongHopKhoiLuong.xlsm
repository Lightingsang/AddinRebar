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59189266-DEE1-4B19-A7F9-1DEEA143BEB3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2" r:id="rId1"/>
    <sheet name="KL" sheetId="1" r:id="rId2"/>
  </sheets>
  <definedNames>
    <definedName name="_xlnm._FilterDatabase" localSheetId="0" hidden="1">Data!$CA$2:$CK$886</definedName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" l="1"/>
  <c r="M16" i="1"/>
  <c r="C17" i="1"/>
  <c r="B17" i="1"/>
  <c r="K16" i="1"/>
  <c r="L16" i="1" s="1"/>
  <c r="H17" i="1"/>
  <c r="G17" i="1"/>
  <c r="AH6" i="1"/>
  <c r="AI6" i="1"/>
  <c r="O9" i="1"/>
  <c r="O10" i="1"/>
  <c r="CG4" i="2"/>
  <c r="CI4" i="2" s="1"/>
  <c r="CH4" i="2"/>
  <c r="CJ4" i="2"/>
  <c r="CG5" i="2"/>
  <c r="CI5" i="2" s="1"/>
  <c r="CH5" i="2"/>
  <c r="CJ5" i="2"/>
  <c r="CG6" i="2"/>
  <c r="CH6" i="2"/>
  <c r="CJ6" i="2"/>
  <c r="CI6" i="2" s="1"/>
  <c r="CG7" i="2"/>
  <c r="CI7" i="2" s="1"/>
  <c r="CH7" i="2"/>
  <c r="CJ7" i="2"/>
  <c r="CG8" i="2"/>
  <c r="CI8" i="2" s="1"/>
  <c r="CH8" i="2"/>
  <c r="CJ8" i="2"/>
  <c r="CG9" i="2"/>
  <c r="CI9" i="2" s="1"/>
  <c r="CH9" i="2"/>
  <c r="CJ9" i="2"/>
  <c r="CG10" i="2"/>
  <c r="CH10" i="2"/>
  <c r="CJ10" i="2"/>
  <c r="CI10" i="2" s="1"/>
  <c r="CG11" i="2"/>
  <c r="CI11" i="2" s="1"/>
  <c r="CH11" i="2"/>
  <c r="CJ11" i="2"/>
  <c r="CG12" i="2"/>
  <c r="CI12" i="2" s="1"/>
  <c r="CH12" i="2"/>
  <c r="CJ12" i="2"/>
  <c r="CG13" i="2"/>
  <c r="CI13" i="2" s="1"/>
  <c r="CH13" i="2"/>
  <c r="CJ13" i="2"/>
  <c r="CG14" i="2"/>
  <c r="CH14" i="2"/>
  <c r="CJ14" i="2"/>
  <c r="CI14" i="2" s="1"/>
  <c r="CG15" i="2"/>
  <c r="CI15" i="2" s="1"/>
  <c r="CH15" i="2"/>
  <c r="CJ15" i="2"/>
  <c r="CG16" i="2"/>
  <c r="CI16" i="2" s="1"/>
  <c r="CH16" i="2"/>
  <c r="CJ16" i="2"/>
  <c r="CG17" i="2"/>
  <c r="CI17" i="2" s="1"/>
  <c r="CH17" i="2"/>
  <c r="CJ17" i="2"/>
  <c r="CG18" i="2"/>
  <c r="CH18" i="2"/>
  <c r="CI18" i="2"/>
  <c r="CJ18" i="2"/>
  <c r="CG19" i="2"/>
  <c r="CI19" i="2" s="1"/>
  <c r="CH19" i="2"/>
  <c r="CJ19" i="2"/>
  <c r="CG20" i="2"/>
  <c r="CI20" i="2" s="1"/>
  <c r="CH20" i="2"/>
  <c r="CJ20" i="2"/>
  <c r="CG21" i="2"/>
  <c r="CI21" i="2" s="1"/>
  <c r="CH21" i="2"/>
  <c r="CJ21" i="2"/>
  <c r="CG22" i="2"/>
  <c r="CH22" i="2"/>
  <c r="CI22" i="2"/>
  <c r="CJ22" i="2"/>
  <c r="CG23" i="2"/>
  <c r="CI23" i="2" s="1"/>
  <c r="CH23" i="2"/>
  <c r="CJ23" i="2"/>
  <c r="CG24" i="2"/>
  <c r="CI24" i="2" s="1"/>
  <c r="CH24" i="2"/>
  <c r="CJ24" i="2"/>
  <c r="CG25" i="2"/>
  <c r="CI25" i="2" s="1"/>
  <c r="CH25" i="2"/>
  <c r="CJ25" i="2"/>
  <c r="CG26" i="2"/>
  <c r="CH26" i="2"/>
  <c r="CJ26" i="2"/>
  <c r="CI26" i="2" s="1"/>
  <c r="CG27" i="2"/>
  <c r="CI27" i="2" s="1"/>
  <c r="CH27" i="2"/>
  <c r="CJ27" i="2"/>
  <c r="CG28" i="2"/>
  <c r="CI28" i="2" s="1"/>
  <c r="CH28" i="2"/>
  <c r="CJ28" i="2"/>
  <c r="CG29" i="2"/>
  <c r="CI29" i="2" s="1"/>
  <c r="CH29" i="2"/>
  <c r="CJ29" i="2"/>
  <c r="CG30" i="2"/>
  <c r="CH30" i="2"/>
  <c r="CJ30" i="2"/>
  <c r="CI30" i="2" s="1"/>
  <c r="CG31" i="2"/>
  <c r="CI31" i="2" s="1"/>
  <c r="CH31" i="2"/>
  <c r="CJ31" i="2"/>
  <c r="CG32" i="2"/>
  <c r="CI32" i="2" s="1"/>
  <c r="CH32" i="2"/>
  <c r="CJ32" i="2"/>
  <c r="CG33" i="2"/>
  <c r="CI33" i="2" s="1"/>
  <c r="CH33" i="2"/>
  <c r="CJ33" i="2"/>
  <c r="CG34" i="2"/>
  <c r="CH34" i="2"/>
  <c r="CJ34" i="2"/>
  <c r="CI34" i="2" s="1"/>
  <c r="CG35" i="2"/>
  <c r="CI35" i="2" s="1"/>
  <c r="CH35" i="2"/>
  <c r="CJ35" i="2"/>
  <c r="CG36" i="2"/>
  <c r="CI36" i="2" s="1"/>
  <c r="CH36" i="2"/>
  <c r="CJ36" i="2"/>
  <c r="CG37" i="2"/>
  <c r="CI37" i="2" s="1"/>
  <c r="CH37" i="2"/>
  <c r="CJ37" i="2"/>
  <c r="CG38" i="2"/>
  <c r="CH38" i="2"/>
  <c r="CJ38" i="2"/>
  <c r="CI38" i="2" s="1"/>
  <c r="CG39" i="2"/>
  <c r="CI39" i="2" s="1"/>
  <c r="CH39" i="2"/>
  <c r="CJ39" i="2"/>
  <c r="CG40" i="2"/>
  <c r="CI40" i="2" s="1"/>
  <c r="CH40" i="2"/>
  <c r="CJ40" i="2"/>
  <c r="CG41" i="2"/>
  <c r="CI41" i="2" s="1"/>
  <c r="CH41" i="2"/>
  <c r="CJ41" i="2"/>
  <c r="CG42" i="2"/>
  <c r="CH42" i="2"/>
  <c r="CJ42" i="2"/>
  <c r="CI42" i="2" s="1"/>
  <c r="CG43" i="2"/>
  <c r="CI43" i="2" s="1"/>
  <c r="CH43" i="2"/>
  <c r="CJ43" i="2"/>
  <c r="CG44" i="2"/>
  <c r="CI44" i="2" s="1"/>
  <c r="CH44" i="2"/>
  <c r="CJ44" i="2"/>
  <c r="CG45" i="2"/>
  <c r="CI45" i="2" s="1"/>
  <c r="CH45" i="2"/>
  <c r="CJ45" i="2"/>
  <c r="CG46" i="2"/>
  <c r="CH46" i="2"/>
  <c r="CI46" i="2"/>
  <c r="CJ46" i="2"/>
  <c r="CG47" i="2"/>
  <c r="CI47" i="2" s="1"/>
  <c r="CH47" i="2"/>
  <c r="CJ47" i="2"/>
  <c r="CG48" i="2"/>
  <c r="CI48" i="2" s="1"/>
  <c r="CH48" i="2"/>
  <c r="CJ48" i="2"/>
  <c r="CG49" i="2"/>
  <c r="CI49" i="2" s="1"/>
  <c r="CH49" i="2"/>
  <c r="CJ49" i="2"/>
  <c r="CG50" i="2"/>
  <c r="CH50" i="2"/>
  <c r="CJ50" i="2"/>
  <c r="CI50" i="2" s="1"/>
  <c r="CG51" i="2"/>
  <c r="CI51" i="2" s="1"/>
  <c r="CH51" i="2"/>
  <c r="CJ51" i="2"/>
  <c r="CG52" i="2"/>
  <c r="CI52" i="2" s="1"/>
  <c r="CH52" i="2"/>
  <c r="CJ52" i="2"/>
  <c r="CG53" i="2"/>
  <c r="CI53" i="2" s="1"/>
  <c r="CH53" i="2"/>
  <c r="CJ53" i="2"/>
  <c r="CG54" i="2"/>
  <c r="CH54" i="2"/>
  <c r="CJ54" i="2"/>
  <c r="CI54" i="2" s="1"/>
  <c r="CG55" i="2"/>
  <c r="CI55" i="2" s="1"/>
  <c r="CH55" i="2"/>
  <c r="CJ55" i="2"/>
  <c r="CG56" i="2"/>
  <c r="CI56" i="2" s="1"/>
  <c r="CH56" i="2"/>
  <c r="CJ56" i="2"/>
  <c r="CG57" i="2"/>
  <c r="CI57" i="2" s="1"/>
  <c r="CH57" i="2"/>
  <c r="CJ57" i="2"/>
  <c r="CG58" i="2"/>
  <c r="CH58" i="2"/>
  <c r="CJ58" i="2"/>
  <c r="CI58" i="2" s="1"/>
  <c r="CG59" i="2"/>
  <c r="CI59" i="2" s="1"/>
  <c r="CH59" i="2"/>
  <c r="CJ59" i="2"/>
  <c r="CG60" i="2"/>
  <c r="CI60" i="2" s="1"/>
  <c r="CH60" i="2"/>
  <c r="CJ60" i="2"/>
  <c r="CG61" i="2"/>
  <c r="CI61" i="2" s="1"/>
  <c r="CH61" i="2"/>
  <c r="CJ61" i="2"/>
  <c r="CG62" i="2"/>
  <c r="CH62" i="2"/>
  <c r="CJ62" i="2"/>
  <c r="CI62" i="2" s="1"/>
  <c r="CG63" i="2"/>
  <c r="CI63" i="2" s="1"/>
  <c r="CH63" i="2"/>
  <c r="CJ63" i="2"/>
  <c r="CG64" i="2"/>
  <c r="CI64" i="2" s="1"/>
  <c r="CH64" i="2"/>
  <c r="CJ64" i="2"/>
  <c r="CG65" i="2"/>
  <c r="CI65" i="2" s="1"/>
  <c r="CH65" i="2"/>
  <c r="CJ65" i="2"/>
  <c r="CG66" i="2"/>
  <c r="CH66" i="2"/>
  <c r="CJ66" i="2"/>
  <c r="CI66" i="2" s="1"/>
  <c r="CG67" i="2"/>
  <c r="CH67" i="2"/>
  <c r="CJ67" i="2"/>
  <c r="CG68" i="2"/>
  <c r="CI68" i="2" s="1"/>
  <c r="CH68" i="2"/>
  <c r="CJ68" i="2"/>
  <c r="CG69" i="2"/>
  <c r="CI69" i="2" s="1"/>
  <c r="CH69" i="2"/>
  <c r="CJ69" i="2"/>
  <c r="CG70" i="2"/>
  <c r="CH70" i="2"/>
  <c r="CI70" i="2"/>
  <c r="CJ70" i="2"/>
  <c r="CG71" i="2"/>
  <c r="CI71" i="2" s="1"/>
  <c r="CH71" i="2"/>
  <c r="CJ71" i="2"/>
  <c r="CG72" i="2"/>
  <c r="CI72" i="2" s="1"/>
  <c r="CH72" i="2"/>
  <c r="CJ72" i="2"/>
  <c r="CG73" i="2"/>
  <c r="CI73" i="2" s="1"/>
  <c r="CH73" i="2"/>
  <c r="CJ73" i="2"/>
  <c r="CG74" i="2"/>
  <c r="CH74" i="2"/>
  <c r="CI74" i="2"/>
  <c r="CJ74" i="2"/>
  <c r="CG75" i="2"/>
  <c r="CH75" i="2"/>
  <c r="CJ75" i="2"/>
  <c r="CG76" i="2"/>
  <c r="CI76" i="2" s="1"/>
  <c r="CH76" i="2"/>
  <c r="CJ76" i="2"/>
  <c r="CG77" i="2"/>
  <c r="CI77" i="2" s="1"/>
  <c r="CH77" i="2"/>
  <c r="CJ77" i="2"/>
  <c r="CG78" i="2"/>
  <c r="CH78" i="2"/>
  <c r="CJ78" i="2"/>
  <c r="CI78" i="2" s="1"/>
  <c r="CG79" i="2"/>
  <c r="CH79" i="2"/>
  <c r="CJ79" i="2"/>
  <c r="CG80" i="2"/>
  <c r="CI80" i="2" s="1"/>
  <c r="CH80" i="2"/>
  <c r="CJ80" i="2"/>
  <c r="CG81" i="2"/>
  <c r="CI81" i="2" s="1"/>
  <c r="CH81" i="2"/>
  <c r="CJ81" i="2"/>
  <c r="CG82" i="2"/>
  <c r="CH82" i="2"/>
  <c r="CI82" i="2"/>
  <c r="CJ82" i="2"/>
  <c r="CG83" i="2"/>
  <c r="CH83" i="2"/>
  <c r="CJ83" i="2"/>
  <c r="CG84" i="2"/>
  <c r="CI84" i="2" s="1"/>
  <c r="CH84" i="2"/>
  <c r="CJ84" i="2"/>
  <c r="CG85" i="2"/>
  <c r="CI85" i="2" s="1"/>
  <c r="CH85" i="2"/>
  <c r="CJ85" i="2"/>
  <c r="CG86" i="2"/>
  <c r="CH86" i="2"/>
  <c r="CI86" i="2"/>
  <c r="CJ86" i="2"/>
  <c r="CG87" i="2"/>
  <c r="CI87" i="2" s="1"/>
  <c r="CH87" i="2"/>
  <c r="CJ87" i="2"/>
  <c r="CG88" i="2"/>
  <c r="CI88" i="2" s="1"/>
  <c r="CH88" i="2"/>
  <c r="CJ88" i="2"/>
  <c r="CG89" i="2"/>
  <c r="CI89" i="2" s="1"/>
  <c r="CH89" i="2"/>
  <c r="CJ89" i="2"/>
  <c r="CG90" i="2"/>
  <c r="CH90" i="2"/>
  <c r="CJ90" i="2"/>
  <c r="CI90" i="2" s="1"/>
  <c r="CG91" i="2"/>
  <c r="CH91" i="2"/>
  <c r="CJ91" i="2"/>
  <c r="CG92" i="2"/>
  <c r="CI92" i="2" s="1"/>
  <c r="CH92" i="2"/>
  <c r="CJ92" i="2"/>
  <c r="CG93" i="2"/>
  <c r="CI93" i="2" s="1"/>
  <c r="CH93" i="2"/>
  <c r="CJ93" i="2"/>
  <c r="CG94" i="2"/>
  <c r="CH94" i="2"/>
  <c r="CJ94" i="2"/>
  <c r="CI94" i="2" s="1"/>
  <c r="CG95" i="2"/>
  <c r="CH95" i="2"/>
  <c r="CJ95" i="2"/>
  <c r="CG96" i="2"/>
  <c r="CI96" i="2" s="1"/>
  <c r="CH96" i="2"/>
  <c r="CJ96" i="2"/>
  <c r="CG97" i="2"/>
  <c r="CI97" i="2" s="1"/>
  <c r="CH97" i="2"/>
  <c r="CJ97" i="2"/>
  <c r="CG98" i="2"/>
  <c r="CH98" i="2"/>
  <c r="CJ98" i="2"/>
  <c r="CI98" i="2" s="1"/>
  <c r="CG99" i="2"/>
  <c r="CH99" i="2"/>
  <c r="CJ99" i="2"/>
  <c r="CG100" i="2"/>
  <c r="CI100" i="2" s="1"/>
  <c r="CH100" i="2"/>
  <c r="CJ100" i="2"/>
  <c r="CG101" i="2"/>
  <c r="CI101" i="2" s="1"/>
  <c r="CH101" i="2"/>
  <c r="CJ101" i="2"/>
  <c r="CG102" i="2"/>
  <c r="CH102" i="2"/>
  <c r="CI102" i="2"/>
  <c r="CJ102" i="2"/>
  <c r="CG103" i="2"/>
  <c r="CH103" i="2"/>
  <c r="CJ103" i="2"/>
  <c r="CG104" i="2"/>
  <c r="CI104" i="2" s="1"/>
  <c r="CH104" i="2"/>
  <c r="CJ104" i="2"/>
  <c r="CG105" i="2"/>
  <c r="CI105" i="2" s="1"/>
  <c r="CH105" i="2"/>
  <c r="CJ105" i="2"/>
  <c r="CG106" i="2"/>
  <c r="CH106" i="2"/>
  <c r="CJ106" i="2"/>
  <c r="CI106" i="2" s="1"/>
  <c r="CG107" i="2"/>
  <c r="CI107" i="2" s="1"/>
  <c r="CH107" i="2"/>
  <c r="CJ107" i="2"/>
  <c r="CG108" i="2"/>
  <c r="CI108" i="2" s="1"/>
  <c r="CH108" i="2"/>
  <c r="CJ108" i="2"/>
  <c r="CG109" i="2"/>
  <c r="CI109" i="2" s="1"/>
  <c r="CH109" i="2"/>
  <c r="CJ109" i="2"/>
  <c r="CG110" i="2"/>
  <c r="CH110" i="2"/>
  <c r="CI110" i="2"/>
  <c r="CJ110" i="2"/>
  <c r="CG111" i="2"/>
  <c r="CI111" i="2" s="1"/>
  <c r="CH111" i="2"/>
  <c r="CJ111" i="2"/>
  <c r="CG112" i="2"/>
  <c r="CI112" i="2" s="1"/>
  <c r="CH112" i="2"/>
  <c r="CJ112" i="2"/>
  <c r="CG113" i="2"/>
  <c r="CI113" i="2" s="1"/>
  <c r="CH113" i="2"/>
  <c r="CJ113" i="2"/>
  <c r="CG114" i="2"/>
  <c r="CH114" i="2"/>
  <c r="CJ114" i="2"/>
  <c r="CI114" i="2" s="1"/>
  <c r="CG115" i="2"/>
  <c r="CH115" i="2"/>
  <c r="CJ115" i="2"/>
  <c r="CG116" i="2"/>
  <c r="CI116" i="2" s="1"/>
  <c r="CH116" i="2"/>
  <c r="CJ116" i="2"/>
  <c r="CG117" i="2"/>
  <c r="CI117" i="2" s="1"/>
  <c r="CH117" i="2"/>
  <c r="CJ117" i="2"/>
  <c r="CG118" i="2"/>
  <c r="CH118" i="2"/>
  <c r="CJ118" i="2"/>
  <c r="CI118" i="2" s="1"/>
  <c r="CG119" i="2"/>
  <c r="CH119" i="2"/>
  <c r="CJ119" i="2"/>
  <c r="CG120" i="2"/>
  <c r="CI120" i="2" s="1"/>
  <c r="CH120" i="2"/>
  <c r="CJ120" i="2"/>
  <c r="CG121" i="2"/>
  <c r="CI121" i="2" s="1"/>
  <c r="CH121" i="2"/>
  <c r="CJ121" i="2"/>
  <c r="CG122" i="2"/>
  <c r="CH122" i="2"/>
  <c r="CI122" i="2" s="1"/>
  <c r="CJ122" i="2"/>
  <c r="CG123" i="2"/>
  <c r="CH123" i="2"/>
  <c r="CJ123" i="2"/>
  <c r="CG124" i="2"/>
  <c r="CI124" i="2" s="1"/>
  <c r="CH124" i="2"/>
  <c r="CJ124" i="2"/>
  <c r="CG125" i="2"/>
  <c r="CI125" i="2" s="1"/>
  <c r="CH125" i="2"/>
  <c r="CJ125" i="2"/>
  <c r="CG126" i="2"/>
  <c r="CH126" i="2"/>
  <c r="CJ126" i="2"/>
  <c r="CG127" i="2"/>
  <c r="CI127" i="2" s="1"/>
  <c r="CH127" i="2"/>
  <c r="CJ127" i="2"/>
  <c r="CG128" i="2"/>
  <c r="CI128" i="2" s="1"/>
  <c r="CH128" i="2"/>
  <c r="CJ128" i="2"/>
  <c r="CG129" i="2"/>
  <c r="CI129" i="2" s="1"/>
  <c r="CH129" i="2"/>
  <c r="CJ129" i="2"/>
  <c r="CG130" i="2"/>
  <c r="CH130" i="2"/>
  <c r="CI130" i="2" s="1"/>
  <c r="CJ130" i="2"/>
  <c r="CG131" i="2"/>
  <c r="CI131" i="2" s="1"/>
  <c r="CH131" i="2"/>
  <c r="CJ131" i="2"/>
  <c r="CG132" i="2"/>
  <c r="CI132" i="2" s="1"/>
  <c r="CH132" i="2"/>
  <c r="CJ132" i="2"/>
  <c r="CG133" i="2"/>
  <c r="CI133" i="2" s="1"/>
  <c r="CH133" i="2"/>
  <c r="CJ133" i="2"/>
  <c r="CG134" i="2"/>
  <c r="CH134" i="2"/>
  <c r="CI134" i="2"/>
  <c r="CJ134" i="2"/>
  <c r="CG135" i="2"/>
  <c r="CI135" i="2" s="1"/>
  <c r="CH135" i="2"/>
  <c r="CJ135" i="2"/>
  <c r="CG136" i="2"/>
  <c r="CI136" i="2" s="1"/>
  <c r="CH136" i="2"/>
  <c r="CJ136" i="2"/>
  <c r="CG137" i="2"/>
  <c r="CI137" i="2" s="1"/>
  <c r="CH137" i="2"/>
  <c r="CJ137" i="2"/>
  <c r="CG138" i="2"/>
  <c r="CH138" i="2"/>
  <c r="CI138" i="2"/>
  <c r="CJ138" i="2"/>
  <c r="CG139" i="2"/>
  <c r="CH139" i="2"/>
  <c r="CJ139" i="2"/>
  <c r="CG140" i="2"/>
  <c r="CI140" i="2" s="1"/>
  <c r="CH140" i="2"/>
  <c r="CJ140" i="2"/>
  <c r="CG141" i="2"/>
  <c r="CI141" i="2" s="1"/>
  <c r="CH141" i="2"/>
  <c r="CJ141" i="2"/>
  <c r="CG142" i="2"/>
  <c r="CI142" i="2" s="1"/>
  <c r="CH142" i="2"/>
  <c r="CJ142" i="2"/>
  <c r="CG143" i="2"/>
  <c r="CH143" i="2"/>
  <c r="CJ143" i="2"/>
  <c r="CG144" i="2"/>
  <c r="CI144" i="2" s="1"/>
  <c r="CH144" i="2"/>
  <c r="CJ144" i="2"/>
  <c r="CG145" i="2"/>
  <c r="CI145" i="2" s="1"/>
  <c r="CH145" i="2"/>
  <c r="CJ145" i="2"/>
  <c r="CG146" i="2"/>
  <c r="CI146" i="2" s="1"/>
  <c r="CH146" i="2"/>
  <c r="CJ146" i="2"/>
  <c r="CG147" i="2"/>
  <c r="CH147" i="2"/>
  <c r="CJ147" i="2"/>
  <c r="CG148" i="2"/>
  <c r="CI148" i="2" s="1"/>
  <c r="CH148" i="2"/>
  <c r="CJ148" i="2"/>
  <c r="CG149" i="2"/>
  <c r="CI149" i="2" s="1"/>
  <c r="CH149" i="2"/>
  <c r="CJ149" i="2"/>
  <c r="CG150" i="2"/>
  <c r="CH150" i="2"/>
  <c r="CI150" i="2"/>
  <c r="CJ150" i="2"/>
  <c r="CG151" i="2"/>
  <c r="CI151" i="2" s="1"/>
  <c r="CH151" i="2"/>
  <c r="CJ151" i="2"/>
  <c r="CG152" i="2"/>
  <c r="CI152" i="2" s="1"/>
  <c r="CH152" i="2"/>
  <c r="CJ152" i="2"/>
  <c r="CG153" i="2"/>
  <c r="CI153" i="2" s="1"/>
  <c r="CH153" i="2"/>
  <c r="CJ153" i="2"/>
  <c r="CG154" i="2"/>
  <c r="CH154" i="2"/>
  <c r="CI154" i="2"/>
  <c r="CJ154" i="2"/>
  <c r="CG155" i="2"/>
  <c r="CH155" i="2"/>
  <c r="CJ155" i="2"/>
  <c r="CG156" i="2"/>
  <c r="CI156" i="2" s="1"/>
  <c r="CH156" i="2"/>
  <c r="CJ156" i="2"/>
  <c r="CG157" i="2"/>
  <c r="CH157" i="2"/>
  <c r="CJ157" i="2"/>
  <c r="CG158" i="2"/>
  <c r="CH158" i="2"/>
  <c r="CI158" i="2"/>
  <c r="CJ158" i="2"/>
  <c r="CG159" i="2"/>
  <c r="CI159" i="2" s="1"/>
  <c r="CH159" i="2"/>
  <c r="CJ159" i="2"/>
  <c r="CG160" i="2"/>
  <c r="CI160" i="2" s="1"/>
  <c r="CH160" i="2"/>
  <c r="CJ160" i="2"/>
  <c r="CG161" i="2"/>
  <c r="CH161" i="2"/>
  <c r="CJ161" i="2"/>
  <c r="CG162" i="2"/>
  <c r="CI162" i="2" s="1"/>
  <c r="CH162" i="2"/>
  <c r="CJ162" i="2"/>
  <c r="CG163" i="2"/>
  <c r="CH163" i="2"/>
  <c r="CI163" i="2"/>
  <c r="CJ163" i="2"/>
  <c r="CG164" i="2"/>
  <c r="CI164" i="2" s="1"/>
  <c r="CH164" i="2"/>
  <c r="CJ164" i="2"/>
  <c r="CG165" i="2"/>
  <c r="CI165" i="2" s="1"/>
  <c r="CH165" i="2"/>
  <c r="CJ165" i="2"/>
  <c r="CG166" i="2"/>
  <c r="CH166" i="2"/>
  <c r="CJ166" i="2"/>
  <c r="CI166" i="2" s="1"/>
  <c r="CG167" i="2"/>
  <c r="CH167" i="2"/>
  <c r="CI167" i="2"/>
  <c r="CJ167" i="2"/>
  <c r="CG168" i="2"/>
  <c r="CI168" i="2" s="1"/>
  <c r="CH168" i="2"/>
  <c r="CJ168" i="2"/>
  <c r="CG169" i="2"/>
  <c r="CI169" i="2" s="1"/>
  <c r="CH169" i="2"/>
  <c r="CJ169" i="2"/>
  <c r="CG170" i="2"/>
  <c r="CI170" i="2" s="1"/>
  <c r="CH170" i="2"/>
  <c r="CJ170" i="2"/>
  <c r="CG171" i="2"/>
  <c r="CI171" i="2" s="1"/>
  <c r="CH171" i="2"/>
  <c r="CJ171" i="2"/>
  <c r="CG172" i="2"/>
  <c r="CH172" i="2"/>
  <c r="CJ172" i="2"/>
  <c r="CG173" i="2"/>
  <c r="CH173" i="2"/>
  <c r="CJ173" i="2"/>
  <c r="CG174" i="2"/>
  <c r="CI174" i="2" s="1"/>
  <c r="CH174" i="2"/>
  <c r="CJ174" i="2"/>
  <c r="CG175" i="2"/>
  <c r="CH175" i="2"/>
  <c r="CJ175" i="2"/>
  <c r="CI175" i="2" s="1"/>
  <c r="CG176" i="2"/>
  <c r="CH176" i="2"/>
  <c r="CJ176" i="2"/>
  <c r="CG177" i="2"/>
  <c r="CH177" i="2"/>
  <c r="CJ177" i="2"/>
  <c r="CG178" i="2"/>
  <c r="CH178" i="2"/>
  <c r="CJ178" i="2"/>
  <c r="CG179" i="2"/>
  <c r="CI179" i="2" s="1"/>
  <c r="CH179" i="2"/>
  <c r="CJ179" i="2"/>
  <c r="CG180" i="2"/>
  <c r="CI180" i="2" s="1"/>
  <c r="CH180" i="2"/>
  <c r="CJ180" i="2"/>
  <c r="CG181" i="2"/>
  <c r="CI181" i="2" s="1"/>
  <c r="CH181" i="2"/>
  <c r="CJ181" i="2"/>
  <c r="CG182" i="2"/>
  <c r="CI182" i="2" s="1"/>
  <c r="CH182" i="2"/>
  <c r="CJ182" i="2"/>
  <c r="CG183" i="2"/>
  <c r="CI183" i="2" s="1"/>
  <c r="CH183" i="2"/>
  <c r="CJ183" i="2"/>
  <c r="CG184" i="2"/>
  <c r="CH184" i="2"/>
  <c r="CJ184" i="2"/>
  <c r="CG185" i="2"/>
  <c r="CI185" i="2" s="1"/>
  <c r="CH185" i="2"/>
  <c r="CJ185" i="2"/>
  <c r="CG186" i="2"/>
  <c r="CH186" i="2"/>
  <c r="CI186" i="2"/>
  <c r="CJ186" i="2"/>
  <c r="CG187" i="2"/>
  <c r="CI187" i="2" s="1"/>
  <c r="CH187" i="2"/>
  <c r="CJ187" i="2"/>
  <c r="CG188" i="2"/>
  <c r="CI188" i="2" s="1"/>
  <c r="CH188" i="2"/>
  <c r="CJ188" i="2"/>
  <c r="CG189" i="2"/>
  <c r="CH189" i="2"/>
  <c r="CJ189" i="2"/>
  <c r="CG190" i="2"/>
  <c r="CH190" i="2"/>
  <c r="CI190" i="2"/>
  <c r="CJ190" i="2"/>
  <c r="CG191" i="2"/>
  <c r="CH191" i="2"/>
  <c r="CJ191" i="2"/>
  <c r="CI191" i="2" s="1"/>
  <c r="CG192" i="2"/>
  <c r="CI192" i="2" s="1"/>
  <c r="CH192" i="2"/>
  <c r="CJ192" i="2"/>
  <c r="CG193" i="2"/>
  <c r="CH193" i="2"/>
  <c r="CJ193" i="2"/>
  <c r="CG194" i="2"/>
  <c r="CI194" i="2" s="1"/>
  <c r="CH194" i="2"/>
  <c r="CJ194" i="2"/>
  <c r="CG195" i="2"/>
  <c r="CH195" i="2"/>
  <c r="CI195" i="2"/>
  <c r="CJ195" i="2"/>
  <c r="CG196" i="2"/>
  <c r="CI196" i="2" s="1"/>
  <c r="CH196" i="2"/>
  <c r="CJ196" i="2"/>
  <c r="CG197" i="2"/>
  <c r="CI197" i="2" s="1"/>
  <c r="CH197" i="2"/>
  <c r="CJ197" i="2"/>
  <c r="CG198" i="2"/>
  <c r="CH198" i="2"/>
  <c r="CJ198" i="2"/>
  <c r="CI198" i="2" s="1"/>
  <c r="CG199" i="2"/>
  <c r="CH199" i="2"/>
  <c r="CI199" i="2"/>
  <c r="CJ199" i="2"/>
  <c r="CG200" i="2"/>
  <c r="CI200" i="2" s="1"/>
  <c r="CH200" i="2"/>
  <c r="CJ200" i="2"/>
  <c r="CG201" i="2"/>
  <c r="CI201" i="2" s="1"/>
  <c r="CH201" i="2"/>
  <c r="CJ201" i="2"/>
  <c r="CG202" i="2"/>
  <c r="CI202" i="2" s="1"/>
  <c r="CH202" i="2"/>
  <c r="CJ202" i="2"/>
  <c r="CG203" i="2"/>
  <c r="CI203" i="2" s="1"/>
  <c r="CH203" i="2"/>
  <c r="CJ203" i="2"/>
  <c r="CG204" i="2"/>
  <c r="CH204" i="2"/>
  <c r="CJ204" i="2"/>
  <c r="CG205" i="2"/>
  <c r="CH205" i="2"/>
  <c r="CJ205" i="2"/>
  <c r="CG206" i="2"/>
  <c r="CI206" i="2" s="1"/>
  <c r="CH206" i="2"/>
  <c r="CJ206" i="2"/>
  <c r="CG207" i="2"/>
  <c r="CH207" i="2"/>
  <c r="CJ207" i="2"/>
  <c r="CI207" i="2" s="1"/>
  <c r="CG208" i="2"/>
  <c r="CH208" i="2"/>
  <c r="CJ208" i="2"/>
  <c r="CG209" i="2"/>
  <c r="CH209" i="2"/>
  <c r="CJ209" i="2"/>
  <c r="CG210" i="2"/>
  <c r="CH210" i="2"/>
  <c r="CJ210" i="2"/>
  <c r="CG211" i="2"/>
  <c r="CI211" i="2" s="1"/>
  <c r="CH211" i="2"/>
  <c r="CJ211" i="2"/>
  <c r="CG212" i="2"/>
  <c r="CI212" i="2" s="1"/>
  <c r="CH212" i="2"/>
  <c r="CJ212" i="2"/>
  <c r="CG213" i="2"/>
  <c r="CH213" i="2"/>
  <c r="CJ213" i="2"/>
  <c r="CG214" i="2"/>
  <c r="CI214" i="2" s="1"/>
  <c r="CH214" i="2"/>
  <c r="CJ214" i="2"/>
  <c r="CG215" i="2"/>
  <c r="CI215" i="2" s="1"/>
  <c r="CH215" i="2"/>
  <c r="CJ215" i="2"/>
  <c r="CG216" i="2"/>
  <c r="CH216" i="2"/>
  <c r="CJ216" i="2"/>
  <c r="CG217" i="2"/>
  <c r="CI217" i="2" s="1"/>
  <c r="CH217" i="2"/>
  <c r="CJ217" i="2"/>
  <c r="CG218" i="2"/>
  <c r="CH218" i="2"/>
  <c r="CI218" i="2"/>
  <c r="CJ218" i="2"/>
  <c r="CG219" i="2"/>
  <c r="CI219" i="2" s="1"/>
  <c r="CH219" i="2"/>
  <c r="CJ219" i="2"/>
  <c r="CG220" i="2"/>
  <c r="CI220" i="2" s="1"/>
  <c r="CH220" i="2"/>
  <c r="CJ220" i="2"/>
  <c r="CG221" i="2"/>
  <c r="CH221" i="2"/>
  <c r="CJ221" i="2"/>
  <c r="CG222" i="2"/>
  <c r="CH222" i="2"/>
  <c r="CI222" i="2"/>
  <c r="CJ222" i="2"/>
  <c r="CG223" i="2"/>
  <c r="CH223" i="2"/>
  <c r="CJ223" i="2"/>
  <c r="CI223" i="2" s="1"/>
  <c r="CG224" i="2"/>
  <c r="CI224" i="2" s="1"/>
  <c r="CH224" i="2"/>
  <c r="CJ224" i="2"/>
  <c r="CG225" i="2"/>
  <c r="CH225" i="2"/>
  <c r="CJ225" i="2"/>
  <c r="CG226" i="2"/>
  <c r="CI226" i="2" s="1"/>
  <c r="CH226" i="2"/>
  <c r="CJ226" i="2"/>
  <c r="CG227" i="2"/>
  <c r="CH227" i="2"/>
  <c r="CI227" i="2"/>
  <c r="CJ227" i="2"/>
  <c r="CG228" i="2"/>
  <c r="CI228" i="2" s="1"/>
  <c r="CH228" i="2"/>
  <c r="CJ228" i="2"/>
  <c r="CG229" i="2"/>
  <c r="CI229" i="2" s="1"/>
  <c r="CH229" i="2"/>
  <c r="CJ229" i="2"/>
  <c r="CG230" i="2"/>
  <c r="CH230" i="2"/>
  <c r="CJ230" i="2"/>
  <c r="CI230" i="2" s="1"/>
  <c r="CG231" i="2"/>
  <c r="CH231" i="2"/>
  <c r="CI231" i="2"/>
  <c r="CJ231" i="2"/>
  <c r="CG232" i="2"/>
  <c r="CH232" i="2"/>
  <c r="CJ232" i="2"/>
  <c r="CG233" i="2"/>
  <c r="CI233" i="2" s="1"/>
  <c r="CH233" i="2"/>
  <c r="CJ233" i="2"/>
  <c r="CG234" i="2"/>
  <c r="CI234" i="2" s="1"/>
  <c r="CH234" i="2"/>
  <c r="CJ234" i="2"/>
  <c r="CG235" i="2"/>
  <c r="CI235" i="2" s="1"/>
  <c r="CH235" i="2"/>
  <c r="CJ235" i="2"/>
  <c r="CG236" i="2"/>
  <c r="CH236" i="2"/>
  <c r="CJ236" i="2"/>
  <c r="CG237" i="2"/>
  <c r="CH237" i="2"/>
  <c r="CJ237" i="2"/>
  <c r="CG238" i="2"/>
  <c r="CI238" i="2" s="1"/>
  <c r="CH238" i="2"/>
  <c r="CJ238" i="2"/>
  <c r="CG239" i="2"/>
  <c r="CH239" i="2"/>
  <c r="CJ239" i="2"/>
  <c r="CI239" i="2" s="1"/>
  <c r="CG240" i="2"/>
  <c r="CH240" i="2"/>
  <c r="CJ240" i="2"/>
  <c r="CG241" i="2"/>
  <c r="CH241" i="2"/>
  <c r="CJ241" i="2"/>
  <c r="CG242" i="2"/>
  <c r="CH242" i="2"/>
  <c r="CJ242" i="2"/>
  <c r="CG243" i="2"/>
  <c r="CI243" i="2" s="1"/>
  <c r="CH243" i="2"/>
  <c r="CJ243" i="2"/>
  <c r="CG244" i="2"/>
  <c r="CI244" i="2" s="1"/>
  <c r="CH244" i="2"/>
  <c r="CJ244" i="2"/>
  <c r="CG245" i="2"/>
  <c r="CH245" i="2"/>
  <c r="CJ245" i="2"/>
  <c r="CG246" i="2"/>
  <c r="CI246" i="2" s="1"/>
  <c r="CH246" i="2"/>
  <c r="CJ246" i="2"/>
  <c r="CG247" i="2"/>
  <c r="CI247" i="2" s="1"/>
  <c r="CH247" i="2"/>
  <c r="CJ247" i="2"/>
  <c r="CG248" i="2"/>
  <c r="CH248" i="2"/>
  <c r="CJ248" i="2"/>
  <c r="CG249" i="2"/>
  <c r="CI249" i="2" s="1"/>
  <c r="CH249" i="2"/>
  <c r="CJ249" i="2"/>
  <c r="CG250" i="2"/>
  <c r="CH250" i="2"/>
  <c r="CI250" i="2"/>
  <c r="CJ250" i="2"/>
  <c r="CG251" i="2"/>
  <c r="CH251" i="2"/>
  <c r="CJ251" i="2"/>
  <c r="CG252" i="2"/>
  <c r="CI252" i="2" s="1"/>
  <c r="CH252" i="2"/>
  <c r="CJ252" i="2"/>
  <c r="CG253" i="2"/>
  <c r="CH253" i="2"/>
  <c r="CJ253" i="2"/>
  <c r="CG254" i="2"/>
  <c r="CH254" i="2"/>
  <c r="CI254" i="2"/>
  <c r="CJ254" i="2"/>
  <c r="CG255" i="2"/>
  <c r="CH255" i="2"/>
  <c r="CI255" i="2"/>
  <c r="CJ255" i="2"/>
  <c r="CG256" i="2"/>
  <c r="CI256" i="2" s="1"/>
  <c r="CH256" i="2"/>
  <c r="CJ256" i="2"/>
  <c r="CG257" i="2"/>
  <c r="CH257" i="2"/>
  <c r="CJ257" i="2"/>
  <c r="CG258" i="2"/>
  <c r="CI258" i="2" s="1"/>
  <c r="CH258" i="2"/>
  <c r="CJ258" i="2"/>
  <c r="CG259" i="2"/>
  <c r="CH259" i="2"/>
  <c r="CI259" i="2"/>
  <c r="CJ259" i="2"/>
  <c r="CG260" i="2"/>
  <c r="CH260" i="2"/>
  <c r="CJ260" i="2"/>
  <c r="CG261" i="2"/>
  <c r="CI261" i="2" s="1"/>
  <c r="CH261" i="2"/>
  <c r="CJ261" i="2"/>
  <c r="CG262" i="2"/>
  <c r="CH262" i="2"/>
  <c r="CJ262" i="2"/>
  <c r="CI262" i="2" s="1"/>
  <c r="CG263" i="2"/>
  <c r="CH263" i="2"/>
  <c r="CI263" i="2"/>
  <c r="CJ263" i="2"/>
  <c r="CG264" i="2"/>
  <c r="CI264" i="2" s="1"/>
  <c r="CH264" i="2"/>
  <c r="CJ264" i="2"/>
  <c r="CG265" i="2"/>
  <c r="CI265" i="2" s="1"/>
  <c r="CH265" i="2"/>
  <c r="CJ265" i="2"/>
  <c r="CG266" i="2"/>
  <c r="CI266" i="2" s="1"/>
  <c r="CH266" i="2"/>
  <c r="CJ266" i="2"/>
  <c r="CG267" i="2"/>
  <c r="CI267" i="2" s="1"/>
  <c r="CH267" i="2"/>
  <c r="CJ267" i="2"/>
  <c r="CG268" i="2"/>
  <c r="CH268" i="2"/>
  <c r="CJ268" i="2"/>
  <c r="CG269" i="2"/>
  <c r="CH269" i="2"/>
  <c r="CJ269" i="2"/>
  <c r="CG270" i="2"/>
  <c r="CI270" i="2" s="1"/>
  <c r="CH270" i="2"/>
  <c r="CJ270" i="2"/>
  <c r="CG271" i="2"/>
  <c r="CH271" i="2"/>
  <c r="CJ271" i="2"/>
  <c r="CI271" i="2" s="1"/>
  <c r="CG272" i="2"/>
  <c r="CH272" i="2"/>
  <c r="CJ272" i="2"/>
  <c r="CG273" i="2"/>
  <c r="CH273" i="2"/>
  <c r="CJ273" i="2"/>
  <c r="CG274" i="2"/>
  <c r="CH274" i="2"/>
  <c r="CJ274" i="2"/>
  <c r="CG275" i="2"/>
  <c r="CI275" i="2" s="1"/>
  <c r="CH275" i="2"/>
  <c r="CJ275" i="2"/>
  <c r="CG276" i="2"/>
  <c r="CH276" i="2"/>
  <c r="CJ276" i="2"/>
  <c r="CG277" i="2"/>
  <c r="CH277" i="2"/>
  <c r="CJ277" i="2"/>
  <c r="CG278" i="2"/>
  <c r="CH278" i="2"/>
  <c r="CJ278" i="2"/>
  <c r="CI278" i="2" s="1"/>
  <c r="CG279" i="2"/>
  <c r="CI279" i="2" s="1"/>
  <c r="CH279" i="2"/>
  <c r="CJ279" i="2"/>
  <c r="CG280" i="2"/>
  <c r="CH280" i="2"/>
  <c r="CJ280" i="2"/>
  <c r="CG281" i="2"/>
  <c r="CI281" i="2" s="1"/>
  <c r="CH281" i="2"/>
  <c r="CJ281" i="2"/>
  <c r="CG282" i="2"/>
  <c r="CH282" i="2"/>
  <c r="CI282" i="2"/>
  <c r="CJ282" i="2"/>
  <c r="CG283" i="2"/>
  <c r="CI283" i="2" s="1"/>
  <c r="CH283" i="2"/>
  <c r="CJ283" i="2"/>
  <c r="CG284" i="2"/>
  <c r="CI284" i="2" s="1"/>
  <c r="CH284" i="2"/>
  <c r="CJ284" i="2"/>
  <c r="CG285" i="2"/>
  <c r="CH285" i="2"/>
  <c r="CJ285" i="2"/>
  <c r="CG286" i="2"/>
  <c r="CH286" i="2"/>
  <c r="CI286" i="2"/>
  <c r="CJ286" i="2"/>
  <c r="CG287" i="2"/>
  <c r="CI287" i="2" s="1"/>
  <c r="CH287" i="2"/>
  <c r="CJ287" i="2"/>
  <c r="CG288" i="2"/>
  <c r="CH288" i="2"/>
  <c r="CJ288" i="2"/>
  <c r="CG289" i="2"/>
  <c r="CI289" i="2" s="1"/>
  <c r="CH289" i="2"/>
  <c r="CJ289" i="2"/>
  <c r="CG290" i="2"/>
  <c r="CH290" i="2"/>
  <c r="CJ290" i="2"/>
  <c r="CG291" i="2"/>
  <c r="CH291" i="2"/>
  <c r="CI291" i="2"/>
  <c r="CJ291" i="2"/>
  <c r="CG292" i="2"/>
  <c r="CI292" i="2" s="1"/>
  <c r="CH292" i="2"/>
  <c r="CJ292" i="2"/>
  <c r="CG293" i="2"/>
  <c r="CI293" i="2" s="1"/>
  <c r="CH293" i="2"/>
  <c r="CJ293" i="2"/>
  <c r="CG294" i="2"/>
  <c r="CH294" i="2"/>
  <c r="CJ294" i="2"/>
  <c r="CI294" i="2" s="1"/>
  <c r="CG295" i="2"/>
  <c r="CH295" i="2"/>
  <c r="CI295" i="2"/>
  <c r="CJ295" i="2"/>
  <c r="CG296" i="2"/>
  <c r="CH296" i="2"/>
  <c r="CJ296" i="2"/>
  <c r="CG297" i="2"/>
  <c r="CI297" i="2" s="1"/>
  <c r="CH297" i="2"/>
  <c r="CJ297" i="2"/>
  <c r="CG298" i="2"/>
  <c r="CI298" i="2" s="1"/>
  <c r="CH298" i="2"/>
  <c r="CJ298" i="2"/>
  <c r="CG299" i="2"/>
  <c r="CI299" i="2" s="1"/>
  <c r="CH299" i="2"/>
  <c r="CJ299" i="2"/>
  <c r="CG300" i="2"/>
  <c r="CH300" i="2"/>
  <c r="CJ300" i="2"/>
  <c r="CG301" i="2"/>
  <c r="CH301" i="2"/>
  <c r="CJ301" i="2"/>
  <c r="CG302" i="2"/>
  <c r="CI302" i="2" s="1"/>
  <c r="CH302" i="2"/>
  <c r="CJ302" i="2"/>
  <c r="CG303" i="2"/>
  <c r="CH303" i="2"/>
  <c r="CJ303" i="2"/>
  <c r="CI303" i="2" s="1"/>
  <c r="CG304" i="2"/>
  <c r="CH304" i="2"/>
  <c r="CJ304" i="2"/>
  <c r="CG305" i="2"/>
  <c r="CH305" i="2"/>
  <c r="CJ305" i="2"/>
  <c r="CG306" i="2"/>
  <c r="CI306" i="2" s="1"/>
  <c r="CH306" i="2"/>
  <c r="CJ306" i="2"/>
  <c r="CG307" i="2"/>
  <c r="CI307" i="2" s="1"/>
  <c r="CH307" i="2"/>
  <c r="CJ307" i="2"/>
  <c r="CG308" i="2"/>
  <c r="CH308" i="2"/>
  <c r="CJ308" i="2"/>
  <c r="CG309" i="2"/>
  <c r="CH309" i="2"/>
  <c r="CJ309" i="2"/>
  <c r="CG310" i="2"/>
  <c r="CI310" i="2" s="1"/>
  <c r="CH310" i="2"/>
  <c r="CJ310" i="2"/>
  <c r="CG311" i="2"/>
  <c r="CI311" i="2" s="1"/>
  <c r="CH311" i="2"/>
  <c r="CJ311" i="2"/>
  <c r="CG312" i="2"/>
  <c r="CH312" i="2"/>
  <c r="CJ312" i="2"/>
  <c r="CG313" i="2"/>
  <c r="CI313" i="2" s="1"/>
  <c r="CH313" i="2"/>
  <c r="CJ313" i="2"/>
  <c r="CG314" i="2"/>
  <c r="CH314" i="2"/>
  <c r="CI314" i="2"/>
  <c r="CJ314" i="2"/>
  <c r="CG315" i="2"/>
  <c r="CI315" i="2" s="1"/>
  <c r="CH315" i="2"/>
  <c r="CJ315" i="2"/>
  <c r="CG316" i="2"/>
  <c r="CI316" i="2" s="1"/>
  <c r="CH316" i="2"/>
  <c r="CJ316" i="2"/>
  <c r="CG317" i="2"/>
  <c r="CH317" i="2"/>
  <c r="CJ317" i="2"/>
  <c r="CG318" i="2"/>
  <c r="CH318" i="2"/>
  <c r="CI318" i="2"/>
  <c r="CJ318" i="2"/>
  <c r="CG319" i="2"/>
  <c r="CI319" i="2" s="1"/>
  <c r="CH319" i="2"/>
  <c r="CJ319" i="2"/>
  <c r="CG320" i="2"/>
  <c r="CH320" i="2"/>
  <c r="CJ320" i="2"/>
  <c r="CG321" i="2"/>
  <c r="CI321" i="2" s="1"/>
  <c r="CH321" i="2"/>
  <c r="CJ321" i="2"/>
  <c r="CG322" i="2"/>
  <c r="CH322" i="2"/>
  <c r="CJ322" i="2"/>
  <c r="CG323" i="2"/>
  <c r="CH323" i="2"/>
  <c r="CI323" i="2"/>
  <c r="CJ323" i="2"/>
  <c r="CG324" i="2"/>
  <c r="CI324" i="2" s="1"/>
  <c r="CH324" i="2"/>
  <c r="CJ324" i="2"/>
  <c r="CG325" i="2"/>
  <c r="CI325" i="2" s="1"/>
  <c r="CH325" i="2"/>
  <c r="CJ325" i="2"/>
  <c r="CG326" i="2"/>
  <c r="CH326" i="2"/>
  <c r="CJ326" i="2"/>
  <c r="CI326" i="2" s="1"/>
  <c r="CG327" i="2"/>
  <c r="CH327" i="2"/>
  <c r="CI327" i="2"/>
  <c r="CJ327" i="2"/>
  <c r="CG328" i="2"/>
  <c r="CH328" i="2"/>
  <c r="CJ328" i="2"/>
  <c r="CG329" i="2"/>
  <c r="CI329" i="2" s="1"/>
  <c r="CH329" i="2"/>
  <c r="CJ329" i="2"/>
  <c r="CG330" i="2"/>
  <c r="CI330" i="2" s="1"/>
  <c r="CH330" i="2"/>
  <c r="CJ330" i="2"/>
  <c r="CG331" i="2"/>
  <c r="CH331" i="2"/>
  <c r="CJ331" i="2"/>
  <c r="CG332" i="2"/>
  <c r="CH332" i="2"/>
  <c r="CJ332" i="2"/>
  <c r="CG333" i="2"/>
  <c r="CH333" i="2"/>
  <c r="CJ333" i="2"/>
  <c r="CG334" i="2"/>
  <c r="CI334" i="2" s="1"/>
  <c r="CH334" i="2"/>
  <c r="CJ334" i="2"/>
  <c r="CG335" i="2"/>
  <c r="CH335" i="2"/>
  <c r="CJ335" i="2"/>
  <c r="CI335" i="2" s="1"/>
  <c r="CG336" i="2"/>
  <c r="CH336" i="2"/>
  <c r="CJ336" i="2"/>
  <c r="CG337" i="2"/>
  <c r="CH337" i="2"/>
  <c r="CJ337" i="2"/>
  <c r="CG338" i="2"/>
  <c r="CH338" i="2"/>
  <c r="CJ338" i="2"/>
  <c r="CG339" i="2"/>
  <c r="CI339" i="2" s="1"/>
  <c r="CH339" i="2"/>
  <c r="CJ339" i="2"/>
  <c r="CG340" i="2"/>
  <c r="CI340" i="2" s="1"/>
  <c r="CH340" i="2"/>
  <c r="CJ340" i="2"/>
  <c r="CG341" i="2"/>
  <c r="CH341" i="2"/>
  <c r="CJ341" i="2"/>
  <c r="CG342" i="2"/>
  <c r="CH342" i="2"/>
  <c r="CI342" i="2" s="1"/>
  <c r="CJ342" i="2"/>
  <c r="CG343" i="2"/>
  <c r="CI343" i="2" s="1"/>
  <c r="CH343" i="2"/>
  <c r="CJ343" i="2"/>
  <c r="CG344" i="2"/>
  <c r="CH344" i="2"/>
  <c r="CI344" i="2"/>
  <c r="CJ344" i="2"/>
  <c r="CG345" i="2"/>
  <c r="CI345" i="2" s="1"/>
  <c r="CH345" i="2"/>
  <c r="CJ345" i="2"/>
  <c r="CG346" i="2"/>
  <c r="CH346" i="2"/>
  <c r="CI346" i="2"/>
  <c r="CJ346" i="2"/>
  <c r="CG347" i="2"/>
  <c r="CI347" i="2" s="1"/>
  <c r="CH347" i="2"/>
  <c r="CJ347" i="2"/>
  <c r="CG348" i="2"/>
  <c r="CH348" i="2"/>
  <c r="CI348" i="2"/>
  <c r="CJ348" i="2"/>
  <c r="CG349" i="2"/>
  <c r="CI349" i="2" s="1"/>
  <c r="CH349" i="2"/>
  <c r="CJ349" i="2"/>
  <c r="CG350" i="2"/>
  <c r="CH350" i="2"/>
  <c r="CI350" i="2"/>
  <c r="CJ350" i="2"/>
  <c r="CG351" i="2"/>
  <c r="CI351" i="2" s="1"/>
  <c r="CH351" i="2"/>
  <c r="CJ351" i="2"/>
  <c r="CG352" i="2"/>
  <c r="CH352" i="2"/>
  <c r="CI352" i="2"/>
  <c r="CJ352" i="2"/>
  <c r="CG353" i="2"/>
  <c r="CH353" i="2"/>
  <c r="CJ353" i="2"/>
  <c r="CG354" i="2"/>
  <c r="CH354" i="2"/>
  <c r="CI354" i="2" s="1"/>
  <c r="CJ354" i="2"/>
  <c r="CG355" i="2"/>
  <c r="CI355" i="2" s="1"/>
  <c r="CH355" i="2"/>
  <c r="CJ355" i="2"/>
  <c r="CG356" i="2"/>
  <c r="CH356" i="2"/>
  <c r="CI356" i="2"/>
  <c r="CJ356" i="2"/>
  <c r="CG357" i="2"/>
  <c r="CH357" i="2"/>
  <c r="CJ357" i="2"/>
  <c r="CG358" i="2"/>
  <c r="CH358" i="2"/>
  <c r="CI358" i="2" s="1"/>
  <c r="CJ358" i="2"/>
  <c r="CG359" i="2"/>
  <c r="CI359" i="2" s="1"/>
  <c r="CH359" i="2"/>
  <c r="CJ359" i="2"/>
  <c r="CG360" i="2"/>
  <c r="CH360" i="2"/>
  <c r="CI360" i="2"/>
  <c r="CJ360" i="2"/>
  <c r="CG361" i="2"/>
  <c r="CH361" i="2"/>
  <c r="CJ361" i="2"/>
  <c r="CG362" i="2"/>
  <c r="CH362" i="2"/>
  <c r="CI362" i="2"/>
  <c r="CJ362" i="2"/>
  <c r="CG363" i="2"/>
  <c r="CI363" i="2" s="1"/>
  <c r="CH363" i="2"/>
  <c r="CJ363" i="2"/>
  <c r="CG364" i="2"/>
  <c r="CH364" i="2"/>
  <c r="CI364" i="2"/>
  <c r="CJ364" i="2"/>
  <c r="CG365" i="2"/>
  <c r="CH365" i="2"/>
  <c r="CJ365" i="2"/>
  <c r="CG366" i="2"/>
  <c r="CH366" i="2"/>
  <c r="CI366" i="2" s="1"/>
  <c r="CJ366" i="2"/>
  <c r="CG367" i="2"/>
  <c r="CI367" i="2" s="1"/>
  <c r="CH367" i="2"/>
  <c r="CJ367" i="2"/>
  <c r="CG368" i="2"/>
  <c r="CH368" i="2"/>
  <c r="CI368" i="2"/>
  <c r="CJ368" i="2"/>
  <c r="CG369" i="2"/>
  <c r="CH369" i="2"/>
  <c r="CJ369" i="2"/>
  <c r="CG370" i="2"/>
  <c r="CH370" i="2"/>
  <c r="CI370" i="2" s="1"/>
  <c r="CJ370" i="2"/>
  <c r="CG371" i="2"/>
  <c r="CI371" i="2" s="1"/>
  <c r="CH371" i="2"/>
  <c r="CJ371" i="2"/>
  <c r="CG372" i="2"/>
  <c r="CH372" i="2"/>
  <c r="CI372" i="2"/>
  <c r="CJ372" i="2"/>
  <c r="CG373" i="2"/>
  <c r="CH373" i="2"/>
  <c r="CJ373" i="2"/>
  <c r="CG374" i="2"/>
  <c r="CH374" i="2"/>
  <c r="CI374" i="2" s="1"/>
  <c r="CJ374" i="2"/>
  <c r="CG375" i="2"/>
  <c r="CI375" i="2" s="1"/>
  <c r="CH375" i="2"/>
  <c r="CJ375" i="2"/>
  <c r="CG376" i="2"/>
  <c r="CH376" i="2"/>
  <c r="CI376" i="2"/>
  <c r="CJ376" i="2"/>
  <c r="CG377" i="2"/>
  <c r="CI377" i="2" s="1"/>
  <c r="CH377" i="2"/>
  <c r="CJ377" i="2"/>
  <c r="CG378" i="2"/>
  <c r="CH378" i="2"/>
  <c r="CI378" i="2"/>
  <c r="CJ378" i="2"/>
  <c r="CG379" i="2"/>
  <c r="CI379" i="2" s="1"/>
  <c r="CH379" i="2"/>
  <c r="CJ379" i="2"/>
  <c r="CG380" i="2"/>
  <c r="CH380" i="2"/>
  <c r="CI380" i="2"/>
  <c r="CJ380" i="2"/>
  <c r="CG381" i="2"/>
  <c r="CI381" i="2" s="1"/>
  <c r="CH381" i="2"/>
  <c r="CJ381" i="2"/>
  <c r="CG382" i="2"/>
  <c r="CH382" i="2"/>
  <c r="CI382" i="2"/>
  <c r="CJ382" i="2"/>
  <c r="CG383" i="2"/>
  <c r="CI383" i="2" s="1"/>
  <c r="CH383" i="2"/>
  <c r="CJ383" i="2"/>
  <c r="CG384" i="2"/>
  <c r="CH384" i="2"/>
  <c r="CI384" i="2"/>
  <c r="CJ384" i="2"/>
  <c r="CG385" i="2"/>
  <c r="CH385" i="2"/>
  <c r="CJ385" i="2"/>
  <c r="CG386" i="2"/>
  <c r="CH386" i="2"/>
  <c r="CI386" i="2" s="1"/>
  <c r="CJ386" i="2"/>
  <c r="CG387" i="2"/>
  <c r="CI387" i="2" s="1"/>
  <c r="CH387" i="2"/>
  <c r="CJ387" i="2"/>
  <c r="CG388" i="2"/>
  <c r="CH388" i="2"/>
  <c r="CI388" i="2"/>
  <c r="CJ388" i="2"/>
  <c r="CG389" i="2"/>
  <c r="CH389" i="2"/>
  <c r="CJ389" i="2"/>
  <c r="CG390" i="2"/>
  <c r="CH390" i="2"/>
  <c r="CI390" i="2" s="1"/>
  <c r="CJ390" i="2"/>
  <c r="CG391" i="2"/>
  <c r="CI391" i="2" s="1"/>
  <c r="CH391" i="2"/>
  <c r="CJ391" i="2"/>
  <c r="CG392" i="2"/>
  <c r="CH392" i="2"/>
  <c r="CI392" i="2"/>
  <c r="CJ392" i="2"/>
  <c r="CG393" i="2"/>
  <c r="CH393" i="2"/>
  <c r="CJ393" i="2"/>
  <c r="CG394" i="2"/>
  <c r="CH394" i="2"/>
  <c r="CI394" i="2"/>
  <c r="CJ394" i="2"/>
  <c r="CG395" i="2"/>
  <c r="CI395" i="2" s="1"/>
  <c r="CH395" i="2"/>
  <c r="CJ395" i="2"/>
  <c r="CG396" i="2"/>
  <c r="CH396" i="2"/>
  <c r="CI396" i="2"/>
  <c r="CJ396" i="2"/>
  <c r="CG397" i="2"/>
  <c r="CH397" i="2"/>
  <c r="CJ397" i="2"/>
  <c r="CG398" i="2"/>
  <c r="CH398" i="2"/>
  <c r="CI398" i="2" s="1"/>
  <c r="CJ398" i="2"/>
  <c r="CG399" i="2"/>
  <c r="CI399" i="2" s="1"/>
  <c r="CH399" i="2"/>
  <c r="CJ399" i="2"/>
  <c r="CG400" i="2"/>
  <c r="CH400" i="2"/>
  <c r="CI400" i="2"/>
  <c r="CJ400" i="2"/>
  <c r="CG401" i="2"/>
  <c r="CH401" i="2"/>
  <c r="CJ401" i="2"/>
  <c r="CG402" i="2"/>
  <c r="CH402" i="2"/>
  <c r="CI402" i="2" s="1"/>
  <c r="CJ402" i="2"/>
  <c r="CG403" i="2"/>
  <c r="CI403" i="2" s="1"/>
  <c r="CH403" i="2"/>
  <c r="CJ403" i="2"/>
  <c r="CG404" i="2"/>
  <c r="CH404" i="2"/>
  <c r="CI404" i="2"/>
  <c r="CJ404" i="2"/>
  <c r="CG405" i="2"/>
  <c r="CH405" i="2"/>
  <c r="CJ405" i="2"/>
  <c r="CG406" i="2"/>
  <c r="CH406" i="2"/>
  <c r="CI406" i="2" s="1"/>
  <c r="CJ406" i="2"/>
  <c r="CG407" i="2"/>
  <c r="CI407" i="2" s="1"/>
  <c r="CH407" i="2"/>
  <c r="CJ407" i="2"/>
  <c r="CG408" i="2"/>
  <c r="CH408" i="2"/>
  <c r="CI408" i="2"/>
  <c r="CJ408" i="2"/>
  <c r="CG409" i="2"/>
  <c r="CI409" i="2" s="1"/>
  <c r="CH409" i="2"/>
  <c r="CJ409" i="2"/>
  <c r="CG410" i="2"/>
  <c r="CI410" i="2" s="1"/>
  <c r="CH410" i="2"/>
  <c r="CJ410" i="2"/>
  <c r="CG411" i="2"/>
  <c r="CI411" i="2" s="1"/>
  <c r="CH411" i="2"/>
  <c r="CJ411" i="2"/>
  <c r="CG412" i="2"/>
  <c r="CH412" i="2"/>
  <c r="CI412" i="2"/>
  <c r="CJ412" i="2"/>
  <c r="CG413" i="2"/>
  <c r="CI413" i="2" s="1"/>
  <c r="CH413" i="2"/>
  <c r="CJ413" i="2"/>
  <c r="CG414" i="2"/>
  <c r="CH414" i="2"/>
  <c r="CI414" i="2"/>
  <c r="CJ414" i="2"/>
  <c r="CG415" i="2"/>
  <c r="CI415" i="2" s="1"/>
  <c r="CH415" i="2"/>
  <c r="CJ415" i="2"/>
  <c r="CG416" i="2"/>
  <c r="CH416" i="2"/>
  <c r="CI416" i="2"/>
  <c r="CJ416" i="2"/>
  <c r="CG417" i="2"/>
  <c r="CH417" i="2"/>
  <c r="CJ417" i="2"/>
  <c r="CG418" i="2"/>
  <c r="CI418" i="2" s="1"/>
  <c r="CH418" i="2"/>
  <c r="CJ418" i="2"/>
  <c r="CG419" i="2"/>
  <c r="CI419" i="2" s="1"/>
  <c r="CH419" i="2"/>
  <c r="CJ419" i="2"/>
  <c r="CG420" i="2"/>
  <c r="CH420" i="2"/>
  <c r="CI420" i="2"/>
  <c r="CJ420" i="2"/>
  <c r="CG421" i="2"/>
  <c r="CH421" i="2"/>
  <c r="CJ421" i="2"/>
  <c r="CG422" i="2"/>
  <c r="CI422" i="2" s="1"/>
  <c r="CH422" i="2"/>
  <c r="CJ422" i="2"/>
  <c r="CG423" i="2"/>
  <c r="CI423" i="2" s="1"/>
  <c r="CH423" i="2"/>
  <c r="CJ423" i="2"/>
  <c r="CG424" i="2"/>
  <c r="CH424" i="2"/>
  <c r="CI424" i="2"/>
  <c r="CJ424" i="2"/>
  <c r="CG425" i="2"/>
  <c r="CH425" i="2"/>
  <c r="CJ425" i="2"/>
  <c r="CG426" i="2"/>
  <c r="CH426" i="2"/>
  <c r="CJ426" i="2"/>
  <c r="CI426" i="2" s="1"/>
  <c r="CG427" i="2"/>
  <c r="CI427" i="2" s="1"/>
  <c r="CH427" i="2"/>
  <c r="CJ427" i="2"/>
  <c r="CG428" i="2"/>
  <c r="CH428" i="2"/>
  <c r="CI428" i="2"/>
  <c r="CJ428" i="2"/>
  <c r="CG429" i="2"/>
  <c r="CI429" i="2" s="1"/>
  <c r="CH429" i="2"/>
  <c r="CJ429" i="2"/>
  <c r="CG430" i="2"/>
  <c r="CH430" i="2"/>
  <c r="CI430" i="2" s="1"/>
  <c r="CJ430" i="2"/>
  <c r="CG431" i="2"/>
  <c r="CI431" i="2" s="1"/>
  <c r="CH431" i="2"/>
  <c r="CJ431" i="2"/>
  <c r="CG432" i="2"/>
  <c r="CH432" i="2"/>
  <c r="CI432" i="2"/>
  <c r="CJ432" i="2"/>
  <c r="CG433" i="2"/>
  <c r="CH433" i="2"/>
  <c r="CJ433" i="2"/>
  <c r="CG434" i="2"/>
  <c r="CI434" i="2" s="1"/>
  <c r="CH434" i="2"/>
  <c r="CJ434" i="2"/>
  <c r="CG435" i="2"/>
  <c r="CI435" i="2" s="1"/>
  <c r="CH435" i="2"/>
  <c r="CJ435" i="2"/>
  <c r="CG436" i="2"/>
  <c r="CH436" i="2"/>
  <c r="CI436" i="2"/>
  <c r="CJ436" i="2"/>
  <c r="CG437" i="2"/>
  <c r="CH437" i="2"/>
  <c r="CJ437" i="2"/>
  <c r="CG438" i="2"/>
  <c r="CH438" i="2"/>
  <c r="CI438" i="2" s="1"/>
  <c r="CJ438" i="2"/>
  <c r="CG439" i="2"/>
  <c r="CI439" i="2" s="1"/>
  <c r="CH439" i="2"/>
  <c r="CJ439" i="2"/>
  <c r="CG440" i="2"/>
  <c r="CH440" i="2"/>
  <c r="CI440" i="2"/>
  <c r="CJ440" i="2"/>
  <c r="CG441" i="2"/>
  <c r="CI441" i="2" s="1"/>
  <c r="CH441" i="2"/>
  <c r="CJ441" i="2"/>
  <c r="CG442" i="2"/>
  <c r="CI442" i="2" s="1"/>
  <c r="CH442" i="2"/>
  <c r="CJ442" i="2"/>
  <c r="CG443" i="2"/>
  <c r="CI443" i="2" s="1"/>
  <c r="CH443" i="2"/>
  <c r="CJ443" i="2"/>
  <c r="CG444" i="2"/>
  <c r="CH444" i="2"/>
  <c r="CI444" i="2"/>
  <c r="CJ444" i="2"/>
  <c r="CG445" i="2"/>
  <c r="CI445" i="2" s="1"/>
  <c r="CH445" i="2"/>
  <c r="CJ445" i="2"/>
  <c r="CG446" i="2"/>
  <c r="CH446" i="2"/>
  <c r="CI446" i="2"/>
  <c r="CJ446" i="2"/>
  <c r="CG447" i="2"/>
  <c r="CI447" i="2" s="1"/>
  <c r="CH447" i="2"/>
  <c r="CJ447" i="2"/>
  <c r="CG448" i="2"/>
  <c r="CH448" i="2"/>
  <c r="CI448" i="2"/>
  <c r="CJ448" i="2"/>
  <c r="CG449" i="2"/>
  <c r="CH449" i="2"/>
  <c r="CJ449" i="2"/>
  <c r="CG450" i="2"/>
  <c r="CI450" i="2" s="1"/>
  <c r="CH450" i="2"/>
  <c r="CJ450" i="2"/>
  <c r="CG451" i="2"/>
  <c r="CI451" i="2" s="1"/>
  <c r="CH451" i="2"/>
  <c r="CJ451" i="2"/>
  <c r="CG452" i="2"/>
  <c r="CH452" i="2"/>
  <c r="CI452" i="2"/>
  <c r="CJ452" i="2"/>
  <c r="CG453" i="2"/>
  <c r="CH453" i="2"/>
  <c r="CJ453" i="2"/>
  <c r="CG454" i="2"/>
  <c r="CI454" i="2" s="1"/>
  <c r="CH454" i="2"/>
  <c r="CJ454" i="2"/>
  <c r="CG455" i="2"/>
  <c r="CH455" i="2"/>
  <c r="CJ455" i="2"/>
  <c r="CG456" i="2"/>
  <c r="CH456" i="2"/>
  <c r="CI456" i="2"/>
  <c r="CJ456" i="2"/>
  <c r="CG457" i="2"/>
  <c r="CH457" i="2"/>
  <c r="CJ457" i="2"/>
  <c r="CG458" i="2"/>
  <c r="CH458" i="2"/>
  <c r="CJ458" i="2"/>
  <c r="CI458" i="2" s="1"/>
  <c r="CG459" i="2"/>
  <c r="CI459" i="2" s="1"/>
  <c r="CH459" i="2"/>
  <c r="CJ459" i="2"/>
  <c r="CG460" i="2"/>
  <c r="CH460" i="2"/>
  <c r="CI460" i="2"/>
  <c r="CJ460" i="2"/>
  <c r="CG461" i="2"/>
  <c r="CI461" i="2" s="1"/>
  <c r="CH461" i="2"/>
  <c r="CJ461" i="2"/>
  <c r="CG462" i="2"/>
  <c r="CH462" i="2"/>
  <c r="CI462" i="2" s="1"/>
  <c r="CJ462" i="2"/>
  <c r="CG463" i="2"/>
  <c r="CH463" i="2"/>
  <c r="CJ463" i="2"/>
  <c r="CG464" i="2"/>
  <c r="CH464" i="2"/>
  <c r="CI464" i="2"/>
  <c r="CJ464" i="2"/>
  <c r="CG465" i="2"/>
  <c r="CH465" i="2"/>
  <c r="CJ465" i="2"/>
  <c r="CG466" i="2"/>
  <c r="CI466" i="2" s="1"/>
  <c r="CH466" i="2"/>
  <c r="CJ466" i="2"/>
  <c r="CG467" i="2"/>
  <c r="CH467" i="2"/>
  <c r="CJ467" i="2"/>
  <c r="CG468" i="2"/>
  <c r="CH468" i="2"/>
  <c r="CI468" i="2"/>
  <c r="CJ468" i="2"/>
  <c r="CG469" i="2"/>
  <c r="CH469" i="2"/>
  <c r="CJ469" i="2"/>
  <c r="CG470" i="2"/>
  <c r="CH470" i="2"/>
  <c r="CI470" i="2" s="1"/>
  <c r="CJ470" i="2"/>
  <c r="CG471" i="2"/>
  <c r="CH471" i="2"/>
  <c r="CJ471" i="2"/>
  <c r="CG472" i="2"/>
  <c r="CH472" i="2"/>
  <c r="CI472" i="2"/>
  <c r="CJ472" i="2"/>
  <c r="CG473" i="2"/>
  <c r="CI473" i="2" s="1"/>
  <c r="CH473" i="2"/>
  <c r="CJ473" i="2"/>
  <c r="CG474" i="2"/>
  <c r="CI474" i="2" s="1"/>
  <c r="CH474" i="2"/>
  <c r="CJ474" i="2"/>
  <c r="CG475" i="2"/>
  <c r="CH475" i="2"/>
  <c r="CJ475" i="2"/>
  <c r="CG476" i="2"/>
  <c r="CH476" i="2"/>
  <c r="CJ476" i="2"/>
  <c r="CI476" i="2" s="1"/>
  <c r="CG477" i="2"/>
  <c r="CI477" i="2" s="1"/>
  <c r="CH477" i="2"/>
  <c r="CJ477" i="2"/>
  <c r="CG478" i="2"/>
  <c r="CH478" i="2"/>
  <c r="CI478" i="2"/>
  <c r="CJ478" i="2"/>
  <c r="CG479" i="2"/>
  <c r="CH479" i="2"/>
  <c r="CJ479" i="2"/>
  <c r="CG480" i="2"/>
  <c r="CH480" i="2"/>
  <c r="CI480" i="2"/>
  <c r="CJ480" i="2"/>
  <c r="CG481" i="2"/>
  <c r="CH481" i="2"/>
  <c r="CJ481" i="2"/>
  <c r="CG482" i="2"/>
  <c r="CI482" i="2" s="1"/>
  <c r="CH482" i="2"/>
  <c r="CJ482" i="2"/>
  <c r="CG483" i="2"/>
  <c r="CI483" i="2" s="1"/>
  <c r="CH483" i="2"/>
  <c r="CJ483" i="2"/>
  <c r="CG484" i="2"/>
  <c r="CH484" i="2"/>
  <c r="CI484" i="2"/>
  <c r="CJ484" i="2"/>
  <c r="CG485" i="2"/>
  <c r="CH485" i="2"/>
  <c r="CJ485" i="2"/>
  <c r="CG486" i="2"/>
  <c r="CH486" i="2"/>
  <c r="CJ486" i="2"/>
  <c r="CG487" i="2"/>
  <c r="CH487" i="2"/>
  <c r="CJ487" i="2"/>
  <c r="CG488" i="2"/>
  <c r="CH488" i="2"/>
  <c r="CI488" i="2"/>
  <c r="CJ488" i="2"/>
  <c r="CG489" i="2"/>
  <c r="CH489" i="2"/>
  <c r="CJ489" i="2"/>
  <c r="CG490" i="2"/>
  <c r="CH490" i="2"/>
  <c r="CJ490" i="2"/>
  <c r="CI490" i="2" s="1"/>
  <c r="CG491" i="2"/>
  <c r="CI491" i="2" s="1"/>
  <c r="CH491" i="2"/>
  <c r="CJ491" i="2"/>
  <c r="CG492" i="2"/>
  <c r="CH492" i="2"/>
  <c r="CI492" i="2" s="1"/>
  <c r="CJ492" i="2"/>
  <c r="CG493" i="2"/>
  <c r="CI493" i="2" s="1"/>
  <c r="CH493" i="2"/>
  <c r="CJ493" i="2"/>
  <c r="CG494" i="2"/>
  <c r="CH494" i="2"/>
  <c r="CI494" i="2" s="1"/>
  <c r="CJ494" i="2"/>
  <c r="CG495" i="2"/>
  <c r="CH495" i="2"/>
  <c r="CJ495" i="2"/>
  <c r="CG496" i="2"/>
  <c r="CH496" i="2"/>
  <c r="CJ496" i="2"/>
  <c r="CI496" i="2" s="1"/>
  <c r="CG497" i="2"/>
  <c r="CH497" i="2"/>
  <c r="CJ497" i="2"/>
  <c r="CG498" i="2"/>
  <c r="CI498" i="2" s="1"/>
  <c r="CH498" i="2"/>
  <c r="CJ498" i="2"/>
  <c r="CG499" i="2"/>
  <c r="CH499" i="2"/>
  <c r="CJ499" i="2"/>
  <c r="CG500" i="2"/>
  <c r="CH500" i="2"/>
  <c r="CI500" i="2" s="1"/>
  <c r="CJ500" i="2"/>
  <c r="CG501" i="2"/>
  <c r="CH501" i="2"/>
  <c r="CJ501" i="2"/>
  <c r="CG502" i="2"/>
  <c r="CH502" i="2"/>
  <c r="CI502" i="2" s="1"/>
  <c r="CJ502" i="2"/>
  <c r="CG503" i="2"/>
  <c r="CH503" i="2"/>
  <c r="CJ503" i="2"/>
  <c r="CG504" i="2"/>
  <c r="CH504" i="2"/>
  <c r="CI504" i="2"/>
  <c r="CJ504" i="2"/>
  <c r="CG505" i="2"/>
  <c r="CI505" i="2" s="1"/>
  <c r="CH505" i="2"/>
  <c r="CJ505" i="2"/>
  <c r="CG506" i="2"/>
  <c r="CI506" i="2" s="1"/>
  <c r="CH506" i="2"/>
  <c r="CJ506" i="2"/>
  <c r="CG507" i="2"/>
  <c r="CH507" i="2"/>
  <c r="CJ507" i="2"/>
  <c r="CG508" i="2"/>
  <c r="CH508" i="2"/>
  <c r="CJ508" i="2"/>
  <c r="CI508" i="2" s="1"/>
  <c r="CG509" i="2"/>
  <c r="CI509" i="2" s="1"/>
  <c r="CH509" i="2"/>
  <c r="CJ509" i="2"/>
  <c r="CG510" i="2"/>
  <c r="CH510" i="2"/>
  <c r="CI510" i="2"/>
  <c r="CJ510" i="2"/>
  <c r="CG511" i="2"/>
  <c r="CH511" i="2"/>
  <c r="CJ511" i="2"/>
  <c r="CG512" i="2"/>
  <c r="CH512" i="2"/>
  <c r="CI512" i="2"/>
  <c r="CJ512" i="2"/>
  <c r="CG513" i="2"/>
  <c r="CH513" i="2"/>
  <c r="CJ513" i="2"/>
  <c r="CG514" i="2"/>
  <c r="CI514" i="2" s="1"/>
  <c r="CH514" i="2"/>
  <c r="CJ514" i="2"/>
  <c r="CG515" i="2"/>
  <c r="CI515" i="2" s="1"/>
  <c r="CH515" i="2"/>
  <c r="CJ515" i="2"/>
  <c r="CG516" i="2"/>
  <c r="CI516" i="2" s="1"/>
  <c r="CH516" i="2"/>
  <c r="CJ516" i="2"/>
  <c r="CG517" i="2"/>
  <c r="CH517" i="2"/>
  <c r="CJ517" i="2"/>
  <c r="CG518" i="2"/>
  <c r="CH518" i="2"/>
  <c r="CJ518" i="2"/>
  <c r="CG519" i="2"/>
  <c r="CH519" i="2"/>
  <c r="CJ519" i="2"/>
  <c r="CG520" i="2"/>
  <c r="CH520" i="2"/>
  <c r="CI520" i="2"/>
  <c r="CJ520" i="2"/>
  <c r="CG521" i="2"/>
  <c r="CH521" i="2"/>
  <c r="CJ521" i="2"/>
  <c r="CG522" i="2"/>
  <c r="CH522" i="2"/>
  <c r="CJ522" i="2"/>
  <c r="CI522" i="2" s="1"/>
  <c r="CG523" i="2"/>
  <c r="CI523" i="2" s="1"/>
  <c r="CH523" i="2"/>
  <c r="CJ523" i="2"/>
  <c r="CG524" i="2"/>
  <c r="CH524" i="2"/>
  <c r="CI524" i="2" s="1"/>
  <c r="CJ524" i="2"/>
  <c r="CG525" i="2"/>
  <c r="CI525" i="2" s="1"/>
  <c r="CH525" i="2"/>
  <c r="CJ525" i="2"/>
  <c r="CG526" i="2"/>
  <c r="CH526" i="2"/>
  <c r="CI526" i="2" s="1"/>
  <c r="CJ526" i="2"/>
  <c r="CG527" i="2"/>
  <c r="CH527" i="2"/>
  <c r="CJ527" i="2"/>
  <c r="CG528" i="2"/>
  <c r="CI528" i="2" s="1"/>
  <c r="CH528" i="2"/>
  <c r="CJ528" i="2"/>
  <c r="CG529" i="2"/>
  <c r="CH529" i="2"/>
  <c r="CJ529" i="2"/>
  <c r="CG530" i="2"/>
  <c r="CI530" i="2" s="1"/>
  <c r="CH530" i="2"/>
  <c r="CJ530" i="2"/>
  <c r="CG531" i="2"/>
  <c r="CH531" i="2"/>
  <c r="CJ531" i="2"/>
  <c r="CG532" i="2"/>
  <c r="CI532" i="2" s="1"/>
  <c r="CH532" i="2"/>
  <c r="CJ532" i="2"/>
  <c r="CG533" i="2"/>
  <c r="CH533" i="2"/>
  <c r="CJ533" i="2"/>
  <c r="CG534" i="2"/>
  <c r="CH534" i="2"/>
  <c r="CI534" i="2" s="1"/>
  <c r="CJ534" i="2"/>
  <c r="CG535" i="2"/>
  <c r="CH535" i="2"/>
  <c r="CJ535" i="2"/>
  <c r="CG536" i="2"/>
  <c r="CH536" i="2"/>
  <c r="CI536" i="2"/>
  <c r="CJ536" i="2"/>
  <c r="CG537" i="2"/>
  <c r="CI537" i="2" s="1"/>
  <c r="CH537" i="2"/>
  <c r="CJ537" i="2"/>
  <c r="CG538" i="2"/>
  <c r="CI538" i="2" s="1"/>
  <c r="CH538" i="2"/>
  <c r="CJ538" i="2"/>
  <c r="CG539" i="2"/>
  <c r="CH539" i="2"/>
  <c r="CJ539" i="2"/>
  <c r="CG540" i="2"/>
  <c r="CH540" i="2"/>
  <c r="CJ540" i="2"/>
  <c r="CI540" i="2" s="1"/>
  <c r="CG541" i="2"/>
  <c r="CI541" i="2" s="1"/>
  <c r="CH541" i="2"/>
  <c r="CJ541" i="2"/>
  <c r="CG542" i="2"/>
  <c r="CH542" i="2"/>
  <c r="CI542" i="2"/>
  <c r="CJ542" i="2"/>
  <c r="CG543" i="2"/>
  <c r="CH543" i="2"/>
  <c r="CJ543" i="2"/>
  <c r="CG544" i="2"/>
  <c r="CH544" i="2"/>
  <c r="CI544" i="2"/>
  <c r="CJ544" i="2"/>
  <c r="CG545" i="2"/>
  <c r="CH545" i="2"/>
  <c r="CJ545" i="2"/>
  <c r="CG546" i="2"/>
  <c r="CI546" i="2" s="1"/>
  <c r="CH546" i="2"/>
  <c r="CJ546" i="2"/>
  <c r="CG547" i="2"/>
  <c r="CI547" i="2" s="1"/>
  <c r="CH547" i="2"/>
  <c r="CJ547" i="2"/>
  <c r="CG548" i="2"/>
  <c r="CI548" i="2" s="1"/>
  <c r="CH548" i="2"/>
  <c r="CJ548" i="2"/>
  <c r="CG549" i="2"/>
  <c r="CH549" i="2"/>
  <c r="CJ549" i="2"/>
  <c r="CG550" i="2"/>
  <c r="CI550" i="2" s="1"/>
  <c r="CH550" i="2"/>
  <c r="CJ550" i="2"/>
  <c r="CG551" i="2"/>
  <c r="CH551" i="2"/>
  <c r="CJ551" i="2"/>
  <c r="CG552" i="2"/>
  <c r="CH552" i="2"/>
  <c r="CI552" i="2"/>
  <c r="CJ552" i="2"/>
  <c r="CG553" i="2"/>
  <c r="CH553" i="2"/>
  <c r="CJ553" i="2"/>
  <c r="CG554" i="2"/>
  <c r="CH554" i="2"/>
  <c r="CJ554" i="2"/>
  <c r="CI554" i="2" s="1"/>
  <c r="CG555" i="2"/>
  <c r="CH555" i="2"/>
  <c r="CJ555" i="2"/>
  <c r="CG556" i="2"/>
  <c r="CH556" i="2"/>
  <c r="CI556" i="2" s="1"/>
  <c r="CJ556" i="2"/>
  <c r="CG557" i="2"/>
  <c r="CI557" i="2" s="1"/>
  <c r="CH557" i="2"/>
  <c r="CJ557" i="2"/>
  <c r="CG558" i="2"/>
  <c r="CH558" i="2"/>
  <c r="CI558" i="2" s="1"/>
  <c r="CJ558" i="2"/>
  <c r="CG559" i="2"/>
  <c r="CH559" i="2"/>
  <c r="CJ559" i="2"/>
  <c r="CG560" i="2"/>
  <c r="CI560" i="2" s="1"/>
  <c r="CH560" i="2"/>
  <c r="CJ560" i="2"/>
  <c r="CG561" i="2"/>
  <c r="CH561" i="2"/>
  <c r="CJ561" i="2"/>
  <c r="CG562" i="2"/>
  <c r="CI562" i="2" s="1"/>
  <c r="CH562" i="2"/>
  <c r="CJ562" i="2"/>
  <c r="CG563" i="2"/>
  <c r="CH563" i="2"/>
  <c r="CJ563" i="2"/>
  <c r="CG564" i="2"/>
  <c r="CI564" i="2" s="1"/>
  <c r="CH564" i="2"/>
  <c r="CJ564" i="2"/>
  <c r="CG565" i="2"/>
  <c r="CH565" i="2"/>
  <c r="CJ565" i="2"/>
  <c r="CG566" i="2"/>
  <c r="CH566" i="2"/>
  <c r="CI566" i="2" s="1"/>
  <c r="CJ566" i="2"/>
  <c r="CG567" i="2"/>
  <c r="CH567" i="2"/>
  <c r="CJ567" i="2"/>
  <c r="CG568" i="2"/>
  <c r="CH568" i="2"/>
  <c r="CI568" i="2"/>
  <c r="CJ568" i="2"/>
  <c r="CG569" i="2"/>
  <c r="CI569" i="2" s="1"/>
  <c r="CH569" i="2"/>
  <c r="CJ569" i="2"/>
  <c r="CG570" i="2"/>
  <c r="CI570" i="2" s="1"/>
  <c r="CH570" i="2"/>
  <c r="CJ570" i="2"/>
  <c r="CG571" i="2"/>
  <c r="CH571" i="2"/>
  <c r="CJ571" i="2"/>
  <c r="CG572" i="2"/>
  <c r="CH572" i="2"/>
  <c r="CJ572" i="2"/>
  <c r="CI572" i="2" s="1"/>
  <c r="CG573" i="2"/>
  <c r="CI573" i="2" s="1"/>
  <c r="CH573" i="2"/>
  <c r="CJ573" i="2"/>
  <c r="CG574" i="2"/>
  <c r="CH574" i="2"/>
  <c r="CI574" i="2"/>
  <c r="CJ574" i="2"/>
  <c r="CG575" i="2"/>
  <c r="CH575" i="2"/>
  <c r="CJ575" i="2"/>
  <c r="CG576" i="2"/>
  <c r="CH576" i="2"/>
  <c r="CI576" i="2"/>
  <c r="CJ576" i="2"/>
  <c r="CG577" i="2"/>
  <c r="CH577" i="2"/>
  <c r="CJ577" i="2"/>
  <c r="CG578" i="2"/>
  <c r="CI578" i="2" s="1"/>
  <c r="CH578" i="2"/>
  <c r="CJ578" i="2"/>
  <c r="CG579" i="2"/>
  <c r="CI579" i="2" s="1"/>
  <c r="CH579" i="2"/>
  <c r="CJ579" i="2"/>
  <c r="CG580" i="2"/>
  <c r="CI580" i="2" s="1"/>
  <c r="CH580" i="2"/>
  <c r="CJ580" i="2"/>
  <c r="CG581" i="2"/>
  <c r="CH581" i="2"/>
  <c r="CJ581" i="2"/>
  <c r="CG582" i="2"/>
  <c r="CI582" i="2" s="1"/>
  <c r="CH582" i="2"/>
  <c r="CJ582" i="2"/>
  <c r="CG583" i="2"/>
  <c r="CH583" i="2"/>
  <c r="CJ583" i="2"/>
  <c r="CG584" i="2"/>
  <c r="CH584" i="2"/>
  <c r="CI584" i="2"/>
  <c r="CJ584" i="2"/>
  <c r="CG585" i="2"/>
  <c r="CH585" i="2"/>
  <c r="CJ585" i="2"/>
  <c r="CG586" i="2"/>
  <c r="CH586" i="2"/>
  <c r="CJ586" i="2"/>
  <c r="CI586" i="2" s="1"/>
  <c r="CG587" i="2"/>
  <c r="CH587" i="2"/>
  <c r="CJ587" i="2"/>
  <c r="CG588" i="2"/>
  <c r="CH588" i="2"/>
  <c r="CI588" i="2" s="1"/>
  <c r="CJ588" i="2"/>
  <c r="CG589" i="2"/>
  <c r="CI589" i="2" s="1"/>
  <c r="CH589" i="2"/>
  <c r="CJ589" i="2"/>
  <c r="CG590" i="2"/>
  <c r="CH590" i="2"/>
  <c r="CI590" i="2" s="1"/>
  <c r="CJ590" i="2"/>
  <c r="CG591" i="2"/>
  <c r="CH591" i="2"/>
  <c r="CJ591" i="2"/>
  <c r="CG592" i="2"/>
  <c r="CI592" i="2" s="1"/>
  <c r="CH592" i="2"/>
  <c r="CJ592" i="2"/>
  <c r="CG593" i="2"/>
  <c r="CH593" i="2"/>
  <c r="CJ593" i="2"/>
  <c r="CG594" i="2"/>
  <c r="CI594" i="2" s="1"/>
  <c r="CH594" i="2"/>
  <c r="CJ594" i="2"/>
  <c r="CG595" i="2"/>
  <c r="CH595" i="2"/>
  <c r="CJ595" i="2"/>
  <c r="CG596" i="2"/>
  <c r="CI596" i="2" s="1"/>
  <c r="CH596" i="2"/>
  <c r="CJ596" i="2"/>
  <c r="CG597" i="2"/>
  <c r="CH597" i="2"/>
  <c r="CJ597" i="2"/>
  <c r="CG598" i="2"/>
  <c r="CH598" i="2"/>
  <c r="CI598" i="2" s="1"/>
  <c r="CJ598" i="2"/>
  <c r="CG599" i="2"/>
  <c r="CH599" i="2"/>
  <c r="CJ599" i="2"/>
  <c r="CG600" i="2"/>
  <c r="CH600" i="2"/>
  <c r="CI600" i="2"/>
  <c r="CJ600" i="2"/>
  <c r="CG601" i="2"/>
  <c r="CI601" i="2" s="1"/>
  <c r="CH601" i="2"/>
  <c r="CJ601" i="2"/>
  <c r="CG602" i="2"/>
  <c r="CI602" i="2" s="1"/>
  <c r="CH602" i="2"/>
  <c r="CJ602" i="2"/>
  <c r="CG603" i="2"/>
  <c r="CH603" i="2"/>
  <c r="CJ603" i="2"/>
  <c r="CG604" i="2"/>
  <c r="CH604" i="2"/>
  <c r="CJ604" i="2"/>
  <c r="CI604" i="2" s="1"/>
  <c r="CG605" i="2"/>
  <c r="CI605" i="2" s="1"/>
  <c r="CH605" i="2"/>
  <c r="CJ605" i="2"/>
  <c r="CG606" i="2"/>
  <c r="CH606" i="2"/>
  <c r="CI606" i="2"/>
  <c r="CJ606" i="2"/>
  <c r="CG607" i="2"/>
  <c r="CH607" i="2"/>
  <c r="CJ607" i="2"/>
  <c r="CG608" i="2"/>
  <c r="CH608" i="2"/>
  <c r="CI608" i="2"/>
  <c r="CJ608" i="2"/>
  <c r="CG609" i="2"/>
  <c r="CH609" i="2"/>
  <c r="CJ609" i="2"/>
  <c r="CG610" i="2"/>
  <c r="CI610" i="2" s="1"/>
  <c r="CH610" i="2"/>
  <c r="CJ610" i="2"/>
  <c r="CG611" i="2"/>
  <c r="CI611" i="2" s="1"/>
  <c r="CH611" i="2"/>
  <c r="CJ611" i="2"/>
  <c r="CG612" i="2"/>
  <c r="CI612" i="2" s="1"/>
  <c r="CH612" i="2"/>
  <c r="CJ612" i="2"/>
  <c r="CG613" i="2"/>
  <c r="CH613" i="2"/>
  <c r="CJ613" i="2"/>
  <c r="CG614" i="2"/>
  <c r="CH614" i="2"/>
  <c r="CJ614" i="2"/>
  <c r="CG615" i="2"/>
  <c r="CH615" i="2"/>
  <c r="CJ615" i="2"/>
  <c r="CG616" i="2"/>
  <c r="CH616" i="2"/>
  <c r="CI616" i="2"/>
  <c r="CJ616" i="2"/>
  <c r="CG617" i="2"/>
  <c r="CH617" i="2"/>
  <c r="CJ617" i="2"/>
  <c r="CG618" i="2"/>
  <c r="CH618" i="2"/>
  <c r="CJ618" i="2"/>
  <c r="CI618" i="2" s="1"/>
  <c r="CG619" i="2"/>
  <c r="CH619" i="2"/>
  <c r="CJ619" i="2"/>
  <c r="CG620" i="2"/>
  <c r="CH620" i="2"/>
  <c r="CI620" i="2" s="1"/>
  <c r="CJ620" i="2"/>
  <c r="CG621" i="2"/>
  <c r="CI621" i="2" s="1"/>
  <c r="CH621" i="2"/>
  <c r="CJ621" i="2"/>
  <c r="CG622" i="2"/>
  <c r="CH622" i="2"/>
  <c r="CI622" i="2" s="1"/>
  <c r="CJ622" i="2"/>
  <c r="CG623" i="2"/>
  <c r="CI623" i="2" s="1"/>
  <c r="CH623" i="2"/>
  <c r="CJ623" i="2"/>
  <c r="CG624" i="2"/>
  <c r="CH624" i="2"/>
  <c r="CI624" i="2"/>
  <c r="CJ624" i="2"/>
  <c r="CG625" i="2"/>
  <c r="CH625" i="2"/>
  <c r="CJ625" i="2"/>
  <c r="CG626" i="2"/>
  <c r="CH626" i="2"/>
  <c r="CI626" i="2"/>
  <c r="CJ626" i="2"/>
  <c r="CG627" i="2"/>
  <c r="CH627" i="2"/>
  <c r="CI627" i="2"/>
  <c r="CJ627" i="2"/>
  <c r="CG628" i="2"/>
  <c r="CI628" i="2" s="1"/>
  <c r="CH628" i="2"/>
  <c r="CJ628" i="2"/>
  <c r="CG629" i="2"/>
  <c r="CH629" i="2"/>
  <c r="CJ629" i="2"/>
  <c r="CG630" i="2"/>
  <c r="CI630" i="2" s="1"/>
  <c r="CH630" i="2"/>
  <c r="CJ630" i="2"/>
  <c r="CG631" i="2"/>
  <c r="CH631" i="2"/>
  <c r="CJ631" i="2"/>
  <c r="CI631" i="2" s="1"/>
  <c r="CG632" i="2"/>
  <c r="CI632" i="2" s="1"/>
  <c r="CH632" i="2"/>
  <c r="CJ632" i="2"/>
  <c r="CG633" i="2"/>
  <c r="CI633" i="2" s="1"/>
  <c r="CH633" i="2"/>
  <c r="CJ633" i="2"/>
  <c r="CG634" i="2"/>
  <c r="CI634" i="2" s="1"/>
  <c r="CH634" i="2"/>
  <c r="CJ634" i="2"/>
  <c r="CG635" i="2"/>
  <c r="CH635" i="2"/>
  <c r="CJ635" i="2"/>
  <c r="CI635" i="2" s="1"/>
  <c r="CG636" i="2"/>
  <c r="CI636" i="2" s="1"/>
  <c r="CH636" i="2"/>
  <c r="CJ636" i="2"/>
  <c r="CG637" i="2"/>
  <c r="CH637" i="2"/>
  <c r="CJ637" i="2"/>
  <c r="CG638" i="2"/>
  <c r="CH638" i="2"/>
  <c r="CI638" i="2" s="1"/>
  <c r="CJ638" i="2"/>
  <c r="CG639" i="2"/>
  <c r="CH639" i="2"/>
  <c r="CI639" i="2" s="1"/>
  <c r="CJ639" i="2"/>
  <c r="CG640" i="2"/>
  <c r="CH640" i="2"/>
  <c r="CJ640" i="2"/>
  <c r="CG641" i="2"/>
  <c r="CH641" i="2"/>
  <c r="CJ641" i="2"/>
  <c r="CG642" i="2"/>
  <c r="CH642" i="2"/>
  <c r="CI642" i="2"/>
  <c r="CJ642" i="2"/>
  <c r="CG643" i="2"/>
  <c r="CH643" i="2"/>
  <c r="CI643" i="2"/>
  <c r="CJ643" i="2"/>
  <c r="CG644" i="2"/>
  <c r="CH644" i="2"/>
  <c r="CI644" i="2"/>
  <c r="CJ644" i="2"/>
  <c r="CG645" i="2"/>
  <c r="CI645" i="2" s="1"/>
  <c r="CH645" i="2"/>
  <c r="CJ645" i="2"/>
  <c r="CG646" i="2"/>
  <c r="CI646" i="2" s="1"/>
  <c r="CH646" i="2"/>
  <c r="CJ646" i="2"/>
  <c r="CG647" i="2"/>
  <c r="CI647" i="2" s="1"/>
  <c r="CH647" i="2"/>
  <c r="CJ647" i="2"/>
  <c r="CG648" i="2"/>
  <c r="CH648" i="2"/>
  <c r="CJ648" i="2"/>
  <c r="CI648" i="2" s="1"/>
  <c r="CG649" i="2"/>
  <c r="CI649" i="2" s="1"/>
  <c r="CH649" i="2"/>
  <c r="CJ649" i="2"/>
  <c r="CG650" i="2"/>
  <c r="CI650" i="2" s="1"/>
  <c r="CH650" i="2"/>
  <c r="CJ650" i="2"/>
  <c r="CG651" i="2"/>
  <c r="CI651" i="2" s="1"/>
  <c r="CH651" i="2"/>
  <c r="CJ651" i="2"/>
  <c r="CG652" i="2"/>
  <c r="CH652" i="2"/>
  <c r="CJ652" i="2"/>
  <c r="CI652" i="2" s="1"/>
  <c r="CG653" i="2"/>
  <c r="CI653" i="2" s="1"/>
  <c r="CH653" i="2"/>
  <c r="CJ653" i="2"/>
  <c r="CG654" i="2"/>
  <c r="CI654" i="2" s="1"/>
  <c r="CH654" i="2"/>
  <c r="CJ654" i="2"/>
  <c r="CG655" i="2"/>
  <c r="CI655" i="2" s="1"/>
  <c r="CH655" i="2"/>
  <c r="CJ655" i="2"/>
  <c r="CG656" i="2"/>
  <c r="CH656" i="2"/>
  <c r="CJ656" i="2"/>
  <c r="CI656" i="2" s="1"/>
  <c r="CG657" i="2"/>
  <c r="CI657" i="2" s="1"/>
  <c r="CH657" i="2"/>
  <c r="CJ657" i="2"/>
  <c r="CG658" i="2"/>
  <c r="CI658" i="2" s="1"/>
  <c r="CH658" i="2"/>
  <c r="CJ658" i="2"/>
  <c r="CG659" i="2"/>
  <c r="CI659" i="2" s="1"/>
  <c r="CH659" i="2"/>
  <c r="CJ659" i="2"/>
  <c r="CG660" i="2"/>
  <c r="CH660" i="2"/>
  <c r="CJ660" i="2"/>
  <c r="CI660" i="2" s="1"/>
  <c r="CG661" i="2"/>
  <c r="CI661" i="2" s="1"/>
  <c r="CH661" i="2"/>
  <c r="CJ661" i="2"/>
  <c r="CG662" i="2"/>
  <c r="CI662" i="2" s="1"/>
  <c r="CH662" i="2"/>
  <c r="CJ662" i="2"/>
  <c r="CG663" i="2"/>
  <c r="CI663" i="2" s="1"/>
  <c r="CH663" i="2"/>
  <c r="CJ663" i="2"/>
  <c r="CG664" i="2"/>
  <c r="CH664" i="2"/>
  <c r="CJ664" i="2"/>
  <c r="CI664" i="2" s="1"/>
  <c r="CG665" i="2"/>
  <c r="CI665" i="2" s="1"/>
  <c r="CH665" i="2"/>
  <c r="CJ665" i="2"/>
  <c r="CG666" i="2"/>
  <c r="CI666" i="2" s="1"/>
  <c r="CH666" i="2"/>
  <c r="CJ666" i="2"/>
  <c r="CG667" i="2"/>
  <c r="CI667" i="2" s="1"/>
  <c r="CH667" i="2"/>
  <c r="CJ667" i="2"/>
  <c r="CG668" i="2"/>
  <c r="CH668" i="2"/>
  <c r="CJ668" i="2"/>
  <c r="CI668" i="2" s="1"/>
  <c r="CG669" i="2"/>
  <c r="CI669" i="2" s="1"/>
  <c r="CH669" i="2"/>
  <c r="CJ669" i="2"/>
  <c r="CG670" i="2"/>
  <c r="CI670" i="2" s="1"/>
  <c r="CH670" i="2"/>
  <c r="CJ670" i="2"/>
  <c r="CG671" i="2"/>
  <c r="CI671" i="2" s="1"/>
  <c r="CH671" i="2"/>
  <c r="CJ671" i="2"/>
  <c r="CG672" i="2"/>
  <c r="CH672" i="2"/>
  <c r="CJ672" i="2"/>
  <c r="CI672" i="2" s="1"/>
  <c r="CG673" i="2"/>
  <c r="CI673" i="2" s="1"/>
  <c r="CH673" i="2"/>
  <c r="CJ673" i="2"/>
  <c r="CG674" i="2"/>
  <c r="CI674" i="2" s="1"/>
  <c r="CH674" i="2"/>
  <c r="CJ674" i="2"/>
  <c r="CG675" i="2"/>
  <c r="CI675" i="2" s="1"/>
  <c r="CH675" i="2"/>
  <c r="CJ675" i="2"/>
  <c r="CG676" i="2"/>
  <c r="CH676" i="2"/>
  <c r="CJ676" i="2"/>
  <c r="CI676" i="2" s="1"/>
  <c r="CG677" i="2"/>
  <c r="CI677" i="2" s="1"/>
  <c r="CH677" i="2"/>
  <c r="CJ677" i="2"/>
  <c r="CG678" i="2"/>
  <c r="CI678" i="2" s="1"/>
  <c r="CH678" i="2"/>
  <c r="CJ678" i="2"/>
  <c r="CG679" i="2"/>
  <c r="CI679" i="2" s="1"/>
  <c r="CH679" i="2"/>
  <c r="CJ679" i="2"/>
  <c r="CG680" i="2"/>
  <c r="CH680" i="2"/>
  <c r="CJ680" i="2"/>
  <c r="CI680" i="2" s="1"/>
  <c r="CG681" i="2"/>
  <c r="CI681" i="2" s="1"/>
  <c r="CH681" i="2"/>
  <c r="CJ681" i="2"/>
  <c r="CG682" i="2"/>
  <c r="CI682" i="2" s="1"/>
  <c r="CH682" i="2"/>
  <c r="CJ682" i="2"/>
  <c r="CG683" i="2"/>
  <c r="CI683" i="2" s="1"/>
  <c r="CH683" i="2"/>
  <c r="CJ683" i="2"/>
  <c r="CG684" i="2"/>
  <c r="CH684" i="2"/>
  <c r="CJ684" i="2"/>
  <c r="CI684" i="2" s="1"/>
  <c r="CG685" i="2"/>
  <c r="CI685" i="2" s="1"/>
  <c r="CH685" i="2"/>
  <c r="CJ685" i="2"/>
  <c r="CG686" i="2"/>
  <c r="CI686" i="2" s="1"/>
  <c r="CH686" i="2"/>
  <c r="CJ686" i="2"/>
  <c r="CG687" i="2"/>
  <c r="CI687" i="2" s="1"/>
  <c r="CH687" i="2"/>
  <c r="CJ687" i="2"/>
  <c r="CG688" i="2"/>
  <c r="CH688" i="2"/>
  <c r="CJ688" i="2"/>
  <c r="CI688" i="2" s="1"/>
  <c r="CG689" i="2"/>
  <c r="CI689" i="2" s="1"/>
  <c r="CH689" i="2"/>
  <c r="CJ689" i="2"/>
  <c r="CG690" i="2"/>
  <c r="CI690" i="2" s="1"/>
  <c r="CH690" i="2"/>
  <c r="CJ690" i="2"/>
  <c r="CG691" i="2"/>
  <c r="CI691" i="2" s="1"/>
  <c r="CH691" i="2"/>
  <c r="CJ691" i="2"/>
  <c r="CG692" i="2"/>
  <c r="CH692" i="2"/>
  <c r="CJ692" i="2"/>
  <c r="CI692" i="2" s="1"/>
  <c r="CG693" i="2"/>
  <c r="CI693" i="2" s="1"/>
  <c r="CH693" i="2"/>
  <c r="CJ693" i="2"/>
  <c r="CG694" i="2"/>
  <c r="CI694" i="2" s="1"/>
  <c r="CH694" i="2"/>
  <c r="CJ694" i="2"/>
  <c r="CG695" i="2"/>
  <c r="CI695" i="2" s="1"/>
  <c r="CH695" i="2"/>
  <c r="CJ695" i="2"/>
  <c r="CG696" i="2"/>
  <c r="CH696" i="2"/>
  <c r="CJ696" i="2"/>
  <c r="CI696" i="2" s="1"/>
  <c r="CG697" i="2"/>
  <c r="CI697" i="2" s="1"/>
  <c r="CH697" i="2"/>
  <c r="CJ697" i="2"/>
  <c r="CG698" i="2"/>
  <c r="CI698" i="2" s="1"/>
  <c r="CH698" i="2"/>
  <c r="CJ698" i="2"/>
  <c r="CG699" i="2"/>
  <c r="CI699" i="2" s="1"/>
  <c r="CH699" i="2"/>
  <c r="CJ699" i="2"/>
  <c r="CG700" i="2"/>
  <c r="CH700" i="2"/>
  <c r="CJ700" i="2"/>
  <c r="CI700" i="2" s="1"/>
  <c r="CG701" i="2"/>
  <c r="CI701" i="2" s="1"/>
  <c r="CH701" i="2"/>
  <c r="CJ701" i="2"/>
  <c r="CG702" i="2"/>
  <c r="CI702" i="2" s="1"/>
  <c r="CH702" i="2"/>
  <c r="CJ702" i="2"/>
  <c r="CG703" i="2"/>
  <c r="CI703" i="2" s="1"/>
  <c r="CH703" i="2"/>
  <c r="CJ703" i="2"/>
  <c r="CG704" i="2"/>
  <c r="CH704" i="2"/>
  <c r="CJ704" i="2"/>
  <c r="CI704" i="2" s="1"/>
  <c r="CG705" i="2"/>
  <c r="CI705" i="2" s="1"/>
  <c r="CH705" i="2"/>
  <c r="CJ705" i="2"/>
  <c r="CG706" i="2"/>
  <c r="CI706" i="2" s="1"/>
  <c r="CH706" i="2"/>
  <c r="CJ706" i="2"/>
  <c r="CG707" i="2"/>
  <c r="CI707" i="2" s="1"/>
  <c r="CH707" i="2"/>
  <c r="CJ707" i="2"/>
  <c r="CG708" i="2"/>
  <c r="CH708" i="2"/>
  <c r="CJ708" i="2"/>
  <c r="CI708" i="2" s="1"/>
  <c r="CG709" i="2"/>
  <c r="CI709" i="2" s="1"/>
  <c r="CH709" i="2"/>
  <c r="CJ709" i="2"/>
  <c r="CG710" i="2"/>
  <c r="CI710" i="2" s="1"/>
  <c r="CH710" i="2"/>
  <c r="CJ710" i="2"/>
  <c r="CG711" i="2"/>
  <c r="CI711" i="2" s="1"/>
  <c r="CH711" i="2"/>
  <c r="CJ711" i="2"/>
  <c r="CG712" i="2"/>
  <c r="CH712" i="2"/>
  <c r="CJ712" i="2"/>
  <c r="CI712" i="2" s="1"/>
  <c r="CG713" i="2"/>
  <c r="CI713" i="2" s="1"/>
  <c r="CH713" i="2"/>
  <c r="CJ713" i="2"/>
  <c r="CG714" i="2"/>
  <c r="CI714" i="2" s="1"/>
  <c r="CH714" i="2"/>
  <c r="CJ714" i="2"/>
  <c r="CG715" i="2"/>
  <c r="CI715" i="2" s="1"/>
  <c r="CH715" i="2"/>
  <c r="CJ715" i="2"/>
  <c r="CG716" i="2"/>
  <c r="CH716" i="2"/>
  <c r="CJ716" i="2"/>
  <c r="CI716" i="2" s="1"/>
  <c r="CG717" i="2"/>
  <c r="CI717" i="2" s="1"/>
  <c r="CH717" i="2"/>
  <c r="CJ717" i="2"/>
  <c r="CG718" i="2"/>
  <c r="CI718" i="2" s="1"/>
  <c r="CH718" i="2"/>
  <c r="CJ718" i="2"/>
  <c r="CG719" i="2"/>
  <c r="CI719" i="2" s="1"/>
  <c r="CH719" i="2"/>
  <c r="CJ719" i="2"/>
  <c r="CG720" i="2"/>
  <c r="CH720" i="2"/>
  <c r="CJ720" i="2"/>
  <c r="CI720" i="2" s="1"/>
  <c r="CG721" i="2"/>
  <c r="CI721" i="2" s="1"/>
  <c r="CH721" i="2"/>
  <c r="CJ721" i="2"/>
  <c r="CG722" i="2"/>
  <c r="CI722" i="2" s="1"/>
  <c r="CH722" i="2"/>
  <c r="CJ722" i="2"/>
  <c r="CG723" i="2"/>
  <c r="CI723" i="2" s="1"/>
  <c r="CH723" i="2"/>
  <c r="CJ723" i="2"/>
  <c r="CG724" i="2"/>
  <c r="CH724" i="2"/>
  <c r="CJ724" i="2"/>
  <c r="CI724" i="2" s="1"/>
  <c r="CG725" i="2"/>
  <c r="CI725" i="2" s="1"/>
  <c r="CH725" i="2"/>
  <c r="CJ725" i="2"/>
  <c r="CG726" i="2"/>
  <c r="CI726" i="2" s="1"/>
  <c r="CH726" i="2"/>
  <c r="CJ726" i="2"/>
  <c r="CG727" i="2"/>
  <c r="CI727" i="2" s="1"/>
  <c r="CH727" i="2"/>
  <c r="CJ727" i="2"/>
  <c r="CG728" i="2"/>
  <c r="CH728" i="2"/>
  <c r="CJ728" i="2"/>
  <c r="CI728" i="2" s="1"/>
  <c r="CG729" i="2"/>
  <c r="CI729" i="2" s="1"/>
  <c r="CH729" i="2"/>
  <c r="CJ729" i="2"/>
  <c r="CG730" i="2"/>
  <c r="CI730" i="2" s="1"/>
  <c r="CH730" i="2"/>
  <c r="CJ730" i="2"/>
  <c r="CG731" i="2"/>
  <c r="CI731" i="2" s="1"/>
  <c r="CH731" i="2"/>
  <c r="CJ731" i="2"/>
  <c r="CG732" i="2"/>
  <c r="CH732" i="2"/>
  <c r="CJ732" i="2"/>
  <c r="CI732" i="2" s="1"/>
  <c r="CG733" i="2"/>
  <c r="CI733" i="2" s="1"/>
  <c r="CH733" i="2"/>
  <c r="CJ733" i="2"/>
  <c r="CG734" i="2"/>
  <c r="CI734" i="2" s="1"/>
  <c r="CH734" i="2"/>
  <c r="CJ734" i="2"/>
  <c r="CG735" i="2"/>
  <c r="CI735" i="2" s="1"/>
  <c r="CH735" i="2"/>
  <c r="CJ735" i="2"/>
  <c r="CG736" i="2"/>
  <c r="CH736" i="2"/>
  <c r="CJ736" i="2"/>
  <c r="CI736" i="2" s="1"/>
  <c r="CG737" i="2"/>
  <c r="CI737" i="2" s="1"/>
  <c r="CH737" i="2"/>
  <c r="CJ737" i="2"/>
  <c r="CG738" i="2"/>
  <c r="CI738" i="2" s="1"/>
  <c r="CH738" i="2"/>
  <c r="CJ738" i="2"/>
  <c r="CG739" i="2"/>
  <c r="CI739" i="2" s="1"/>
  <c r="CH739" i="2"/>
  <c r="CJ739" i="2"/>
  <c r="CG740" i="2"/>
  <c r="CH740" i="2"/>
  <c r="CJ740" i="2"/>
  <c r="CI740" i="2" s="1"/>
  <c r="CG741" i="2"/>
  <c r="CI741" i="2" s="1"/>
  <c r="CH741" i="2"/>
  <c r="CJ741" i="2"/>
  <c r="CG742" i="2"/>
  <c r="CI742" i="2" s="1"/>
  <c r="CH742" i="2"/>
  <c r="CJ742" i="2"/>
  <c r="CG743" i="2"/>
  <c r="CI743" i="2" s="1"/>
  <c r="CH743" i="2"/>
  <c r="CJ743" i="2"/>
  <c r="CG744" i="2"/>
  <c r="CH744" i="2"/>
  <c r="CJ744" i="2"/>
  <c r="CI744" i="2" s="1"/>
  <c r="CG745" i="2"/>
  <c r="CI745" i="2" s="1"/>
  <c r="CH745" i="2"/>
  <c r="CJ745" i="2"/>
  <c r="CG746" i="2"/>
  <c r="CI746" i="2" s="1"/>
  <c r="CH746" i="2"/>
  <c r="CJ746" i="2"/>
  <c r="CG747" i="2"/>
  <c r="CI747" i="2" s="1"/>
  <c r="CH747" i="2"/>
  <c r="CJ747" i="2"/>
  <c r="CG748" i="2"/>
  <c r="CH748" i="2"/>
  <c r="CJ748" i="2"/>
  <c r="CI748" i="2" s="1"/>
  <c r="CG749" i="2"/>
  <c r="CI749" i="2" s="1"/>
  <c r="CH749" i="2"/>
  <c r="CJ749" i="2"/>
  <c r="CG750" i="2"/>
  <c r="CI750" i="2" s="1"/>
  <c r="CH750" i="2"/>
  <c r="CJ750" i="2"/>
  <c r="CG751" i="2"/>
  <c r="CI751" i="2" s="1"/>
  <c r="CH751" i="2"/>
  <c r="CJ751" i="2"/>
  <c r="CG752" i="2"/>
  <c r="CH752" i="2"/>
  <c r="CJ752" i="2"/>
  <c r="CI752" i="2" s="1"/>
  <c r="CG753" i="2"/>
  <c r="CI753" i="2" s="1"/>
  <c r="CH753" i="2"/>
  <c r="CJ753" i="2"/>
  <c r="CG754" i="2"/>
  <c r="CI754" i="2" s="1"/>
  <c r="CH754" i="2"/>
  <c r="CJ754" i="2"/>
  <c r="CG755" i="2"/>
  <c r="CI755" i="2" s="1"/>
  <c r="CH755" i="2"/>
  <c r="CJ755" i="2"/>
  <c r="CG756" i="2"/>
  <c r="CH756" i="2"/>
  <c r="CJ756" i="2"/>
  <c r="CI756" i="2" s="1"/>
  <c r="CG757" i="2"/>
  <c r="CI757" i="2" s="1"/>
  <c r="CH757" i="2"/>
  <c r="CJ757" i="2"/>
  <c r="CG758" i="2"/>
  <c r="CI758" i="2" s="1"/>
  <c r="CH758" i="2"/>
  <c r="CJ758" i="2"/>
  <c r="CG759" i="2"/>
  <c r="CI759" i="2" s="1"/>
  <c r="CH759" i="2"/>
  <c r="CJ759" i="2"/>
  <c r="CG760" i="2"/>
  <c r="CH760" i="2"/>
  <c r="CJ760" i="2"/>
  <c r="CI760" i="2" s="1"/>
  <c r="CG761" i="2"/>
  <c r="CI761" i="2" s="1"/>
  <c r="CH761" i="2"/>
  <c r="CJ761" i="2"/>
  <c r="CG762" i="2"/>
  <c r="CI762" i="2" s="1"/>
  <c r="CH762" i="2"/>
  <c r="CJ762" i="2"/>
  <c r="CG763" i="2"/>
  <c r="CI763" i="2" s="1"/>
  <c r="CH763" i="2"/>
  <c r="CJ763" i="2"/>
  <c r="CG764" i="2"/>
  <c r="CH764" i="2"/>
  <c r="CJ764" i="2"/>
  <c r="CI764" i="2" s="1"/>
  <c r="CG765" i="2"/>
  <c r="CI765" i="2" s="1"/>
  <c r="CH765" i="2"/>
  <c r="CJ765" i="2"/>
  <c r="CG766" i="2"/>
  <c r="CI766" i="2" s="1"/>
  <c r="CH766" i="2"/>
  <c r="CJ766" i="2"/>
  <c r="CG767" i="2"/>
  <c r="CI767" i="2" s="1"/>
  <c r="CH767" i="2"/>
  <c r="CJ767" i="2"/>
  <c r="CG768" i="2"/>
  <c r="CH768" i="2"/>
  <c r="CI768" i="2"/>
  <c r="CJ768" i="2"/>
  <c r="CG769" i="2"/>
  <c r="CI769" i="2" s="1"/>
  <c r="CH769" i="2"/>
  <c r="CJ769" i="2"/>
  <c r="CG770" i="2"/>
  <c r="CI770" i="2" s="1"/>
  <c r="CH770" i="2"/>
  <c r="CJ770" i="2"/>
  <c r="CG771" i="2"/>
  <c r="CI771" i="2" s="1"/>
  <c r="CH771" i="2"/>
  <c r="CJ771" i="2"/>
  <c r="CG772" i="2"/>
  <c r="CH772" i="2"/>
  <c r="CJ772" i="2"/>
  <c r="CI772" i="2" s="1"/>
  <c r="CG773" i="2"/>
  <c r="CI773" i="2" s="1"/>
  <c r="CH773" i="2"/>
  <c r="CJ773" i="2"/>
  <c r="CG774" i="2"/>
  <c r="CI774" i="2" s="1"/>
  <c r="CH774" i="2"/>
  <c r="CJ774" i="2"/>
  <c r="CG775" i="2"/>
  <c r="CI775" i="2" s="1"/>
  <c r="CH775" i="2"/>
  <c r="CJ775" i="2"/>
  <c r="CG776" i="2"/>
  <c r="CH776" i="2"/>
  <c r="CJ776" i="2"/>
  <c r="CI776" i="2" s="1"/>
  <c r="CG777" i="2"/>
  <c r="CI777" i="2" s="1"/>
  <c r="CH777" i="2"/>
  <c r="CJ777" i="2"/>
  <c r="CG778" i="2"/>
  <c r="CI778" i="2" s="1"/>
  <c r="CH778" i="2"/>
  <c r="CJ778" i="2"/>
  <c r="CG779" i="2"/>
  <c r="CI779" i="2" s="1"/>
  <c r="CH779" i="2"/>
  <c r="CJ779" i="2"/>
  <c r="CG780" i="2"/>
  <c r="CH780" i="2"/>
  <c r="CJ780" i="2"/>
  <c r="CI780" i="2" s="1"/>
  <c r="CG781" i="2"/>
  <c r="CI781" i="2" s="1"/>
  <c r="CH781" i="2"/>
  <c r="CJ781" i="2"/>
  <c r="CG782" i="2"/>
  <c r="CI782" i="2" s="1"/>
  <c r="CH782" i="2"/>
  <c r="CJ782" i="2"/>
  <c r="CG783" i="2"/>
  <c r="CI783" i="2" s="1"/>
  <c r="CH783" i="2"/>
  <c r="CJ783" i="2"/>
  <c r="CG784" i="2"/>
  <c r="CH784" i="2"/>
  <c r="CJ784" i="2"/>
  <c r="CI784" i="2" s="1"/>
  <c r="CG785" i="2"/>
  <c r="CI785" i="2" s="1"/>
  <c r="CH785" i="2"/>
  <c r="CJ785" i="2"/>
  <c r="CG786" i="2"/>
  <c r="CI786" i="2" s="1"/>
  <c r="CH786" i="2"/>
  <c r="CJ786" i="2"/>
  <c r="CG787" i="2"/>
  <c r="CI787" i="2" s="1"/>
  <c r="CH787" i="2"/>
  <c r="CJ787" i="2"/>
  <c r="CG788" i="2"/>
  <c r="CH788" i="2"/>
  <c r="CJ788" i="2"/>
  <c r="CI788" i="2" s="1"/>
  <c r="CG789" i="2"/>
  <c r="CI789" i="2" s="1"/>
  <c r="CH789" i="2"/>
  <c r="CJ789" i="2"/>
  <c r="CG790" i="2"/>
  <c r="CI790" i="2" s="1"/>
  <c r="CH790" i="2"/>
  <c r="CJ790" i="2"/>
  <c r="CG791" i="2"/>
  <c r="CI791" i="2" s="1"/>
  <c r="CH791" i="2"/>
  <c r="CJ791" i="2"/>
  <c r="CG792" i="2"/>
  <c r="CH792" i="2"/>
  <c r="CI792" i="2"/>
  <c r="CJ792" i="2"/>
  <c r="CG793" i="2"/>
  <c r="CI793" i="2" s="1"/>
  <c r="CH793" i="2"/>
  <c r="CJ793" i="2"/>
  <c r="CG794" i="2"/>
  <c r="CI794" i="2" s="1"/>
  <c r="CH794" i="2"/>
  <c r="CJ794" i="2"/>
  <c r="CG795" i="2"/>
  <c r="CI795" i="2" s="1"/>
  <c r="CH795" i="2"/>
  <c r="CJ795" i="2"/>
  <c r="CG796" i="2"/>
  <c r="CH796" i="2"/>
  <c r="CJ796" i="2"/>
  <c r="CI796" i="2" s="1"/>
  <c r="CG797" i="2"/>
  <c r="CI797" i="2" s="1"/>
  <c r="CH797" i="2"/>
  <c r="CJ797" i="2"/>
  <c r="CG798" i="2"/>
  <c r="CI798" i="2" s="1"/>
  <c r="CH798" i="2"/>
  <c r="CJ798" i="2"/>
  <c r="CG799" i="2"/>
  <c r="CI799" i="2" s="1"/>
  <c r="CH799" i="2"/>
  <c r="CJ799" i="2"/>
  <c r="CG800" i="2"/>
  <c r="CH800" i="2"/>
  <c r="CJ800" i="2"/>
  <c r="CI800" i="2" s="1"/>
  <c r="CG801" i="2"/>
  <c r="CI801" i="2" s="1"/>
  <c r="CH801" i="2"/>
  <c r="CJ801" i="2"/>
  <c r="CG802" i="2"/>
  <c r="CI802" i="2" s="1"/>
  <c r="CH802" i="2"/>
  <c r="CJ802" i="2"/>
  <c r="CG803" i="2"/>
  <c r="CI803" i="2" s="1"/>
  <c r="CH803" i="2"/>
  <c r="CJ803" i="2"/>
  <c r="CG804" i="2"/>
  <c r="CH804" i="2"/>
  <c r="CI804" i="2"/>
  <c r="CJ804" i="2"/>
  <c r="CG805" i="2"/>
  <c r="CI805" i="2" s="1"/>
  <c r="CH805" i="2"/>
  <c r="CJ805" i="2"/>
  <c r="CG806" i="2"/>
  <c r="CI806" i="2" s="1"/>
  <c r="CH806" i="2"/>
  <c r="CJ806" i="2"/>
  <c r="CG807" i="2"/>
  <c r="CI807" i="2" s="1"/>
  <c r="CH807" i="2"/>
  <c r="CJ807" i="2"/>
  <c r="CG808" i="2"/>
  <c r="CH808" i="2"/>
  <c r="CJ808" i="2"/>
  <c r="CI808" i="2" s="1"/>
  <c r="CG809" i="2"/>
  <c r="CI809" i="2" s="1"/>
  <c r="CH809" i="2"/>
  <c r="CJ809" i="2"/>
  <c r="CG810" i="2"/>
  <c r="CI810" i="2" s="1"/>
  <c r="CH810" i="2"/>
  <c r="CJ810" i="2"/>
  <c r="CG811" i="2"/>
  <c r="CI811" i="2" s="1"/>
  <c r="CH811" i="2"/>
  <c r="CJ811" i="2"/>
  <c r="CG812" i="2"/>
  <c r="CH812" i="2"/>
  <c r="CJ812" i="2"/>
  <c r="CI812" i="2" s="1"/>
  <c r="CG813" i="2"/>
  <c r="CI813" i="2" s="1"/>
  <c r="CH813" i="2"/>
  <c r="CJ813" i="2"/>
  <c r="CG814" i="2"/>
  <c r="CI814" i="2" s="1"/>
  <c r="CH814" i="2"/>
  <c r="CJ814" i="2"/>
  <c r="CG815" i="2"/>
  <c r="CI815" i="2" s="1"/>
  <c r="CH815" i="2"/>
  <c r="CJ815" i="2"/>
  <c r="CG816" i="2"/>
  <c r="CH816" i="2"/>
  <c r="CJ816" i="2"/>
  <c r="CI816" i="2" s="1"/>
  <c r="CG817" i="2"/>
  <c r="CI817" i="2" s="1"/>
  <c r="CH817" i="2"/>
  <c r="CJ817" i="2"/>
  <c r="CG818" i="2"/>
  <c r="CI818" i="2" s="1"/>
  <c r="CH818" i="2"/>
  <c r="CJ818" i="2"/>
  <c r="CG819" i="2"/>
  <c r="CI819" i="2" s="1"/>
  <c r="CH819" i="2"/>
  <c r="CJ819" i="2"/>
  <c r="CG820" i="2"/>
  <c r="CH820" i="2"/>
  <c r="CJ820" i="2"/>
  <c r="CI820" i="2" s="1"/>
  <c r="CG821" i="2"/>
  <c r="CI821" i="2" s="1"/>
  <c r="CH821" i="2"/>
  <c r="CJ821" i="2"/>
  <c r="CG822" i="2"/>
  <c r="CI822" i="2" s="1"/>
  <c r="CH822" i="2"/>
  <c r="CJ822" i="2"/>
  <c r="CG823" i="2"/>
  <c r="CI823" i="2" s="1"/>
  <c r="CH823" i="2"/>
  <c r="CJ823" i="2"/>
  <c r="CG824" i="2"/>
  <c r="CH824" i="2"/>
  <c r="CI824" i="2"/>
  <c r="CJ824" i="2"/>
  <c r="CG825" i="2"/>
  <c r="CI825" i="2" s="1"/>
  <c r="CH825" i="2"/>
  <c r="CJ825" i="2"/>
  <c r="CG826" i="2"/>
  <c r="CI826" i="2" s="1"/>
  <c r="CH826" i="2"/>
  <c r="CJ826" i="2"/>
  <c r="CG827" i="2"/>
  <c r="CI827" i="2" s="1"/>
  <c r="CH827" i="2"/>
  <c r="CJ827" i="2"/>
  <c r="CG828" i="2"/>
  <c r="CH828" i="2"/>
  <c r="CJ828" i="2"/>
  <c r="CI828" i="2" s="1"/>
  <c r="CG829" i="2"/>
  <c r="CI829" i="2" s="1"/>
  <c r="CH829" i="2"/>
  <c r="CJ829" i="2"/>
  <c r="CG830" i="2"/>
  <c r="CI830" i="2" s="1"/>
  <c r="CH830" i="2"/>
  <c r="CJ830" i="2"/>
  <c r="CG831" i="2"/>
  <c r="CI831" i="2" s="1"/>
  <c r="CH831" i="2"/>
  <c r="CJ831" i="2"/>
  <c r="CG832" i="2"/>
  <c r="CH832" i="2"/>
  <c r="CJ832" i="2"/>
  <c r="CI832" i="2" s="1"/>
  <c r="CG833" i="2"/>
  <c r="CI833" i="2" s="1"/>
  <c r="CH833" i="2"/>
  <c r="CJ833" i="2"/>
  <c r="CG834" i="2"/>
  <c r="CI834" i="2" s="1"/>
  <c r="CH834" i="2"/>
  <c r="CJ834" i="2"/>
  <c r="CG835" i="2"/>
  <c r="CI835" i="2" s="1"/>
  <c r="CH835" i="2"/>
  <c r="CJ835" i="2"/>
  <c r="CG836" i="2"/>
  <c r="CH836" i="2"/>
  <c r="CI836" i="2"/>
  <c r="CJ836" i="2"/>
  <c r="CG837" i="2"/>
  <c r="CI837" i="2" s="1"/>
  <c r="CH837" i="2"/>
  <c r="CJ837" i="2"/>
  <c r="CG838" i="2"/>
  <c r="CI838" i="2" s="1"/>
  <c r="CH838" i="2"/>
  <c r="CJ838" i="2"/>
  <c r="CG839" i="2"/>
  <c r="CI839" i="2" s="1"/>
  <c r="CH839" i="2"/>
  <c r="CJ839" i="2"/>
  <c r="CG840" i="2"/>
  <c r="CH840" i="2"/>
  <c r="CI840" i="2"/>
  <c r="CJ840" i="2"/>
  <c r="CG841" i="2"/>
  <c r="CI841" i="2" s="1"/>
  <c r="CH841" i="2"/>
  <c r="CJ841" i="2"/>
  <c r="CG842" i="2"/>
  <c r="CI842" i="2" s="1"/>
  <c r="CH842" i="2"/>
  <c r="CJ842" i="2"/>
  <c r="CG843" i="2"/>
  <c r="CI843" i="2" s="1"/>
  <c r="CH843" i="2"/>
  <c r="CJ843" i="2"/>
  <c r="CG844" i="2"/>
  <c r="CH844" i="2"/>
  <c r="CJ844" i="2"/>
  <c r="CI844" i="2" s="1"/>
  <c r="CG845" i="2"/>
  <c r="CI845" i="2" s="1"/>
  <c r="CH845" i="2"/>
  <c r="CJ845" i="2"/>
  <c r="CG846" i="2"/>
  <c r="CI846" i="2" s="1"/>
  <c r="CH846" i="2"/>
  <c r="CJ846" i="2"/>
  <c r="CG847" i="2"/>
  <c r="CI847" i="2" s="1"/>
  <c r="CH847" i="2"/>
  <c r="CJ847" i="2"/>
  <c r="CG848" i="2"/>
  <c r="CH848" i="2"/>
  <c r="CJ848" i="2"/>
  <c r="CI848" i="2" s="1"/>
  <c r="CG849" i="2"/>
  <c r="CI849" i="2" s="1"/>
  <c r="CH849" i="2"/>
  <c r="CJ849" i="2"/>
  <c r="CG850" i="2"/>
  <c r="CI850" i="2" s="1"/>
  <c r="CH850" i="2"/>
  <c r="CJ850" i="2"/>
  <c r="CG851" i="2"/>
  <c r="CI851" i="2" s="1"/>
  <c r="CH851" i="2"/>
  <c r="CJ851" i="2"/>
  <c r="CG852" i="2"/>
  <c r="CH852" i="2"/>
  <c r="CI852" i="2"/>
  <c r="CJ852" i="2"/>
  <c r="CG853" i="2"/>
  <c r="CI853" i="2" s="1"/>
  <c r="CH853" i="2"/>
  <c r="CJ853" i="2"/>
  <c r="CG854" i="2"/>
  <c r="CI854" i="2" s="1"/>
  <c r="CH854" i="2"/>
  <c r="CJ854" i="2"/>
  <c r="CG855" i="2"/>
  <c r="CI855" i="2" s="1"/>
  <c r="CH855" i="2"/>
  <c r="CJ855" i="2"/>
  <c r="CG856" i="2"/>
  <c r="CH856" i="2"/>
  <c r="CI856" i="2"/>
  <c r="CJ856" i="2"/>
  <c r="CG857" i="2"/>
  <c r="CI857" i="2" s="1"/>
  <c r="CH857" i="2"/>
  <c r="CJ857" i="2"/>
  <c r="CG858" i="2"/>
  <c r="CI858" i="2" s="1"/>
  <c r="CH858" i="2"/>
  <c r="CJ858" i="2"/>
  <c r="CG859" i="2"/>
  <c r="CI859" i="2" s="1"/>
  <c r="CH859" i="2"/>
  <c r="CJ859" i="2"/>
  <c r="CG860" i="2"/>
  <c r="CH860" i="2"/>
  <c r="CJ860" i="2"/>
  <c r="CI860" i="2" s="1"/>
  <c r="CG861" i="2"/>
  <c r="CI861" i="2" s="1"/>
  <c r="CH861" i="2"/>
  <c r="CJ861" i="2"/>
  <c r="CG862" i="2"/>
  <c r="CI862" i="2" s="1"/>
  <c r="CH862" i="2"/>
  <c r="CJ862" i="2"/>
  <c r="CG863" i="2"/>
  <c r="CI863" i="2" s="1"/>
  <c r="CH863" i="2"/>
  <c r="CJ863" i="2"/>
  <c r="CG864" i="2"/>
  <c r="CH864" i="2"/>
  <c r="CJ864" i="2"/>
  <c r="CI864" i="2" s="1"/>
  <c r="CG865" i="2"/>
  <c r="CI865" i="2" s="1"/>
  <c r="CH865" i="2"/>
  <c r="CJ865" i="2"/>
  <c r="CG866" i="2"/>
  <c r="CI866" i="2" s="1"/>
  <c r="CH866" i="2"/>
  <c r="CJ866" i="2"/>
  <c r="CG867" i="2"/>
  <c r="CI867" i="2" s="1"/>
  <c r="CH867" i="2"/>
  <c r="CJ867" i="2"/>
  <c r="CG868" i="2"/>
  <c r="CH868" i="2"/>
  <c r="CI868" i="2"/>
  <c r="CJ868" i="2"/>
  <c r="CG869" i="2"/>
  <c r="CI869" i="2" s="1"/>
  <c r="CH869" i="2"/>
  <c r="CJ869" i="2"/>
  <c r="CG870" i="2"/>
  <c r="CI870" i="2" s="1"/>
  <c r="CH870" i="2"/>
  <c r="CJ870" i="2"/>
  <c r="CG871" i="2"/>
  <c r="CI871" i="2" s="1"/>
  <c r="CH871" i="2"/>
  <c r="CJ871" i="2"/>
  <c r="CG872" i="2"/>
  <c r="CH872" i="2"/>
  <c r="CJ872" i="2"/>
  <c r="CI872" i="2" s="1"/>
  <c r="CG873" i="2"/>
  <c r="CI873" i="2" s="1"/>
  <c r="CH873" i="2"/>
  <c r="CJ873" i="2"/>
  <c r="CG874" i="2"/>
  <c r="CI874" i="2" s="1"/>
  <c r="CH874" i="2"/>
  <c r="CJ874" i="2"/>
  <c r="CG875" i="2"/>
  <c r="CI875" i="2" s="1"/>
  <c r="CH875" i="2"/>
  <c r="CJ875" i="2"/>
  <c r="CG876" i="2"/>
  <c r="CH876" i="2"/>
  <c r="CJ876" i="2"/>
  <c r="CI876" i="2" s="1"/>
  <c r="CG877" i="2"/>
  <c r="CI877" i="2" s="1"/>
  <c r="CH877" i="2"/>
  <c r="CJ877" i="2"/>
  <c r="CG878" i="2"/>
  <c r="CI878" i="2" s="1"/>
  <c r="CH878" i="2"/>
  <c r="CJ878" i="2"/>
  <c r="CG879" i="2"/>
  <c r="CI879" i="2" s="1"/>
  <c r="CH879" i="2"/>
  <c r="CJ879" i="2"/>
  <c r="CG880" i="2"/>
  <c r="CH880" i="2"/>
  <c r="CJ880" i="2"/>
  <c r="CI880" i="2" s="1"/>
  <c r="CG881" i="2"/>
  <c r="CI881" i="2" s="1"/>
  <c r="CH881" i="2"/>
  <c r="CJ881" i="2"/>
  <c r="CG882" i="2"/>
  <c r="CI882" i="2" s="1"/>
  <c r="CH882" i="2"/>
  <c r="CJ882" i="2"/>
  <c r="CG883" i="2"/>
  <c r="CI883" i="2" s="1"/>
  <c r="CH883" i="2"/>
  <c r="CJ883" i="2"/>
  <c r="CG884" i="2"/>
  <c r="CH884" i="2"/>
  <c r="CJ884" i="2"/>
  <c r="CI884" i="2" s="1"/>
  <c r="CG885" i="2"/>
  <c r="CI885" i="2" s="1"/>
  <c r="CH885" i="2"/>
  <c r="CJ885" i="2"/>
  <c r="CG886" i="2"/>
  <c r="CI886" i="2" s="1"/>
  <c r="CH886" i="2"/>
  <c r="CJ886" i="2"/>
  <c r="CJ3" i="2"/>
  <c r="CH3" i="2"/>
  <c r="CG3" i="2"/>
  <c r="CI3" i="2" s="1"/>
  <c r="DF179" i="2"/>
  <c r="DE179" i="2" s="1"/>
  <c r="DF180" i="2"/>
  <c r="DE180" i="2" s="1"/>
  <c r="DF181" i="2"/>
  <c r="DE181" i="2" s="1"/>
  <c r="DF182" i="2"/>
  <c r="DE182" i="2" s="1"/>
  <c r="DF183" i="2"/>
  <c r="DE183" i="2" s="1"/>
  <c r="DF184" i="2"/>
  <c r="DE184" i="2" s="1"/>
  <c r="DF185" i="2"/>
  <c r="DE185" i="2" s="1"/>
  <c r="DF186" i="2"/>
  <c r="DE186" i="2" s="1"/>
  <c r="DF187" i="2"/>
  <c r="DE187" i="2" s="1"/>
  <c r="DF188" i="2"/>
  <c r="DE188" i="2" s="1"/>
  <c r="DF189" i="2"/>
  <c r="DE189" i="2" s="1"/>
  <c r="DF190" i="2"/>
  <c r="DE190" i="2" s="1"/>
  <c r="DF191" i="2"/>
  <c r="DE191" i="2" s="1"/>
  <c r="DF192" i="2"/>
  <c r="DE192" i="2" s="1"/>
  <c r="DF193" i="2"/>
  <c r="DE193" i="2" s="1"/>
  <c r="DF194" i="2"/>
  <c r="DE194" i="2" s="1"/>
  <c r="DF195" i="2"/>
  <c r="DE195" i="2" s="1"/>
  <c r="DF196" i="2"/>
  <c r="DE196" i="2" s="1"/>
  <c r="DF197" i="2"/>
  <c r="DE197" i="2" s="1"/>
  <c r="DF198" i="2"/>
  <c r="DE198" i="2" s="1"/>
  <c r="DF199" i="2"/>
  <c r="DE199" i="2" s="1"/>
  <c r="DF200" i="2"/>
  <c r="DE200" i="2" s="1"/>
  <c r="DF201" i="2"/>
  <c r="DE201" i="2" s="1"/>
  <c r="DF202" i="2"/>
  <c r="DE202" i="2" s="1"/>
  <c r="DF203" i="2"/>
  <c r="DE203" i="2" s="1"/>
  <c r="DF204" i="2"/>
  <c r="DE204" i="2" s="1"/>
  <c r="DF205" i="2"/>
  <c r="DE205" i="2" s="1"/>
  <c r="DF206" i="2"/>
  <c r="DE206" i="2" s="1"/>
  <c r="DF207" i="2"/>
  <c r="DE207" i="2" s="1"/>
  <c r="DF208" i="2"/>
  <c r="DE208" i="2" s="1"/>
  <c r="DF209" i="2"/>
  <c r="DE209" i="2" s="1"/>
  <c r="DF210" i="2"/>
  <c r="DE210" i="2" s="1"/>
  <c r="DF211" i="2"/>
  <c r="DE211" i="2" s="1"/>
  <c r="DF212" i="2"/>
  <c r="DE212" i="2" s="1"/>
  <c r="DF213" i="2"/>
  <c r="DE213" i="2" s="1"/>
  <c r="DF214" i="2"/>
  <c r="DE214" i="2" s="1"/>
  <c r="DF215" i="2"/>
  <c r="DE215" i="2" s="1"/>
  <c r="DF216" i="2"/>
  <c r="DE216" i="2" s="1"/>
  <c r="DF217" i="2"/>
  <c r="DE217" i="2" s="1"/>
  <c r="DF218" i="2"/>
  <c r="DE218" i="2" s="1"/>
  <c r="DF219" i="2"/>
  <c r="DE219" i="2" s="1"/>
  <c r="DF220" i="2"/>
  <c r="DE220" i="2" s="1"/>
  <c r="DF221" i="2"/>
  <c r="DE221" i="2" s="1"/>
  <c r="DF222" i="2"/>
  <c r="DE222" i="2" s="1"/>
  <c r="DF223" i="2"/>
  <c r="DE223" i="2" s="1"/>
  <c r="DF224" i="2"/>
  <c r="DE224" i="2" s="1"/>
  <c r="DF225" i="2"/>
  <c r="DE225" i="2" s="1"/>
  <c r="DF226" i="2"/>
  <c r="DE226" i="2" s="1"/>
  <c r="DF227" i="2"/>
  <c r="DE227" i="2" s="1"/>
  <c r="DF228" i="2"/>
  <c r="DE228" i="2" s="1"/>
  <c r="DF229" i="2"/>
  <c r="DE229" i="2" s="1"/>
  <c r="DF230" i="2"/>
  <c r="DE230" i="2" s="1"/>
  <c r="DF231" i="2"/>
  <c r="DE231" i="2" s="1"/>
  <c r="DF232" i="2"/>
  <c r="DE232" i="2" s="1"/>
  <c r="DF233" i="2"/>
  <c r="DE233" i="2" s="1"/>
  <c r="DF234" i="2"/>
  <c r="DE234" i="2" s="1"/>
  <c r="DF235" i="2"/>
  <c r="DE235" i="2" s="1"/>
  <c r="DF236" i="2"/>
  <c r="DE236" i="2" s="1"/>
  <c r="DF237" i="2"/>
  <c r="DE237" i="2" s="1"/>
  <c r="DF238" i="2"/>
  <c r="DE238" i="2" s="1"/>
  <c r="DF239" i="2"/>
  <c r="DE239" i="2" s="1"/>
  <c r="DF240" i="2"/>
  <c r="DE240" i="2" s="1"/>
  <c r="DF241" i="2"/>
  <c r="DE241" i="2" s="1"/>
  <c r="DF242" i="2"/>
  <c r="DE242" i="2" s="1"/>
  <c r="DF243" i="2"/>
  <c r="DE243" i="2" s="1"/>
  <c r="DF244" i="2"/>
  <c r="DE244" i="2" s="1"/>
  <c r="DF245" i="2"/>
  <c r="DE245" i="2" s="1"/>
  <c r="DF246" i="2"/>
  <c r="DE246" i="2" s="1"/>
  <c r="DF247" i="2"/>
  <c r="DE247" i="2" s="1"/>
  <c r="DF248" i="2"/>
  <c r="DE248" i="2" s="1"/>
  <c r="DF249" i="2"/>
  <c r="DE249" i="2" s="1"/>
  <c r="DF250" i="2"/>
  <c r="DE250" i="2" s="1"/>
  <c r="DF251" i="2"/>
  <c r="DE251" i="2" s="1"/>
  <c r="DF252" i="2"/>
  <c r="DE252" i="2" s="1"/>
  <c r="DF253" i="2"/>
  <c r="DE253" i="2" s="1"/>
  <c r="DF254" i="2"/>
  <c r="DE254" i="2" s="1"/>
  <c r="DF255" i="2"/>
  <c r="DE255" i="2" s="1"/>
  <c r="DF256" i="2"/>
  <c r="DE256" i="2" s="1"/>
  <c r="DF257" i="2"/>
  <c r="DE257" i="2" s="1"/>
  <c r="DF258" i="2"/>
  <c r="DE258" i="2" s="1"/>
  <c r="DF259" i="2"/>
  <c r="DE259" i="2" s="1"/>
  <c r="DF260" i="2"/>
  <c r="DE260" i="2" s="1"/>
  <c r="DF261" i="2"/>
  <c r="DE261" i="2" s="1"/>
  <c r="DF262" i="2"/>
  <c r="DE262" i="2" s="1"/>
  <c r="DF263" i="2"/>
  <c r="DE263" i="2" s="1"/>
  <c r="DF264" i="2"/>
  <c r="DE264" i="2" s="1"/>
  <c r="DF265" i="2"/>
  <c r="DE265" i="2" s="1"/>
  <c r="DF266" i="2"/>
  <c r="DE266" i="2" s="1"/>
  <c r="DF267" i="2"/>
  <c r="DE267" i="2" s="1"/>
  <c r="DF268" i="2"/>
  <c r="DE268" i="2" s="1"/>
  <c r="DF269" i="2"/>
  <c r="DE269" i="2" s="1"/>
  <c r="DF270" i="2"/>
  <c r="DE270" i="2" s="1"/>
  <c r="DF271" i="2"/>
  <c r="DE271" i="2" s="1"/>
  <c r="DF272" i="2"/>
  <c r="DE272" i="2" s="1"/>
  <c r="DF273" i="2"/>
  <c r="DE273" i="2" s="1"/>
  <c r="DF274" i="2"/>
  <c r="DE274" i="2" s="1"/>
  <c r="DF275" i="2"/>
  <c r="DE275" i="2" s="1"/>
  <c r="DF276" i="2"/>
  <c r="DE276" i="2" s="1"/>
  <c r="DF277" i="2"/>
  <c r="DE277" i="2" s="1"/>
  <c r="DF278" i="2"/>
  <c r="DE278" i="2" s="1"/>
  <c r="DF279" i="2"/>
  <c r="DE279" i="2" s="1"/>
  <c r="DF280" i="2"/>
  <c r="DE280" i="2" s="1"/>
  <c r="DF281" i="2"/>
  <c r="DE281" i="2" s="1"/>
  <c r="DF282" i="2"/>
  <c r="DE282" i="2" s="1"/>
  <c r="DF283" i="2"/>
  <c r="DE283" i="2" s="1"/>
  <c r="DF284" i="2"/>
  <c r="DE284" i="2" s="1"/>
  <c r="DF285" i="2"/>
  <c r="DE285" i="2" s="1"/>
  <c r="DF286" i="2"/>
  <c r="DE286" i="2" s="1"/>
  <c r="DF287" i="2"/>
  <c r="DE287" i="2" s="1"/>
  <c r="DF288" i="2"/>
  <c r="DE288" i="2" s="1"/>
  <c r="DF289" i="2"/>
  <c r="DE289" i="2" s="1"/>
  <c r="DF290" i="2"/>
  <c r="DE290" i="2" s="1"/>
  <c r="DF291" i="2"/>
  <c r="DE291" i="2" s="1"/>
  <c r="DF292" i="2"/>
  <c r="DE292" i="2" s="1"/>
  <c r="DF293" i="2"/>
  <c r="DE293" i="2" s="1"/>
  <c r="DF294" i="2"/>
  <c r="DE294" i="2" s="1"/>
  <c r="DF295" i="2"/>
  <c r="DE295" i="2" s="1"/>
  <c r="DF296" i="2"/>
  <c r="DE296" i="2" s="1"/>
  <c r="DF297" i="2"/>
  <c r="DE297" i="2" s="1"/>
  <c r="DF298" i="2"/>
  <c r="DE298" i="2" s="1"/>
  <c r="DF299" i="2"/>
  <c r="DE299" i="2" s="1"/>
  <c r="DF300" i="2"/>
  <c r="DE300" i="2" s="1"/>
  <c r="DF301" i="2"/>
  <c r="DE301" i="2" s="1"/>
  <c r="DF302" i="2"/>
  <c r="DE302" i="2" s="1"/>
  <c r="DF303" i="2"/>
  <c r="DE303" i="2" s="1"/>
  <c r="DF304" i="2"/>
  <c r="DE304" i="2" s="1"/>
  <c r="DF305" i="2"/>
  <c r="DE305" i="2" s="1"/>
  <c r="DF306" i="2"/>
  <c r="DE306" i="2" s="1"/>
  <c r="DF307" i="2"/>
  <c r="DE307" i="2" s="1"/>
  <c r="DF308" i="2"/>
  <c r="DE308" i="2" s="1"/>
  <c r="DF309" i="2"/>
  <c r="DE309" i="2" s="1"/>
  <c r="DF310" i="2"/>
  <c r="DE310" i="2" s="1"/>
  <c r="DF311" i="2"/>
  <c r="DE311" i="2" s="1"/>
  <c r="DF312" i="2"/>
  <c r="DE312" i="2" s="1"/>
  <c r="DF313" i="2"/>
  <c r="DE313" i="2" s="1"/>
  <c r="DF314" i="2"/>
  <c r="DE314" i="2" s="1"/>
  <c r="DF315" i="2"/>
  <c r="DE315" i="2" s="1"/>
  <c r="DF316" i="2"/>
  <c r="DE316" i="2" s="1"/>
  <c r="DF317" i="2"/>
  <c r="DE317" i="2" s="1"/>
  <c r="DF318" i="2"/>
  <c r="DE318" i="2" s="1"/>
  <c r="DF319" i="2"/>
  <c r="DE319" i="2" s="1"/>
  <c r="DF320" i="2"/>
  <c r="DE320" i="2" s="1"/>
  <c r="DF321" i="2"/>
  <c r="DE321" i="2" s="1"/>
  <c r="DF322" i="2"/>
  <c r="DE322" i="2" s="1"/>
  <c r="DF323" i="2"/>
  <c r="DE323" i="2" s="1"/>
  <c r="DF324" i="2"/>
  <c r="DE324" i="2" s="1"/>
  <c r="DF325" i="2"/>
  <c r="DE325" i="2" s="1"/>
  <c r="DF326" i="2"/>
  <c r="DE326" i="2" s="1"/>
  <c r="DF327" i="2"/>
  <c r="DE327" i="2" s="1"/>
  <c r="DF328" i="2"/>
  <c r="DE328" i="2" s="1"/>
  <c r="DF329" i="2"/>
  <c r="DE329" i="2" s="1"/>
  <c r="DF330" i="2"/>
  <c r="DE330" i="2" s="1"/>
  <c r="DF331" i="2"/>
  <c r="DE331" i="2" s="1"/>
  <c r="DF332" i="2"/>
  <c r="DE332" i="2" s="1"/>
  <c r="DF333" i="2"/>
  <c r="DE333" i="2" s="1"/>
  <c r="DF334" i="2"/>
  <c r="DE334" i="2" s="1"/>
  <c r="DF335" i="2"/>
  <c r="DE335" i="2" s="1"/>
  <c r="DF336" i="2"/>
  <c r="DE336" i="2" s="1"/>
  <c r="DF337" i="2"/>
  <c r="DE337" i="2" s="1"/>
  <c r="DF338" i="2"/>
  <c r="DE338" i="2" s="1"/>
  <c r="DF339" i="2"/>
  <c r="DE339" i="2" s="1"/>
  <c r="DF340" i="2"/>
  <c r="DE340" i="2" s="1"/>
  <c r="DF341" i="2"/>
  <c r="DE341" i="2" s="1"/>
  <c r="DF342" i="2"/>
  <c r="DE342" i="2" s="1"/>
  <c r="DF343" i="2"/>
  <c r="DE343" i="2" s="1"/>
  <c r="DF344" i="2"/>
  <c r="DE344" i="2" s="1"/>
  <c r="DF345" i="2"/>
  <c r="DE345" i="2" s="1"/>
  <c r="DF346" i="2"/>
  <c r="DE346" i="2" s="1"/>
  <c r="DF347" i="2"/>
  <c r="DE347" i="2" s="1"/>
  <c r="DF348" i="2"/>
  <c r="DE348" i="2" s="1"/>
  <c r="DF349" i="2"/>
  <c r="DE349" i="2" s="1"/>
  <c r="DF350" i="2"/>
  <c r="DE350" i="2" s="1"/>
  <c r="DF351" i="2"/>
  <c r="DE351" i="2" s="1"/>
  <c r="DF352" i="2"/>
  <c r="DE352" i="2" s="1"/>
  <c r="DF353" i="2"/>
  <c r="DE353" i="2" s="1"/>
  <c r="DF354" i="2"/>
  <c r="DE354" i="2" s="1"/>
  <c r="A15" i="1" a="1"/>
  <c r="A17" i="1" a="1"/>
  <c r="A15" i="1" l="1"/>
  <c r="A17" i="1"/>
  <c r="P16" i="1"/>
  <c r="N16" i="1"/>
  <c r="CI518" i="2"/>
  <c r="CI640" i="2"/>
  <c r="CI614" i="2"/>
  <c r="CI486" i="2"/>
  <c r="CI527" i="2"/>
  <c r="CI619" i="2"/>
  <c r="CI587" i="2"/>
  <c r="CI555" i="2"/>
  <c r="CI595" i="2"/>
  <c r="CI563" i="2"/>
  <c r="CI531" i="2"/>
  <c r="CI499" i="2"/>
  <c r="CI467" i="2"/>
  <c r="CI328" i="2"/>
  <c r="CI178" i="2"/>
  <c r="CI613" i="2"/>
  <c r="CI581" i="2"/>
  <c r="CI549" i="2"/>
  <c r="CI517" i="2"/>
  <c r="CI485" i="2"/>
  <c r="CI453" i="2"/>
  <c r="CI421" i="2"/>
  <c r="CI389" i="2"/>
  <c r="CI357" i="2"/>
  <c r="CI463" i="2"/>
  <c r="CI599" i="2"/>
  <c r="CI567" i="2"/>
  <c r="CI535" i="2"/>
  <c r="CI503" i="2"/>
  <c r="CI471" i="2"/>
  <c r="CI338" i="2"/>
  <c r="CI232" i="2"/>
  <c r="CI577" i="2"/>
  <c r="CI617" i="2"/>
  <c r="CI585" i="2"/>
  <c r="CI553" i="2"/>
  <c r="CI521" i="2"/>
  <c r="CI489" i="2"/>
  <c r="CI457" i="2"/>
  <c r="CI425" i="2"/>
  <c r="CI393" i="2"/>
  <c r="CI361" i="2"/>
  <c r="CI449" i="2"/>
  <c r="CI417" i="2"/>
  <c r="CI385" i="2"/>
  <c r="CI353" i="2"/>
  <c r="CI603" i="2"/>
  <c r="CI571" i="2"/>
  <c r="CI539" i="2"/>
  <c r="CI507" i="2"/>
  <c r="CI475" i="2"/>
  <c r="CI322" i="2"/>
  <c r="CI242" i="2"/>
  <c r="CI126" i="2"/>
  <c r="CI397" i="2"/>
  <c r="CI365" i="2"/>
  <c r="CI609" i="2"/>
  <c r="CI513" i="2"/>
  <c r="CI625" i="2"/>
  <c r="CI607" i="2"/>
  <c r="CI575" i="2"/>
  <c r="CI543" i="2"/>
  <c r="CI511" i="2"/>
  <c r="CI479" i="2"/>
  <c r="CI296" i="2"/>
  <c r="CI559" i="2"/>
  <c r="CI629" i="2"/>
  <c r="CI593" i="2"/>
  <c r="CI561" i="2"/>
  <c r="CI529" i="2"/>
  <c r="CI497" i="2"/>
  <c r="CI465" i="2"/>
  <c r="CI433" i="2"/>
  <c r="CI401" i="2"/>
  <c r="CI369" i="2"/>
  <c r="CI331" i="2"/>
  <c r="CI251" i="2"/>
  <c r="CI591" i="2"/>
  <c r="CI274" i="2"/>
  <c r="CI545" i="2"/>
  <c r="CI481" i="2"/>
  <c r="CI637" i="2"/>
  <c r="CI597" i="2"/>
  <c r="CI565" i="2"/>
  <c r="CI533" i="2"/>
  <c r="CI501" i="2"/>
  <c r="CI469" i="2"/>
  <c r="CI437" i="2"/>
  <c r="CI405" i="2"/>
  <c r="CI373" i="2"/>
  <c r="CI260" i="2"/>
  <c r="CI155" i="2"/>
  <c r="CI495" i="2"/>
  <c r="CI641" i="2"/>
  <c r="CI615" i="2"/>
  <c r="CI583" i="2"/>
  <c r="CI551" i="2"/>
  <c r="CI519" i="2"/>
  <c r="CI487" i="2"/>
  <c r="CI455" i="2"/>
  <c r="CI290" i="2"/>
  <c r="CI210" i="2"/>
  <c r="CI320" i="2"/>
  <c r="CI288" i="2"/>
  <c r="CI67" i="2"/>
  <c r="CI333" i="2"/>
  <c r="CI301" i="2"/>
  <c r="CI269" i="2"/>
  <c r="CI237" i="2"/>
  <c r="CI205" i="2"/>
  <c r="CI173" i="2"/>
  <c r="CI91" i="2"/>
  <c r="CI337" i="2"/>
  <c r="CI305" i="2"/>
  <c r="CI273" i="2"/>
  <c r="CI241" i="2"/>
  <c r="CI209" i="2"/>
  <c r="CI177" i="2"/>
  <c r="CI115" i="2"/>
  <c r="CI341" i="2"/>
  <c r="CI332" i="2"/>
  <c r="CI300" i="2"/>
  <c r="CI268" i="2"/>
  <c r="CI236" i="2"/>
  <c r="CI204" i="2"/>
  <c r="CI172" i="2"/>
  <c r="CI95" i="2"/>
  <c r="CI309" i="2"/>
  <c r="CI277" i="2"/>
  <c r="CI245" i="2"/>
  <c r="CI213" i="2"/>
  <c r="CI139" i="2"/>
  <c r="CI75" i="2"/>
  <c r="CI336" i="2"/>
  <c r="CI304" i="2"/>
  <c r="CI272" i="2"/>
  <c r="CI240" i="2"/>
  <c r="CI208" i="2"/>
  <c r="CI176" i="2"/>
  <c r="CI119" i="2"/>
  <c r="CI99" i="2"/>
  <c r="CI308" i="2"/>
  <c r="CI276" i="2"/>
  <c r="CI143" i="2"/>
  <c r="CI79" i="2"/>
  <c r="CI317" i="2"/>
  <c r="CI285" i="2"/>
  <c r="CI253" i="2"/>
  <c r="CI221" i="2"/>
  <c r="CI189" i="2"/>
  <c r="CI157" i="2"/>
  <c r="CI123" i="2"/>
  <c r="CI312" i="2"/>
  <c r="CI280" i="2"/>
  <c r="CI248" i="2"/>
  <c r="CI216" i="2"/>
  <c r="CI184" i="2"/>
  <c r="CI103" i="2"/>
  <c r="CI257" i="2"/>
  <c r="CI225" i="2"/>
  <c r="CI193" i="2"/>
  <c r="CI161" i="2"/>
  <c r="CI147" i="2"/>
  <c r="CI83" i="2"/>
  <c r="DD3" i="2" l="1"/>
  <c r="L14" i="1"/>
  <c r="AJ6" i="1"/>
  <c r="K21" i="1"/>
  <c r="K20" i="1"/>
  <c r="K22" i="1"/>
  <c r="K18" i="1"/>
  <c r="P18" i="1" s="1"/>
  <c r="M18" i="1"/>
  <c r="K14" i="1"/>
  <c r="K13" i="1"/>
  <c r="L13" i="1" s="1"/>
  <c r="FY4" i="2"/>
  <c r="FY5" i="2"/>
  <c r="FY6" i="2"/>
  <c r="FY7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3" i="2"/>
  <c r="O13" i="1" s="1"/>
  <c r="N18" i="1" l="1"/>
  <c r="P13" i="1"/>
  <c r="K11" i="1"/>
  <c r="L11" i="1" s="1"/>
  <c r="EY4" i="2"/>
  <c r="EY5" i="2"/>
  <c r="EY6" i="2"/>
  <c r="EY7" i="2"/>
  <c r="EY8" i="2"/>
  <c r="EY9" i="2"/>
  <c r="EY10" i="2"/>
  <c r="EY11" i="2"/>
  <c r="EY12" i="2"/>
  <c r="EY13" i="2"/>
  <c r="EY14" i="2"/>
  <c r="EY15" i="2"/>
  <c r="EY16" i="2"/>
  <c r="EY17" i="2"/>
  <c r="EY18" i="2"/>
  <c r="EY19" i="2"/>
  <c r="EY20" i="2"/>
  <c r="EY21" i="2"/>
  <c r="EY22" i="2"/>
  <c r="EY23" i="2"/>
  <c r="EY24" i="2"/>
  <c r="EY25" i="2"/>
  <c r="EY26" i="2"/>
  <c r="EY27" i="2"/>
  <c r="EY28" i="2"/>
  <c r="EY29" i="2"/>
  <c r="EY30" i="2"/>
  <c r="EY31" i="2"/>
  <c r="EY32" i="2"/>
  <c r="EY33" i="2"/>
  <c r="EY34" i="2"/>
  <c r="EY35" i="2"/>
  <c r="EY36" i="2"/>
  <c r="EY37" i="2"/>
  <c r="EY38" i="2"/>
  <c r="EY39" i="2"/>
  <c r="EY40" i="2"/>
  <c r="EY41" i="2"/>
  <c r="EY42" i="2"/>
  <c r="EY43" i="2"/>
  <c r="EY44" i="2"/>
  <c r="EY45" i="2"/>
  <c r="EY46" i="2"/>
  <c r="EY3" i="2"/>
  <c r="K12" i="1"/>
  <c r="L12" i="1" s="1"/>
  <c r="DY4" i="2"/>
  <c r="DY5" i="2"/>
  <c r="DY6" i="2"/>
  <c r="DY7" i="2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65" i="2"/>
  <c r="DY66" i="2"/>
  <c r="DY67" i="2"/>
  <c r="DY68" i="2"/>
  <c r="DY69" i="2"/>
  <c r="DY70" i="2"/>
  <c r="DY71" i="2"/>
  <c r="DY72" i="2"/>
  <c r="DY73" i="2"/>
  <c r="DY74" i="2"/>
  <c r="DY75" i="2"/>
  <c r="DY76" i="2"/>
  <c r="DY77" i="2"/>
  <c r="DY78" i="2"/>
  <c r="DY79" i="2"/>
  <c r="DY80" i="2"/>
  <c r="DY81" i="2"/>
  <c r="DY82" i="2"/>
  <c r="DY83" i="2"/>
  <c r="DY84" i="2"/>
  <c r="DY85" i="2"/>
  <c r="DY86" i="2"/>
  <c r="DY87" i="2"/>
  <c r="DY88" i="2"/>
  <c r="DY89" i="2"/>
  <c r="DY90" i="2"/>
  <c r="DY91" i="2"/>
  <c r="DY92" i="2"/>
  <c r="DY93" i="2"/>
  <c r="DY94" i="2"/>
  <c r="DY95" i="2"/>
  <c r="DY96" i="2"/>
  <c r="DY97" i="2"/>
  <c r="DY98" i="2"/>
  <c r="DY99" i="2"/>
  <c r="DY100" i="2"/>
  <c r="DY101" i="2"/>
  <c r="DY102" i="2"/>
  <c r="DY103" i="2"/>
  <c r="DY104" i="2"/>
  <c r="DY105" i="2"/>
  <c r="DY106" i="2"/>
  <c r="DY107" i="2"/>
  <c r="DY108" i="2"/>
  <c r="DY109" i="2"/>
  <c r="DY110" i="2"/>
  <c r="DY111" i="2"/>
  <c r="DY112" i="2"/>
  <c r="DY113" i="2"/>
  <c r="DY114" i="2"/>
  <c r="DY115" i="2"/>
  <c r="DY116" i="2"/>
  <c r="DY117" i="2"/>
  <c r="DY118" i="2"/>
  <c r="DY119" i="2"/>
  <c r="DY120" i="2"/>
  <c r="DY121" i="2"/>
  <c r="DY122" i="2"/>
  <c r="DY123" i="2"/>
  <c r="DY124" i="2"/>
  <c r="DY125" i="2"/>
  <c r="DY126" i="2"/>
  <c r="DY127" i="2"/>
  <c r="DY128" i="2"/>
  <c r="DY129" i="2"/>
  <c r="DY130" i="2"/>
  <c r="DY131" i="2"/>
  <c r="DY132" i="2"/>
  <c r="DY133" i="2"/>
  <c r="DY134" i="2"/>
  <c r="DY135" i="2"/>
  <c r="DY136" i="2"/>
  <c r="DY137" i="2"/>
  <c r="DY138" i="2"/>
  <c r="DY139" i="2"/>
  <c r="DY140" i="2"/>
  <c r="DY141" i="2"/>
  <c r="DY142" i="2"/>
  <c r="DY143" i="2"/>
  <c r="DY144" i="2"/>
  <c r="DY145" i="2"/>
  <c r="DY146" i="2"/>
  <c r="DY147" i="2"/>
  <c r="DY148" i="2"/>
  <c r="DY149" i="2"/>
  <c r="DY150" i="2"/>
  <c r="DY151" i="2"/>
  <c r="DY152" i="2"/>
  <c r="DY153" i="2"/>
  <c r="DY154" i="2"/>
  <c r="DY155" i="2"/>
  <c r="DY156" i="2"/>
  <c r="DY157" i="2"/>
  <c r="DY158" i="2"/>
  <c r="DY159" i="2"/>
  <c r="DY160" i="2"/>
  <c r="DY161" i="2"/>
  <c r="DY162" i="2"/>
  <c r="DY163" i="2"/>
  <c r="DY164" i="2"/>
  <c r="DY165" i="2"/>
  <c r="DY166" i="2"/>
  <c r="DY167" i="2"/>
  <c r="DY168" i="2"/>
  <c r="DY169" i="2"/>
  <c r="DY170" i="2"/>
  <c r="DY171" i="2"/>
  <c r="DY172" i="2"/>
  <c r="DY173" i="2"/>
  <c r="DY174" i="2"/>
  <c r="DY175" i="2"/>
  <c r="DY176" i="2"/>
  <c r="DY177" i="2"/>
  <c r="DY178" i="2"/>
  <c r="DY179" i="2"/>
  <c r="DY180" i="2"/>
  <c r="DY181" i="2"/>
  <c r="DY182" i="2"/>
  <c r="DY183" i="2"/>
  <c r="DY184" i="2"/>
  <c r="DY185" i="2"/>
  <c r="DY186" i="2"/>
  <c r="DY187" i="2"/>
  <c r="DY188" i="2"/>
  <c r="DY189" i="2"/>
  <c r="DY190" i="2"/>
  <c r="DY191" i="2"/>
  <c r="DY192" i="2"/>
  <c r="DY193" i="2"/>
  <c r="DY194" i="2"/>
  <c r="DY195" i="2"/>
  <c r="DY196" i="2"/>
  <c r="DY197" i="2"/>
  <c r="DY198" i="2"/>
  <c r="DY199" i="2"/>
  <c r="DY3" i="2"/>
  <c r="E18" i="1"/>
  <c r="H15" i="1"/>
  <c r="E15" i="1"/>
  <c r="O14" i="1" s="1"/>
  <c r="P14" i="1" s="1"/>
  <c r="DD4" i="2"/>
  <c r="DD5" i="2"/>
  <c r="DD6" i="2"/>
  <c r="DD7" i="2"/>
  <c r="DD8" i="2"/>
  <c r="DD9" i="2"/>
  <c r="DD10" i="2"/>
  <c r="DD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D62" i="2"/>
  <c r="DD63" i="2"/>
  <c r="DD64" i="2"/>
  <c r="DD65" i="2"/>
  <c r="DD66" i="2"/>
  <c r="DD67" i="2"/>
  <c r="DD68" i="2"/>
  <c r="DD69" i="2"/>
  <c r="DD70" i="2"/>
  <c r="DD71" i="2"/>
  <c r="DD72" i="2"/>
  <c r="DD73" i="2"/>
  <c r="DD74" i="2"/>
  <c r="DD75" i="2"/>
  <c r="DD76" i="2"/>
  <c r="DD77" i="2"/>
  <c r="DD78" i="2"/>
  <c r="DD79" i="2"/>
  <c r="DD80" i="2"/>
  <c r="DD81" i="2"/>
  <c r="DD82" i="2"/>
  <c r="DD83" i="2"/>
  <c r="DD84" i="2"/>
  <c r="DD85" i="2"/>
  <c r="DD86" i="2"/>
  <c r="DD87" i="2"/>
  <c r="DD88" i="2"/>
  <c r="DD89" i="2"/>
  <c r="DD90" i="2"/>
  <c r="DD91" i="2"/>
  <c r="DD92" i="2"/>
  <c r="DD93" i="2"/>
  <c r="DD94" i="2"/>
  <c r="DD95" i="2"/>
  <c r="DD96" i="2"/>
  <c r="DD97" i="2"/>
  <c r="DD98" i="2"/>
  <c r="DD99" i="2"/>
  <c r="DD100" i="2"/>
  <c r="DD101" i="2"/>
  <c r="DD102" i="2"/>
  <c r="DD103" i="2"/>
  <c r="DD104" i="2"/>
  <c r="DD105" i="2"/>
  <c r="DD106" i="2"/>
  <c r="DD107" i="2"/>
  <c r="DD108" i="2"/>
  <c r="DD109" i="2"/>
  <c r="DD110" i="2"/>
  <c r="DD111" i="2"/>
  <c r="DD112" i="2"/>
  <c r="DD113" i="2"/>
  <c r="DD114" i="2"/>
  <c r="DD115" i="2"/>
  <c r="DD116" i="2"/>
  <c r="DD117" i="2"/>
  <c r="DD118" i="2"/>
  <c r="DD119" i="2"/>
  <c r="DD120" i="2"/>
  <c r="DD121" i="2"/>
  <c r="DD122" i="2"/>
  <c r="DD123" i="2"/>
  <c r="DD124" i="2"/>
  <c r="DD125" i="2"/>
  <c r="DD126" i="2"/>
  <c r="DD127" i="2"/>
  <c r="DD128" i="2"/>
  <c r="DD129" i="2"/>
  <c r="DD130" i="2"/>
  <c r="DD131" i="2"/>
  <c r="DD132" i="2"/>
  <c r="DD133" i="2"/>
  <c r="DD134" i="2"/>
  <c r="DD135" i="2"/>
  <c r="DD136" i="2"/>
  <c r="DD137" i="2"/>
  <c r="DD138" i="2"/>
  <c r="DD139" i="2"/>
  <c r="DD140" i="2"/>
  <c r="DD141" i="2"/>
  <c r="DD142" i="2"/>
  <c r="DD143" i="2"/>
  <c r="DD144" i="2"/>
  <c r="DD145" i="2"/>
  <c r="DD146" i="2"/>
  <c r="DD147" i="2"/>
  <c r="DD148" i="2"/>
  <c r="DD149" i="2"/>
  <c r="DD150" i="2"/>
  <c r="DD151" i="2"/>
  <c r="DD152" i="2"/>
  <c r="DD153" i="2"/>
  <c r="DD154" i="2"/>
  <c r="DD155" i="2"/>
  <c r="DD156" i="2"/>
  <c r="DD157" i="2"/>
  <c r="DD158" i="2"/>
  <c r="DD159" i="2"/>
  <c r="DD160" i="2"/>
  <c r="DD161" i="2"/>
  <c r="DD162" i="2"/>
  <c r="DD163" i="2"/>
  <c r="DD164" i="2"/>
  <c r="DD165" i="2"/>
  <c r="DD166" i="2"/>
  <c r="DD167" i="2"/>
  <c r="DD168" i="2"/>
  <c r="DD169" i="2"/>
  <c r="DD170" i="2"/>
  <c r="DD171" i="2"/>
  <c r="DD172" i="2"/>
  <c r="DD173" i="2"/>
  <c r="DD174" i="2"/>
  <c r="DD175" i="2"/>
  <c r="DD176" i="2"/>
  <c r="DD177" i="2"/>
  <c r="DD178" i="2"/>
  <c r="CZ4" i="2"/>
  <c r="DF4" i="2" s="1"/>
  <c r="DE4" i="2" s="1"/>
  <c r="CZ5" i="2"/>
  <c r="DF5" i="2" s="1"/>
  <c r="DE5" i="2" s="1"/>
  <c r="CZ6" i="2"/>
  <c r="DF6" i="2" s="1"/>
  <c r="DE6" i="2" s="1"/>
  <c r="CZ7" i="2"/>
  <c r="DF7" i="2" s="1"/>
  <c r="DE7" i="2" s="1"/>
  <c r="CZ8" i="2"/>
  <c r="DF8" i="2" s="1"/>
  <c r="DE8" i="2" s="1"/>
  <c r="CZ9" i="2"/>
  <c r="DF9" i="2" s="1"/>
  <c r="DE9" i="2" s="1"/>
  <c r="CZ10" i="2"/>
  <c r="DF10" i="2" s="1"/>
  <c r="DE10" i="2" s="1"/>
  <c r="CZ11" i="2"/>
  <c r="DF11" i="2" s="1"/>
  <c r="DE11" i="2" s="1"/>
  <c r="CZ12" i="2"/>
  <c r="DF12" i="2" s="1"/>
  <c r="DE12" i="2" s="1"/>
  <c r="CZ13" i="2"/>
  <c r="DF13" i="2" s="1"/>
  <c r="DE13" i="2" s="1"/>
  <c r="CZ14" i="2"/>
  <c r="DF14" i="2" s="1"/>
  <c r="DE14" i="2" s="1"/>
  <c r="CZ15" i="2"/>
  <c r="DF15" i="2" s="1"/>
  <c r="DE15" i="2" s="1"/>
  <c r="CZ16" i="2"/>
  <c r="DF16" i="2" s="1"/>
  <c r="DE16" i="2" s="1"/>
  <c r="CZ17" i="2"/>
  <c r="DF17" i="2" s="1"/>
  <c r="DE17" i="2" s="1"/>
  <c r="CZ18" i="2"/>
  <c r="DF18" i="2" s="1"/>
  <c r="DE18" i="2" s="1"/>
  <c r="CZ19" i="2"/>
  <c r="DF19" i="2" s="1"/>
  <c r="DE19" i="2" s="1"/>
  <c r="CZ20" i="2"/>
  <c r="DF20" i="2" s="1"/>
  <c r="DE20" i="2" s="1"/>
  <c r="CZ21" i="2"/>
  <c r="DF21" i="2" s="1"/>
  <c r="DE21" i="2" s="1"/>
  <c r="CZ22" i="2"/>
  <c r="DF22" i="2" s="1"/>
  <c r="DE22" i="2" s="1"/>
  <c r="CZ23" i="2"/>
  <c r="DF23" i="2" s="1"/>
  <c r="DE23" i="2" s="1"/>
  <c r="CZ24" i="2"/>
  <c r="DF24" i="2" s="1"/>
  <c r="DE24" i="2" s="1"/>
  <c r="CZ25" i="2"/>
  <c r="DF25" i="2" s="1"/>
  <c r="DE25" i="2" s="1"/>
  <c r="CZ26" i="2"/>
  <c r="DF26" i="2" s="1"/>
  <c r="DE26" i="2" s="1"/>
  <c r="CZ27" i="2"/>
  <c r="DF27" i="2" s="1"/>
  <c r="DE27" i="2" s="1"/>
  <c r="CZ28" i="2"/>
  <c r="DF28" i="2" s="1"/>
  <c r="DE28" i="2" s="1"/>
  <c r="CZ29" i="2"/>
  <c r="DF29" i="2" s="1"/>
  <c r="DE29" i="2" s="1"/>
  <c r="CZ30" i="2"/>
  <c r="DF30" i="2" s="1"/>
  <c r="DE30" i="2" s="1"/>
  <c r="CZ31" i="2"/>
  <c r="DF31" i="2" s="1"/>
  <c r="DE31" i="2" s="1"/>
  <c r="CZ32" i="2"/>
  <c r="DF32" i="2" s="1"/>
  <c r="DE32" i="2" s="1"/>
  <c r="CZ33" i="2"/>
  <c r="DF33" i="2" s="1"/>
  <c r="DE33" i="2" s="1"/>
  <c r="CZ34" i="2"/>
  <c r="DF34" i="2" s="1"/>
  <c r="DE34" i="2" s="1"/>
  <c r="CZ35" i="2"/>
  <c r="DF35" i="2" s="1"/>
  <c r="DE35" i="2" s="1"/>
  <c r="CZ36" i="2"/>
  <c r="DF36" i="2" s="1"/>
  <c r="DE36" i="2" s="1"/>
  <c r="CZ37" i="2"/>
  <c r="DF37" i="2" s="1"/>
  <c r="DE37" i="2" s="1"/>
  <c r="CZ38" i="2"/>
  <c r="DF38" i="2" s="1"/>
  <c r="DE38" i="2" s="1"/>
  <c r="CZ39" i="2"/>
  <c r="DF39" i="2" s="1"/>
  <c r="DE39" i="2" s="1"/>
  <c r="CZ40" i="2"/>
  <c r="DF40" i="2" s="1"/>
  <c r="DE40" i="2" s="1"/>
  <c r="CZ41" i="2"/>
  <c r="DF41" i="2" s="1"/>
  <c r="DE41" i="2" s="1"/>
  <c r="CZ42" i="2"/>
  <c r="DF42" i="2" s="1"/>
  <c r="DE42" i="2" s="1"/>
  <c r="CZ43" i="2"/>
  <c r="DF43" i="2" s="1"/>
  <c r="DE43" i="2" s="1"/>
  <c r="CZ44" i="2"/>
  <c r="DF44" i="2" s="1"/>
  <c r="DE44" i="2" s="1"/>
  <c r="CZ45" i="2"/>
  <c r="DF45" i="2" s="1"/>
  <c r="DE45" i="2" s="1"/>
  <c r="CZ46" i="2"/>
  <c r="DF46" i="2" s="1"/>
  <c r="DE46" i="2" s="1"/>
  <c r="CZ47" i="2"/>
  <c r="DF47" i="2" s="1"/>
  <c r="DE47" i="2" s="1"/>
  <c r="CZ48" i="2"/>
  <c r="DF48" i="2" s="1"/>
  <c r="DE48" i="2" s="1"/>
  <c r="CZ49" i="2"/>
  <c r="DF49" i="2" s="1"/>
  <c r="DE49" i="2" s="1"/>
  <c r="CZ50" i="2"/>
  <c r="DF50" i="2" s="1"/>
  <c r="DE50" i="2" s="1"/>
  <c r="CZ51" i="2"/>
  <c r="DF51" i="2" s="1"/>
  <c r="DE51" i="2" s="1"/>
  <c r="CZ52" i="2"/>
  <c r="DF52" i="2" s="1"/>
  <c r="DE52" i="2" s="1"/>
  <c r="CZ53" i="2"/>
  <c r="DF53" i="2" s="1"/>
  <c r="DE53" i="2" s="1"/>
  <c r="CZ54" i="2"/>
  <c r="DF54" i="2" s="1"/>
  <c r="DE54" i="2" s="1"/>
  <c r="CZ55" i="2"/>
  <c r="DF55" i="2" s="1"/>
  <c r="DE55" i="2" s="1"/>
  <c r="CZ56" i="2"/>
  <c r="DF56" i="2" s="1"/>
  <c r="DE56" i="2" s="1"/>
  <c r="CZ57" i="2"/>
  <c r="DF57" i="2" s="1"/>
  <c r="DE57" i="2" s="1"/>
  <c r="CZ58" i="2"/>
  <c r="DF58" i="2" s="1"/>
  <c r="DE58" i="2" s="1"/>
  <c r="CZ59" i="2"/>
  <c r="DF59" i="2" s="1"/>
  <c r="DE59" i="2" s="1"/>
  <c r="CZ60" i="2"/>
  <c r="DF60" i="2" s="1"/>
  <c r="DE60" i="2" s="1"/>
  <c r="CZ61" i="2"/>
  <c r="DF61" i="2" s="1"/>
  <c r="DE61" i="2" s="1"/>
  <c r="CZ62" i="2"/>
  <c r="DF62" i="2" s="1"/>
  <c r="DE62" i="2" s="1"/>
  <c r="CZ63" i="2"/>
  <c r="DF63" i="2" s="1"/>
  <c r="DE63" i="2" s="1"/>
  <c r="CZ64" i="2"/>
  <c r="DF64" i="2" s="1"/>
  <c r="DE64" i="2" s="1"/>
  <c r="CZ65" i="2"/>
  <c r="DF65" i="2" s="1"/>
  <c r="DE65" i="2" s="1"/>
  <c r="CZ66" i="2"/>
  <c r="DF66" i="2" s="1"/>
  <c r="DE66" i="2" s="1"/>
  <c r="CZ67" i="2"/>
  <c r="DF67" i="2" s="1"/>
  <c r="DE67" i="2" s="1"/>
  <c r="CZ68" i="2"/>
  <c r="DF68" i="2" s="1"/>
  <c r="DE68" i="2" s="1"/>
  <c r="CZ69" i="2"/>
  <c r="DF69" i="2" s="1"/>
  <c r="DE69" i="2" s="1"/>
  <c r="CZ70" i="2"/>
  <c r="DF70" i="2" s="1"/>
  <c r="DE70" i="2" s="1"/>
  <c r="CZ71" i="2"/>
  <c r="DF71" i="2" s="1"/>
  <c r="DE71" i="2" s="1"/>
  <c r="CZ72" i="2"/>
  <c r="DF72" i="2" s="1"/>
  <c r="DE72" i="2" s="1"/>
  <c r="CZ73" i="2"/>
  <c r="DF73" i="2" s="1"/>
  <c r="DE73" i="2" s="1"/>
  <c r="CZ74" i="2"/>
  <c r="DF74" i="2" s="1"/>
  <c r="DE74" i="2" s="1"/>
  <c r="CZ75" i="2"/>
  <c r="DF75" i="2" s="1"/>
  <c r="DE75" i="2" s="1"/>
  <c r="CZ76" i="2"/>
  <c r="DF76" i="2" s="1"/>
  <c r="DE76" i="2" s="1"/>
  <c r="CZ77" i="2"/>
  <c r="DF77" i="2" s="1"/>
  <c r="DE77" i="2" s="1"/>
  <c r="CZ78" i="2"/>
  <c r="DF78" i="2" s="1"/>
  <c r="DE78" i="2" s="1"/>
  <c r="CZ79" i="2"/>
  <c r="DF79" i="2" s="1"/>
  <c r="DE79" i="2" s="1"/>
  <c r="CZ80" i="2"/>
  <c r="DF80" i="2" s="1"/>
  <c r="DE80" i="2" s="1"/>
  <c r="CZ81" i="2"/>
  <c r="DF81" i="2" s="1"/>
  <c r="DE81" i="2" s="1"/>
  <c r="CZ82" i="2"/>
  <c r="DF82" i="2" s="1"/>
  <c r="DE82" i="2" s="1"/>
  <c r="CZ83" i="2"/>
  <c r="DF83" i="2" s="1"/>
  <c r="DE83" i="2" s="1"/>
  <c r="CZ84" i="2"/>
  <c r="DF84" i="2" s="1"/>
  <c r="DE84" i="2" s="1"/>
  <c r="CZ85" i="2"/>
  <c r="DF85" i="2" s="1"/>
  <c r="DE85" i="2" s="1"/>
  <c r="CZ86" i="2"/>
  <c r="DF86" i="2" s="1"/>
  <c r="DE86" i="2" s="1"/>
  <c r="CZ87" i="2"/>
  <c r="DF87" i="2" s="1"/>
  <c r="DE87" i="2" s="1"/>
  <c r="CZ88" i="2"/>
  <c r="DF88" i="2" s="1"/>
  <c r="DE88" i="2" s="1"/>
  <c r="CZ89" i="2"/>
  <c r="DF89" i="2" s="1"/>
  <c r="DE89" i="2" s="1"/>
  <c r="CZ90" i="2"/>
  <c r="DF90" i="2" s="1"/>
  <c r="DE90" i="2" s="1"/>
  <c r="CZ91" i="2"/>
  <c r="DF91" i="2" s="1"/>
  <c r="DE91" i="2" s="1"/>
  <c r="CZ92" i="2"/>
  <c r="DF92" i="2" s="1"/>
  <c r="DE92" i="2" s="1"/>
  <c r="CZ93" i="2"/>
  <c r="DF93" i="2" s="1"/>
  <c r="DE93" i="2" s="1"/>
  <c r="CZ94" i="2"/>
  <c r="DF94" i="2" s="1"/>
  <c r="DE94" i="2" s="1"/>
  <c r="CZ95" i="2"/>
  <c r="DF95" i="2" s="1"/>
  <c r="DE95" i="2" s="1"/>
  <c r="CZ96" i="2"/>
  <c r="DF96" i="2" s="1"/>
  <c r="DE96" i="2" s="1"/>
  <c r="CZ97" i="2"/>
  <c r="DF97" i="2" s="1"/>
  <c r="DE97" i="2" s="1"/>
  <c r="CZ98" i="2"/>
  <c r="DF98" i="2" s="1"/>
  <c r="DE98" i="2" s="1"/>
  <c r="CZ99" i="2"/>
  <c r="DF99" i="2" s="1"/>
  <c r="DE99" i="2" s="1"/>
  <c r="CZ100" i="2"/>
  <c r="DF100" i="2" s="1"/>
  <c r="DE100" i="2" s="1"/>
  <c r="CZ101" i="2"/>
  <c r="DF101" i="2" s="1"/>
  <c r="DE101" i="2" s="1"/>
  <c r="CZ102" i="2"/>
  <c r="DF102" i="2" s="1"/>
  <c r="DE102" i="2" s="1"/>
  <c r="CZ103" i="2"/>
  <c r="DF103" i="2" s="1"/>
  <c r="DE103" i="2" s="1"/>
  <c r="CZ104" i="2"/>
  <c r="DF104" i="2" s="1"/>
  <c r="DE104" i="2" s="1"/>
  <c r="CZ105" i="2"/>
  <c r="DF105" i="2" s="1"/>
  <c r="DE105" i="2" s="1"/>
  <c r="CZ106" i="2"/>
  <c r="DF106" i="2" s="1"/>
  <c r="DE106" i="2" s="1"/>
  <c r="CZ107" i="2"/>
  <c r="DF107" i="2" s="1"/>
  <c r="DE107" i="2" s="1"/>
  <c r="CZ108" i="2"/>
  <c r="DF108" i="2" s="1"/>
  <c r="DE108" i="2" s="1"/>
  <c r="CZ109" i="2"/>
  <c r="DF109" i="2" s="1"/>
  <c r="DE109" i="2" s="1"/>
  <c r="CZ110" i="2"/>
  <c r="DF110" i="2" s="1"/>
  <c r="DE110" i="2" s="1"/>
  <c r="CZ111" i="2"/>
  <c r="DF111" i="2" s="1"/>
  <c r="DE111" i="2" s="1"/>
  <c r="CZ112" i="2"/>
  <c r="DF112" i="2" s="1"/>
  <c r="DE112" i="2" s="1"/>
  <c r="CZ113" i="2"/>
  <c r="DF113" i="2" s="1"/>
  <c r="DE113" i="2" s="1"/>
  <c r="CZ114" i="2"/>
  <c r="DF114" i="2" s="1"/>
  <c r="DE114" i="2" s="1"/>
  <c r="CZ115" i="2"/>
  <c r="DF115" i="2" s="1"/>
  <c r="DE115" i="2" s="1"/>
  <c r="CZ116" i="2"/>
  <c r="DF116" i="2" s="1"/>
  <c r="DE116" i="2" s="1"/>
  <c r="CZ117" i="2"/>
  <c r="DF117" i="2" s="1"/>
  <c r="DE117" i="2" s="1"/>
  <c r="CZ118" i="2"/>
  <c r="DF118" i="2" s="1"/>
  <c r="DE118" i="2" s="1"/>
  <c r="CZ119" i="2"/>
  <c r="DF119" i="2" s="1"/>
  <c r="DE119" i="2" s="1"/>
  <c r="CZ120" i="2"/>
  <c r="DF120" i="2" s="1"/>
  <c r="DE120" i="2" s="1"/>
  <c r="CZ121" i="2"/>
  <c r="DF121" i="2" s="1"/>
  <c r="DE121" i="2" s="1"/>
  <c r="CZ122" i="2"/>
  <c r="DF122" i="2" s="1"/>
  <c r="DE122" i="2" s="1"/>
  <c r="CZ123" i="2"/>
  <c r="DF123" i="2" s="1"/>
  <c r="DE123" i="2" s="1"/>
  <c r="CZ124" i="2"/>
  <c r="DF124" i="2" s="1"/>
  <c r="DE124" i="2" s="1"/>
  <c r="CZ125" i="2"/>
  <c r="DF125" i="2" s="1"/>
  <c r="DE125" i="2" s="1"/>
  <c r="CZ126" i="2"/>
  <c r="DF126" i="2" s="1"/>
  <c r="DE126" i="2" s="1"/>
  <c r="CZ127" i="2"/>
  <c r="DF127" i="2" s="1"/>
  <c r="DE127" i="2" s="1"/>
  <c r="CZ128" i="2"/>
  <c r="DF128" i="2" s="1"/>
  <c r="DE128" i="2" s="1"/>
  <c r="CZ129" i="2"/>
  <c r="DF129" i="2" s="1"/>
  <c r="DE129" i="2" s="1"/>
  <c r="CZ130" i="2"/>
  <c r="DF130" i="2" s="1"/>
  <c r="DE130" i="2" s="1"/>
  <c r="CZ131" i="2"/>
  <c r="DF131" i="2" s="1"/>
  <c r="DE131" i="2" s="1"/>
  <c r="CZ132" i="2"/>
  <c r="DF132" i="2" s="1"/>
  <c r="DE132" i="2" s="1"/>
  <c r="CZ133" i="2"/>
  <c r="DF133" i="2" s="1"/>
  <c r="DE133" i="2" s="1"/>
  <c r="CZ134" i="2"/>
  <c r="DF134" i="2" s="1"/>
  <c r="DE134" i="2" s="1"/>
  <c r="CZ135" i="2"/>
  <c r="DF135" i="2" s="1"/>
  <c r="DE135" i="2" s="1"/>
  <c r="CZ136" i="2"/>
  <c r="DF136" i="2" s="1"/>
  <c r="DE136" i="2" s="1"/>
  <c r="CZ137" i="2"/>
  <c r="DF137" i="2" s="1"/>
  <c r="DE137" i="2" s="1"/>
  <c r="CZ138" i="2"/>
  <c r="DF138" i="2" s="1"/>
  <c r="DE138" i="2" s="1"/>
  <c r="CZ139" i="2"/>
  <c r="DF139" i="2" s="1"/>
  <c r="DE139" i="2" s="1"/>
  <c r="CZ140" i="2"/>
  <c r="DF140" i="2" s="1"/>
  <c r="DE140" i="2" s="1"/>
  <c r="CZ141" i="2"/>
  <c r="DF141" i="2" s="1"/>
  <c r="DE141" i="2" s="1"/>
  <c r="CZ142" i="2"/>
  <c r="DF142" i="2" s="1"/>
  <c r="DE142" i="2" s="1"/>
  <c r="CZ143" i="2"/>
  <c r="DF143" i="2" s="1"/>
  <c r="DE143" i="2" s="1"/>
  <c r="CZ144" i="2"/>
  <c r="DF144" i="2" s="1"/>
  <c r="DE144" i="2" s="1"/>
  <c r="CZ145" i="2"/>
  <c r="DF145" i="2" s="1"/>
  <c r="DE145" i="2" s="1"/>
  <c r="CZ146" i="2"/>
  <c r="DF146" i="2" s="1"/>
  <c r="DE146" i="2" s="1"/>
  <c r="CZ147" i="2"/>
  <c r="DF147" i="2" s="1"/>
  <c r="DE147" i="2" s="1"/>
  <c r="CZ148" i="2"/>
  <c r="DF148" i="2" s="1"/>
  <c r="DE148" i="2" s="1"/>
  <c r="CZ149" i="2"/>
  <c r="DF149" i="2" s="1"/>
  <c r="DE149" i="2" s="1"/>
  <c r="CZ150" i="2"/>
  <c r="DF150" i="2" s="1"/>
  <c r="DE150" i="2" s="1"/>
  <c r="CZ151" i="2"/>
  <c r="DF151" i="2" s="1"/>
  <c r="DE151" i="2" s="1"/>
  <c r="CZ152" i="2"/>
  <c r="DF152" i="2" s="1"/>
  <c r="DE152" i="2" s="1"/>
  <c r="CZ153" i="2"/>
  <c r="DF153" i="2" s="1"/>
  <c r="DE153" i="2" s="1"/>
  <c r="CZ154" i="2"/>
  <c r="DF154" i="2" s="1"/>
  <c r="DE154" i="2" s="1"/>
  <c r="CZ155" i="2"/>
  <c r="DF155" i="2" s="1"/>
  <c r="DE155" i="2" s="1"/>
  <c r="CZ156" i="2"/>
  <c r="DF156" i="2" s="1"/>
  <c r="DE156" i="2" s="1"/>
  <c r="CZ157" i="2"/>
  <c r="DF157" i="2" s="1"/>
  <c r="DE157" i="2" s="1"/>
  <c r="CZ158" i="2"/>
  <c r="DF158" i="2" s="1"/>
  <c r="DE158" i="2" s="1"/>
  <c r="CZ159" i="2"/>
  <c r="DF159" i="2" s="1"/>
  <c r="DE159" i="2" s="1"/>
  <c r="CZ160" i="2"/>
  <c r="DF160" i="2" s="1"/>
  <c r="DE160" i="2" s="1"/>
  <c r="CZ161" i="2"/>
  <c r="DF161" i="2" s="1"/>
  <c r="DE161" i="2" s="1"/>
  <c r="CZ162" i="2"/>
  <c r="DF162" i="2" s="1"/>
  <c r="DE162" i="2" s="1"/>
  <c r="CZ163" i="2"/>
  <c r="DF163" i="2" s="1"/>
  <c r="DE163" i="2" s="1"/>
  <c r="CZ164" i="2"/>
  <c r="DF164" i="2" s="1"/>
  <c r="DE164" i="2" s="1"/>
  <c r="CZ165" i="2"/>
  <c r="DF165" i="2" s="1"/>
  <c r="DE165" i="2" s="1"/>
  <c r="CZ166" i="2"/>
  <c r="DF166" i="2" s="1"/>
  <c r="DE166" i="2" s="1"/>
  <c r="CZ167" i="2"/>
  <c r="DF167" i="2" s="1"/>
  <c r="DE167" i="2" s="1"/>
  <c r="CZ168" i="2"/>
  <c r="DF168" i="2" s="1"/>
  <c r="DE168" i="2" s="1"/>
  <c r="CZ169" i="2"/>
  <c r="DF169" i="2" s="1"/>
  <c r="DE169" i="2" s="1"/>
  <c r="CZ170" i="2"/>
  <c r="DF170" i="2" s="1"/>
  <c r="DE170" i="2" s="1"/>
  <c r="CZ171" i="2"/>
  <c r="DF171" i="2" s="1"/>
  <c r="DE171" i="2" s="1"/>
  <c r="CZ172" i="2"/>
  <c r="DF172" i="2" s="1"/>
  <c r="DE172" i="2" s="1"/>
  <c r="CZ173" i="2"/>
  <c r="DF173" i="2" s="1"/>
  <c r="DE173" i="2" s="1"/>
  <c r="CZ174" i="2"/>
  <c r="DF174" i="2" s="1"/>
  <c r="DE174" i="2" s="1"/>
  <c r="CZ175" i="2"/>
  <c r="DF175" i="2" s="1"/>
  <c r="DE175" i="2" s="1"/>
  <c r="CZ176" i="2"/>
  <c r="DF176" i="2" s="1"/>
  <c r="DE176" i="2" s="1"/>
  <c r="CZ177" i="2"/>
  <c r="DF177" i="2" s="1"/>
  <c r="DE177" i="2" s="1"/>
  <c r="CZ178" i="2"/>
  <c r="DF178" i="2" s="1"/>
  <c r="DE178" i="2" s="1"/>
  <c r="CZ3" i="2"/>
  <c r="K10" i="1"/>
  <c r="L10" i="1" s="1"/>
  <c r="K9" i="1"/>
  <c r="L9" i="1" s="1"/>
  <c r="CF4" i="2"/>
  <c r="CF5" i="2"/>
  <c r="CF6" i="2"/>
  <c r="CF7" i="2"/>
  <c r="CF8" i="2"/>
  <c r="CF9" i="2"/>
  <c r="CF10" i="2"/>
  <c r="CF11" i="2"/>
  <c r="CF12" i="2"/>
  <c r="CF13" i="2"/>
  <c r="CF14" i="2"/>
  <c r="CF15" i="2"/>
  <c r="CF16" i="2"/>
  <c r="CF17" i="2"/>
  <c r="CF18" i="2"/>
  <c r="CF19" i="2"/>
  <c r="CF20" i="2"/>
  <c r="CF21" i="2"/>
  <c r="CF22" i="2"/>
  <c r="CF23" i="2"/>
  <c r="CF24" i="2"/>
  <c r="CF25" i="2"/>
  <c r="CF26" i="2"/>
  <c r="CF27" i="2"/>
  <c r="CF28" i="2"/>
  <c r="CF29" i="2"/>
  <c r="CF30" i="2"/>
  <c r="CF31" i="2"/>
  <c r="CF32" i="2"/>
  <c r="CF33" i="2"/>
  <c r="CF34" i="2"/>
  <c r="CF35" i="2"/>
  <c r="CF36" i="2"/>
  <c r="CF37" i="2"/>
  <c r="CF38" i="2"/>
  <c r="CF39" i="2"/>
  <c r="CF40" i="2"/>
  <c r="CF41" i="2"/>
  <c r="CF42" i="2"/>
  <c r="CF43" i="2"/>
  <c r="CF44" i="2"/>
  <c r="CF45" i="2"/>
  <c r="CF46" i="2"/>
  <c r="CF47" i="2"/>
  <c r="CF48" i="2"/>
  <c r="CF49" i="2"/>
  <c r="CF50" i="2"/>
  <c r="CF51" i="2"/>
  <c r="CF52" i="2"/>
  <c r="CF53" i="2"/>
  <c r="CF54" i="2"/>
  <c r="CF55" i="2"/>
  <c r="CF56" i="2"/>
  <c r="CF57" i="2"/>
  <c r="CF58" i="2"/>
  <c r="CF59" i="2"/>
  <c r="CF60" i="2"/>
  <c r="CF61" i="2"/>
  <c r="CF62" i="2"/>
  <c r="CF63" i="2"/>
  <c r="CF64" i="2"/>
  <c r="CF65" i="2"/>
  <c r="CF66" i="2"/>
  <c r="CF67" i="2"/>
  <c r="CF68" i="2"/>
  <c r="CF69" i="2"/>
  <c r="CF70" i="2"/>
  <c r="CF71" i="2"/>
  <c r="CF72" i="2"/>
  <c r="CF73" i="2"/>
  <c r="CF74" i="2"/>
  <c r="CF75" i="2"/>
  <c r="CF76" i="2"/>
  <c r="CF77" i="2"/>
  <c r="CF78" i="2"/>
  <c r="CF79" i="2"/>
  <c r="CF80" i="2"/>
  <c r="CF81" i="2"/>
  <c r="CF82" i="2"/>
  <c r="CF83" i="2"/>
  <c r="CF84" i="2"/>
  <c r="CF85" i="2"/>
  <c r="CF86" i="2"/>
  <c r="CF87" i="2"/>
  <c r="CF88" i="2"/>
  <c r="CF89" i="2"/>
  <c r="CF90" i="2"/>
  <c r="CF91" i="2"/>
  <c r="CF92" i="2"/>
  <c r="CF93" i="2"/>
  <c r="CF94" i="2"/>
  <c r="CF95" i="2"/>
  <c r="CF96" i="2"/>
  <c r="CF97" i="2"/>
  <c r="CF98" i="2"/>
  <c r="CF99" i="2"/>
  <c r="CF100" i="2"/>
  <c r="CF101" i="2"/>
  <c r="CF102" i="2"/>
  <c r="CF103" i="2"/>
  <c r="CF104" i="2"/>
  <c r="CF105" i="2"/>
  <c r="CF106" i="2"/>
  <c r="CF107" i="2"/>
  <c r="CF108" i="2"/>
  <c r="CF109" i="2"/>
  <c r="CF110" i="2"/>
  <c r="CF111" i="2"/>
  <c r="CF112" i="2"/>
  <c r="CF113" i="2"/>
  <c r="CF114" i="2"/>
  <c r="CF115" i="2"/>
  <c r="CF116" i="2"/>
  <c r="CF117" i="2"/>
  <c r="CF118" i="2"/>
  <c r="CF119" i="2"/>
  <c r="CF120" i="2"/>
  <c r="CF121" i="2"/>
  <c r="CF122" i="2"/>
  <c r="CF123" i="2"/>
  <c r="CF124" i="2"/>
  <c r="CF125" i="2"/>
  <c r="CF126" i="2"/>
  <c r="CF127" i="2"/>
  <c r="CF128" i="2"/>
  <c r="CF129" i="2"/>
  <c r="CF130" i="2"/>
  <c r="CF131" i="2"/>
  <c r="CF132" i="2"/>
  <c r="CF133" i="2"/>
  <c r="CF134" i="2"/>
  <c r="CF135" i="2"/>
  <c r="CF136" i="2"/>
  <c r="CF137" i="2"/>
  <c r="CF138" i="2"/>
  <c r="CF139" i="2"/>
  <c r="CF140" i="2"/>
  <c r="CF141" i="2"/>
  <c r="CF142" i="2"/>
  <c r="CF143" i="2"/>
  <c r="CF144" i="2"/>
  <c r="CF145" i="2"/>
  <c r="CF146" i="2"/>
  <c r="CF147" i="2"/>
  <c r="CF148" i="2"/>
  <c r="CF149" i="2"/>
  <c r="CF150" i="2"/>
  <c r="CF151" i="2"/>
  <c r="CF152" i="2"/>
  <c r="CF153" i="2"/>
  <c r="CF154" i="2"/>
  <c r="CF155" i="2"/>
  <c r="CF156" i="2"/>
  <c r="CF157" i="2"/>
  <c r="CF158" i="2"/>
  <c r="CF159" i="2"/>
  <c r="CF160" i="2"/>
  <c r="CF161" i="2"/>
  <c r="CF162" i="2"/>
  <c r="CF163" i="2"/>
  <c r="CF164" i="2"/>
  <c r="CF165" i="2"/>
  <c r="CF166" i="2"/>
  <c r="CF167" i="2"/>
  <c r="CF168" i="2"/>
  <c r="CF169" i="2"/>
  <c r="CF170" i="2"/>
  <c r="CF171" i="2"/>
  <c r="CF172" i="2"/>
  <c r="CF173" i="2"/>
  <c r="CF174" i="2"/>
  <c r="CF175" i="2"/>
  <c r="CF176" i="2"/>
  <c r="CF177" i="2"/>
  <c r="CF178" i="2"/>
  <c r="CF179" i="2"/>
  <c r="CF180" i="2"/>
  <c r="CF181" i="2"/>
  <c r="CF182" i="2"/>
  <c r="CF183" i="2"/>
  <c r="CF184" i="2"/>
  <c r="CF185" i="2"/>
  <c r="CF186" i="2"/>
  <c r="CF187" i="2"/>
  <c r="CF188" i="2"/>
  <c r="CF189" i="2"/>
  <c r="CF190" i="2"/>
  <c r="CF191" i="2"/>
  <c r="CF192" i="2"/>
  <c r="CF193" i="2"/>
  <c r="CF194" i="2"/>
  <c r="CF195" i="2"/>
  <c r="CF196" i="2"/>
  <c r="CF197" i="2"/>
  <c r="CF198" i="2"/>
  <c r="CF199" i="2"/>
  <c r="CF200" i="2"/>
  <c r="CF201" i="2"/>
  <c r="CF202" i="2"/>
  <c r="CF203" i="2"/>
  <c r="CF204" i="2"/>
  <c r="CF205" i="2"/>
  <c r="CF206" i="2"/>
  <c r="CF207" i="2"/>
  <c r="CF208" i="2"/>
  <c r="CF209" i="2"/>
  <c r="CF210" i="2"/>
  <c r="CF211" i="2"/>
  <c r="CF212" i="2"/>
  <c r="CF213" i="2"/>
  <c r="CF214" i="2"/>
  <c r="CF215" i="2"/>
  <c r="CF216" i="2"/>
  <c r="CF217" i="2"/>
  <c r="CF218" i="2"/>
  <c r="CF219" i="2"/>
  <c r="CF220" i="2"/>
  <c r="CF221" i="2"/>
  <c r="CF222" i="2"/>
  <c r="CF223" i="2"/>
  <c r="CF224" i="2"/>
  <c r="CF225" i="2"/>
  <c r="CF226" i="2"/>
  <c r="CF227" i="2"/>
  <c r="CF228" i="2"/>
  <c r="CF229" i="2"/>
  <c r="CF230" i="2"/>
  <c r="CF231" i="2"/>
  <c r="CF232" i="2"/>
  <c r="CF233" i="2"/>
  <c r="CF234" i="2"/>
  <c r="CF235" i="2"/>
  <c r="CF236" i="2"/>
  <c r="CF237" i="2"/>
  <c r="CF238" i="2"/>
  <c r="CF239" i="2"/>
  <c r="CF240" i="2"/>
  <c r="CF241" i="2"/>
  <c r="CF242" i="2"/>
  <c r="CF243" i="2"/>
  <c r="CF244" i="2"/>
  <c r="CF245" i="2"/>
  <c r="CF246" i="2"/>
  <c r="CF247" i="2"/>
  <c r="CF248" i="2"/>
  <c r="CF249" i="2"/>
  <c r="CF250" i="2"/>
  <c r="CF251" i="2"/>
  <c r="CF252" i="2"/>
  <c r="CF253" i="2"/>
  <c r="CF254" i="2"/>
  <c r="CF255" i="2"/>
  <c r="CF256" i="2"/>
  <c r="CF257" i="2"/>
  <c r="CF258" i="2"/>
  <c r="CF259" i="2"/>
  <c r="CF260" i="2"/>
  <c r="CF261" i="2"/>
  <c r="CF262" i="2"/>
  <c r="CF263" i="2"/>
  <c r="CF264" i="2"/>
  <c r="CF265" i="2"/>
  <c r="CF266" i="2"/>
  <c r="CF267" i="2"/>
  <c r="CF268" i="2"/>
  <c r="CF269" i="2"/>
  <c r="CF270" i="2"/>
  <c r="CF271" i="2"/>
  <c r="CF272" i="2"/>
  <c r="CF273" i="2"/>
  <c r="CF274" i="2"/>
  <c r="CF275" i="2"/>
  <c r="CF276" i="2"/>
  <c r="CF277" i="2"/>
  <c r="CF278" i="2"/>
  <c r="CF279" i="2"/>
  <c r="CF280" i="2"/>
  <c r="CF281" i="2"/>
  <c r="CF282" i="2"/>
  <c r="CF283" i="2"/>
  <c r="CF284" i="2"/>
  <c r="CF285" i="2"/>
  <c r="CF286" i="2"/>
  <c r="CF287" i="2"/>
  <c r="CF288" i="2"/>
  <c r="CF289" i="2"/>
  <c r="CF290" i="2"/>
  <c r="CF291" i="2"/>
  <c r="CF292" i="2"/>
  <c r="CF293" i="2"/>
  <c r="CF294" i="2"/>
  <c r="CF295" i="2"/>
  <c r="CF296" i="2"/>
  <c r="CF297" i="2"/>
  <c r="CF298" i="2"/>
  <c r="CF299" i="2"/>
  <c r="CF300" i="2"/>
  <c r="CF301" i="2"/>
  <c r="CF302" i="2"/>
  <c r="CF303" i="2"/>
  <c r="CF304" i="2"/>
  <c r="CF305" i="2"/>
  <c r="CF306" i="2"/>
  <c r="CF307" i="2"/>
  <c r="CF308" i="2"/>
  <c r="CF309" i="2"/>
  <c r="CF310" i="2"/>
  <c r="CF311" i="2"/>
  <c r="CF312" i="2"/>
  <c r="CF313" i="2"/>
  <c r="CF314" i="2"/>
  <c r="CF315" i="2"/>
  <c r="CF316" i="2"/>
  <c r="CF317" i="2"/>
  <c r="CF318" i="2"/>
  <c r="CF319" i="2"/>
  <c r="CF320" i="2"/>
  <c r="CF321" i="2"/>
  <c r="CF322" i="2"/>
  <c r="CF323" i="2"/>
  <c r="CF324" i="2"/>
  <c r="CF325" i="2"/>
  <c r="CF326" i="2"/>
  <c r="CF327" i="2"/>
  <c r="CF328" i="2"/>
  <c r="CF329" i="2"/>
  <c r="CF330" i="2"/>
  <c r="CF331" i="2"/>
  <c r="CF332" i="2"/>
  <c r="CF333" i="2"/>
  <c r="CF334" i="2"/>
  <c r="CF335" i="2"/>
  <c r="CF336" i="2"/>
  <c r="CF337" i="2"/>
  <c r="CF338" i="2"/>
  <c r="CF339" i="2"/>
  <c r="CF340" i="2"/>
  <c r="CF341" i="2"/>
  <c r="CF342" i="2"/>
  <c r="CF343" i="2"/>
  <c r="CF344" i="2"/>
  <c r="CF345" i="2"/>
  <c r="CF346" i="2"/>
  <c r="CF347" i="2"/>
  <c r="CF348" i="2"/>
  <c r="CF349" i="2"/>
  <c r="CF350" i="2"/>
  <c r="CF351" i="2"/>
  <c r="CF352" i="2"/>
  <c r="CF353" i="2"/>
  <c r="CF354" i="2"/>
  <c r="CF355" i="2"/>
  <c r="CF356" i="2"/>
  <c r="CF357" i="2"/>
  <c r="CF358" i="2"/>
  <c r="CF359" i="2"/>
  <c r="CF360" i="2"/>
  <c r="CF361" i="2"/>
  <c r="CF362" i="2"/>
  <c r="CF363" i="2"/>
  <c r="CF364" i="2"/>
  <c r="CF365" i="2"/>
  <c r="CF366" i="2"/>
  <c r="CF367" i="2"/>
  <c r="CF368" i="2"/>
  <c r="CF369" i="2"/>
  <c r="CF370" i="2"/>
  <c r="CF371" i="2"/>
  <c r="CF372" i="2"/>
  <c r="CF373" i="2"/>
  <c r="CF374" i="2"/>
  <c r="CF375" i="2"/>
  <c r="CF376" i="2"/>
  <c r="CF377" i="2"/>
  <c r="CF378" i="2"/>
  <c r="CF379" i="2"/>
  <c r="CF380" i="2"/>
  <c r="CF381" i="2"/>
  <c r="CF382" i="2"/>
  <c r="CF383" i="2"/>
  <c r="CF384" i="2"/>
  <c r="CF385" i="2"/>
  <c r="CF386" i="2"/>
  <c r="CF387" i="2"/>
  <c r="CF388" i="2"/>
  <c r="CF389" i="2"/>
  <c r="CF390" i="2"/>
  <c r="CF391" i="2"/>
  <c r="CF392" i="2"/>
  <c r="CF393" i="2"/>
  <c r="CF394" i="2"/>
  <c r="CF395" i="2"/>
  <c r="CF396" i="2"/>
  <c r="CF397" i="2"/>
  <c r="CF398" i="2"/>
  <c r="CF399" i="2"/>
  <c r="CF400" i="2"/>
  <c r="CF401" i="2"/>
  <c r="CF402" i="2"/>
  <c r="CF403" i="2"/>
  <c r="CF404" i="2"/>
  <c r="CF405" i="2"/>
  <c r="CF406" i="2"/>
  <c r="CF407" i="2"/>
  <c r="CF408" i="2"/>
  <c r="CF409" i="2"/>
  <c r="CF410" i="2"/>
  <c r="CF411" i="2"/>
  <c r="CF412" i="2"/>
  <c r="CF413" i="2"/>
  <c r="CF414" i="2"/>
  <c r="CF415" i="2"/>
  <c r="CF416" i="2"/>
  <c r="CF417" i="2"/>
  <c r="CF418" i="2"/>
  <c r="CF419" i="2"/>
  <c r="CF420" i="2"/>
  <c r="CF421" i="2"/>
  <c r="CF422" i="2"/>
  <c r="CF423" i="2"/>
  <c r="CF424" i="2"/>
  <c r="CF425" i="2"/>
  <c r="CF426" i="2"/>
  <c r="CF427" i="2"/>
  <c r="CF428" i="2"/>
  <c r="CF429" i="2"/>
  <c r="CF430" i="2"/>
  <c r="CF431" i="2"/>
  <c r="CF432" i="2"/>
  <c r="CF433" i="2"/>
  <c r="CF434" i="2"/>
  <c r="CF435" i="2"/>
  <c r="CF436" i="2"/>
  <c r="CF437" i="2"/>
  <c r="CF438" i="2"/>
  <c r="CF439" i="2"/>
  <c r="CF440" i="2"/>
  <c r="CF441" i="2"/>
  <c r="CF442" i="2"/>
  <c r="CF443" i="2"/>
  <c r="CF444" i="2"/>
  <c r="CF3" i="2"/>
  <c r="CA4" i="2"/>
  <c r="CA5" i="2"/>
  <c r="CA6" i="2"/>
  <c r="CA7" i="2"/>
  <c r="CA8" i="2"/>
  <c r="CA9" i="2"/>
  <c r="CA10" i="2"/>
  <c r="CA11" i="2"/>
  <c r="CA12" i="2"/>
  <c r="CA13" i="2"/>
  <c r="CA14" i="2"/>
  <c r="CA15" i="2"/>
  <c r="CA16" i="2"/>
  <c r="CA17" i="2"/>
  <c r="CA18" i="2"/>
  <c r="CA19" i="2"/>
  <c r="CA20" i="2"/>
  <c r="CA21" i="2"/>
  <c r="CA22" i="2"/>
  <c r="CA23" i="2"/>
  <c r="CA24" i="2"/>
  <c r="CA25" i="2"/>
  <c r="CA26" i="2"/>
  <c r="CA27" i="2"/>
  <c r="CA28" i="2"/>
  <c r="CA29" i="2"/>
  <c r="CA30" i="2"/>
  <c r="CA31" i="2"/>
  <c r="CA32" i="2"/>
  <c r="CA33" i="2"/>
  <c r="CA34" i="2"/>
  <c r="CA35" i="2"/>
  <c r="CA36" i="2"/>
  <c r="CA37" i="2"/>
  <c r="CA38" i="2"/>
  <c r="CA39" i="2"/>
  <c r="CA40" i="2"/>
  <c r="CA41" i="2"/>
  <c r="CA42" i="2"/>
  <c r="CA43" i="2"/>
  <c r="CA44" i="2"/>
  <c r="CA45" i="2"/>
  <c r="CA46" i="2"/>
  <c r="CA47" i="2"/>
  <c r="CA48" i="2"/>
  <c r="CA49" i="2"/>
  <c r="CA50" i="2"/>
  <c r="CA51" i="2"/>
  <c r="CA52" i="2"/>
  <c r="CA53" i="2"/>
  <c r="CA54" i="2"/>
  <c r="CA55" i="2"/>
  <c r="CA56" i="2"/>
  <c r="CA57" i="2"/>
  <c r="CA58" i="2"/>
  <c r="CA59" i="2"/>
  <c r="CA60" i="2"/>
  <c r="CA61" i="2"/>
  <c r="CA62" i="2"/>
  <c r="CA63" i="2"/>
  <c r="CA64" i="2"/>
  <c r="CA65" i="2"/>
  <c r="CA66" i="2"/>
  <c r="CA67" i="2"/>
  <c r="CA68" i="2"/>
  <c r="CA69" i="2"/>
  <c r="CA70" i="2"/>
  <c r="CA71" i="2"/>
  <c r="CA72" i="2"/>
  <c r="CA73" i="2"/>
  <c r="CA74" i="2"/>
  <c r="CA75" i="2"/>
  <c r="CA76" i="2"/>
  <c r="CA77" i="2"/>
  <c r="CA78" i="2"/>
  <c r="CA79" i="2"/>
  <c r="CA80" i="2"/>
  <c r="CA81" i="2"/>
  <c r="CA82" i="2"/>
  <c r="CA83" i="2"/>
  <c r="CA84" i="2"/>
  <c r="CA85" i="2"/>
  <c r="CA86" i="2"/>
  <c r="CA87" i="2"/>
  <c r="CA88" i="2"/>
  <c r="CA89" i="2"/>
  <c r="CA90" i="2"/>
  <c r="CA91" i="2"/>
  <c r="CA92" i="2"/>
  <c r="CA93" i="2"/>
  <c r="CA94" i="2"/>
  <c r="CA95" i="2"/>
  <c r="CA96" i="2"/>
  <c r="CA97" i="2"/>
  <c r="CA98" i="2"/>
  <c r="CA99" i="2"/>
  <c r="CA100" i="2"/>
  <c r="CA101" i="2"/>
  <c r="CA102" i="2"/>
  <c r="CA103" i="2"/>
  <c r="CA104" i="2"/>
  <c r="CA105" i="2"/>
  <c r="CA106" i="2"/>
  <c r="CA107" i="2"/>
  <c r="CA108" i="2"/>
  <c r="CA109" i="2"/>
  <c r="CA110" i="2"/>
  <c r="CA111" i="2"/>
  <c r="CA112" i="2"/>
  <c r="CA113" i="2"/>
  <c r="CA114" i="2"/>
  <c r="CA115" i="2"/>
  <c r="CA116" i="2"/>
  <c r="CA117" i="2"/>
  <c r="CA118" i="2"/>
  <c r="CA119" i="2"/>
  <c r="CA120" i="2"/>
  <c r="CA121" i="2"/>
  <c r="CA122" i="2"/>
  <c r="CA123" i="2"/>
  <c r="CA124" i="2"/>
  <c r="CA125" i="2"/>
  <c r="CA126" i="2"/>
  <c r="CA127" i="2"/>
  <c r="CA128" i="2"/>
  <c r="CA129" i="2"/>
  <c r="CA130" i="2"/>
  <c r="CA131" i="2"/>
  <c r="CA132" i="2"/>
  <c r="CA133" i="2"/>
  <c r="CA134" i="2"/>
  <c r="CA135" i="2"/>
  <c r="CA136" i="2"/>
  <c r="CA137" i="2"/>
  <c r="CA138" i="2"/>
  <c r="CA139" i="2"/>
  <c r="CA140" i="2"/>
  <c r="CA141" i="2"/>
  <c r="CA142" i="2"/>
  <c r="CA143" i="2"/>
  <c r="CA144" i="2"/>
  <c r="CA145" i="2"/>
  <c r="CA146" i="2"/>
  <c r="CA147" i="2"/>
  <c r="CA148" i="2"/>
  <c r="CA149" i="2"/>
  <c r="CA150" i="2"/>
  <c r="CA151" i="2"/>
  <c r="CA152" i="2"/>
  <c r="CA153" i="2"/>
  <c r="CA154" i="2"/>
  <c r="CA155" i="2"/>
  <c r="CA156" i="2"/>
  <c r="CA157" i="2"/>
  <c r="CA158" i="2"/>
  <c r="CA159" i="2"/>
  <c r="CA160" i="2"/>
  <c r="CA161" i="2"/>
  <c r="CA162" i="2"/>
  <c r="CA163" i="2"/>
  <c r="CA164" i="2"/>
  <c r="CA165" i="2"/>
  <c r="CA166" i="2"/>
  <c r="CA167" i="2"/>
  <c r="CA168" i="2"/>
  <c r="CA169" i="2"/>
  <c r="CA170" i="2"/>
  <c r="CA171" i="2"/>
  <c r="CA172" i="2"/>
  <c r="CA173" i="2"/>
  <c r="CA174" i="2"/>
  <c r="CA175" i="2"/>
  <c r="CA176" i="2"/>
  <c r="CA177" i="2"/>
  <c r="CA178" i="2"/>
  <c r="CA179" i="2"/>
  <c r="CA180" i="2"/>
  <c r="CA181" i="2"/>
  <c r="CA182" i="2"/>
  <c r="CA183" i="2"/>
  <c r="CA184" i="2"/>
  <c r="CA185" i="2"/>
  <c r="CA186" i="2"/>
  <c r="CA187" i="2"/>
  <c r="CA188" i="2"/>
  <c r="CA189" i="2"/>
  <c r="CA190" i="2"/>
  <c r="CA191" i="2"/>
  <c r="CA192" i="2"/>
  <c r="CA193" i="2"/>
  <c r="CA194" i="2"/>
  <c r="CA195" i="2"/>
  <c r="CA196" i="2"/>
  <c r="CA197" i="2"/>
  <c r="CA198" i="2"/>
  <c r="CA199" i="2"/>
  <c r="CA200" i="2"/>
  <c r="CA201" i="2"/>
  <c r="CA202" i="2"/>
  <c r="CA203" i="2"/>
  <c r="CA204" i="2"/>
  <c r="CA205" i="2"/>
  <c r="CA206" i="2"/>
  <c r="CA207" i="2"/>
  <c r="CA208" i="2"/>
  <c r="CA209" i="2"/>
  <c r="CA210" i="2"/>
  <c r="CA211" i="2"/>
  <c r="CA212" i="2"/>
  <c r="CA213" i="2"/>
  <c r="CA214" i="2"/>
  <c r="CA215" i="2"/>
  <c r="CA216" i="2"/>
  <c r="CA217" i="2"/>
  <c r="CA218" i="2"/>
  <c r="CA219" i="2"/>
  <c r="CA220" i="2"/>
  <c r="CA221" i="2"/>
  <c r="CA222" i="2"/>
  <c r="CA223" i="2"/>
  <c r="CA224" i="2"/>
  <c r="CA225" i="2"/>
  <c r="CA226" i="2"/>
  <c r="CA227" i="2"/>
  <c r="CA228" i="2"/>
  <c r="CA229" i="2"/>
  <c r="CA230" i="2"/>
  <c r="CA231" i="2"/>
  <c r="CA232" i="2"/>
  <c r="CA233" i="2"/>
  <c r="CA234" i="2"/>
  <c r="CA235" i="2"/>
  <c r="CA236" i="2"/>
  <c r="CA237" i="2"/>
  <c r="CA238" i="2"/>
  <c r="CA239" i="2"/>
  <c r="CA240" i="2"/>
  <c r="CA241" i="2"/>
  <c r="CA242" i="2"/>
  <c r="CA243" i="2"/>
  <c r="CA244" i="2"/>
  <c r="CA245" i="2"/>
  <c r="CA246" i="2"/>
  <c r="CA247" i="2"/>
  <c r="CA248" i="2"/>
  <c r="CA249" i="2"/>
  <c r="CA250" i="2"/>
  <c r="CA251" i="2"/>
  <c r="CA252" i="2"/>
  <c r="CA253" i="2"/>
  <c r="CA254" i="2"/>
  <c r="CA255" i="2"/>
  <c r="CA256" i="2"/>
  <c r="CA257" i="2"/>
  <c r="CA258" i="2"/>
  <c r="CA259" i="2"/>
  <c r="CA260" i="2"/>
  <c r="CA261" i="2"/>
  <c r="CA262" i="2"/>
  <c r="CA263" i="2"/>
  <c r="CA264" i="2"/>
  <c r="CA265" i="2"/>
  <c r="CA266" i="2"/>
  <c r="CA267" i="2"/>
  <c r="CA268" i="2"/>
  <c r="CA269" i="2"/>
  <c r="CA270" i="2"/>
  <c r="CA271" i="2"/>
  <c r="CA272" i="2"/>
  <c r="CA273" i="2"/>
  <c r="CA274" i="2"/>
  <c r="CA275" i="2"/>
  <c r="CA276" i="2"/>
  <c r="CA277" i="2"/>
  <c r="CA278" i="2"/>
  <c r="CA279" i="2"/>
  <c r="CA280" i="2"/>
  <c r="CA281" i="2"/>
  <c r="CA282" i="2"/>
  <c r="CA283" i="2"/>
  <c r="CA284" i="2"/>
  <c r="CA285" i="2"/>
  <c r="CA286" i="2"/>
  <c r="CA287" i="2"/>
  <c r="CA288" i="2"/>
  <c r="CA289" i="2"/>
  <c r="CA290" i="2"/>
  <c r="CA291" i="2"/>
  <c r="CA292" i="2"/>
  <c r="CA293" i="2"/>
  <c r="CA294" i="2"/>
  <c r="CA295" i="2"/>
  <c r="CA296" i="2"/>
  <c r="CA297" i="2"/>
  <c r="CA298" i="2"/>
  <c r="CA299" i="2"/>
  <c r="CA300" i="2"/>
  <c r="CA301" i="2"/>
  <c r="CA302" i="2"/>
  <c r="CA303" i="2"/>
  <c r="CA304" i="2"/>
  <c r="CA305" i="2"/>
  <c r="CA306" i="2"/>
  <c r="CA307" i="2"/>
  <c r="CA308" i="2"/>
  <c r="CA309" i="2"/>
  <c r="CA310" i="2"/>
  <c r="CA311" i="2"/>
  <c r="CA312" i="2"/>
  <c r="CA313" i="2"/>
  <c r="CA314" i="2"/>
  <c r="CA315" i="2"/>
  <c r="CA316" i="2"/>
  <c r="CA317" i="2"/>
  <c r="CA318" i="2"/>
  <c r="CA319" i="2"/>
  <c r="CA320" i="2"/>
  <c r="CA321" i="2"/>
  <c r="CA322" i="2"/>
  <c r="CA323" i="2"/>
  <c r="CA324" i="2"/>
  <c r="CA325" i="2"/>
  <c r="CA326" i="2"/>
  <c r="CA327" i="2"/>
  <c r="CA328" i="2"/>
  <c r="CA329" i="2"/>
  <c r="CA330" i="2"/>
  <c r="CA331" i="2"/>
  <c r="CA332" i="2"/>
  <c r="CA333" i="2"/>
  <c r="CA334" i="2"/>
  <c r="CA335" i="2"/>
  <c r="CA336" i="2"/>
  <c r="CA337" i="2"/>
  <c r="CA338" i="2"/>
  <c r="CA339" i="2"/>
  <c r="CA340" i="2"/>
  <c r="CA341" i="2"/>
  <c r="CA342" i="2"/>
  <c r="CA343" i="2"/>
  <c r="CA344" i="2"/>
  <c r="CA345" i="2"/>
  <c r="CA346" i="2"/>
  <c r="CA347" i="2"/>
  <c r="CA348" i="2"/>
  <c r="CA349" i="2"/>
  <c r="CA350" i="2"/>
  <c r="CA351" i="2"/>
  <c r="CA352" i="2"/>
  <c r="CA353" i="2"/>
  <c r="CA354" i="2"/>
  <c r="CA355" i="2"/>
  <c r="CA356" i="2"/>
  <c r="CA357" i="2"/>
  <c r="CA358" i="2"/>
  <c r="CA359" i="2"/>
  <c r="CA360" i="2"/>
  <c r="CA361" i="2"/>
  <c r="CA362" i="2"/>
  <c r="CA363" i="2"/>
  <c r="CA364" i="2"/>
  <c r="CA365" i="2"/>
  <c r="CA366" i="2"/>
  <c r="CA367" i="2"/>
  <c r="CA368" i="2"/>
  <c r="CA369" i="2"/>
  <c r="CA370" i="2"/>
  <c r="CA371" i="2"/>
  <c r="CA372" i="2"/>
  <c r="CA373" i="2"/>
  <c r="CA374" i="2"/>
  <c r="CA375" i="2"/>
  <c r="CA376" i="2"/>
  <c r="CA377" i="2"/>
  <c r="CA378" i="2"/>
  <c r="CA379" i="2"/>
  <c r="CA380" i="2"/>
  <c r="CA381" i="2"/>
  <c r="CA382" i="2"/>
  <c r="CA383" i="2"/>
  <c r="CA384" i="2"/>
  <c r="CA385" i="2"/>
  <c r="CA386" i="2"/>
  <c r="CA387" i="2"/>
  <c r="CA388" i="2"/>
  <c r="CA389" i="2"/>
  <c r="CA390" i="2"/>
  <c r="CA391" i="2"/>
  <c r="CA392" i="2"/>
  <c r="CA393" i="2"/>
  <c r="CA394" i="2"/>
  <c r="CA395" i="2"/>
  <c r="CA396" i="2"/>
  <c r="CA397" i="2"/>
  <c r="CA398" i="2"/>
  <c r="CA399" i="2"/>
  <c r="CA400" i="2"/>
  <c r="CA401" i="2"/>
  <c r="CA402" i="2"/>
  <c r="CA403" i="2"/>
  <c r="CA404" i="2"/>
  <c r="CA405" i="2"/>
  <c r="CA406" i="2"/>
  <c r="CA407" i="2"/>
  <c r="CA408" i="2"/>
  <c r="CA409" i="2"/>
  <c r="CA410" i="2"/>
  <c r="CA411" i="2"/>
  <c r="CA412" i="2"/>
  <c r="CA413" i="2"/>
  <c r="CA414" i="2"/>
  <c r="CA415" i="2"/>
  <c r="CA416" i="2"/>
  <c r="CA417" i="2"/>
  <c r="CA418" i="2"/>
  <c r="CA419" i="2"/>
  <c r="CA420" i="2"/>
  <c r="CA421" i="2"/>
  <c r="CA422" i="2"/>
  <c r="CA423" i="2"/>
  <c r="CA424" i="2"/>
  <c r="CA425" i="2"/>
  <c r="CA426" i="2"/>
  <c r="CA427" i="2"/>
  <c r="CA428" i="2"/>
  <c r="CA429" i="2"/>
  <c r="CA430" i="2"/>
  <c r="CA431" i="2"/>
  <c r="CA432" i="2"/>
  <c r="CA433" i="2"/>
  <c r="CA434" i="2"/>
  <c r="CA435" i="2"/>
  <c r="CA436" i="2"/>
  <c r="CA437" i="2"/>
  <c r="CA438" i="2"/>
  <c r="CA439" i="2"/>
  <c r="CA440" i="2"/>
  <c r="CA441" i="2"/>
  <c r="CA442" i="2"/>
  <c r="CA443" i="2"/>
  <c r="CA444" i="2"/>
  <c r="CA3" i="2"/>
  <c r="DF3" i="2" l="1"/>
  <c r="DE3" i="2" s="1"/>
  <c r="P10" i="1"/>
  <c r="M14" i="1"/>
  <c r="N14" i="1" s="1"/>
  <c r="O11" i="1"/>
  <c r="P11" i="1" s="1"/>
  <c r="O12" i="1"/>
  <c r="P12" i="1" s="1"/>
  <c r="M10" i="1"/>
  <c r="N10" i="1" s="1"/>
  <c r="M9" i="1"/>
  <c r="N9" i="1" s="1"/>
  <c r="P9" i="1"/>
  <c r="BG4" i="2" l="1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3" i="2"/>
  <c r="K8" i="1"/>
  <c r="L8" i="1" s="1"/>
  <c r="BA4" i="2"/>
  <c r="BA5" i="2"/>
  <c r="BA6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BA29" i="2"/>
  <c r="BA30" i="2"/>
  <c r="BA31" i="2"/>
  <c r="BA32" i="2"/>
  <c r="BA33" i="2"/>
  <c r="BA34" i="2"/>
  <c r="BA35" i="2"/>
  <c r="BA36" i="2"/>
  <c r="BA37" i="2"/>
  <c r="BA38" i="2"/>
  <c r="BA39" i="2"/>
  <c r="BA40" i="2"/>
  <c r="BA41" i="2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65" i="2"/>
  <c r="BA66" i="2"/>
  <c r="BA67" i="2"/>
  <c r="BA68" i="2"/>
  <c r="BA69" i="2"/>
  <c r="BA70" i="2"/>
  <c r="BA71" i="2"/>
  <c r="BA72" i="2"/>
  <c r="BA73" i="2"/>
  <c r="BA74" i="2"/>
  <c r="BA75" i="2"/>
  <c r="BA76" i="2"/>
  <c r="BA77" i="2"/>
  <c r="BA78" i="2"/>
  <c r="BA79" i="2"/>
  <c r="BA80" i="2"/>
  <c r="BA81" i="2"/>
  <c r="BA82" i="2"/>
  <c r="BA83" i="2"/>
  <c r="BA84" i="2"/>
  <c r="BA85" i="2"/>
  <c r="BA86" i="2"/>
  <c r="BA87" i="2"/>
  <c r="BA3" i="2"/>
  <c r="K6" i="1"/>
  <c r="L6" i="1" s="1"/>
  <c r="K7" i="1"/>
  <c r="L7" i="1" s="1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F3" i="2"/>
  <c r="AA3" i="2"/>
  <c r="M7" i="1" s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3" i="2"/>
  <c r="O7" i="1" l="1"/>
  <c r="O8" i="1"/>
  <c r="P8" i="1" s="1"/>
  <c r="M8" i="1"/>
  <c r="N8" i="1" s="1"/>
  <c r="M6" i="1"/>
  <c r="N6" i="1" s="1"/>
  <c r="N7" i="1"/>
  <c r="P7" i="1"/>
  <c r="O6" i="1"/>
  <c r="P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<sst xmlns="http://schemas.openxmlformats.org/spreadsheetml/2006/main" count="2520" uniqueCount="777">
  <si>
    <t>HÌNH DẠNG</t>
  </si>
  <si>
    <t>CẤU KIỆN</t>
  </si>
  <si>
    <t>STT</t>
  </si>
  <si>
    <t>HÌNH DẠNG, KÍCH THƯỚC</t>
  </si>
  <si>
    <t>CHIỀU DÀI
(mm)</t>
  </si>
  <si>
    <t>SỐ LƯỢNG</t>
  </si>
  <si>
    <t>1 CK</t>
  </si>
  <si>
    <t>T. BỘ</t>
  </si>
  <si>
    <t>TỔNG CHIỀU DÀI
(m)</t>
  </si>
  <si>
    <t>KHỐI LƯỢNG
(kG)</t>
  </si>
  <si>
    <t>BẢNG TỔNG HỢP KHỐI LƯỢNG THÉP HÌNH</t>
  </si>
  <si>
    <t>DATA</t>
  </si>
  <si>
    <t>mo</t>
  </si>
  <si>
    <t>size1</t>
  </si>
  <si>
    <t>size2</t>
  </si>
  <si>
    <t>THÉP GÓC ĐỀU CẠNH</t>
  </si>
  <si>
    <t>L</t>
  </si>
  <si>
    <t>SỐ CẤU KIỆN</t>
  </si>
  <si>
    <t>KL/m
(Kg/m)</t>
  </si>
  <si>
    <t>A (Area)</t>
  </si>
  <si>
    <t>DT/m
(m)</t>
  </si>
  <si>
    <r>
      <t>TỔNG
DIỆN TÍCH
(m</t>
    </r>
    <r>
      <rPr>
        <b/>
        <vertAlign val="superscript"/>
        <sz val="11"/>
        <color rgb="FF0070C0"/>
        <rFont val="Calibri"/>
        <family val="2"/>
        <scheme val="minor"/>
      </rPr>
      <t>2</t>
    </r>
    <r>
      <rPr>
        <b/>
        <sz val="11"/>
        <color rgb="FF0070C0"/>
        <rFont val="Calibri"/>
        <family val="2"/>
        <scheme val="minor"/>
      </rPr>
      <t>)</t>
    </r>
  </si>
  <si>
    <t>DIỆN TÍCH
XUNG QUANG</t>
  </si>
  <si>
    <t>L-75x5</t>
  </si>
  <si>
    <t>size3</t>
  </si>
  <si>
    <t>4</t>
  </si>
  <si>
    <t>5</t>
  </si>
  <si>
    <t>6</t>
  </si>
  <si>
    <t>8</t>
  </si>
  <si>
    <t>5.5</t>
  </si>
  <si>
    <t>7</t>
  </si>
  <si>
    <t>10</t>
  </si>
  <si>
    <t>6.5</t>
  </si>
  <si>
    <t>12</t>
  </si>
  <si>
    <t>9</t>
  </si>
  <si>
    <t>14</t>
  </si>
  <si>
    <t>11</t>
  </si>
  <si>
    <t>16</t>
  </si>
  <si>
    <t>18</t>
  </si>
  <si>
    <t>28</t>
  </si>
  <si>
    <t>THÉP GÓC KHÔNG ĐỀU CẠNH</t>
  </si>
  <si>
    <t>L-63x40x4</t>
  </si>
  <si>
    <t>size4</t>
  </si>
  <si>
    <t/>
  </si>
  <si>
    <t>13</t>
  </si>
  <si>
    <t>15</t>
  </si>
  <si>
    <t>17</t>
  </si>
  <si>
    <t>20</t>
  </si>
  <si>
    <t>19</t>
  </si>
  <si>
    <t>21</t>
  </si>
  <si>
    <t>24</t>
  </si>
  <si>
    <t>35</t>
  </si>
  <si>
    <t>30</t>
  </si>
  <si>
    <t>50</t>
  </si>
  <si>
    <t>45</t>
  </si>
  <si>
    <t>70</t>
  </si>
  <si>
    <t>THÉP I, H</t>
  </si>
  <si>
    <t>H</t>
  </si>
  <si>
    <t>Thép I, H</t>
  </si>
  <si>
    <t>H-414x405x18x28</t>
  </si>
  <si>
    <t>0.5</t>
  </si>
  <si>
    <t>0.6</t>
  </si>
  <si>
    <t>0.7</t>
  </si>
  <si>
    <t>0.8</t>
  </si>
  <si>
    <t>0.9</t>
  </si>
  <si>
    <t>1</t>
  </si>
  <si>
    <t>1.1</t>
  </si>
  <si>
    <t>1.2</t>
  </si>
  <si>
    <t>1.4</t>
  </si>
  <si>
    <t>1.5</t>
  </si>
  <si>
    <t>1.6</t>
  </si>
  <si>
    <t>1.7</t>
  </si>
  <si>
    <t>1.8</t>
  </si>
  <si>
    <t>1.9</t>
  </si>
  <si>
    <t>2</t>
  </si>
  <si>
    <t>2.1</t>
  </si>
  <si>
    <t>2.2</t>
  </si>
  <si>
    <t>2.3</t>
  </si>
  <si>
    <t>2.4</t>
  </si>
  <si>
    <t>2.5</t>
  </si>
  <si>
    <t>2.7</t>
  </si>
  <si>
    <t>2.8</t>
  </si>
  <si>
    <t>2.9</t>
  </si>
  <si>
    <t>3</t>
  </si>
  <si>
    <t>3.1</t>
  </si>
  <si>
    <t>3.2</t>
  </si>
  <si>
    <t>3.3</t>
  </si>
  <si>
    <t>3.4</t>
  </si>
  <si>
    <t>3.5</t>
  </si>
  <si>
    <t>3.7</t>
  </si>
  <si>
    <t>3.8</t>
  </si>
  <si>
    <t>3.9</t>
  </si>
  <si>
    <t>4.5</t>
  </si>
  <si>
    <t>THÉP HỘP</t>
  </si>
  <si>
    <t>Hộp</t>
  </si>
  <si>
    <t>Thép hộp</t>
  </si>
  <si>
    <t>Thép ống</t>
  </si>
  <si>
    <t>Ống</t>
  </si>
  <si>
    <t>Thép C</t>
  </si>
  <si>
    <t>Thép L đều cạnh</t>
  </si>
  <si>
    <t>Thép L không đều</t>
  </si>
  <si>
    <t>Cáp</t>
  </si>
  <si>
    <t>H1</t>
  </si>
  <si>
    <t>H2</t>
  </si>
  <si>
    <t>tw</t>
  </si>
  <si>
    <t>bf1</t>
  </si>
  <si>
    <t>tf1</t>
  </si>
  <si>
    <t>bf2</t>
  </si>
  <si>
    <t>tf2</t>
  </si>
  <si>
    <t>Thép tấm</t>
  </si>
  <si>
    <t>B</t>
  </si>
  <si>
    <t>t</t>
  </si>
  <si>
    <t>PL-</t>
  </si>
  <si>
    <t>Khác</t>
  </si>
  <si>
    <t>Bu lông</t>
  </si>
  <si>
    <t>Xà gồ C, Z</t>
  </si>
  <si>
    <t>Thép xà gồ chữ C</t>
  </si>
  <si>
    <t>22</t>
  </si>
  <si>
    <t>Thép xà gồ chữ Z</t>
  </si>
  <si>
    <t>XÀ GỒ C, Z</t>
  </si>
  <si>
    <t>-</t>
  </si>
  <si>
    <t>Thép chữ C</t>
  </si>
  <si>
    <t>Thép chữ C biên cánh song song</t>
  </si>
  <si>
    <t>THÉP C</t>
  </si>
  <si>
    <t>Z-200x50x16x3</t>
  </si>
  <si>
    <t>C-200x76</t>
  </si>
  <si>
    <t>Cable</t>
  </si>
  <si>
    <t>D</t>
  </si>
  <si>
    <t>D12</t>
  </si>
  <si>
    <t>TC 5mm</t>
  </si>
  <si>
    <t>Bu lông neo</t>
  </si>
  <si>
    <t>BL M16</t>
  </si>
  <si>
    <t>BLN M20</t>
  </si>
  <si>
    <t>KHUNG 1</t>
  </si>
  <si>
    <t>LỆNH TẮT TRONG AUTOCAD</t>
  </si>
  <si>
    <t>Mục đích: Xuất dữ liệu từ bảng bên phải sang AutoCad</t>
  </si>
  <si>
    <t>TKDuLieuExcelChiTiet</t>
  </si>
  <si>
    <t>TKDuLieuExcelTong</t>
  </si>
  <si>
    <t>Mục đích: Tính tổng khối lượng từ dữ liệu trên trong AutoCad</t>
  </si>
  <si>
    <t>Mục đích: Xuất ngược dữ liệu trên từ AutoCad sang excel</t>
  </si>
  <si>
    <t>TKDuLieuExcelBack</t>
  </si>
  <si>
    <t>Copy dữ liệu</t>
  </si>
  <si>
    <t>(400-700)x200x6x8</t>
  </si>
  <si>
    <t>Y</t>
  </si>
  <si>
    <t>Show thông tin cột TỔNG DIỆN TÍCH (Cột AI)</t>
  </si>
  <si>
    <t>Inox Hộp-12x0.5</t>
  </si>
  <si>
    <t>Inox Hộp-12x0.6</t>
  </si>
  <si>
    <t>Inox Hộp-12x0.7</t>
  </si>
  <si>
    <t>Inox Hộp-12x0.8</t>
  </si>
  <si>
    <t>Inox Hộp-12x0.9</t>
  </si>
  <si>
    <t>Inox Hộp-12x1</t>
  </si>
  <si>
    <t>Inox Hộp-12x1.1</t>
  </si>
  <si>
    <t>Inox Hộp-12x1.2</t>
  </si>
  <si>
    <t>Inox Hộp-14x0.5</t>
  </si>
  <si>
    <t>Inox Hộp-14x0.6</t>
  </si>
  <si>
    <t>Inox Hộp-14x0.7</t>
  </si>
  <si>
    <t>Inox Hộp-14x0.8</t>
  </si>
  <si>
    <t>Inox Hộp-14x0.9</t>
  </si>
  <si>
    <t>Inox Hộp-14x1</t>
  </si>
  <si>
    <t>Inox Hộp-14x1.1</t>
  </si>
  <si>
    <t>Inox Hộp-14x1.2</t>
  </si>
  <si>
    <t>Inox Hộp-14x1.4</t>
  </si>
  <si>
    <t>Inox Hộp-16x0.5</t>
  </si>
  <si>
    <t>Inox Hộp-16x0.6</t>
  </si>
  <si>
    <t>Inox Hộp-16x0.7</t>
  </si>
  <si>
    <t>Inox Hộp-16x0.8</t>
  </si>
  <si>
    <t>Inox Hộp-16x0.9</t>
  </si>
  <si>
    <t>Inox Hộp-16x1</t>
  </si>
  <si>
    <t>Inox Hộp-16x1.1</t>
  </si>
  <si>
    <t>Inox Hộp-16x1.2</t>
  </si>
  <si>
    <t>Inox Hộp-16x1.4</t>
  </si>
  <si>
    <t>Inox Hộp-13x26x0.6</t>
  </si>
  <si>
    <t>Inox Hộp-13x26x0.7</t>
  </si>
  <si>
    <t>Inox Hộp-13x26x0.8</t>
  </si>
  <si>
    <t>Inox Hộp-13x26x0.9</t>
  </si>
  <si>
    <t>Inox Hộp-13x26x1</t>
  </si>
  <si>
    <t>Inox Hộp-13x26x1.1</t>
  </si>
  <si>
    <t>Inox Hộp-13x26x1.2</t>
  </si>
  <si>
    <t>Inox Hộp-13x26x1.4</t>
  </si>
  <si>
    <t>Inox Hộp-13x26x1.5</t>
  </si>
  <si>
    <t>Inox Hộp-13x26x1.6</t>
  </si>
  <si>
    <t>Inox Hộp-10x30x0.6</t>
  </si>
  <si>
    <t>Inox Hộp-10x30x0.7</t>
  </si>
  <si>
    <t>Inox Hộp-10x30x0.8</t>
  </si>
  <si>
    <t>Inox Hộp-10x30x0.9</t>
  </si>
  <si>
    <t>Inox Hộp-10x30x1</t>
  </si>
  <si>
    <t>Inox Hộp-10x30x1.1</t>
  </si>
  <si>
    <t>Inox Hộp-10x30x1.2</t>
  </si>
  <si>
    <t>Inox Hộp-10x30x1.4</t>
  </si>
  <si>
    <t>Inox Hộp-10x30x1.5</t>
  </si>
  <si>
    <t>Inox Hộp-10x30x1.6</t>
  </si>
  <si>
    <t>Inox Hộp-10x30x1.7</t>
  </si>
  <si>
    <t>Inox Hộp-10x30x1.8</t>
  </si>
  <si>
    <t>Inox Hộp-10x30x1.9</t>
  </si>
  <si>
    <t>Inox Hộp-10x30x2</t>
  </si>
  <si>
    <t>Inox Hộp-20x0.6</t>
  </si>
  <si>
    <t>Inox Hộp-20x0.7</t>
  </si>
  <si>
    <t>Inox Hộp-20x0.8</t>
  </si>
  <si>
    <t>Inox Hộp-20x0.9</t>
  </si>
  <si>
    <t>Inox Hộp-20x1</t>
  </si>
  <si>
    <t>Inox Hộp-20x1.1</t>
  </si>
  <si>
    <t>Inox Hộp-20x1.2</t>
  </si>
  <si>
    <t>Inox Hộp-20x1.4</t>
  </si>
  <si>
    <t>Inox Hộp-20x1.5</t>
  </si>
  <si>
    <t>Inox Hộp-20x1.6</t>
  </si>
  <si>
    <t>Inox Hộp-20x1.7</t>
  </si>
  <si>
    <t>Inox Hộp-20x1.8</t>
  </si>
  <si>
    <t>Inox Hộp-20x1.9</t>
  </si>
  <si>
    <t>Inox Hộp-20x2</t>
  </si>
  <si>
    <t>Inox Hộp-20x30x0.7</t>
  </si>
  <si>
    <t>Inox Hộp-20x30x0.8</t>
  </si>
  <si>
    <t>Inox Hộp-20x30x0.9</t>
  </si>
  <si>
    <t>Inox Hộp-20x30x1</t>
  </si>
  <si>
    <t>Inox Hộp-20x30x1.1</t>
  </si>
  <si>
    <t>Inox Hộp-20x30x1.2</t>
  </si>
  <si>
    <t>Inox Hộp-20x30x1.4</t>
  </si>
  <si>
    <t>Inox Hộp-20x30x1.5</t>
  </si>
  <si>
    <t>Inox Hộp-20x30x1.6</t>
  </si>
  <si>
    <t>Inox Hộp-20x30x1.7</t>
  </si>
  <si>
    <t>Inox Hộp-20x30x1.8</t>
  </si>
  <si>
    <t>Inox Hộp-20x30x1.9</t>
  </si>
  <si>
    <t>Inox Hộp-20x30x2</t>
  </si>
  <si>
    <t>Inox Hộp-25x0.7</t>
  </si>
  <si>
    <t>Inox Hộp-25x0.8</t>
  </si>
  <si>
    <t>Inox Hộp-25x0.9</t>
  </si>
  <si>
    <t>Inox Hộp-25x1</t>
  </si>
  <si>
    <t>Inox Hộp-25x1.1</t>
  </si>
  <si>
    <t>Inox Hộp-25x1.2</t>
  </si>
  <si>
    <t>Inox Hộp-25x1.4</t>
  </si>
  <si>
    <t>Inox Hộp-25x1.5</t>
  </si>
  <si>
    <t>Inox Hộp-25x1.6</t>
  </si>
  <si>
    <t>Inox Hộp-25x1.7</t>
  </si>
  <si>
    <t>Inox Hộp-25x1.8</t>
  </si>
  <si>
    <t>Inox Hộp-25x1.9</t>
  </si>
  <si>
    <t>Inox Hộp-25x2</t>
  </si>
  <si>
    <t>Inox Hộp-20x40x0.7</t>
  </si>
  <si>
    <t>Inox Hộp-20x40x0.8</t>
  </si>
  <si>
    <t>Inox Hộp-20x40x0.9</t>
  </si>
  <si>
    <t>Inox Hộp-20x40x1</t>
  </si>
  <si>
    <t>Inox Hộp-20x40x1.1</t>
  </si>
  <si>
    <t>Inox Hộp-20x40x1.2</t>
  </si>
  <si>
    <t>Inox Hộp-20x40x1.4</t>
  </si>
  <si>
    <t>Inox Hộp-20x40x1.5</t>
  </si>
  <si>
    <t>Inox Hộp-20x40x1.6</t>
  </si>
  <si>
    <t>Inox Hộp-20x40x1.7</t>
  </si>
  <si>
    <t>Inox Hộp-20x40x1.8</t>
  </si>
  <si>
    <t>Inox Hộp-20x40x1.9</t>
  </si>
  <si>
    <t>Inox Hộp-20x40x2</t>
  </si>
  <si>
    <t>Inox Hộp-20x40x2.1</t>
  </si>
  <si>
    <t>Inox Hộp-20x40x2.2</t>
  </si>
  <si>
    <t>Inox Hộp-20x40x2.3</t>
  </si>
  <si>
    <t>Inox Hộp-20x40x2.4</t>
  </si>
  <si>
    <t>Inox Hộp-30x0.7</t>
  </si>
  <si>
    <t>Inox Hộp-30x0.8</t>
  </si>
  <si>
    <t>Inox Hộp-30x0.9</t>
  </si>
  <si>
    <t>Inox Hộp-30x1</t>
  </si>
  <si>
    <t>Inox Hộp-30x1.1</t>
  </si>
  <si>
    <t>Inox Hộp-30x1.2</t>
  </si>
  <si>
    <t>Inox Hộp-30x1.4</t>
  </si>
  <si>
    <t>Inox Hộp-30x1.5</t>
  </si>
  <si>
    <t>Inox Hộp-30x1.6</t>
  </si>
  <si>
    <t>Inox Hộp-30x1.7</t>
  </si>
  <si>
    <t>Inox Hộp-30x1.8</t>
  </si>
  <si>
    <t>Inox Hộp-30x1.9</t>
  </si>
  <si>
    <t>Inox Hộp-30x2</t>
  </si>
  <si>
    <t>Inox Hộp-30x2.1</t>
  </si>
  <si>
    <t>Inox Hộp-30x2.2</t>
  </si>
  <si>
    <t>Inox Hộp-30x2.3</t>
  </si>
  <si>
    <t>Inox Hộp-30x2.4</t>
  </si>
  <si>
    <t>Inox Hộp-25x50x0.7</t>
  </si>
  <si>
    <t>Inox Hộp-25x50x0.8</t>
  </si>
  <si>
    <t>Inox Hộp-25x50x0.9</t>
  </si>
  <si>
    <t>Inox Hộp-25x50x1</t>
  </si>
  <si>
    <t>Inox Hộp-25x50x1.1</t>
  </si>
  <si>
    <t>Inox Hộp-25x50x1.2</t>
  </si>
  <si>
    <t>Inox Hộp-25x50x1.4</t>
  </si>
  <si>
    <t>Inox Hộp-25x50x1.5</t>
  </si>
  <si>
    <t>Inox Hộp-25x50x1.6</t>
  </si>
  <si>
    <t>Inox Hộp-25x50x1.7</t>
  </si>
  <si>
    <t>Inox Hộp-25x50x1.8</t>
  </si>
  <si>
    <t>Inox Hộp-25x50x1.9</t>
  </si>
  <si>
    <t>Inox Hộp-25x50x2</t>
  </si>
  <si>
    <t>Inox Hộp-25x50x2.1</t>
  </si>
  <si>
    <t>Inox Hộp-25x50x2.2</t>
  </si>
  <si>
    <t>Inox Hộp-25x50x2.3</t>
  </si>
  <si>
    <t>Inox Hộp-25x50x2.4</t>
  </si>
  <si>
    <t>Inox Hộp-25x50x2.5</t>
  </si>
  <si>
    <t>Inox Hộp-25x50x2.7</t>
  </si>
  <si>
    <t>Inox Hộp-25x50x2.8</t>
  </si>
  <si>
    <t>Inox Hộp-25x50x2.9</t>
  </si>
  <si>
    <t>Inox Hộp-25x50x3</t>
  </si>
  <si>
    <t>Inox Hộp-30x60x0.8</t>
  </si>
  <si>
    <t>Inox Hộp-30x60x0.9</t>
  </si>
  <si>
    <t>Inox Hộp-30x60x1</t>
  </si>
  <si>
    <t>Inox Hộp-30x60x1.1</t>
  </si>
  <si>
    <t>Inox Hộp-30x60x1.2</t>
  </si>
  <si>
    <t>Inox Hộp-30x60x1.4</t>
  </si>
  <si>
    <t>Inox Hộp-30x60x1.5</t>
  </si>
  <si>
    <t>Inox Hộp-30x60x1.6</t>
  </si>
  <si>
    <t>Inox Hộp-30x60x1.7</t>
  </si>
  <si>
    <t>Inox Hộp-30x60x1.8</t>
  </si>
  <si>
    <t>Inox Hộp-30x60x1.9</t>
  </si>
  <si>
    <t>Inox Hộp-30x60x2</t>
  </si>
  <si>
    <t>Inox Hộp-30x60x2.1</t>
  </si>
  <si>
    <t>Inox Hộp-30x60x2.2</t>
  </si>
  <si>
    <t>Inox Hộp-30x60x2.3</t>
  </si>
  <si>
    <t>Inox Hộp-30x60x2.4</t>
  </si>
  <si>
    <t>Inox Hộp-30x60x2.5</t>
  </si>
  <si>
    <t>Inox Hộp-30x60x2.7</t>
  </si>
  <si>
    <t>Inox Hộp-30x60x2.8</t>
  </si>
  <si>
    <t>Inox Hộp-30x60x2.9</t>
  </si>
  <si>
    <t>Inox Hộp-30x60x3</t>
  </si>
  <si>
    <t>Inox Hộp-30x60x3.1</t>
  </si>
  <si>
    <t>Inox Hộp-30x50x0.8</t>
  </si>
  <si>
    <t>Inox Hộp-30x50x0.9</t>
  </si>
  <si>
    <t>Inox Hộp-30x50x1</t>
  </si>
  <si>
    <t>Inox Hộp-30x50x1.1</t>
  </si>
  <si>
    <t>Inox Hộp-30x50x1.2</t>
  </si>
  <si>
    <t>Inox Hộp-30x50x1.4</t>
  </si>
  <si>
    <t>Inox Hộp-30x50x1.5</t>
  </si>
  <si>
    <t>Inox Hộp-30x50x1.6</t>
  </si>
  <si>
    <t>Inox Hộp-30x50x1.7</t>
  </si>
  <si>
    <t>Inox Hộp-30x50x1.8</t>
  </si>
  <si>
    <t>Inox Hộp-30x50x1.9</t>
  </si>
  <si>
    <t>Inox Hộp-30x50x2</t>
  </si>
  <si>
    <t>Inox Hộp-30x50x2.1</t>
  </si>
  <si>
    <t>Inox Hộp-30x50x2.2</t>
  </si>
  <si>
    <t>Inox Hộp-30x50x2.3</t>
  </si>
  <si>
    <t>Inox Hộp-30x50x2.4</t>
  </si>
  <si>
    <t>Inox Hộp-30x50x2.5</t>
  </si>
  <si>
    <t>Inox Hộp-30x50x2.7</t>
  </si>
  <si>
    <t>Inox Hộp-30x50x2.8</t>
  </si>
  <si>
    <t>Inox Hộp-30x50x2.9</t>
  </si>
  <si>
    <t>Inox Hộp-30x50x3</t>
  </si>
  <si>
    <t>Inox Hộp-30x50x3.1</t>
  </si>
  <si>
    <t>Inox Hộp-40x0.8</t>
  </si>
  <si>
    <t>Inox Hộp-40x0.9</t>
  </si>
  <si>
    <t>Inox Hộp-40x1</t>
  </si>
  <si>
    <t>Inox Hộp-40x1.1</t>
  </si>
  <si>
    <t>Inox Hộp-40x1.2</t>
  </si>
  <si>
    <t>Inox Hộp-40x1.4</t>
  </si>
  <si>
    <t>Inox Hộp-40x1.5</t>
  </si>
  <si>
    <t>Inox Hộp-40x1.6</t>
  </si>
  <si>
    <t>Inox Hộp-40x1.7</t>
  </si>
  <si>
    <t>Inox Hộp-40x1.8</t>
  </si>
  <si>
    <t>Inox Hộp-40x1.9</t>
  </si>
  <si>
    <t>Inox Hộp-40x2</t>
  </si>
  <si>
    <t>Inox Hộp-40x2.1</t>
  </si>
  <si>
    <t>Inox Hộp-40x2.2</t>
  </si>
  <si>
    <t>Inox Hộp-40x2.3</t>
  </si>
  <si>
    <t>Inox Hộp-40x2.4</t>
  </si>
  <si>
    <t>Inox Hộp-40x2.5</t>
  </si>
  <si>
    <t>Inox Hộp-40x2.7</t>
  </si>
  <si>
    <t>Inox Hộp-40x2.8</t>
  </si>
  <si>
    <t>Inox Hộp-40x2.9</t>
  </si>
  <si>
    <t>Inox Hộp-40x3</t>
  </si>
  <si>
    <t>Inox Hộp-40x3.1</t>
  </si>
  <si>
    <t>Inox Hộp-40x60x1</t>
  </si>
  <si>
    <t>Inox Hộp-40x60x1.1</t>
  </si>
  <si>
    <t>Inox Hộp-40x60x1.2</t>
  </si>
  <si>
    <t>Inox Hộp-40x60x1.4</t>
  </si>
  <si>
    <t>Inox Hộp-40x60x1.5</t>
  </si>
  <si>
    <t>Inox Hộp-40x60x1.6</t>
  </si>
  <si>
    <t>Inox Hộp-40x60x1.7</t>
  </si>
  <si>
    <t>Inox Hộp-40x60x1.8</t>
  </si>
  <si>
    <t>Inox Hộp-40x60x1.9</t>
  </si>
  <si>
    <t>Inox Hộp-40x60x2</t>
  </si>
  <si>
    <t>Inox Hộp-40x60x2.1</t>
  </si>
  <si>
    <t>Inox Hộp-40x60x2.2</t>
  </si>
  <si>
    <t>Inox Hộp-40x60x2.3</t>
  </si>
  <si>
    <t>Inox Hộp-40x60x2.4</t>
  </si>
  <si>
    <t>Inox Hộp-40x60x2.5</t>
  </si>
  <si>
    <t>Inox Hộp-40x60x2.7</t>
  </si>
  <si>
    <t>Inox Hộp-40x60x2.8</t>
  </si>
  <si>
    <t>Inox Hộp-40x60x2.9</t>
  </si>
  <si>
    <t>Inox Hộp-40x60x3</t>
  </si>
  <si>
    <t>Inox Hộp-40x60x3.1</t>
  </si>
  <si>
    <t>Inox Hộp-40x60x3.2</t>
  </si>
  <si>
    <t>Inox Hộp-40x60x3.3</t>
  </si>
  <si>
    <t>Inox Hộp-40x60x3.4</t>
  </si>
  <si>
    <t>Inox Hộp-50x1</t>
  </si>
  <si>
    <t>Inox Hộp-50x1.1</t>
  </si>
  <si>
    <t>Inox Hộp-50x1.2</t>
  </si>
  <si>
    <t>Inox Hộp-50x1.4</t>
  </si>
  <si>
    <t>Inox Hộp-50x1.5</t>
  </si>
  <si>
    <t>Inox Hộp-50x1.6</t>
  </si>
  <si>
    <t>Inox Hộp-50x1.7</t>
  </si>
  <si>
    <t>Inox Hộp-50x1.8</t>
  </si>
  <si>
    <t>Inox Hộp-50x1.9</t>
  </si>
  <si>
    <t>Inox Hộp-50x2</t>
  </si>
  <si>
    <t>Inox Hộp-50x2.1</t>
  </si>
  <si>
    <t>Inox Hộp-50x2.2</t>
  </si>
  <si>
    <t>Inox Hộp-50x2.3</t>
  </si>
  <si>
    <t>Inox Hộp-50x2.4</t>
  </si>
  <si>
    <t>Inox Hộp-50x2.5</t>
  </si>
  <si>
    <t>Inox Hộp-50x2.7</t>
  </si>
  <si>
    <t>Inox Hộp-50x2.8</t>
  </si>
  <si>
    <t>Inox Hộp-50x2.9</t>
  </si>
  <si>
    <t>Inox Hộp-50x3</t>
  </si>
  <si>
    <t>Inox Hộp-50x3.1</t>
  </si>
  <si>
    <t>Inox Hộp-50x3.2</t>
  </si>
  <si>
    <t>Inox Hộp-50x3.3</t>
  </si>
  <si>
    <t>Inox Hộp-50x3.4</t>
  </si>
  <si>
    <t>Inox Hộp-40x80x1</t>
  </si>
  <si>
    <t>Inox Hộp-40x80x1.1</t>
  </si>
  <si>
    <t>Inox Hộp-40x80x1.2</t>
  </si>
  <si>
    <t>Inox Hộp-40x80x1.4</t>
  </si>
  <si>
    <t>Inox Hộp-40x80x1.5</t>
  </si>
  <si>
    <t>Inox Hộp-40x80x1.6</t>
  </si>
  <si>
    <t>Inox Hộp-40x80x1.7</t>
  </si>
  <si>
    <t>Inox Hộp-40x80x1.8</t>
  </si>
  <si>
    <t>Inox Hộp-40x80x1.9</t>
  </si>
  <si>
    <t>Inox Hộp-40x80x2</t>
  </si>
  <si>
    <t>Inox Hộp-40x80x2.1</t>
  </si>
  <si>
    <t>Inox Hộp-40x80x2.2</t>
  </si>
  <si>
    <t>Inox Hộp-40x80x2.3</t>
  </si>
  <si>
    <t>Inox Hộp-40x80x2.4</t>
  </si>
  <si>
    <t>Inox Hộp-40x80x2.5</t>
  </si>
  <si>
    <t>Inox Hộp-40x80x2.7</t>
  </si>
  <si>
    <t>Inox Hộp-40x80x2.8</t>
  </si>
  <si>
    <t>Inox Hộp-40x80x2.9</t>
  </si>
  <si>
    <t>Inox Hộp-40x80x3</t>
  </si>
  <si>
    <t>Inox Hộp-40x80x3.1</t>
  </si>
  <si>
    <t>Inox Hộp-40x80x3.2</t>
  </si>
  <si>
    <t>Inox Hộp-40x80x3.4</t>
  </si>
  <si>
    <t>Inox Hộp-40x80x3.5</t>
  </si>
  <si>
    <t>Inox Hộp-60x1</t>
  </si>
  <si>
    <t>Inox Hộp-60x1.1</t>
  </si>
  <si>
    <t>Inox Hộp-60x1.2</t>
  </si>
  <si>
    <t>Inox Hộp-60x1.4</t>
  </si>
  <si>
    <t>Inox Hộp-60x1.5</t>
  </si>
  <si>
    <t>Inox Hộp-60x1.6</t>
  </si>
  <si>
    <t>Inox Hộp-60x1.7</t>
  </si>
  <si>
    <t>Inox Hộp-60x1.8</t>
  </si>
  <si>
    <t>Inox Hộp-60x1.9</t>
  </si>
  <si>
    <t>Inox Hộp-60x2</t>
  </si>
  <si>
    <t>Inox Hộp-60x2.1</t>
  </si>
  <si>
    <t>Inox Hộp-60x2.2</t>
  </si>
  <si>
    <t>Inox Hộp-60x2.3</t>
  </si>
  <si>
    <t>Inox Hộp-60x2.4</t>
  </si>
  <si>
    <t>Inox Hộp-60x2.5</t>
  </si>
  <si>
    <t>Inox Hộp-60x2.7</t>
  </si>
  <si>
    <t>Inox Hộp-60x2.8</t>
  </si>
  <si>
    <t>Inox Hộp-60x2.9</t>
  </si>
  <si>
    <t>Inox Hộp-60x3</t>
  </si>
  <si>
    <t>Inox Hộp-60x3.1</t>
  </si>
  <si>
    <t>Inox Hộp-60x3.2</t>
  </si>
  <si>
    <t>Inox Hộp-60x3.4</t>
  </si>
  <si>
    <t>Inox Hộp-60x3.5</t>
  </si>
  <si>
    <t>Inox Hộp-40x100x1.4</t>
  </si>
  <si>
    <t>Inox Hộp-40x100x1.5</t>
  </si>
  <si>
    <t>Inox Hộp-40x100x1.6</t>
  </si>
  <si>
    <t>Inox Hộp-40x100x1.7</t>
  </si>
  <si>
    <t>Inox Hộp-40x100x1.8</t>
  </si>
  <si>
    <t>Inox Hộp-40x100x1.9</t>
  </si>
  <si>
    <t>Inox Hộp-40x100x2</t>
  </si>
  <si>
    <t>Inox Hộp-40x100x2.1</t>
  </si>
  <si>
    <t>Inox Hộp-40x100x2.2</t>
  </si>
  <si>
    <t>Inox Hộp-40x100x2.3</t>
  </si>
  <si>
    <t>Inox Hộp-40x100x2.4</t>
  </si>
  <si>
    <t>Inox Hộp-40x100x2.5</t>
  </si>
  <si>
    <t>Inox Hộp-40x100x2.7</t>
  </si>
  <si>
    <t>Inox Hộp-40x100x2.8</t>
  </si>
  <si>
    <t>Inox Hộp-40x100x2.9</t>
  </si>
  <si>
    <t>Inox Hộp-40x100x3</t>
  </si>
  <si>
    <t>Inox Hộp-40x100x3.1</t>
  </si>
  <si>
    <t>Inox Hộp-40x100x3.2</t>
  </si>
  <si>
    <t>Inox Hộp-40x100x3.4</t>
  </si>
  <si>
    <t>Inox Hộp-40x100x3.5</t>
  </si>
  <si>
    <t>Inox Hộp-40x100x3.7</t>
  </si>
  <si>
    <t>Inox Hộp-40x100x3.8</t>
  </si>
  <si>
    <t>Inox Hộp-40x100x3.9</t>
  </si>
  <si>
    <t>Inox Hộp-40x100x4</t>
  </si>
  <si>
    <t>Inox Hộp-50x100x1.4</t>
  </si>
  <si>
    <t>Inox Hộp-50x100x1.5</t>
  </si>
  <si>
    <t>Inox Hộp-50x100x1.6</t>
  </si>
  <si>
    <t>Inox Hộp-50x100x1.7</t>
  </si>
  <si>
    <t>Inox Hộp-50x100x1.8</t>
  </si>
  <si>
    <t>Inox Hộp-50x100x1.9</t>
  </si>
  <si>
    <t>Inox Hộp-50x100x2</t>
  </si>
  <si>
    <t>Inox Hộp-50x100x2.1</t>
  </si>
  <si>
    <t>Inox Hộp-50x100x2.2</t>
  </si>
  <si>
    <t>Inox Hộp-50x100x2.3</t>
  </si>
  <si>
    <t>Inox Hộp-50x100x2.4</t>
  </si>
  <si>
    <t>Inox Hộp-50x100x2.5</t>
  </si>
  <si>
    <t>Inox Hộp-50x100x2.7</t>
  </si>
  <si>
    <t>Inox Hộp-50x100x2.8</t>
  </si>
  <si>
    <t>Inox Hộp-50x100x2.9</t>
  </si>
  <si>
    <t>Inox Hộp-50x100x3</t>
  </si>
  <si>
    <t>Inox Hộp-50x100x3.1</t>
  </si>
  <si>
    <t>Inox Hộp-50x100x3.2</t>
  </si>
  <si>
    <t>Inox Hộp-50x100x3.4</t>
  </si>
  <si>
    <t>Inox Hộp-50x100x3.5</t>
  </si>
  <si>
    <t>Inox Hộp-50x100x3.7</t>
  </si>
  <si>
    <t>Inox Hộp-50x100x3.8</t>
  </si>
  <si>
    <t>Inox Hộp-50x100x3.9</t>
  </si>
  <si>
    <t>Inox Hộp-50x100x4</t>
  </si>
  <si>
    <t>Inox Hộp-60x120x1.4</t>
  </si>
  <si>
    <t>Inox Hộp-60x120x1.5</t>
  </si>
  <si>
    <t>Inox Hộp-60x120x1.6</t>
  </si>
  <si>
    <t>Inox Hộp-60x120x1.7</t>
  </si>
  <si>
    <t>Inox Hộp-60x120x1.8</t>
  </si>
  <si>
    <t>Inox Hộp-60x120x1.9</t>
  </si>
  <si>
    <t>Inox Hộp-60x120x2</t>
  </si>
  <si>
    <t>Inox Hộp-60x120x2.1</t>
  </si>
  <si>
    <t>Inox Hộp-60x120x2.2</t>
  </si>
  <si>
    <t>Inox Hộp-60x120x2.3</t>
  </si>
  <si>
    <t>Inox Hộp-60x120x2.4</t>
  </si>
  <si>
    <t>Inox Hộp-60x120x2.5</t>
  </si>
  <si>
    <t>Inox Hộp-60x120x2.7</t>
  </si>
  <si>
    <t>Inox Hộp-60x120x2.8</t>
  </si>
  <si>
    <t>Inox Hộp-60x120x2.9</t>
  </si>
  <si>
    <t>Inox Hộp-60x120x3</t>
  </si>
  <si>
    <t>Inox Hộp-60x120x3.1</t>
  </si>
  <si>
    <t>Inox Hộp-60x120x3.2</t>
  </si>
  <si>
    <t>Inox Hộp-60x120x3.4</t>
  </si>
  <si>
    <t>Inox Hộp-60x120x3.5</t>
  </si>
  <si>
    <t>Inox Hộp-60x120x3.7</t>
  </si>
  <si>
    <t>Inox Hộp-60x120x3.8</t>
  </si>
  <si>
    <t>Inox Hộp-60x120x3.9</t>
  </si>
  <si>
    <t>Inox Hộp-60x120x4</t>
  </si>
  <si>
    <t>Inox Hộp-100x1.8</t>
  </si>
  <si>
    <t>Inox Hộp-100x1.9</t>
  </si>
  <si>
    <t>Inox Hộp-100x2</t>
  </si>
  <si>
    <t>Inox Hộp-100x2.1</t>
  </si>
  <si>
    <t>Inox Hộp-100x2.2</t>
  </si>
  <si>
    <t>Inox Hộp-100x2.3</t>
  </si>
  <si>
    <t>Inox Hộp-100x2.4</t>
  </si>
  <si>
    <t>Inox Hộp-100x2.5</t>
  </si>
  <si>
    <t>Inox Hộp-100x2.7</t>
  </si>
  <si>
    <t>Inox Hộp-100x2.8</t>
  </si>
  <si>
    <t>Inox Hộp-100x2.9</t>
  </si>
  <si>
    <t>Inox Hộp-100x3</t>
  </si>
  <si>
    <t>Inox Hộp-100x3.1</t>
  </si>
  <si>
    <t>Inox Hộp-100x3.2</t>
  </si>
  <si>
    <t>Inox Hộp-100x3.4</t>
  </si>
  <si>
    <t>Inox Hộp-100x3.5</t>
  </si>
  <si>
    <t>Inox Hộp-100x3.7</t>
  </si>
  <si>
    <t>Inox Hộp-100x3.8</t>
  </si>
  <si>
    <t>Inox Hộp-100x3.9</t>
  </si>
  <si>
    <t>Inox Hộp-100x4</t>
  </si>
  <si>
    <t>Inox Hộp-100x4.5</t>
  </si>
  <si>
    <t>Inox Hộp-100x5</t>
  </si>
  <si>
    <t>Inox Hộp-100x150x1.8</t>
  </si>
  <si>
    <t>Inox Hộp-100x150x1.9</t>
  </si>
  <si>
    <t>Inox Hộp-100x150x2</t>
  </si>
  <si>
    <t>Inox Hộp-100x150x2.1</t>
  </si>
  <si>
    <t>Inox Hộp-100x150x2.2</t>
  </si>
  <si>
    <t>Inox Hộp-100x150x2.3</t>
  </si>
  <si>
    <t>Inox Hộp-100x150x2.4</t>
  </si>
  <si>
    <t>Inox Hộp-100x150x2.5</t>
  </si>
  <si>
    <t>Inox Hộp-100x150x2.7</t>
  </si>
  <si>
    <t>Inox Hộp-100x150x2.8</t>
  </si>
  <si>
    <t>Inox Hộp-100x150x2.9</t>
  </si>
  <si>
    <t>Inox Hộp-100x150x3</t>
  </si>
  <si>
    <t>Inox Hộp-100x150x3.1</t>
  </si>
  <si>
    <t>Inox Hộp-100x150x3.2</t>
  </si>
  <si>
    <t>Inox Hộp-100x150x3.4</t>
  </si>
  <si>
    <t>Inox Hộp-100x150x3.5</t>
  </si>
  <si>
    <t>Inox Hộp-100x150x3.7</t>
  </si>
  <si>
    <t>Inox Hộp-100x150x3.8</t>
  </si>
  <si>
    <t>Inox Hộp-100x150x3.9</t>
  </si>
  <si>
    <t>Inox Hộp-100x150x4</t>
  </si>
  <si>
    <t>Inox Hộp-100x150x4.5</t>
  </si>
  <si>
    <t>Inox Hộp-100x150x5</t>
  </si>
  <si>
    <t>Inox Hộp-100x200x1.8</t>
  </si>
  <si>
    <t>Inox Hộp-100x200x1.9</t>
  </si>
  <si>
    <t>Inox Hộp-100x200x2</t>
  </si>
  <si>
    <t>Inox Hộp-100x200x2.1</t>
  </si>
  <si>
    <t>Inox Hộp-100x200x2.2</t>
  </si>
  <si>
    <t>Inox Hộp-100x200x2.3</t>
  </si>
  <si>
    <t>Inox Hộp-100x200x2.4</t>
  </si>
  <si>
    <t>Inox Hộp-100x200x2.5</t>
  </si>
  <si>
    <t>Inox Hộp-100x200x2.7</t>
  </si>
  <si>
    <t>Inox Hộp-100x200x2.8</t>
  </si>
  <si>
    <t>Inox Hộp-100x200x2.9</t>
  </si>
  <si>
    <t>Inox Hộp-100x200x3</t>
  </si>
  <si>
    <t>Inox Hộp-100x200x3.1</t>
  </si>
  <si>
    <t>Inox Hộp-100x200x3.2</t>
  </si>
  <si>
    <t>Inox Hộp-100x200x3.4</t>
  </si>
  <si>
    <t>Inox Hộp-100x200x3.5</t>
  </si>
  <si>
    <t>Inox Hộp-100x200x3.7</t>
  </si>
  <si>
    <t>Inox Hộp-100x200x3.8</t>
  </si>
  <si>
    <t>Inox Hộp-100x200x3.9</t>
  </si>
  <si>
    <t>Inox Hộp-100x200x4</t>
  </si>
  <si>
    <t>Inox Hộp-100x200x4.5</t>
  </si>
  <si>
    <t>Inox Hộp-100x200x5</t>
  </si>
  <si>
    <t>Inox Ống-13.8x0.6</t>
  </si>
  <si>
    <t>Inox Ống-13.8x0.7</t>
  </si>
  <si>
    <t>Inox Ống-13.8x0.8</t>
  </si>
  <si>
    <t>Inox Ống-13.8x0.9</t>
  </si>
  <si>
    <t>Inox Ống-13.8x1</t>
  </si>
  <si>
    <t>Inox Ống-13.8x1.1</t>
  </si>
  <si>
    <t>Inox Ống-13.8x1.2</t>
  </si>
  <si>
    <t>Inox Ống-15.9x0.6</t>
  </si>
  <si>
    <t>Inox Ống-15.9x0.7</t>
  </si>
  <si>
    <t>Inox Ống-15.9x0.8</t>
  </si>
  <si>
    <t>Inox Ống-15.9x0.9</t>
  </si>
  <si>
    <t>Inox Ống-15.9x1</t>
  </si>
  <si>
    <t>Inox Ống-15.9x1.1</t>
  </si>
  <si>
    <t>Inox Ống-15.9x1.2</t>
  </si>
  <si>
    <t>Inox Ống-15.9x1.4</t>
  </si>
  <si>
    <t>Inox Ống-15.9x1.5</t>
  </si>
  <si>
    <t>Inox Ống-19.1x0.6</t>
  </si>
  <si>
    <t>Inox Ống-19.1x0.7</t>
  </si>
  <si>
    <t>Inox Ống-19.1x0.8</t>
  </si>
  <si>
    <t>Inox Ống-19.1x0.9</t>
  </si>
  <si>
    <t>Inox Ống-19.1x1</t>
  </si>
  <si>
    <t>Inox Ống-19.1x1.1</t>
  </si>
  <si>
    <t>Inox Ống-19.1x1.2</t>
  </si>
  <si>
    <t>Inox Ống-19.1x1.4</t>
  </si>
  <si>
    <t>Inox Ống-19.1x1.5</t>
  </si>
  <si>
    <t>Inox Ống-21x0.9</t>
  </si>
  <si>
    <t>Inox Ống-21x1</t>
  </si>
  <si>
    <t>Inox Ống-21x1.1</t>
  </si>
  <si>
    <t>Inox Ống-21x1.2</t>
  </si>
  <si>
    <t>Inox Ống-21x1.4</t>
  </si>
  <si>
    <t>Inox Ống-21x1.5</t>
  </si>
  <si>
    <t>Inox Ống-21x1.7</t>
  </si>
  <si>
    <t>Inox Ống-21x1.8</t>
  </si>
  <si>
    <t>Inox Ống-21x2</t>
  </si>
  <si>
    <t>Inox Ống-22.2x0.6</t>
  </si>
  <si>
    <t>Inox Ống-22.2x0.7</t>
  </si>
  <si>
    <t>Inox Ống-22.2x0.8</t>
  </si>
  <si>
    <t>Inox Ống-22.2x0.9</t>
  </si>
  <si>
    <t>Inox Ống-22.2x1</t>
  </si>
  <si>
    <t>Inox Ống-22.2x1.1</t>
  </si>
  <si>
    <t>Inox Ống-22.2x1.2</t>
  </si>
  <si>
    <t>Inox Ống-22.2x1.4</t>
  </si>
  <si>
    <t>Inox Ống-22.2x1.5</t>
  </si>
  <si>
    <t>Inox Ống-25.4x0.6</t>
  </si>
  <si>
    <t>Inox Ống-25.4x0.7</t>
  </si>
  <si>
    <t>Inox Ống-25.4x0.8</t>
  </si>
  <si>
    <t>Inox Ống-25.4x0.9</t>
  </si>
  <si>
    <t>Inox Ống-25.4x1</t>
  </si>
  <si>
    <t>Inox Ống-25.4x1.1</t>
  </si>
  <si>
    <t>Inox Ống-25.4x1.2</t>
  </si>
  <si>
    <t>Inox Ống-25.4x1.4</t>
  </si>
  <si>
    <t>Inox Ống-25.4x1.5</t>
  </si>
  <si>
    <t>Inox Ống-27x0.9</t>
  </si>
  <si>
    <t>Inox Ống-27x1</t>
  </si>
  <si>
    <t>Inox Ống-27x1.1</t>
  </si>
  <si>
    <t>Inox Ống-27x1.2</t>
  </si>
  <si>
    <t>Inox Ống-27x1.4</t>
  </si>
  <si>
    <t>Inox Ống-27x1.5</t>
  </si>
  <si>
    <t>Inox Ống-27x1.7</t>
  </si>
  <si>
    <t>Inox Ống-27x1.8</t>
  </si>
  <si>
    <t>Inox Ống-27x2</t>
  </si>
  <si>
    <t>Inox Ống-31.8x0.8</t>
  </si>
  <si>
    <t>Inox Ống-31.8x0.9</t>
  </si>
  <si>
    <t>Inox Ống-31.8x1</t>
  </si>
  <si>
    <t>Inox Ống-31.8x1.1</t>
  </si>
  <si>
    <t>Inox Ống-31.8x1.2</t>
  </si>
  <si>
    <t>Inox Ống-31.8x1.4</t>
  </si>
  <si>
    <t>Inox Ống-31.8x1.5</t>
  </si>
  <si>
    <t>Inox Ống-31.8x1.7</t>
  </si>
  <si>
    <t>Inox Ống-31.8x1.8</t>
  </si>
  <si>
    <t>Inox Ống-31.8x2</t>
  </si>
  <si>
    <t>Inox Ống-34x0.9</t>
  </si>
  <si>
    <t>Inox Ống-34x1</t>
  </si>
  <si>
    <t>Inox Ống-34x1.1</t>
  </si>
  <si>
    <t>Inox Ống-34x1.2</t>
  </si>
  <si>
    <t>Inox Ống-34x1.4</t>
  </si>
  <si>
    <t>Inox Ống-34x1.5</t>
  </si>
  <si>
    <t>Inox Ống-34x1.7</t>
  </si>
  <si>
    <t>Inox Ống-34x1.8</t>
  </si>
  <si>
    <t>Inox Ống-34x2</t>
  </si>
  <si>
    <t>Inox Ống-34x2.3</t>
  </si>
  <si>
    <t>Inox Ống-34x2.5</t>
  </si>
  <si>
    <t>Inox Ống-34x2.8</t>
  </si>
  <si>
    <t>Inox Ống-34x3</t>
  </si>
  <si>
    <t>Inox Ống-38.1x0.8</t>
  </si>
  <si>
    <t>Inox Ống-38.1x0.9</t>
  </si>
  <si>
    <t>Inox Ống-38.1x1</t>
  </si>
  <si>
    <t>Inox Ống-38.1x1.1</t>
  </si>
  <si>
    <t>Inox Ống-38.1x1.2</t>
  </si>
  <si>
    <t>Inox Ống-38.1x1.4</t>
  </si>
  <si>
    <t>Inox Ống-38.1x1.5</t>
  </si>
  <si>
    <t>Inox Ống-38.1x1.7</t>
  </si>
  <si>
    <t>Inox Ống-38.1x1.8</t>
  </si>
  <si>
    <t>Inox Ống-38.1x2</t>
  </si>
  <si>
    <t>Inox Ống-38.1x2.3</t>
  </si>
  <si>
    <t>Inox Ống-38.1x2.5</t>
  </si>
  <si>
    <t>Inox Ống-38.1x2.8</t>
  </si>
  <si>
    <t>Inox Ống-38.1x3</t>
  </si>
  <si>
    <t>Inox Ống-42x0.8</t>
  </si>
  <si>
    <t>Inox Ống-42x0.9</t>
  </si>
  <si>
    <t>Inox Ống-42x1</t>
  </si>
  <si>
    <t>Inox Ống-42x1.1</t>
  </si>
  <si>
    <t>Inox Ống-42x1.2</t>
  </si>
  <si>
    <t>Inox Ống-42x1.4</t>
  </si>
  <si>
    <t>Inox Ống-42x1.5</t>
  </si>
  <si>
    <t>Inox Ống-42x1.7</t>
  </si>
  <si>
    <t>Inox Ống-42x1.8</t>
  </si>
  <si>
    <t>Inox Ống-42x2</t>
  </si>
  <si>
    <t>Inox Ống-42x2.3</t>
  </si>
  <si>
    <t>Inox Ống-42x2.5</t>
  </si>
  <si>
    <t>Inox Ống-42x2.8</t>
  </si>
  <si>
    <t>Inox Ống-42x3</t>
  </si>
  <si>
    <t>Inox Ống-49x0.8</t>
  </si>
  <si>
    <t>Inox Ống-49x0.9</t>
  </si>
  <si>
    <t>Inox Ống-49x1</t>
  </si>
  <si>
    <t>Inox Ống-49x1.1</t>
  </si>
  <si>
    <t>Inox Ống-49x1.2</t>
  </si>
  <si>
    <t>Inox Ống-49x1.4</t>
  </si>
  <si>
    <t>Inox Ống-49x1.5</t>
  </si>
  <si>
    <t>Inox Ống-49x1.7</t>
  </si>
  <si>
    <t>Inox Ống-49x1.8</t>
  </si>
  <si>
    <t>Inox Ống-49x2</t>
  </si>
  <si>
    <t>Inox Ống-49x2.3</t>
  </si>
  <si>
    <t>Inox Ống-49x2.5</t>
  </si>
  <si>
    <t>Inox Ống-49x2.8</t>
  </si>
  <si>
    <t>Inox Ống-49x3</t>
  </si>
  <si>
    <t>Inox Ống-60x1</t>
  </si>
  <si>
    <t>Inox Ống-60x1.1</t>
  </si>
  <si>
    <t>Inox Ống-60x1.2</t>
  </si>
  <si>
    <t>Inox Ống-60x1.4</t>
  </si>
  <si>
    <t>Inox Ống-60x1.5</t>
  </si>
  <si>
    <t>Inox Ống-60x1.7</t>
  </si>
  <si>
    <t>Inox Ống-60x1.8</t>
  </si>
  <si>
    <t>Inox Ống-60x2</t>
  </si>
  <si>
    <t>Inox Ống-60x2.3</t>
  </si>
  <si>
    <t>Inox Ống-60x2.5</t>
  </si>
  <si>
    <t>Inox Ống-60x2.8</t>
  </si>
  <si>
    <t>Inox Ống-60x3</t>
  </si>
  <si>
    <t>Inox Ống-76x1.1</t>
  </si>
  <si>
    <t>Inox Ống-76x1.2</t>
  </si>
  <si>
    <t>Inox Ống-76x1.4</t>
  </si>
  <si>
    <t>Inox Ống-76x1.5</t>
  </si>
  <si>
    <t>Inox Ống-76x1.7</t>
  </si>
  <si>
    <t>Inox Ống-76x1.8</t>
  </si>
  <si>
    <t>Inox Ống-76x2</t>
  </si>
  <si>
    <t>Inox Ống-76x2.3</t>
  </si>
  <si>
    <t>Inox Ống-76x2.5</t>
  </si>
  <si>
    <t>Inox Ống-76x2.8</t>
  </si>
  <si>
    <t>Inox Ống-76x3</t>
  </si>
  <si>
    <t>Inox Ống-90x1.2</t>
  </si>
  <si>
    <t>Inox Ống-90x1.4</t>
  </si>
  <si>
    <t>Inox Ống-90x1.5</t>
  </si>
  <si>
    <t>Inox Ống-90x1.7</t>
  </si>
  <si>
    <t>Inox Ống-90x1.8</t>
  </si>
  <si>
    <t>Inox Ống-90x2</t>
  </si>
  <si>
    <t>Inox Ống-90x2.3</t>
  </si>
  <si>
    <t>Inox Ống-90x2.5</t>
  </si>
  <si>
    <t>Inox Ống-90x2.8</t>
  </si>
  <si>
    <t>Inox Ống-90x3</t>
  </si>
  <si>
    <t>Inox Ống-114x1.4</t>
  </si>
  <si>
    <t>Inox Ống-114x1.5</t>
  </si>
  <si>
    <t>Inox Ống-114x1.7</t>
  </si>
  <si>
    <t>Inox Ống-114x1.8</t>
  </si>
  <si>
    <t>Inox Ống-114x2</t>
  </si>
  <si>
    <t>Inox Ống-114x2.3</t>
  </si>
  <si>
    <t>Inox Ống-114x2.5</t>
  </si>
  <si>
    <t>Inox Ống-114x2.8</t>
  </si>
  <si>
    <t>Inox Ống-114x3</t>
  </si>
  <si>
    <t>Inox Ống-140x1.5</t>
  </si>
  <si>
    <t>Inox Ống-140x1.7</t>
  </si>
  <si>
    <t>Inox Ống-140x1.8</t>
  </si>
  <si>
    <t>Inox Ống-140x2</t>
  </si>
  <si>
    <t>Inox Ống-140x2.3</t>
  </si>
  <si>
    <t>Inox Ống-140x2.5</t>
  </si>
  <si>
    <t>Inox Ống-140x2.8</t>
  </si>
  <si>
    <t>Inox Ống-140x3</t>
  </si>
  <si>
    <t>THÉP ỐNG</t>
  </si>
  <si>
    <t>KLR</t>
  </si>
  <si>
    <t>Theo công thức</t>
  </si>
  <si>
    <t>Bảng tra</t>
  </si>
  <si>
    <t>ro</t>
  </si>
  <si>
    <t>ri</t>
  </si>
  <si>
    <t>Ống-13.8x0.7</t>
  </si>
  <si>
    <t>Hộp-40x2.2</t>
  </si>
  <si>
    <t>TỔNG DIỆN TÍCH SƠN
(m2)</t>
  </si>
  <si>
    <t>Thép I tổ hợp (loại 1)</t>
  </si>
  <si>
    <t>Thép I tổ hợp (loại 2)</t>
  </si>
  <si>
    <t>Hw1</t>
  </si>
  <si>
    <t>Hw2</t>
  </si>
  <si>
    <t>(384-684)x6+200x8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</si>
</sst>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0.0000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rgb="FF0000CC"/>
      <name val="Calibri"/>
      <family val="2"/>
      <scheme val="minor"/>
    </font>
    <font>
      <sz val="11"/>
      <color rgb="FF0000CC"/>
      <name val="Calibri"/>
      <family val="2"/>
    </font>
    <font>
      <b/>
      <sz val="26"/>
      <color rgb="FFFA7D00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rgb="FF0070C0"/>
      <name val="Calibri"/>
      <family val="2"/>
      <scheme val="minor"/>
    </font>
    <font>
      <sz val="11"/>
      <color indexed="8"/>
      <name val="Calibri"/>
      <family val="2"/>
    </font>
    <font>
      <b/>
      <sz val="14"/>
      <color rgb="FFFA7D00"/>
      <name val="Calibri"/>
      <family val="2"/>
      <scheme val="minor"/>
    </font>
    <font>
      <b/>
      <sz val="24"/>
      <color rgb="FFFA7D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rgb="FF0000CC"/>
      <name val="Calibri"/>
      <family val="2"/>
      <scheme val="minor"/>
    </font>
    <font>
      <sz val="11"/>
      <color rgb="FFFF0000"/>
      <name val="Calibri"/>
      <family val="2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thin">
        <color indexed="64"/>
      </bottom>
      <diagonal/>
    </border>
    <border>
      <left/>
      <right style="thin">
        <color rgb="FF7F7F7F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8">
    <xf numFmtId="0" fontId="0" fillId="0" borderId="0" xfId="0"/>
    <xf numFmtId="0" fontId="0" fillId="6" borderId="0" xfId="0" applyFill="1"/>
    <xf numFmtId="0" fontId="0" fillId="0" borderId="2" xfId="0" applyBorder="1"/>
    <xf numFmtId="0" fontId="7" fillId="0" borderId="0" xfId="0" applyFont="1"/>
    <xf numFmtId="0" fontId="3" fillId="5" borderId="0" xfId="4" applyAlignment="1">
      <alignment horizontal="centerContinuous" vertical="center"/>
    </xf>
    <xf numFmtId="0" fontId="0" fillId="0" borderId="2" xfId="0" applyBorder="1" applyAlignment="1">
      <alignment horizontal="center" vertical="center"/>
    </xf>
    <xf numFmtId="0" fontId="3" fillId="5" borderId="3" xfId="4" applyBorder="1" applyAlignment="1">
      <alignment horizontal="center" vertical="center"/>
    </xf>
    <xf numFmtId="0" fontId="3" fillId="5" borderId="4" xfId="4" applyBorder="1" applyAlignment="1">
      <alignment horizontal="center" vertical="center"/>
    </xf>
    <xf numFmtId="0" fontId="8" fillId="0" borderId="2" xfId="5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horizontal="center" vertical="center"/>
    </xf>
    <xf numFmtId="0" fontId="12" fillId="0" borderId="12" xfId="5" applyFont="1" applyBorder="1" applyAlignment="1">
      <alignment wrapText="1"/>
    </xf>
    <xf numFmtId="0" fontId="12" fillId="0" borderId="12" xfId="5" applyFont="1" applyBorder="1" applyAlignment="1">
      <alignment horizontal="right" wrapText="1"/>
    </xf>
    <xf numFmtId="0" fontId="8" fillId="0" borderId="13" xfId="5" applyFont="1" applyBorder="1" applyAlignment="1">
      <alignment horizontal="center" vertical="center" wrapText="1"/>
    </xf>
    <xf numFmtId="0" fontId="8" fillId="0" borderId="12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right" wrapText="1"/>
    </xf>
    <xf numFmtId="0" fontId="8" fillId="0" borderId="2" xfId="5" applyFont="1" applyBorder="1" applyAlignment="1">
      <alignment wrapText="1"/>
    </xf>
    <xf numFmtId="2" fontId="0" fillId="0" borderId="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2" xfId="0" applyNumberFormat="1" applyBorder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3" fillId="5" borderId="2" xfId="4" applyBorder="1" applyAlignment="1">
      <alignment horizontal="centerContinuous" vertical="center"/>
    </xf>
    <xf numFmtId="0" fontId="3" fillId="5" borderId="2" xfId="4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7" fillId="0" borderId="8" xfId="0" applyFont="1" applyBorder="1"/>
    <xf numFmtId="0" fontId="0" fillId="0" borderId="0" xfId="0" applyAlignment="1">
      <alignment wrapText="1"/>
    </xf>
    <xf numFmtId="0" fontId="3" fillId="5" borderId="5" xfId="4" applyBorder="1" applyAlignment="1">
      <alignment horizontal="center" vertical="center"/>
    </xf>
    <xf numFmtId="0" fontId="12" fillId="0" borderId="2" xfId="5" applyFont="1" applyBorder="1"/>
    <xf numFmtId="0" fontId="12" fillId="0" borderId="2" xfId="5" applyFont="1" applyBorder="1" applyAlignment="1">
      <alignment horizontal="right" wrapText="1"/>
    </xf>
    <xf numFmtId="2" fontId="0" fillId="0" borderId="0" xfId="0" applyNumberFormat="1"/>
    <xf numFmtId="0" fontId="0" fillId="0" borderId="2" xfId="0" applyBorder="1" applyAlignment="1">
      <alignment horizontal="left" vertical="center" indent="1"/>
    </xf>
    <xf numFmtId="0" fontId="0" fillId="0" borderId="24" xfId="0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17" fillId="0" borderId="2" xfId="5" applyFont="1" applyBorder="1" applyAlignment="1">
      <alignment horizontal="right" wrapText="1"/>
    </xf>
    <xf numFmtId="166" fontId="8" fillId="0" borderId="2" xfId="5" applyNumberFormat="1" applyFont="1" applyBorder="1" applyAlignment="1">
      <alignment horizontal="right" wrapText="1"/>
    </xf>
    <xf numFmtId="0" fontId="18" fillId="7" borderId="2" xfId="4" applyFont="1" applyFill="1" applyBorder="1" applyAlignment="1">
      <alignment horizontal="centerContinuous" vertical="center"/>
    </xf>
    <xf numFmtId="0" fontId="18" fillId="7" borderId="2" xfId="4" applyFont="1" applyFill="1" applyBorder="1" applyAlignment="1">
      <alignment horizontal="center" vertical="center"/>
    </xf>
    <xf numFmtId="167" fontId="19" fillId="0" borderId="2" xfId="0" applyNumberFormat="1" applyFont="1" applyBorder="1" applyAlignment="1">
      <alignment horizontal="center" vertical="center"/>
    </xf>
    <xf numFmtId="9" fontId="0" fillId="0" borderId="0" xfId="7" applyFont="1"/>
    <xf numFmtId="2" fontId="4" fillId="7" borderId="2" xfId="2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indent="1"/>
    </xf>
    <xf numFmtId="0" fontId="14" fillId="2" borderId="10" xfId="1" applyFont="1" applyBorder="1" applyAlignment="1">
      <alignment horizontal="left" vertical="center" indent="1"/>
    </xf>
    <xf numFmtId="0" fontId="14" fillId="2" borderId="0" xfId="1" applyFont="1" applyBorder="1" applyAlignment="1">
      <alignment horizontal="left" vertical="center" indent="1"/>
    </xf>
    <xf numFmtId="0" fontId="14" fillId="2" borderId="8" xfId="1" applyFont="1" applyBorder="1" applyAlignment="1">
      <alignment horizontal="left" vertical="center" indent="1"/>
    </xf>
    <xf numFmtId="0" fontId="14" fillId="2" borderId="6" xfId="1" applyFont="1" applyBorder="1" applyAlignment="1">
      <alignment horizontal="left" vertical="center" indent="1"/>
    </xf>
    <xf numFmtId="0" fontId="15" fillId="3" borderId="16" xfId="2" applyFont="1" applyBorder="1" applyAlignment="1">
      <alignment horizontal="center" vertical="center" wrapText="1"/>
    </xf>
    <xf numFmtId="0" fontId="15" fillId="3" borderId="0" xfId="2" applyFont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/>
    </xf>
    <xf numFmtId="0" fontId="4" fillId="7" borderId="2" xfId="2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4" fillId="7" borderId="5" xfId="2" applyFont="1" applyFill="1" applyBorder="1" applyAlignment="1">
      <alignment horizontal="center" vertical="center" wrapText="1"/>
    </xf>
    <xf numFmtId="164" fontId="13" fillId="2" borderId="1" xfId="6" applyNumberFormat="1" applyFont="1" applyFill="1" applyBorder="1" applyAlignment="1">
      <alignment horizontal="center" vertical="center"/>
    </xf>
    <xf numFmtId="0" fontId="2" fillId="2" borderId="20" xfId="1" applyBorder="1" applyAlignment="1">
      <alignment horizontal="center" vertical="center"/>
    </xf>
    <xf numFmtId="0" fontId="2" fillId="2" borderId="16" xfId="1" applyBorder="1" applyAlignment="1">
      <alignment horizontal="center" vertical="center"/>
    </xf>
    <xf numFmtId="0" fontId="2" fillId="2" borderId="21" xfId="1" applyBorder="1" applyAlignment="1">
      <alignment horizontal="center" vertical="center"/>
    </xf>
    <xf numFmtId="0" fontId="2" fillId="2" borderId="22" xfId="1" applyBorder="1" applyAlignment="1">
      <alignment horizontal="center" vertical="center"/>
    </xf>
    <xf numFmtId="0" fontId="2" fillId="2" borderId="6" xfId="1" applyBorder="1" applyAlignment="1">
      <alignment horizontal="center" vertical="center"/>
    </xf>
    <xf numFmtId="0" fontId="2" fillId="2" borderId="23" xfId="1" applyBorder="1" applyAlignment="1">
      <alignment horizontal="center" vertical="center"/>
    </xf>
    <xf numFmtId="0" fontId="5" fillId="5" borderId="2" xfId="4" applyFont="1" applyBorder="1" applyAlignment="1">
      <alignment horizontal="center" vertical="center"/>
    </xf>
    <xf numFmtId="0" fontId="1" fillId="4" borderId="10" xfId="3" applyBorder="1" applyAlignment="1">
      <alignment horizontal="center" vertical="center"/>
    </xf>
    <xf numFmtId="0" fontId="1" fillId="4" borderId="0" xfId="3" applyBorder="1" applyAlignment="1">
      <alignment horizontal="center" vertical="center"/>
    </xf>
    <xf numFmtId="0" fontId="1" fillId="4" borderId="11" xfId="3" applyBorder="1" applyAlignment="1">
      <alignment horizontal="center" vertical="center"/>
    </xf>
    <xf numFmtId="0" fontId="1" fillId="4" borderId="8" xfId="3" applyBorder="1" applyAlignment="1">
      <alignment horizontal="center" vertical="center"/>
    </xf>
    <xf numFmtId="0" fontId="1" fillId="4" borderId="6" xfId="3" applyBorder="1" applyAlignment="1">
      <alignment horizontal="center" vertical="center"/>
    </xf>
    <xf numFmtId="0" fontId="1" fillId="4" borderId="9" xfId="3" applyBorder="1" applyAlignment="1">
      <alignment horizontal="center" vertical="center"/>
    </xf>
    <xf numFmtId="0" fontId="7" fillId="0" borderId="2" xfId="0" applyFont="1" applyBorder="1" applyAlignment="1">
      <alignment horizontal="left" indent="1"/>
    </xf>
    <xf numFmtId="0" fontId="3" fillId="3" borderId="0" xfId="2" applyAlignment="1">
      <alignment horizontal="center" vertical="center" wrapText="1"/>
    </xf>
    <xf numFmtId="0" fontId="3" fillId="3" borderId="16" xfId="2" applyBorder="1" applyAlignment="1">
      <alignment horizontal="center" vertical="center" wrapText="1"/>
    </xf>
    <xf numFmtId="0" fontId="3" fillId="3" borderId="7" xfId="2" applyBorder="1" applyAlignment="1">
      <alignment horizontal="center" vertical="center" wrapText="1"/>
    </xf>
    <xf numFmtId="0" fontId="3" fillId="3" borderId="11" xfId="2" applyBorder="1" applyAlignment="1">
      <alignment horizontal="center" vertical="center" wrapText="1"/>
    </xf>
    <xf numFmtId="0" fontId="3" fillId="3" borderId="6" xfId="2" applyBorder="1" applyAlignment="1">
      <alignment horizontal="center" vertical="center" wrapText="1"/>
    </xf>
    <xf numFmtId="0" fontId="3" fillId="3" borderId="9" xfId="2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9" fillId="2" borderId="10" xfId="1" applyFont="1" applyBorder="1" applyAlignment="1">
      <alignment horizontal="center" vertical="center"/>
    </xf>
    <xf numFmtId="0" fontId="9" fillId="2" borderId="0" xfId="1" applyFont="1" applyBorder="1" applyAlignment="1">
      <alignment horizontal="center" vertical="center"/>
    </xf>
    <xf numFmtId="0" fontId="9" fillId="2" borderId="11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4" fillId="7" borderId="5" xfId="2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7" fillId="0" borderId="17" xfId="0" applyFont="1" applyBorder="1" applyAlignment="1">
      <alignment horizontal="left" vertical="center" indent="1"/>
    </xf>
    <xf numFmtId="0" fontId="7" fillId="0" borderId="18" xfId="0" applyFont="1" applyBorder="1" applyAlignment="1">
      <alignment horizontal="left" vertical="center" indent="1"/>
    </xf>
    <xf numFmtId="0" fontId="7" fillId="0" borderId="19" xfId="0" applyFont="1" applyBorder="1" applyAlignment="1">
      <alignment horizontal="left" vertical="center" indent="1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7" xfId="0" applyFont="1" applyBorder="1" applyAlignment="1">
      <alignment horizontal="left" indent="1"/>
    </xf>
    <xf numFmtId="0" fontId="7" fillId="0" borderId="18" xfId="0" applyFont="1" applyBorder="1" applyAlignment="1">
      <alignment horizontal="left" indent="1"/>
    </xf>
    <xf numFmtId="0" fontId="7" fillId="0" borderId="19" xfId="0" applyFont="1" applyBorder="1" applyAlignment="1">
      <alignment horizontal="left" indent="1"/>
    </xf>
    <xf numFmtId="0" fontId="4" fillId="7" borderId="2" xfId="0" applyFont="1" applyFill="1" applyBorder="1" applyAlignment="1">
      <alignment horizontal="center"/>
    </xf>
    <xf numFmtId="0" fontId="3" fillId="5" borderId="16" xfId="4" applyBorder="1" applyAlignment="1">
      <alignment horizontal="center" vertical="center"/>
    </xf>
    <xf numFmtId="0" fontId="3" fillId="5" borderId="7" xfId="4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2" xfId="0" applyFont="1" applyBorder="1" applyAlignment="1">
      <alignment vertical="center"/>
    </xf>
    <xf numFmtId="0" fontId="0" fillId="0" borderId="14" xfId="0" applyBorder="1"/>
    <xf numFmtId="2" fontId="10" fillId="0" borderId="2" xfId="0" applyNumberFormat="1" applyFont="1" applyBorder="1" applyAlignment="1">
      <alignment horizontal="center" vertical="center"/>
    </xf>
  </cellXfs>
  <cellStyles count="8">
    <cellStyle name="20% - Accent1" xfId="3" builtinId="30"/>
    <cellStyle name="Accent1" xfId="2" builtinId="29"/>
    <cellStyle name="Accent5" xfId="4" builtinId="45"/>
    <cellStyle name="Calculation" xfId="1" builtinId="22"/>
    <cellStyle name="Comma" xfId="6" builtinId="3"/>
    <cellStyle name="Normal" xfId="0" builtinId="0"/>
    <cellStyle name="Normal_Data" xfId="5" xr:uid="{B3FBE412-C3B4-4966-A793-AFE025C9E27F}"/>
    <cellStyle name="Percent" xfId="7" builtinId="5"/>
  </cellStyles>
  <dxfs count="6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125709</xdr:colOff>
      <xdr:row>5</xdr:row>
      <xdr:rowOff>19050</xdr:rowOff>
    </xdr:from>
    <xdr:to>
      <xdr:col>16</xdr:col>
      <xdr:colOff>401934</xdr:colOff>
      <xdr:row>5</xdr:row>
      <xdr:rowOff>161925</xdr:rowOff>
    </xdr:to>
    <xdr:sp macro="[0]!UpdateL" textlink="">
      <xdr:nvSpPr>
        <xdr:cNvPr id="3" name="Arrow: Right 2">
          <a:extLst>
            <a:ext uri="{FF2B5EF4-FFF2-40B4-BE49-F238E27FC236}">
              <a16:creationId xmlns:a16="http://schemas.microsoft.com/office/drawing/2014/main" id="{DB428BB1-870E-D1C5-FB8E-98BA07B1EF04}"/>
            </a:ext>
          </a:extLst>
        </xdr:cNvPr>
        <xdr:cNvSpPr/>
      </xdr:nvSpPr>
      <xdr:spPr>
        <a:xfrm>
          <a:off x="7970845" y="9715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6</xdr:row>
      <xdr:rowOff>19050</xdr:rowOff>
    </xdr:from>
    <xdr:to>
      <xdr:col>16</xdr:col>
      <xdr:colOff>401934</xdr:colOff>
      <xdr:row>6</xdr:row>
      <xdr:rowOff>161925</xdr:rowOff>
    </xdr:to>
    <xdr:sp macro="[0]!UpdateUnqL" textlink="">
      <xdr:nvSpPr>
        <xdr:cNvPr id="2" name="Arrow: Right 1">
          <a:extLst>
            <a:ext uri="{FF2B5EF4-FFF2-40B4-BE49-F238E27FC236}">
              <a16:creationId xmlns:a16="http://schemas.microsoft.com/office/drawing/2014/main" id="{97FFAD74-609B-4B38-BC1B-5EAFE027F12C}"/>
            </a:ext>
          </a:extLst>
        </xdr:cNvPr>
        <xdr:cNvSpPr/>
      </xdr:nvSpPr>
      <xdr:spPr>
        <a:xfrm>
          <a:off x="7970845" y="11620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7</xdr:row>
      <xdr:rowOff>19050</xdr:rowOff>
    </xdr:from>
    <xdr:to>
      <xdr:col>16</xdr:col>
      <xdr:colOff>401934</xdr:colOff>
      <xdr:row>7</xdr:row>
      <xdr:rowOff>161925</xdr:rowOff>
    </xdr:to>
    <xdr:sp macro="[0]!UpdateH" textlink="">
      <xdr:nvSpPr>
        <xdr:cNvPr id="4" name="Arrow: Right 3">
          <a:extLst>
            <a:ext uri="{FF2B5EF4-FFF2-40B4-BE49-F238E27FC236}">
              <a16:creationId xmlns:a16="http://schemas.microsoft.com/office/drawing/2014/main" id="{395748A2-432A-449F-96DF-4D398CC8E627}"/>
            </a:ext>
          </a:extLst>
        </xdr:cNvPr>
        <xdr:cNvSpPr/>
      </xdr:nvSpPr>
      <xdr:spPr>
        <a:xfrm>
          <a:off x="7970845" y="13525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8</xdr:row>
      <xdr:rowOff>26377</xdr:rowOff>
    </xdr:from>
    <xdr:to>
      <xdr:col>16</xdr:col>
      <xdr:colOff>401934</xdr:colOff>
      <xdr:row>8</xdr:row>
      <xdr:rowOff>169252</xdr:rowOff>
    </xdr:to>
    <xdr:sp macro="[0]!UpdateBox" textlink="">
      <xdr:nvSpPr>
        <xdr:cNvPr id="5" name="Arrow: Right 4">
          <a:extLst>
            <a:ext uri="{FF2B5EF4-FFF2-40B4-BE49-F238E27FC236}">
              <a16:creationId xmlns:a16="http://schemas.microsoft.com/office/drawing/2014/main" id="{0A8399DA-E352-4043-84B2-77FB4814F48A}"/>
            </a:ext>
          </a:extLst>
        </xdr:cNvPr>
        <xdr:cNvSpPr/>
      </xdr:nvSpPr>
      <xdr:spPr>
        <a:xfrm>
          <a:off x="7970845" y="1550377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9</xdr:row>
      <xdr:rowOff>19050</xdr:rowOff>
    </xdr:from>
    <xdr:to>
      <xdr:col>16</xdr:col>
      <xdr:colOff>401934</xdr:colOff>
      <xdr:row>9</xdr:row>
      <xdr:rowOff>161925</xdr:rowOff>
    </xdr:to>
    <xdr:sp macro="[0]!UpdatePipe" textlink="">
      <xdr:nvSpPr>
        <xdr:cNvPr id="6" name="Arrow: Right 5">
          <a:extLst>
            <a:ext uri="{FF2B5EF4-FFF2-40B4-BE49-F238E27FC236}">
              <a16:creationId xmlns:a16="http://schemas.microsoft.com/office/drawing/2014/main" id="{CF782C9B-CC3D-4E49-AA08-A1364A623552}"/>
            </a:ext>
          </a:extLst>
        </xdr:cNvPr>
        <xdr:cNvSpPr/>
      </xdr:nvSpPr>
      <xdr:spPr>
        <a:xfrm>
          <a:off x="7970845" y="17335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10</xdr:row>
      <xdr:rowOff>19050</xdr:rowOff>
    </xdr:from>
    <xdr:to>
      <xdr:col>16</xdr:col>
      <xdr:colOff>401934</xdr:colOff>
      <xdr:row>10</xdr:row>
      <xdr:rowOff>161925</xdr:rowOff>
    </xdr:to>
    <xdr:sp macro="[0]!UpdateC" textlink="">
      <xdr:nvSpPr>
        <xdr:cNvPr id="7" name="Arrow: Right 6">
          <a:extLst>
            <a:ext uri="{FF2B5EF4-FFF2-40B4-BE49-F238E27FC236}">
              <a16:creationId xmlns:a16="http://schemas.microsoft.com/office/drawing/2014/main" id="{CAA9B334-2323-4EBA-95DB-A59CBE762848}"/>
            </a:ext>
          </a:extLst>
        </xdr:cNvPr>
        <xdr:cNvSpPr/>
      </xdr:nvSpPr>
      <xdr:spPr>
        <a:xfrm>
          <a:off x="7970845" y="19240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11</xdr:row>
      <xdr:rowOff>19050</xdr:rowOff>
    </xdr:from>
    <xdr:to>
      <xdr:col>16</xdr:col>
      <xdr:colOff>401934</xdr:colOff>
      <xdr:row>11</xdr:row>
      <xdr:rowOff>161925</xdr:rowOff>
    </xdr:to>
    <xdr:sp macro="[0]!UpdatePurlinCZ" textlink="">
      <xdr:nvSpPr>
        <xdr:cNvPr id="8" name="Arrow: Right 7">
          <a:extLst>
            <a:ext uri="{FF2B5EF4-FFF2-40B4-BE49-F238E27FC236}">
              <a16:creationId xmlns:a16="http://schemas.microsoft.com/office/drawing/2014/main" id="{D343F885-A251-4C87-B3FA-D4D92182A7BB}"/>
            </a:ext>
          </a:extLst>
        </xdr:cNvPr>
        <xdr:cNvSpPr/>
      </xdr:nvSpPr>
      <xdr:spPr>
        <a:xfrm>
          <a:off x="7970845" y="21145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12</xdr:row>
      <xdr:rowOff>19050</xdr:rowOff>
    </xdr:from>
    <xdr:to>
      <xdr:col>16</xdr:col>
      <xdr:colOff>401934</xdr:colOff>
      <xdr:row>12</xdr:row>
      <xdr:rowOff>161925</xdr:rowOff>
    </xdr:to>
    <xdr:sp macro="[0]!UpdateCable" textlink="">
      <xdr:nvSpPr>
        <xdr:cNvPr id="9" name="Arrow: Right 8">
          <a:extLst>
            <a:ext uri="{FF2B5EF4-FFF2-40B4-BE49-F238E27FC236}">
              <a16:creationId xmlns:a16="http://schemas.microsoft.com/office/drawing/2014/main" id="{3DAD646E-48C2-465F-9CCD-B9814EBA3974}"/>
            </a:ext>
          </a:extLst>
        </xdr:cNvPr>
        <xdr:cNvSpPr/>
      </xdr:nvSpPr>
      <xdr:spPr>
        <a:xfrm>
          <a:off x="7970845" y="23050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13</xdr:row>
      <xdr:rowOff>114300</xdr:rowOff>
    </xdr:from>
    <xdr:to>
      <xdr:col>16</xdr:col>
      <xdr:colOff>401934</xdr:colOff>
      <xdr:row>14</xdr:row>
      <xdr:rowOff>66675</xdr:rowOff>
    </xdr:to>
    <xdr:sp macro="[0]!UpdateIBultup" textlink="">
      <xdr:nvSpPr>
        <xdr:cNvPr id="10" name="Arrow: Right 9">
          <a:extLst>
            <a:ext uri="{FF2B5EF4-FFF2-40B4-BE49-F238E27FC236}">
              <a16:creationId xmlns:a16="http://schemas.microsoft.com/office/drawing/2014/main" id="{28F157CC-5727-42C2-BD0B-6F55C117ACA0}"/>
            </a:ext>
          </a:extLst>
        </xdr:cNvPr>
        <xdr:cNvSpPr/>
      </xdr:nvSpPr>
      <xdr:spPr>
        <a:xfrm>
          <a:off x="7970845" y="259080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17</xdr:row>
      <xdr:rowOff>114300</xdr:rowOff>
    </xdr:from>
    <xdr:to>
      <xdr:col>16</xdr:col>
      <xdr:colOff>401934</xdr:colOff>
      <xdr:row>18</xdr:row>
      <xdr:rowOff>66675</xdr:rowOff>
    </xdr:to>
    <xdr:sp macro="[0]!UpdatePlate" textlink="">
      <xdr:nvSpPr>
        <xdr:cNvPr id="11" name="Arrow: Right 10">
          <a:extLst>
            <a:ext uri="{FF2B5EF4-FFF2-40B4-BE49-F238E27FC236}">
              <a16:creationId xmlns:a16="http://schemas.microsoft.com/office/drawing/2014/main" id="{730E2BFC-E211-4B27-AB27-FAD50FA9E6BE}"/>
            </a:ext>
          </a:extLst>
        </xdr:cNvPr>
        <xdr:cNvSpPr/>
      </xdr:nvSpPr>
      <xdr:spPr>
        <a:xfrm>
          <a:off x="7970845" y="297180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21</xdr:row>
      <xdr:rowOff>21981</xdr:rowOff>
    </xdr:from>
    <xdr:to>
      <xdr:col>16</xdr:col>
      <xdr:colOff>401934</xdr:colOff>
      <xdr:row>21</xdr:row>
      <xdr:rowOff>164856</xdr:rowOff>
    </xdr:to>
    <xdr:sp macro="[0]!UpdateOther" textlink="">
      <xdr:nvSpPr>
        <xdr:cNvPr id="13" name="Arrow: Right 12">
          <a:extLst>
            <a:ext uri="{FF2B5EF4-FFF2-40B4-BE49-F238E27FC236}">
              <a16:creationId xmlns:a16="http://schemas.microsoft.com/office/drawing/2014/main" id="{CE1F94E4-5086-4565-915A-265EE6F1F738}"/>
            </a:ext>
          </a:extLst>
        </xdr:cNvPr>
        <xdr:cNvSpPr/>
      </xdr:nvSpPr>
      <xdr:spPr>
        <a:xfrm>
          <a:off x="7970845" y="3260481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19</xdr:row>
      <xdr:rowOff>19050</xdr:rowOff>
    </xdr:from>
    <xdr:to>
      <xdr:col>16</xdr:col>
      <xdr:colOff>401934</xdr:colOff>
      <xdr:row>19</xdr:row>
      <xdr:rowOff>161925</xdr:rowOff>
    </xdr:to>
    <xdr:sp macro="[0]!UpdateBolt" textlink="">
      <xdr:nvSpPr>
        <xdr:cNvPr id="14" name="Arrow: Right 13">
          <a:extLst>
            <a:ext uri="{FF2B5EF4-FFF2-40B4-BE49-F238E27FC236}">
              <a16:creationId xmlns:a16="http://schemas.microsoft.com/office/drawing/2014/main" id="{43D4EC7B-4CF7-407E-8DF9-1AC33E1F8951}"/>
            </a:ext>
          </a:extLst>
        </xdr:cNvPr>
        <xdr:cNvSpPr/>
      </xdr:nvSpPr>
      <xdr:spPr>
        <a:xfrm>
          <a:off x="7970845" y="34480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20</xdr:row>
      <xdr:rowOff>19050</xdr:rowOff>
    </xdr:from>
    <xdr:to>
      <xdr:col>16</xdr:col>
      <xdr:colOff>401934</xdr:colOff>
      <xdr:row>20</xdr:row>
      <xdr:rowOff>161925</xdr:rowOff>
    </xdr:to>
    <xdr:sp macro="[0]!UpdateAnchorBolt" textlink="">
      <xdr:nvSpPr>
        <xdr:cNvPr id="12" name="Arrow: Right 11">
          <a:extLst>
            <a:ext uri="{FF2B5EF4-FFF2-40B4-BE49-F238E27FC236}">
              <a16:creationId xmlns:a16="http://schemas.microsoft.com/office/drawing/2014/main" id="{591442A2-7411-4E62-BCF8-C8B3B79D72C8}"/>
            </a:ext>
          </a:extLst>
        </xdr:cNvPr>
        <xdr:cNvSpPr/>
      </xdr:nvSpPr>
      <xdr:spPr>
        <a:xfrm>
          <a:off x="7970845" y="3638550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125709</xdr:colOff>
      <xdr:row>15</xdr:row>
      <xdr:rowOff>114300</xdr:rowOff>
    </xdr:from>
    <xdr:to>
      <xdr:col>16</xdr:col>
      <xdr:colOff>401934</xdr:colOff>
      <xdr:row>16</xdr:row>
      <xdr:rowOff>66675</xdr:rowOff>
    </xdr:to>
    <xdr:sp macro="[0]!UpdateIBultup_2" textlink="">
      <xdr:nvSpPr>
        <xdr:cNvPr id="15" name="Arrow: Right 14">
          <a:extLst>
            <a:ext uri="{FF2B5EF4-FFF2-40B4-BE49-F238E27FC236}">
              <a16:creationId xmlns:a16="http://schemas.microsoft.com/office/drawing/2014/main" id="{68A0CC96-B07A-43FF-A5B0-C48A683C0BE8}"/>
            </a:ext>
          </a:extLst>
        </xdr:cNvPr>
        <xdr:cNvSpPr/>
      </xdr:nvSpPr>
      <xdr:spPr>
        <a:xfrm>
          <a:off x="7958190" y="2598127"/>
          <a:ext cx="276225" cy="1428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FF7FC-320D-4D71-BACE-B946B96A9E6D}">
  <sheetPr codeName="Sheet1"/>
  <dimension ref="A1:GA886"/>
  <sheetViews>
    <sheetView showGridLines="0" topLeftCell="Z1" zoomScaleNormal="100" workbookViewId="0">
      <pane ySplit="5" topLeftCell="A6" activePane="bottomLeft" state="frozen"/>
      <selection pane="bottomLeft" activeCell="CI3" sqref="CI3"/>
    </sheetView>
  </sheetViews>
  <sheetFormatPr defaultRowHeight="15" x14ac:dyDescent="0.25"/>
  <cols>
    <col min="1" max="4" width="9.140625" style="3"/>
    <col min="5" max="5" width="9.140625" style="10" customWidth="1"/>
    <col min="6" max="25" width="9.140625" hidden="1" customWidth="1"/>
    <col min="26" max="26" width="3.28515625" style="1" customWidth="1"/>
    <col min="27" max="27" width="10.5703125" customWidth="1"/>
    <col min="33" max="51" width="0" hidden="1" customWidth="1"/>
    <col min="52" max="52" width="3.28515625" style="1" customWidth="1"/>
    <col min="53" max="53" width="16.7109375" bestFit="1" customWidth="1"/>
    <col min="60" max="77" width="0" hidden="1" customWidth="1"/>
    <col min="78" max="78" width="3.28515625" style="1" customWidth="1"/>
    <col min="79" max="79" width="16" bestFit="1" customWidth="1"/>
    <col min="80" max="80" width="11.5703125" bestFit="1" customWidth="1"/>
    <col min="81" max="82" width="9.28515625" bestFit="1" customWidth="1"/>
    <col min="85" max="88" width="9.140625" customWidth="1"/>
    <col min="89" max="102" width="9.140625" hidden="1" customWidth="1"/>
    <col min="103" max="103" width="3.28515625" style="1" customWidth="1"/>
    <col min="104" max="104" width="16" bestFit="1" customWidth="1"/>
    <col min="109" max="110" width="9.140625" customWidth="1"/>
    <col min="111" max="127" width="9.140625" hidden="1" customWidth="1"/>
    <col min="128" max="128" width="3.28515625" style="1" customWidth="1"/>
    <col min="129" max="129" width="15.5703125" bestFit="1" customWidth="1"/>
    <col min="130" max="130" width="15.85546875" style="31" bestFit="1" customWidth="1"/>
    <col min="136" max="153" width="0" hidden="1" customWidth="1"/>
    <col min="154" max="154" width="3.28515625" style="1" customWidth="1"/>
    <col min="155" max="155" width="9.85546875" bestFit="1" customWidth="1"/>
    <col min="156" max="156" width="29.42578125" bestFit="1" customWidth="1"/>
    <col min="160" max="179" width="0" hidden="1" customWidth="1"/>
    <col min="180" max="180" width="3.28515625" style="1" customWidth="1"/>
  </cols>
  <sheetData>
    <row r="1" spans="1:183" ht="15" customHeight="1" x14ac:dyDescent="0.25">
      <c r="A1" s="4" t="s">
        <v>15</v>
      </c>
      <c r="B1" s="4"/>
      <c r="C1" s="4"/>
      <c r="D1" s="4"/>
      <c r="E1" s="4"/>
      <c r="AA1" s="4" t="s">
        <v>40</v>
      </c>
      <c r="AB1" s="4"/>
      <c r="AC1" s="4"/>
      <c r="AD1" s="4"/>
      <c r="AE1" s="4"/>
      <c r="AF1" s="4"/>
      <c r="BA1" s="4" t="s">
        <v>56</v>
      </c>
      <c r="BB1" s="4"/>
      <c r="BC1" s="4"/>
      <c r="BD1" s="4"/>
      <c r="BE1" s="4"/>
      <c r="BF1" s="4"/>
      <c r="BG1" s="4"/>
      <c r="CA1" s="4" t="s">
        <v>93</v>
      </c>
      <c r="CB1" s="4"/>
      <c r="CC1" s="4"/>
      <c r="CD1" s="4"/>
      <c r="CE1" s="4"/>
      <c r="CF1" s="4"/>
      <c r="CG1" s="101" t="s">
        <v>765</v>
      </c>
      <c r="CH1" s="101"/>
      <c r="CI1" s="101"/>
      <c r="CJ1" s="101"/>
      <c r="CZ1" s="25" t="s">
        <v>763</v>
      </c>
      <c r="DA1" s="25"/>
      <c r="DB1" s="25"/>
      <c r="DC1" s="25"/>
      <c r="DD1" s="25"/>
      <c r="DE1" s="101" t="s">
        <v>765</v>
      </c>
      <c r="DF1" s="101"/>
      <c r="DY1" s="25" t="s">
        <v>119</v>
      </c>
      <c r="DZ1" s="25"/>
      <c r="EA1" s="25"/>
      <c r="EB1" s="25"/>
      <c r="EC1" s="25"/>
      <c r="ED1" s="25"/>
      <c r="EE1" s="25"/>
      <c r="EY1" s="25" t="s">
        <v>123</v>
      </c>
      <c r="EZ1" s="25"/>
      <c r="FA1" s="25"/>
      <c r="FB1" s="25"/>
      <c r="FC1" s="25"/>
      <c r="FY1" s="104" t="s">
        <v>127</v>
      </c>
      <c r="FZ1" s="25" t="s">
        <v>126</v>
      </c>
      <c r="GA1" s="25"/>
    </row>
    <row r="2" spans="1:183" ht="15" customHeight="1" x14ac:dyDescent="0.25">
      <c r="A2" s="6" t="s">
        <v>16</v>
      </c>
      <c r="B2" s="6" t="s">
        <v>12</v>
      </c>
      <c r="C2" s="6" t="s">
        <v>13</v>
      </c>
      <c r="D2" s="7" t="s">
        <v>14</v>
      </c>
      <c r="E2" s="7" t="s">
        <v>19</v>
      </c>
      <c r="AA2" s="6" t="s">
        <v>16</v>
      </c>
      <c r="AB2" s="6" t="s">
        <v>12</v>
      </c>
      <c r="AC2" s="6" t="s">
        <v>13</v>
      </c>
      <c r="AD2" s="7" t="s">
        <v>14</v>
      </c>
      <c r="AE2" s="7" t="s">
        <v>24</v>
      </c>
      <c r="AF2" s="7" t="s">
        <v>19</v>
      </c>
      <c r="BA2" s="6" t="s">
        <v>57</v>
      </c>
      <c r="BB2" s="6" t="s">
        <v>12</v>
      </c>
      <c r="BC2" s="6" t="s">
        <v>13</v>
      </c>
      <c r="BD2" s="7" t="s">
        <v>14</v>
      </c>
      <c r="BE2" s="7" t="s">
        <v>24</v>
      </c>
      <c r="BF2" s="7" t="s">
        <v>42</v>
      </c>
      <c r="BG2" s="7" t="s">
        <v>19</v>
      </c>
      <c r="CA2" s="6" t="s">
        <v>94</v>
      </c>
      <c r="CB2" s="6" t="s">
        <v>12</v>
      </c>
      <c r="CC2" s="6" t="s">
        <v>13</v>
      </c>
      <c r="CD2" s="7" t="s">
        <v>14</v>
      </c>
      <c r="CE2" s="7" t="s">
        <v>24</v>
      </c>
      <c r="CF2" s="7" t="s">
        <v>19</v>
      </c>
      <c r="CG2" s="45" t="s">
        <v>767</v>
      </c>
      <c r="CH2" s="46" t="s">
        <v>768</v>
      </c>
      <c r="CI2" s="46" t="s">
        <v>12</v>
      </c>
      <c r="CJ2" s="46" t="s">
        <v>764</v>
      </c>
      <c r="CZ2" s="26" t="s">
        <v>97</v>
      </c>
      <c r="DA2" s="26" t="s">
        <v>12</v>
      </c>
      <c r="DB2" s="26" t="s">
        <v>13</v>
      </c>
      <c r="DC2" s="26" t="s">
        <v>14</v>
      </c>
      <c r="DD2" s="25" t="s">
        <v>19</v>
      </c>
      <c r="DE2" s="45" t="s">
        <v>12</v>
      </c>
      <c r="DF2" s="46" t="s">
        <v>764</v>
      </c>
      <c r="DY2" s="102"/>
      <c r="DZ2" s="103"/>
      <c r="EA2" s="26" t="s">
        <v>12</v>
      </c>
      <c r="EB2" s="26" t="s">
        <v>13</v>
      </c>
      <c r="EC2" s="26" t="s">
        <v>14</v>
      </c>
      <c r="ED2" s="26" t="s">
        <v>24</v>
      </c>
      <c r="EE2" s="26" t="s">
        <v>42</v>
      </c>
      <c r="EY2" s="102"/>
      <c r="EZ2" s="103"/>
      <c r="FA2" s="32" t="s">
        <v>12</v>
      </c>
      <c r="FB2" s="32" t="s">
        <v>13</v>
      </c>
      <c r="FC2" s="32" t="s">
        <v>14</v>
      </c>
      <c r="FY2" s="104"/>
      <c r="FZ2" s="102"/>
      <c r="GA2" s="103"/>
    </row>
    <row r="3" spans="1:183" x14ac:dyDescent="0.25">
      <c r="A3" s="9" t="str">
        <f>$A$2&amp;"-"&amp;C3&amp;"x"&amp;D3</f>
        <v>L-40x3</v>
      </c>
      <c r="B3" s="8">
        <v>1.85</v>
      </c>
      <c r="C3" s="8">
        <v>40</v>
      </c>
      <c r="D3" s="8">
        <v>3</v>
      </c>
      <c r="E3" s="5">
        <f>4*C3</f>
        <v>160</v>
      </c>
      <c r="AA3" s="5" t="str">
        <f>$AA$2&amp;"-"&amp;AC3&amp;"x"&amp;AD3&amp;"x"&amp;AE3</f>
        <v>L-56x36x4</v>
      </c>
      <c r="AB3" s="8">
        <v>2.81</v>
      </c>
      <c r="AC3" s="8">
        <v>56</v>
      </c>
      <c r="AD3" s="8">
        <v>36</v>
      </c>
      <c r="AE3" s="8" t="s">
        <v>25</v>
      </c>
      <c r="AF3" s="5">
        <f>2*(AC3+AD3)</f>
        <v>184</v>
      </c>
      <c r="BA3" s="2" t="str">
        <f>$BA$2&amp;"-"&amp;BC3&amp;"x"&amp;BD3&amp;IF(BE3="","","x"&amp;BE3&amp;"x"&amp;BF3)</f>
        <v>H-100x55</v>
      </c>
      <c r="BB3" s="19">
        <v>9.4600000000000009</v>
      </c>
      <c r="BC3" s="19">
        <v>100</v>
      </c>
      <c r="BD3" s="19">
        <v>55</v>
      </c>
      <c r="BE3" s="20" t="s">
        <v>43</v>
      </c>
      <c r="BF3" s="20" t="s">
        <v>43</v>
      </c>
      <c r="BG3" s="5">
        <f>4*BD3+2*BC3</f>
        <v>420</v>
      </c>
      <c r="CA3" s="2" t="str">
        <f>$CA$2&amp;"-"&amp;IF(CC3=CD3,CD3&amp;"x"&amp;CE3,CC3&amp;"x"&amp;CD3&amp;"x"&amp;CE3)</f>
        <v>Hộp-12x0.5</v>
      </c>
      <c r="CB3" s="19">
        <v>0.17833333333333334</v>
      </c>
      <c r="CC3" s="19">
        <v>12</v>
      </c>
      <c r="CD3" s="19">
        <v>12</v>
      </c>
      <c r="CE3" s="20" t="s">
        <v>60</v>
      </c>
      <c r="CF3" s="5">
        <f>2*(CC3+CD3)</f>
        <v>48</v>
      </c>
      <c r="CG3" s="5">
        <f>IF(CE3&lt;=6,2,IF(CE3&lt;=10,2.5,3))*CE3</f>
        <v>1.5</v>
      </c>
      <c r="CH3" s="5">
        <f>IF(CE3&lt;=6,1,IF(CE3&lt;=10,1.5,2))*CE3</f>
        <v>1</v>
      </c>
      <c r="CI3" s="5">
        <f>(2*CE3*(CC3+CD3-2*CE3)-(4-PI())*(CG3^2-CH3^2))/1000000*CJ3</f>
        <v>0.17212687791334985</v>
      </c>
      <c r="CJ3" s="2">
        <f>IF(LEFT(CA3,4)="Inox",7930,7850)</f>
        <v>7850</v>
      </c>
      <c r="CK3" s="48"/>
      <c r="CZ3" s="2" t="str">
        <f>$CZ$2&amp;"-"&amp;DB3&amp;"x"&amp;DC3</f>
        <v>Ống-13.8x0.6</v>
      </c>
      <c r="DA3" s="19">
        <v>0.20100000000000001</v>
      </c>
      <c r="DB3" s="19">
        <v>13.8</v>
      </c>
      <c r="DC3" s="19">
        <v>0.6</v>
      </c>
      <c r="DD3" s="21">
        <f>PI()*DB3</f>
        <v>43.353978619539149</v>
      </c>
      <c r="DE3" s="44">
        <f>(PI()*DB3^2/4-PI()*(DB3-2*DC3)^2/4)/1000000*DF3</f>
        <v>0.1953190984589844</v>
      </c>
      <c r="DF3" s="19">
        <f>IF(LEFT(CZ3,4)="Inox",7930,7850)</f>
        <v>7850</v>
      </c>
      <c r="DY3" t="str">
        <f>IF(DZ3=$DZ$3,"C-","Z-")&amp;EB3&amp;"x"&amp;EC3&amp;"x"&amp;ED3&amp;"x"&amp;EE3</f>
        <v>C-60x30x12x1.2</v>
      </c>
      <c r="DZ3" s="15" t="s">
        <v>116</v>
      </c>
      <c r="EA3" s="16">
        <v>1.3560000000000001</v>
      </c>
      <c r="EB3" s="16">
        <v>60</v>
      </c>
      <c r="EC3" s="16">
        <v>30</v>
      </c>
      <c r="ED3" s="15" t="s">
        <v>33</v>
      </c>
      <c r="EE3" s="15" t="s">
        <v>67</v>
      </c>
      <c r="EY3" s="2" t="str">
        <f>"C-"&amp;FB3&amp;"x"&amp;FC3</f>
        <v>C-50x32</v>
      </c>
      <c r="EZ3" s="33" t="s">
        <v>121</v>
      </c>
      <c r="FA3" s="34">
        <v>4.84</v>
      </c>
      <c r="FB3" s="34">
        <v>50</v>
      </c>
      <c r="FC3" s="34">
        <v>32</v>
      </c>
      <c r="FY3" s="5" t="str">
        <f>$FY$1&amp;FZ3</f>
        <v>D3.5</v>
      </c>
      <c r="FZ3" s="5">
        <v>3.5</v>
      </c>
      <c r="GA3" s="5">
        <v>5.1200000000000002E-2</v>
      </c>
    </row>
    <row r="4" spans="1:183" x14ac:dyDescent="0.25">
      <c r="A4" s="9" t="str">
        <f t="shared" ref="A4:A67" si="0">$A$2&amp;"-"&amp;C4&amp;"x"&amp;D4</f>
        <v>L-40x4</v>
      </c>
      <c r="B4" s="8">
        <v>2.42</v>
      </c>
      <c r="C4" s="8">
        <v>40</v>
      </c>
      <c r="D4" s="8">
        <v>4</v>
      </c>
      <c r="E4" s="5">
        <f t="shared" ref="E4:E67" si="1">4*C4</f>
        <v>160</v>
      </c>
      <c r="AA4" s="5" t="str">
        <f t="shared" ref="AA4:AA43" si="2">$AA$2&amp;"-"&amp;AC4&amp;"x"&amp;AD4&amp;"x"&amp;AE4</f>
        <v>L-56x36x5</v>
      </c>
      <c r="AB4" s="17">
        <v>3.46</v>
      </c>
      <c r="AC4" s="17">
        <v>56</v>
      </c>
      <c r="AD4" s="17">
        <v>36</v>
      </c>
      <c r="AE4" s="17" t="s">
        <v>26</v>
      </c>
      <c r="AF4" s="5">
        <f t="shared" ref="AF4:AF43" si="3">2*(AC4+AD4)</f>
        <v>184</v>
      </c>
      <c r="BA4" s="2" t="str">
        <f t="shared" ref="BA4:BA67" si="4">$BA$2&amp;"-"&amp;BC4&amp;"x"&amp;BD4&amp;IF(BE4="","","x"&amp;BE4&amp;"x"&amp;BF4)</f>
        <v>H-120x65</v>
      </c>
      <c r="BB4" s="19">
        <v>11.5</v>
      </c>
      <c r="BC4" s="19">
        <v>120</v>
      </c>
      <c r="BD4" s="19">
        <v>65</v>
      </c>
      <c r="BE4" s="20" t="s">
        <v>43</v>
      </c>
      <c r="BF4" s="20" t="s">
        <v>43</v>
      </c>
      <c r="BG4" s="5">
        <f t="shared" ref="BG4:BG67" si="5">4*BD4+2*BC4</f>
        <v>500</v>
      </c>
      <c r="CA4" s="2" t="str">
        <f t="shared" ref="CA4:CA67" si="6">$CA$2&amp;"-"&amp;IF(CC4=CD4,CD4&amp;"x"&amp;CE4,CC4&amp;"x"&amp;CD4&amp;"x"&amp;CE4)</f>
        <v>Hộp-12x0.6</v>
      </c>
      <c r="CB4" s="19">
        <v>0.21333333333333335</v>
      </c>
      <c r="CC4" s="19">
        <v>12</v>
      </c>
      <c r="CD4" s="19">
        <v>12</v>
      </c>
      <c r="CE4" s="20" t="s">
        <v>61</v>
      </c>
      <c r="CF4" s="5">
        <f t="shared" ref="CF4:CF67" si="7">2*(CC4+CD4)</f>
        <v>48</v>
      </c>
      <c r="CG4" s="5">
        <f t="shared" ref="CG4:CG67" si="8">IF(CE4&lt;=6,2,IF(CE4&lt;=10,2.5,3))*CE4</f>
        <v>1.7999999999999998</v>
      </c>
      <c r="CH4" s="5">
        <f t="shared" ref="CH4:CH67" si="9">IF(CE4&lt;=6,1,IF(CE4&lt;=10,1.5,2))*CE4</f>
        <v>1.2</v>
      </c>
      <c r="CI4" s="5">
        <f t="shared" ref="CI4:CI67" si="10">(2*CE4*(CC4+CD4-2*CE4)-(4-PI())*(CG4^2-CH4^2))/1000000*CJ4</f>
        <v>0.20264670419522376</v>
      </c>
      <c r="CJ4" s="2">
        <f t="shared" ref="CJ4:CJ67" si="11">IF(LEFT(CA4,4)="Inox",7930,7850)</f>
        <v>7850</v>
      </c>
      <c r="CK4" s="48"/>
      <c r="CZ4" s="2" t="str">
        <f t="shared" ref="CZ4:CZ67" si="12">$CZ$2&amp;"-"&amp;DB4&amp;"x"&amp;DC4</f>
        <v>Ống-13.8x0.7</v>
      </c>
      <c r="DA4" s="19">
        <v>0.23400000000000001</v>
      </c>
      <c r="DB4" s="19">
        <v>13.8</v>
      </c>
      <c r="DC4" s="19">
        <v>0.7</v>
      </c>
      <c r="DD4" s="21">
        <f t="shared" ref="DD4:DD67" si="13">PI()*DB4</f>
        <v>43.353978619539149</v>
      </c>
      <c r="DE4" s="44">
        <f t="shared" ref="DE4:DE67" si="14">(PI()*DB4^2/4-PI()*(DB4-2*DC4)^2/4)/1000000*DF4</f>
        <v>0.22614597637233438</v>
      </c>
      <c r="DF4" s="19">
        <f t="shared" ref="DF4:DF67" si="15">IF(LEFT(CZ4,4)="Inox",7930,7850)</f>
        <v>7850</v>
      </c>
      <c r="DY4" t="str">
        <f t="shared" ref="DY4:DY67" si="16">IF(DZ4=$DZ$3,"C-","Z-")&amp;EB4&amp;"x"&amp;EC4&amp;"x"&amp;ED4&amp;"x"&amp;EE4</f>
        <v>C-60x30x12x1.5</v>
      </c>
      <c r="DZ4" s="15" t="s">
        <v>116</v>
      </c>
      <c r="EA4" s="16">
        <v>1.696</v>
      </c>
      <c r="EB4" s="16">
        <v>60</v>
      </c>
      <c r="EC4" s="16">
        <v>30</v>
      </c>
      <c r="ED4" s="15" t="s">
        <v>33</v>
      </c>
      <c r="EE4" s="15" t="s">
        <v>69</v>
      </c>
      <c r="EY4" s="2" t="str">
        <f t="shared" ref="EY4:EY46" si="17">"C-"&amp;FB4&amp;"x"&amp;FC4</f>
        <v>C-65x36</v>
      </c>
      <c r="EZ4" s="33" t="s">
        <v>121</v>
      </c>
      <c r="FA4" s="34">
        <v>5.9</v>
      </c>
      <c r="FB4" s="34">
        <v>65</v>
      </c>
      <c r="FC4" s="34">
        <v>36</v>
      </c>
      <c r="FY4" s="5" t="str">
        <f t="shared" ref="FY4:FY25" si="18">$FY$1&amp;FZ4</f>
        <v>D3.8</v>
      </c>
      <c r="FZ4" s="5">
        <v>3.8</v>
      </c>
      <c r="GA4" s="5">
        <v>5.8000000000000003E-2</v>
      </c>
    </row>
    <row r="5" spans="1:183" x14ac:dyDescent="0.25">
      <c r="A5" s="9" t="str">
        <f t="shared" si="0"/>
        <v>L-40x5</v>
      </c>
      <c r="B5" s="8">
        <v>2.97</v>
      </c>
      <c r="C5" s="8">
        <v>40</v>
      </c>
      <c r="D5" s="8">
        <v>5</v>
      </c>
      <c r="E5" s="5">
        <f t="shared" si="1"/>
        <v>160</v>
      </c>
      <c r="AA5" s="5" t="str">
        <f t="shared" si="2"/>
        <v>L-63x40x4</v>
      </c>
      <c r="AB5" s="18">
        <v>3.17</v>
      </c>
      <c r="AC5" s="18">
        <v>63</v>
      </c>
      <c r="AD5" s="18">
        <v>40</v>
      </c>
      <c r="AE5" s="18" t="s">
        <v>25</v>
      </c>
      <c r="AF5" s="5">
        <f t="shared" si="3"/>
        <v>206</v>
      </c>
      <c r="BA5" s="2" t="str">
        <f t="shared" si="4"/>
        <v>H-140x73</v>
      </c>
      <c r="BB5" s="19">
        <v>13.7</v>
      </c>
      <c r="BC5" s="19">
        <v>140</v>
      </c>
      <c r="BD5" s="19">
        <v>73</v>
      </c>
      <c r="BE5" s="20" t="s">
        <v>43</v>
      </c>
      <c r="BF5" s="20" t="s">
        <v>43</v>
      </c>
      <c r="BG5" s="5">
        <f t="shared" si="5"/>
        <v>572</v>
      </c>
      <c r="CA5" s="2" t="str">
        <f t="shared" si="6"/>
        <v>Hộp-12x0.7</v>
      </c>
      <c r="CB5" s="19">
        <v>0.245</v>
      </c>
      <c r="CC5" s="19">
        <v>12</v>
      </c>
      <c r="CD5" s="19">
        <v>12</v>
      </c>
      <c r="CE5" s="20" t="s">
        <v>62</v>
      </c>
      <c r="CF5" s="5">
        <f t="shared" si="7"/>
        <v>48</v>
      </c>
      <c r="CG5" s="5">
        <f t="shared" si="8"/>
        <v>2.0999999999999996</v>
      </c>
      <c r="CH5" s="5">
        <f t="shared" si="9"/>
        <v>1.4</v>
      </c>
      <c r="CI5" s="5">
        <f t="shared" si="10"/>
        <v>0.23186468071016572</v>
      </c>
      <c r="CJ5" s="2">
        <f t="shared" si="11"/>
        <v>7850</v>
      </c>
      <c r="CK5" s="48"/>
      <c r="CZ5" s="2" t="str">
        <f t="shared" si="12"/>
        <v>Ống-13.8x0.8</v>
      </c>
      <c r="DA5" s="19">
        <v>0.26700000000000002</v>
      </c>
      <c r="DB5" s="19">
        <v>13.8</v>
      </c>
      <c r="DC5" s="19">
        <v>0.8</v>
      </c>
      <c r="DD5" s="21">
        <f t="shared" si="13"/>
        <v>43.353978619539149</v>
      </c>
      <c r="DE5" s="44">
        <f t="shared" si="14"/>
        <v>0.25647962423907061</v>
      </c>
      <c r="DF5" s="19">
        <f t="shared" si="15"/>
        <v>7850</v>
      </c>
      <c r="DY5" t="str">
        <f t="shared" si="16"/>
        <v>C-60x30x12x1.8</v>
      </c>
      <c r="DZ5" s="15" t="s">
        <v>116</v>
      </c>
      <c r="EA5" s="16">
        <v>2.0350000000000001</v>
      </c>
      <c r="EB5" s="16">
        <v>60</v>
      </c>
      <c r="EC5" s="16">
        <v>30</v>
      </c>
      <c r="ED5" s="15" t="s">
        <v>33</v>
      </c>
      <c r="EE5" s="15" t="s">
        <v>72</v>
      </c>
      <c r="EY5" s="2" t="str">
        <f t="shared" si="17"/>
        <v>C-80x40</v>
      </c>
      <c r="EZ5" s="33" t="s">
        <v>121</v>
      </c>
      <c r="FA5" s="34">
        <v>7.05</v>
      </c>
      <c r="FB5" s="34">
        <v>80</v>
      </c>
      <c r="FC5" s="34">
        <v>40</v>
      </c>
      <c r="FY5" s="5" t="str">
        <f t="shared" si="18"/>
        <v>D4.2</v>
      </c>
      <c r="FZ5" s="5">
        <v>4.2</v>
      </c>
      <c r="GA5" s="5">
        <v>7.1999999999999995E-2</v>
      </c>
    </row>
    <row r="6" spans="1:183" x14ac:dyDescent="0.25">
      <c r="A6" s="9" t="str">
        <f t="shared" si="0"/>
        <v>L-45x3</v>
      </c>
      <c r="B6" s="8">
        <v>2.08</v>
      </c>
      <c r="C6" s="8">
        <v>45</v>
      </c>
      <c r="D6" s="8">
        <v>3</v>
      </c>
      <c r="E6" s="5">
        <f t="shared" si="1"/>
        <v>180</v>
      </c>
      <c r="AA6" s="5" t="str">
        <f t="shared" si="2"/>
        <v>L-63x40x5</v>
      </c>
      <c r="AB6" s="18">
        <v>3.91</v>
      </c>
      <c r="AC6" s="18">
        <v>63</v>
      </c>
      <c r="AD6" s="18">
        <v>40</v>
      </c>
      <c r="AE6" s="18" t="s">
        <v>26</v>
      </c>
      <c r="AF6" s="5">
        <f t="shared" si="3"/>
        <v>206</v>
      </c>
      <c r="BA6" s="2" t="str">
        <f t="shared" si="4"/>
        <v>H-160x81</v>
      </c>
      <c r="BB6" s="19">
        <v>15.9</v>
      </c>
      <c r="BC6" s="19">
        <v>160</v>
      </c>
      <c r="BD6" s="19">
        <v>81</v>
      </c>
      <c r="BE6" s="20" t="s">
        <v>43</v>
      </c>
      <c r="BF6" s="20" t="s">
        <v>43</v>
      </c>
      <c r="BG6" s="5">
        <f t="shared" si="5"/>
        <v>644</v>
      </c>
      <c r="CA6" s="2" t="str">
        <f t="shared" si="6"/>
        <v>Hộp-12x0.8</v>
      </c>
      <c r="CB6" s="19">
        <v>0.27666666666666667</v>
      </c>
      <c r="CC6" s="19">
        <v>12</v>
      </c>
      <c r="CD6" s="19">
        <v>12</v>
      </c>
      <c r="CE6" s="20" t="s">
        <v>63</v>
      </c>
      <c r="CF6" s="5">
        <f t="shared" si="7"/>
        <v>48</v>
      </c>
      <c r="CG6" s="5">
        <f t="shared" si="8"/>
        <v>2.4000000000000004</v>
      </c>
      <c r="CH6" s="5">
        <f t="shared" si="9"/>
        <v>1.6</v>
      </c>
      <c r="CI6" s="5">
        <f t="shared" si="10"/>
        <v>0.25978080745817556</v>
      </c>
      <c r="CJ6" s="2">
        <f t="shared" si="11"/>
        <v>7850</v>
      </c>
      <c r="CK6" s="48"/>
      <c r="CZ6" s="2" t="str">
        <f t="shared" si="12"/>
        <v>Ống-13.8x0.9</v>
      </c>
      <c r="DA6" s="19">
        <v>0.3</v>
      </c>
      <c r="DB6" s="19">
        <v>13.8</v>
      </c>
      <c r="DC6" s="19">
        <v>0.9</v>
      </c>
      <c r="DD6" s="21">
        <f t="shared" si="13"/>
        <v>43.353978619539149</v>
      </c>
      <c r="DE6" s="44">
        <f t="shared" si="14"/>
        <v>0.28632004205919342</v>
      </c>
      <c r="DF6" s="19">
        <f t="shared" si="15"/>
        <v>7850</v>
      </c>
      <c r="DY6" t="str">
        <f t="shared" si="16"/>
        <v>C-60x30x12x2</v>
      </c>
      <c r="DZ6" s="15" t="s">
        <v>116</v>
      </c>
      <c r="EA6" s="16">
        <v>2.2610000000000001</v>
      </c>
      <c r="EB6" s="16">
        <v>60</v>
      </c>
      <c r="EC6" s="16">
        <v>30</v>
      </c>
      <c r="ED6" s="15" t="s">
        <v>33</v>
      </c>
      <c r="EE6" s="15" t="s">
        <v>74</v>
      </c>
      <c r="EY6" s="2" t="str">
        <f t="shared" si="17"/>
        <v>C-100x46</v>
      </c>
      <c r="EZ6" s="33" t="s">
        <v>121</v>
      </c>
      <c r="FA6" s="34">
        <v>8.59</v>
      </c>
      <c r="FB6" s="34">
        <v>100</v>
      </c>
      <c r="FC6" s="34">
        <v>46</v>
      </c>
      <c r="FY6" s="5" t="str">
        <f t="shared" si="18"/>
        <v>D4.6</v>
      </c>
      <c r="FZ6" s="5">
        <v>4.5999999999999996</v>
      </c>
      <c r="GA6" s="5">
        <v>0.09</v>
      </c>
    </row>
    <row r="7" spans="1:183" x14ac:dyDescent="0.25">
      <c r="A7" s="9" t="str">
        <f t="shared" si="0"/>
        <v>L-45x4</v>
      </c>
      <c r="B7" s="8">
        <v>2.73</v>
      </c>
      <c r="C7" s="8">
        <v>45</v>
      </c>
      <c r="D7" s="8">
        <v>4</v>
      </c>
      <c r="E7" s="5">
        <f t="shared" si="1"/>
        <v>180</v>
      </c>
      <c r="AA7" s="5" t="str">
        <f t="shared" si="2"/>
        <v>L-63x40x6</v>
      </c>
      <c r="AB7" s="18">
        <v>4.63</v>
      </c>
      <c r="AC7" s="18">
        <v>63</v>
      </c>
      <c r="AD7" s="18">
        <v>40</v>
      </c>
      <c r="AE7" s="18" t="s">
        <v>27</v>
      </c>
      <c r="AF7" s="5">
        <f t="shared" si="3"/>
        <v>206</v>
      </c>
      <c r="BA7" s="2" t="str">
        <f t="shared" si="4"/>
        <v>H-180x90</v>
      </c>
      <c r="BB7" s="19">
        <v>18.399999999999999</v>
      </c>
      <c r="BC7" s="19">
        <v>180</v>
      </c>
      <c r="BD7" s="19">
        <v>90</v>
      </c>
      <c r="BE7" s="20" t="s">
        <v>43</v>
      </c>
      <c r="BF7" s="20" t="s">
        <v>43</v>
      </c>
      <c r="BG7" s="5">
        <f t="shared" si="5"/>
        <v>720</v>
      </c>
      <c r="CA7" s="2" t="str">
        <f t="shared" si="6"/>
        <v>Hộp-12x0.9</v>
      </c>
      <c r="CB7" s="19">
        <v>0.30833333333333335</v>
      </c>
      <c r="CC7" s="19">
        <v>12</v>
      </c>
      <c r="CD7" s="19">
        <v>12</v>
      </c>
      <c r="CE7" s="20" t="s">
        <v>64</v>
      </c>
      <c r="CF7" s="5">
        <f t="shared" si="7"/>
        <v>48</v>
      </c>
      <c r="CG7" s="5">
        <f t="shared" si="8"/>
        <v>2.7</v>
      </c>
      <c r="CH7" s="5">
        <f t="shared" si="9"/>
        <v>1.8</v>
      </c>
      <c r="CI7" s="5">
        <f t="shared" si="10"/>
        <v>0.28639508443925349</v>
      </c>
      <c r="CJ7" s="2">
        <f t="shared" si="11"/>
        <v>7850</v>
      </c>
      <c r="CK7" s="48"/>
      <c r="CZ7" s="2" t="str">
        <f t="shared" si="12"/>
        <v>Ống-13.8x1</v>
      </c>
      <c r="DA7" s="19">
        <v>0.33200000000000002</v>
      </c>
      <c r="DB7" s="19">
        <v>13.8</v>
      </c>
      <c r="DC7" s="19">
        <v>1</v>
      </c>
      <c r="DD7" s="21">
        <f t="shared" si="13"/>
        <v>43.353978619539149</v>
      </c>
      <c r="DE7" s="44">
        <f t="shared" si="14"/>
        <v>0.3156672298327024</v>
      </c>
      <c r="DF7" s="19">
        <f t="shared" si="15"/>
        <v>7850</v>
      </c>
      <c r="DY7" t="str">
        <f t="shared" si="16"/>
        <v>C-60x30x12x2.5</v>
      </c>
      <c r="DZ7" s="15" t="s">
        <v>116</v>
      </c>
      <c r="EA7" s="16">
        <v>2.8260000000000001</v>
      </c>
      <c r="EB7" s="16">
        <v>60</v>
      </c>
      <c r="EC7" s="16">
        <v>30</v>
      </c>
      <c r="ED7" s="15" t="s">
        <v>33</v>
      </c>
      <c r="EE7" s="15" t="s">
        <v>79</v>
      </c>
      <c r="EY7" s="2" t="str">
        <f t="shared" si="17"/>
        <v>C-120x52</v>
      </c>
      <c r="EZ7" s="33" t="s">
        <v>121</v>
      </c>
      <c r="FA7" s="34">
        <v>10.4</v>
      </c>
      <c r="FB7" s="34">
        <v>120</v>
      </c>
      <c r="FC7" s="34">
        <v>52</v>
      </c>
      <c r="FY7" s="5" t="str">
        <f t="shared" si="18"/>
        <v>D5.6</v>
      </c>
      <c r="FZ7" s="5">
        <v>5.6</v>
      </c>
      <c r="GA7" s="5">
        <v>0.129</v>
      </c>
    </row>
    <row r="8" spans="1:183" x14ac:dyDescent="0.25">
      <c r="A8" s="9" t="str">
        <f t="shared" si="0"/>
        <v>L-45x5</v>
      </c>
      <c r="B8" s="8">
        <v>3.37</v>
      </c>
      <c r="C8" s="8">
        <v>45</v>
      </c>
      <c r="D8" s="8">
        <v>5</v>
      </c>
      <c r="E8" s="5">
        <f t="shared" si="1"/>
        <v>180</v>
      </c>
      <c r="AA8" s="5" t="str">
        <f t="shared" si="2"/>
        <v>L-63x40x8</v>
      </c>
      <c r="AB8" s="18">
        <v>6.03</v>
      </c>
      <c r="AC8" s="18">
        <v>63</v>
      </c>
      <c r="AD8" s="18">
        <v>40</v>
      </c>
      <c r="AE8" s="18" t="s">
        <v>28</v>
      </c>
      <c r="AF8" s="5">
        <f t="shared" si="3"/>
        <v>206</v>
      </c>
      <c r="BA8" s="2" t="str">
        <f t="shared" si="4"/>
        <v>H-180x100</v>
      </c>
      <c r="BB8" s="19">
        <v>19.899999999999999</v>
      </c>
      <c r="BC8" s="19">
        <v>180</v>
      </c>
      <c r="BD8" s="19">
        <v>100</v>
      </c>
      <c r="BE8" s="20" t="s">
        <v>43</v>
      </c>
      <c r="BF8" s="20" t="s">
        <v>43</v>
      </c>
      <c r="BG8" s="5">
        <f t="shared" si="5"/>
        <v>760</v>
      </c>
      <c r="CA8" s="2" t="str">
        <f t="shared" si="6"/>
        <v>Hộp-12x1</v>
      </c>
      <c r="CB8" s="19">
        <v>0.33833333333333332</v>
      </c>
      <c r="CC8" s="19">
        <v>12</v>
      </c>
      <c r="CD8" s="19">
        <v>12</v>
      </c>
      <c r="CE8" s="20" t="s">
        <v>65</v>
      </c>
      <c r="CF8" s="5">
        <f t="shared" si="7"/>
        <v>48</v>
      </c>
      <c r="CG8" s="5">
        <f t="shared" si="8"/>
        <v>3</v>
      </c>
      <c r="CH8" s="5">
        <f t="shared" si="9"/>
        <v>2</v>
      </c>
      <c r="CI8" s="5">
        <f t="shared" si="10"/>
        <v>0.31170751165339944</v>
      </c>
      <c r="CJ8" s="2">
        <f t="shared" si="11"/>
        <v>7850</v>
      </c>
      <c r="CK8" s="48"/>
      <c r="CZ8" s="2" t="str">
        <f t="shared" si="12"/>
        <v>Ống-13.8x1.1</v>
      </c>
      <c r="DA8" s="19">
        <v>0.36499999999999999</v>
      </c>
      <c r="DB8" s="19">
        <v>13.8</v>
      </c>
      <c r="DC8" s="19">
        <v>1.1000000000000001</v>
      </c>
      <c r="DD8" s="21">
        <f t="shared" si="13"/>
        <v>43.353978619539149</v>
      </c>
      <c r="DE8" s="44">
        <f t="shared" si="14"/>
        <v>0.34452118755959776</v>
      </c>
      <c r="DF8" s="19">
        <f t="shared" si="15"/>
        <v>7850</v>
      </c>
      <c r="DY8" t="str">
        <f t="shared" si="16"/>
        <v>C-60x30x12x2.8</v>
      </c>
      <c r="DZ8" s="15" t="s">
        <v>116</v>
      </c>
      <c r="EA8" s="16">
        <v>3.165</v>
      </c>
      <c r="EB8" s="16">
        <v>60</v>
      </c>
      <c r="EC8" s="16">
        <v>30</v>
      </c>
      <c r="ED8" s="15" t="s">
        <v>33</v>
      </c>
      <c r="EE8" s="15" t="s">
        <v>81</v>
      </c>
      <c r="EY8" s="2" t="str">
        <f t="shared" si="17"/>
        <v>C-140x58</v>
      </c>
      <c r="EZ8" s="33" t="s">
        <v>121</v>
      </c>
      <c r="FA8" s="34">
        <v>12.3</v>
      </c>
      <c r="FB8" s="34">
        <v>140</v>
      </c>
      <c r="FC8" s="34">
        <v>58</v>
      </c>
      <c r="FY8" s="5" t="str">
        <f t="shared" si="18"/>
        <v>D6.4</v>
      </c>
      <c r="FZ8" s="5">
        <v>6.4</v>
      </c>
      <c r="GA8" s="5">
        <v>0.17499999999999999</v>
      </c>
    </row>
    <row r="9" spans="1:183" x14ac:dyDescent="0.25">
      <c r="A9" s="9" t="str">
        <f t="shared" si="0"/>
        <v>L-50x3</v>
      </c>
      <c r="B9" s="8">
        <v>2.3199999999999998</v>
      </c>
      <c r="C9" s="8">
        <v>50</v>
      </c>
      <c r="D9" s="8">
        <v>3</v>
      </c>
      <c r="E9" s="5">
        <f t="shared" si="1"/>
        <v>200</v>
      </c>
      <c r="AA9" s="5" t="str">
        <f t="shared" si="2"/>
        <v>L-70x45x5</v>
      </c>
      <c r="AB9" s="18">
        <v>4.3899999999999997</v>
      </c>
      <c r="AC9" s="18">
        <v>70</v>
      </c>
      <c r="AD9" s="18">
        <v>45</v>
      </c>
      <c r="AE9" s="18" t="s">
        <v>26</v>
      </c>
      <c r="AF9" s="5">
        <f t="shared" si="3"/>
        <v>230</v>
      </c>
      <c r="BA9" s="2" t="str">
        <f t="shared" si="4"/>
        <v>H-200x100</v>
      </c>
      <c r="BB9" s="19">
        <v>21</v>
      </c>
      <c r="BC9" s="19">
        <v>200</v>
      </c>
      <c r="BD9" s="19">
        <v>100</v>
      </c>
      <c r="BE9" s="20" t="s">
        <v>43</v>
      </c>
      <c r="BF9" s="20" t="s">
        <v>43</v>
      </c>
      <c r="BG9" s="5">
        <f t="shared" si="5"/>
        <v>800</v>
      </c>
      <c r="CA9" s="2" t="str">
        <f t="shared" si="6"/>
        <v>Hộp-12x1.1</v>
      </c>
      <c r="CB9" s="19">
        <v>0.36833333333333335</v>
      </c>
      <c r="CC9" s="19">
        <v>12</v>
      </c>
      <c r="CD9" s="19">
        <v>12</v>
      </c>
      <c r="CE9" s="20" t="s">
        <v>66</v>
      </c>
      <c r="CF9" s="5">
        <f t="shared" si="7"/>
        <v>48</v>
      </c>
      <c r="CG9" s="5">
        <f t="shared" si="8"/>
        <v>3.3000000000000003</v>
      </c>
      <c r="CH9" s="5">
        <f t="shared" si="9"/>
        <v>2.2000000000000002</v>
      </c>
      <c r="CI9" s="5">
        <f t="shared" si="10"/>
        <v>0.33571808910061329</v>
      </c>
      <c r="CJ9" s="2">
        <f t="shared" si="11"/>
        <v>7850</v>
      </c>
      <c r="CK9" s="48"/>
      <c r="CZ9" s="2" t="str">
        <f t="shared" si="12"/>
        <v>Ống-13.8x1.2</v>
      </c>
      <c r="DA9" s="19">
        <v>0.39700000000000002</v>
      </c>
      <c r="DB9" s="19">
        <v>13.8</v>
      </c>
      <c r="DC9" s="19">
        <v>1.2</v>
      </c>
      <c r="DD9" s="21">
        <f t="shared" si="13"/>
        <v>43.353978619539149</v>
      </c>
      <c r="DE9" s="44">
        <f t="shared" si="14"/>
        <v>0.37288191523987974</v>
      </c>
      <c r="DF9" s="19">
        <f t="shared" si="15"/>
        <v>7850</v>
      </c>
      <c r="DY9" t="str">
        <f t="shared" si="16"/>
        <v>C-60x30x12x3</v>
      </c>
      <c r="DZ9" s="15" t="s">
        <v>116</v>
      </c>
      <c r="EA9" s="16">
        <v>3.391</v>
      </c>
      <c r="EB9" s="16">
        <v>60</v>
      </c>
      <c r="EC9" s="16">
        <v>30</v>
      </c>
      <c r="ED9" s="15" t="s">
        <v>33</v>
      </c>
      <c r="EE9" s="15" t="s">
        <v>83</v>
      </c>
      <c r="EY9" s="2" t="str">
        <f t="shared" si="17"/>
        <v>C-140x62</v>
      </c>
      <c r="EZ9" s="33" t="s">
        <v>121</v>
      </c>
      <c r="FA9" s="34">
        <v>13.3</v>
      </c>
      <c r="FB9" s="34">
        <v>140</v>
      </c>
      <c r="FC9" s="34">
        <v>62</v>
      </c>
      <c r="FY9" s="5" t="str">
        <f t="shared" si="18"/>
        <v>D7.4</v>
      </c>
      <c r="FZ9" s="5">
        <v>7.4</v>
      </c>
      <c r="GA9" s="5">
        <v>0.22800000000000001</v>
      </c>
    </row>
    <row r="10" spans="1:183" x14ac:dyDescent="0.25">
      <c r="A10" s="9" t="str">
        <f t="shared" si="0"/>
        <v>L-50x4</v>
      </c>
      <c r="B10" s="8">
        <v>3.05</v>
      </c>
      <c r="C10" s="8">
        <v>50</v>
      </c>
      <c r="D10" s="8">
        <v>4</v>
      </c>
      <c r="E10" s="5">
        <f t="shared" si="1"/>
        <v>200</v>
      </c>
      <c r="AA10" s="5" t="str">
        <f t="shared" si="2"/>
        <v>L-75x50x5</v>
      </c>
      <c r="AB10" s="18">
        <v>4.79</v>
      </c>
      <c r="AC10" s="18">
        <v>75</v>
      </c>
      <c r="AD10" s="18">
        <v>50</v>
      </c>
      <c r="AE10" s="18" t="s">
        <v>26</v>
      </c>
      <c r="AF10" s="5">
        <f t="shared" si="3"/>
        <v>250</v>
      </c>
      <c r="BA10" s="2" t="str">
        <f t="shared" si="4"/>
        <v>H-200x110</v>
      </c>
      <c r="BB10" s="19">
        <v>22.7</v>
      </c>
      <c r="BC10" s="19">
        <v>200</v>
      </c>
      <c r="BD10" s="19">
        <v>110</v>
      </c>
      <c r="BE10" s="20" t="s">
        <v>43</v>
      </c>
      <c r="BF10" s="20" t="s">
        <v>43</v>
      </c>
      <c r="BG10" s="5">
        <f t="shared" si="5"/>
        <v>840</v>
      </c>
      <c r="CA10" s="2" t="str">
        <f t="shared" si="6"/>
        <v>Hộp-12x1.2</v>
      </c>
      <c r="CB10" s="19">
        <v>0.39833333333333337</v>
      </c>
      <c r="CC10" s="19">
        <v>12</v>
      </c>
      <c r="CD10" s="19">
        <v>12</v>
      </c>
      <c r="CE10" s="20" t="s">
        <v>67</v>
      </c>
      <c r="CF10" s="5">
        <f t="shared" si="7"/>
        <v>48</v>
      </c>
      <c r="CG10" s="5">
        <f t="shared" si="8"/>
        <v>3.5999999999999996</v>
      </c>
      <c r="CH10" s="5">
        <f t="shared" si="9"/>
        <v>2.4</v>
      </c>
      <c r="CI10" s="5">
        <f t="shared" si="10"/>
        <v>0.35842681678089516</v>
      </c>
      <c r="CJ10" s="2">
        <f t="shared" si="11"/>
        <v>7850</v>
      </c>
      <c r="CK10" s="48"/>
      <c r="CZ10" s="2" t="str">
        <f t="shared" si="12"/>
        <v>Ống-15.9x0.6</v>
      </c>
      <c r="DA10" s="19">
        <v>0.23200000000000001</v>
      </c>
      <c r="DB10" s="19">
        <v>15.9</v>
      </c>
      <c r="DC10" s="19">
        <v>0.6</v>
      </c>
      <c r="DD10" s="21">
        <f t="shared" si="13"/>
        <v>49.951323192077709</v>
      </c>
      <c r="DE10" s="44">
        <f t="shared" si="14"/>
        <v>0.22639259139564097</v>
      </c>
      <c r="DF10" s="19">
        <f t="shared" si="15"/>
        <v>7850</v>
      </c>
      <c r="DY10" t="str">
        <f t="shared" si="16"/>
        <v>C-60x30x12x3.5</v>
      </c>
      <c r="DZ10" s="15" t="s">
        <v>116</v>
      </c>
      <c r="EA10" s="16">
        <v>3.956</v>
      </c>
      <c r="EB10" s="16">
        <v>60</v>
      </c>
      <c r="EC10" s="16">
        <v>30</v>
      </c>
      <c r="ED10" s="15" t="s">
        <v>33</v>
      </c>
      <c r="EE10" s="15" t="s">
        <v>88</v>
      </c>
      <c r="EY10" s="2" t="str">
        <f t="shared" si="17"/>
        <v>C-160x64</v>
      </c>
      <c r="EZ10" s="33" t="s">
        <v>121</v>
      </c>
      <c r="FA10" s="34">
        <v>14.2</v>
      </c>
      <c r="FB10" s="34">
        <v>160</v>
      </c>
      <c r="FC10" s="34">
        <v>64</v>
      </c>
      <c r="FY10" s="5" t="str">
        <f t="shared" si="18"/>
        <v>D8.2</v>
      </c>
      <c r="FZ10" s="5">
        <v>8.1999999999999993</v>
      </c>
      <c r="GA10" s="5">
        <v>0.28799999999999998</v>
      </c>
    </row>
    <row r="11" spans="1:183" x14ac:dyDescent="0.25">
      <c r="A11" s="9" t="str">
        <f t="shared" si="0"/>
        <v>L-50x5</v>
      </c>
      <c r="B11" s="8">
        <v>3.77</v>
      </c>
      <c r="C11" s="8">
        <v>50</v>
      </c>
      <c r="D11" s="8">
        <v>5</v>
      </c>
      <c r="E11" s="5">
        <f t="shared" si="1"/>
        <v>200</v>
      </c>
      <c r="AA11" s="5" t="str">
        <f t="shared" si="2"/>
        <v>L-75x50x6</v>
      </c>
      <c r="AB11" s="18">
        <v>5.69</v>
      </c>
      <c r="AC11" s="18">
        <v>75</v>
      </c>
      <c r="AD11" s="18">
        <v>50</v>
      </c>
      <c r="AE11" s="18" t="s">
        <v>27</v>
      </c>
      <c r="AF11" s="5">
        <f t="shared" si="3"/>
        <v>250</v>
      </c>
      <c r="BA11" s="2" t="str">
        <f t="shared" si="4"/>
        <v>H-220x110</v>
      </c>
      <c r="BB11" s="19">
        <v>24</v>
      </c>
      <c r="BC11" s="19">
        <v>220</v>
      </c>
      <c r="BD11" s="19">
        <v>110</v>
      </c>
      <c r="BE11" s="20" t="s">
        <v>43</v>
      </c>
      <c r="BF11" s="20" t="s">
        <v>43</v>
      </c>
      <c r="BG11" s="5">
        <f t="shared" si="5"/>
        <v>880</v>
      </c>
      <c r="CA11" s="2" t="str">
        <f t="shared" si="6"/>
        <v>Hộp-14x0.5</v>
      </c>
      <c r="CB11" s="19">
        <v>0.21</v>
      </c>
      <c r="CC11" s="19">
        <v>14</v>
      </c>
      <c r="CD11" s="19">
        <v>14</v>
      </c>
      <c r="CE11" s="20" t="s">
        <v>60</v>
      </c>
      <c r="CF11" s="5">
        <f t="shared" si="7"/>
        <v>56</v>
      </c>
      <c r="CG11" s="5">
        <f t="shared" si="8"/>
        <v>1.5</v>
      </c>
      <c r="CH11" s="5">
        <f t="shared" si="9"/>
        <v>1</v>
      </c>
      <c r="CI11" s="5">
        <f t="shared" si="10"/>
        <v>0.20352687791334986</v>
      </c>
      <c r="CJ11" s="2">
        <f t="shared" si="11"/>
        <v>7850</v>
      </c>
      <c r="CK11" s="48"/>
      <c r="CZ11" s="2" t="str">
        <f t="shared" si="12"/>
        <v>Ống-15.9x0.7</v>
      </c>
      <c r="DA11" s="19">
        <v>0.27100000000000002</v>
      </c>
      <c r="DB11" s="19">
        <v>15.9</v>
      </c>
      <c r="DC11" s="19">
        <v>0.7</v>
      </c>
      <c r="DD11" s="21">
        <f t="shared" si="13"/>
        <v>49.951323192077709</v>
      </c>
      <c r="DE11" s="44">
        <f t="shared" si="14"/>
        <v>0.26239838479843386</v>
      </c>
      <c r="DF11" s="19">
        <f t="shared" si="15"/>
        <v>7850</v>
      </c>
      <c r="DY11" t="str">
        <f t="shared" si="16"/>
        <v>C-60x30x12x4</v>
      </c>
      <c r="DZ11" s="15" t="s">
        <v>116</v>
      </c>
      <c r="EA11" s="16">
        <v>4.5220000000000002</v>
      </c>
      <c r="EB11" s="16">
        <v>60</v>
      </c>
      <c r="EC11" s="16">
        <v>30</v>
      </c>
      <c r="ED11" s="15" t="s">
        <v>33</v>
      </c>
      <c r="EE11" s="15" t="s">
        <v>25</v>
      </c>
      <c r="EY11" s="2" t="str">
        <f t="shared" si="17"/>
        <v>C-160x58</v>
      </c>
      <c r="EZ11" s="33" t="s">
        <v>121</v>
      </c>
      <c r="FA11" s="34">
        <v>15.3</v>
      </c>
      <c r="FB11" s="34">
        <v>160</v>
      </c>
      <c r="FC11" s="34">
        <v>58</v>
      </c>
      <c r="FY11" s="5" t="str">
        <f t="shared" si="18"/>
        <v>D9.2</v>
      </c>
      <c r="FZ11" s="5">
        <v>9.1999999999999993</v>
      </c>
      <c r="GA11" s="5">
        <v>0.36</v>
      </c>
    </row>
    <row r="12" spans="1:183" x14ac:dyDescent="0.25">
      <c r="A12" s="9" t="str">
        <f t="shared" si="0"/>
        <v>L-56x4</v>
      </c>
      <c r="B12" s="8">
        <v>3.44</v>
      </c>
      <c r="C12" s="8">
        <v>56</v>
      </c>
      <c r="D12" s="8">
        <v>4</v>
      </c>
      <c r="E12" s="5">
        <f t="shared" si="1"/>
        <v>224</v>
      </c>
      <c r="AA12" s="5" t="str">
        <f t="shared" si="2"/>
        <v>L-75x50x8</v>
      </c>
      <c r="AB12" s="18">
        <v>7.43</v>
      </c>
      <c r="AC12" s="18">
        <v>75</v>
      </c>
      <c r="AD12" s="18">
        <v>50</v>
      </c>
      <c r="AE12" s="18" t="s">
        <v>28</v>
      </c>
      <c r="AF12" s="5">
        <f t="shared" si="3"/>
        <v>250</v>
      </c>
      <c r="BA12" s="2" t="str">
        <f t="shared" si="4"/>
        <v>H-220x120</v>
      </c>
      <c r="BB12" s="19">
        <v>25.8</v>
      </c>
      <c r="BC12" s="19">
        <v>220</v>
      </c>
      <c r="BD12" s="19">
        <v>120</v>
      </c>
      <c r="BE12" s="20" t="s">
        <v>43</v>
      </c>
      <c r="BF12" s="20" t="s">
        <v>43</v>
      </c>
      <c r="BG12" s="5">
        <f t="shared" si="5"/>
        <v>920</v>
      </c>
      <c r="CA12" s="2" t="str">
        <f t="shared" si="6"/>
        <v>Hộp-14x0.6</v>
      </c>
      <c r="CB12" s="19">
        <v>0.25</v>
      </c>
      <c r="CC12" s="19">
        <v>14</v>
      </c>
      <c r="CD12" s="19">
        <v>14</v>
      </c>
      <c r="CE12" s="20" t="s">
        <v>61</v>
      </c>
      <c r="CF12" s="5">
        <f t="shared" si="7"/>
        <v>56</v>
      </c>
      <c r="CG12" s="5">
        <f t="shared" si="8"/>
        <v>1.7999999999999998</v>
      </c>
      <c r="CH12" s="5">
        <f t="shared" si="9"/>
        <v>1.2</v>
      </c>
      <c r="CI12" s="5">
        <f t="shared" si="10"/>
        <v>0.24032670419522373</v>
      </c>
      <c r="CJ12" s="2">
        <f t="shared" si="11"/>
        <v>7850</v>
      </c>
      <c r="CK12" s="48"/>
      <c r="CZ12" s="2" t="str">
        <f t="shared" si="12"/>
        <v>Ống-15.9x0.8</v>
      </c>
      <c r="DA12" s="19">
        <v>0.309</v>
      </c>
      <c r="DB12" s="19">
        <v>15.9</v>
      </c>
      <c r="DC12" s="19">
        <v>0.8</v>
      </c>
      <c r="DD12" s="21">
        <f t="shared" si="13"/>
        <v>49.951323192077709</v>
      </c>
      <c r="DE12" s="44">
        <f t="shared" si="14"/>
        <v>0.29791094815461289</v>
      </c>
      <c r="DF12" s="19">
        <f t="shared" si="15"/>
        <v>7850</v>
      </c>
      <c r="DY12" t="str">
        <f t="shared" si="16"/>
        <v>C-75x45x13x1.2</v>
      </c>
      <c r="DZ12" s="15" t="s">
        <v>116</v>
      </c>
      <c r="EA12" s="16">
        <v>1799</v>
      </c>
      <c r="EB12" s="16">
        <v>75</v>
      </c>
      <c r="EC12" s="16">
        <v>45</v>
      </c>
      <c r="ED12" s="15" t="s">
        <v>44</v>
      </c>
      <c r="EE12" s="15" t="s">
        <v>67</v>
      </c>
      <c r="EY12" s="2" t="str">
        <f t="shared" si="17"/>
        <v>C-180x70</v>
      </c>
      <c r="EZ12" s="33" t="s">
        <v>121</v>
      </c>
      <c r="FA12" s="34">
        <v>16.3</v>
      </c>
      <c r="FB12" s="34">
        <v>180</v>
      </c>
      <c r="FC12" s="34">
        <v>70</v>
      </c>
      <c r="FY12" s="5" t="str">
        <f t="shared" si="18"/>
        <v>D10</v>
      </c>
      <c r="FZ12" s="5">
        <v>10</v>
      </c>
      <c r="GA12" s="5">
        <v>0.435</v>
      </c>
    </row>
    <row r="13" spans="1:183" x14ac:dyDescent="0.25">
      <c r="A13" s="9" t="str">
        <f t="shared" si="0"/>
        <v>L-56x5</v>
      </c>
      <c r="B13" s="8">
        <v>4.25</v>
      </c>
      <c r="C13" s="8">
        <v>56</v>
      </c>
      <c r="D13" s="8">
        <v>5</v>
      </c>
      <c r="E13" s="5">
        <f t="shared" si="1"/>
        <v>224</v>
      </c>
      <c r="AA13" s="5" t="str">
        <f t="shared" si="2"/>
        <v>L-80x50x5</v>
      </c>
      <c r="AB13" s="18">
        <v>4.99</v>
      </c>
      <c r="AC13" s="18">
        <v>80</v>
      </c>
      <c r="AD13" s="18">
        <v>50</v>
      </c>
      <c r="AE13" s="18" t="s">
        <v>26</v>
      </c>
      <c r="AF13" s="5">
        <f t="shared" si="3"/>
        <v>260</v>
      </c>
      <c r="BA13" s="2" t="str">
        <f t="shared" si="4"/>
        <v>H-240x115</v>
      </c>
      <c r="BB13" s="19">
        <v>27.3</v>
      </c>
      <c r="BC13" s="19">
        <v>240</v>
      </c>
      <c r="BD13" s="19">
        <v>115</v>
      </c>
      <c r="BE13" s="20" t="s">
        <v>43</v>
      </c>
      <c r="BF13" s="20" t="s">
        <v>43</v>
      </c>
      <c r="BG13" s="5">
        <f t="shared" si="5"/>
        <v>940</v>
      </c>
      <c r="CA13" s="2" t="str">
        <f t="shared" si="6"/>
        <v>Hộp-14x0.7</v>
      </c>
      <c r="CB13" s="19">
        <v>0.28999999999999998</v>
      </c>
      <c r="CC13" s="19">
        <v>14</v>
      </c>
      <c r="CD13" s="19">
        <v>14</v>
      </c>
      <c r="CE13" s="20" t="s">
        <v>62</v>
      </c>
      <c r="CF13" s="5">
        <f t="shared" si="7"/>
        <v>56</v>
      </c>
      <c r="CG13" s="5">
        <f t="shared" si="8"/>
        <v>2.0999999999999996</v>
      </c>
      <c r="CH13" s="5">
        <f t="shared" si="9"/>
        <v>1.4</v>
      </c>
      <c r="CI13" s="5">
        <f t="shared" si="10"/>
        <v>0.27582468071016569</v>
      </c>
      <c r="CJ13" s="2">
        <f t="shared" si="11"/>
        <v>7850</v>
      </c>
      <c r="CK13" s="48"/>
      <c r="CZ13" s="2" t="str">
        <f t="shared" si="12"/>
        <v>Ống-15.9x0.9</v>
      </c>
      <c r="DA13" s="19">
        <v>0.34699999999999998</v>
      </c>
      <c r="DB13" s="19">
        <v>15.9</v>
      </c>
      <c r="DC13" s="19">
        <v>0.9</v>
      </c>
      <c r="DD13" s="21">
        <f t="shared" si="13"/>
        <v>49.951323192077709</v>
      </c>
      <c r="DE13" s="44">
        <f t="shared" si="14"/>
        <v>0.33293028146417836</v>
      </c>
      <c r="DF13" s="19">
        <f t="shared" si="15"/>
        <v>7850</v>
      </c>
      <c r="DY13" t="str">
        <f t="shared" si="16"/>
        <v>C-75x45x13x1.5</v>
      </c>
      <c r="DZ13" s="15" t="s">
        <v>116</v>
      </c>
      <c r="EA13" s="16">
        <v>2.2490000000000001</v>
      </c>
      <c r="EB13" s="16">
        <v>75</v>
      </c>
      <c r="EC13" s="16">
        <v>45</v>
      </c>
      <c r="ED13" s="15" t="s">
        <v>44</v>
      </c>
      <c r="EE13" s="15" t="s">
        <v>69</v>
      </c>
      <c r="EY13" s="2" t="str">
        <f t="shared" si="17"/>
        <v>C-180x74</v>
      </c>
      <c r="EZ13" s="33" t="s">
        <v>121</v>
      </c>
      <c r="FA13" s="34">
        <v>17.399999999999999</v>
      </c>
      <c r="FB13" s="34">
        <v>180</v>
      </c>
      <c r="FC13" s="34">
        <v>74</v>
      </c>
      <c r="FY13" s="5" t="str">
        <f t="shared" si="18"/>
        <v>D11</v>
      </c>
      <c r="FZ13" s="5">
        <v>11</v>
      </c>
      <c r="GA13" s="5">
        <v>0.51600000000000001</v>
      </c>
    </row>
    <row r="14" spans="1:183" x14ac:dyDescent="0.25">
      <c r="A14" s="9" t="str">
        <f t="shared" si="0"/>
        <v>L-63x4</v>
      </c>
      <c r="B14" s="8">
        <v>3.9</v>
      </c>
      <c r="C14" s="8">
        <v>63</v>
      </c>
      <c r="D14" s="8">
        <v>4</v>
      </c>
      <c r="E14" s="5">
        <f t="shared" si="1"/>
        <v>252</v>
      </c>
      <c r="AA14" s="5" t="str">
        <f t="shared" si="2"/>
        <v>L-80x50x6</v>
      </c>
      <c r="AB14" s="18">
        <v>5.92</v>
      </c>
      <c r="AC14" s="18">
        <v>80</v>
      </c>
      <c r="AD14" s="18">
        <v>50</v>
      </c>
      <c r="AE14" s="18" t="s">
        <v>27</v>
      </c>
      <c r="AF14" s="5">
        <f t="shared" si="3"/>
        <v>260</v>
      </c>
      <c r="BA14" s="2" t="str">
        <f t="shared" si="4"/>
        <v>H-240x125</v>
      </c>
      <c r="BB14" s="19">
        <v>29.4</v>
      </c>
      <c r="BC14" s="19">
        <v>240</v>
      </c>
      <c r="BD14" s="19">
        <v>125</v>
      </c>
      <c r="BE14" s="20" t="s">
        <v>43</v>
      </c>
      <c r="BF14" s="20" t="s">
        <v>43</v>
      </c>
      <c r="BG14" s="5">
        <f t="shared" si="5"/>
        <v>980</v>
      </c>
      <c r="CA14" s="2" t="str">
        <f t="shared" si="6"/>
        <v>Hộp-14x0.8</v>
      </c>
      <c r="CB14" s="19">
        <v>0.32833333333333331</v>
      </c>
      <c r="CC14" s="19">
        <v>14</v>
      </c>
      <c r="CD14" s="19">
        <v>14</v>
      </c>
      <c r="CE14" s="20" t="s">
        <v>63</v>
      </c>
      <c r="CF14" s="5">
        <f t="shared" si="7"/>
        <v>56</v>
      </c>
      <c r="CG14" s="5">
        <f t="shared" si="8"/>
        <v>2.4000000000000004</v>
      </c>
      <c r="CH14" s="5">
        <f t="shared" si="9"/>
        <v>1.6</v>
      </c>
      <c r="CI14" s="5">
        <f t="shared" si="10"/>
        <v>0.31002080745817556</v>
      </c>
      <c r="CJ14" s="2">
        <f t="shared" si="11"/>
        <v>7850</v>
      </c>
      <c r="CK14" s="48"/>
      <c r="CZ14" s="2" t="str">
        <f t="shared" si="12"/>
        <v>Ống-15.9x1</v>
      </c>
      <c r="DA14" s="19">
        <v>0.38400000000000001</v>
      </c>
      <c r="DB14" s="19">
        <v>15.9</v>
      </c>
      <c r="DC14" s="19">
        <v>1</v>
      </c>
      <c r="DD14" s="21">
        <f t="shared" si="13"/>
        <v>49.951323192077709</v>
      </c>
      <c r="DE14" s="44">
        <f t="shared" si="14"/>
        <v>0.3674563847271301</v>
      </c>
      <c r="DF14" s="19">
        <f t="shared" si="15"/>
        <v>7850</v>
      </c>
      <c r="DY14" t="str">
        <f t="shared" si="16"/>
        <v>C-75x45x13x1.8</v>
      </c>
      <c r="DZ14" s="15" t="s">
        <v>116</v>
      </c>
      <c r="EA14" s="16">
        <v>2.6989999999999998</v>
      </c>
      <c r="EB14" s="16">
        <v>75</v>
      </c>
      <c r="EC14" s="16">
        <v>45</v>
      </c>
      <c r="ED14" s="15" t="s">
        <v>44</v>
      </c>
      <c r="EE14" s="15" t="s">
        <v>72</v>
      </c>
      <c r="EY14" s="2" t="str">
        <f t="shared" si="17"/>
        <v>C-200x76</v>
      </c>
      <c r="EZ14" s="33" t="s">
        <v>121</v>
      </c>
      <c r="FA14" s="34">
        <v>18.399999999999999</v>
      </c>
      <c r="FB14" s="34">
        <v>200</v>
      </c>
      <c r="FC14" s="34">
        <v>76</v>
      </c>
      <c r="FY14" s="5" t="str">
        <f t="shared" si="18"/>
        <v>D12</v>
      </c>
      <c r="FZ14" s="5">
        <v>12</v>
      </c>
      <c r="GA14" s="5">
        <v>0.60399999999999998</v>
      </c>
    </row>
    <row r="15" spans="1:183" x14ac:dyDescent="0.25">
      <c r="A15" s="9" t="str">
        <f t="shared" si="0"/>
        <v>L-63x5</v>
      </c>
      <c r="B15" s="8">
        <v>4.8099999999999996</v>
      </c>
      <c r="C15" s="8">
        <v>63</v>
      </c>
      <c r="D15" s="8">
        <v>5</v>
      </c>
      <c r="E15" s="5">
        <f t="shared" si="1"/>
        <v>252</v>
      </c>
      <c r="AA15" s="5" t="str">
        <f t="shared" si="2"/>
        <v>L-90x56x5.5</v>
      </c>
      <c r="AB15" s="18">
        <v>6.17</v>
      </c>
      <c r="AC15" s="18">
        <v>90</v>
      </c>
      <c r="AD15" s="18">
        <v>56</v>
      </c>
      <c r="AE15" s="18" t="s">
        <v>29</v>
      </c>
      <c r="AF15" s="5">
        <f t="shared" si="3"/>
        <v>292</v>
      </c>
      <c r="BA15" s="2" t="str">
        <f t="shared" si="4"/>
        <v>H-270x125</v>
      </c>
      <c r="BB15" s="19">
        <v>31.5</v>
      </c>
      <c r="BC15" s="19">
        <v>270</v>
      </c>
      <c r="BD15" s="19">
        <v>125</v>
      </c>
      <c r="BE15" s="20" t="s">
        <v>43</v>
      </c>
      <c r="BF15" s="20" t="s">
        <v>43</v>
      </c>
      <c r="BG15" s="5">
        <f t="shared" si="5"/>
        <v>1040</v>
      </c>
      <c r="CA15" s="2" t="str">
        <f t="shared" si="6"/>
        <v>Hộp-14x0.9</v>
      </c>
      <c r="CB15" s="19">
        <v>0.36499999999999999</v>
      </c>
      <c r="CC15" s="19">
        <v>14</v>
      </c>
      <c r="CD15" s="19">
        <v>14</v>
      </c>
      <c r="CE15" s="20" t="s">
        <v>64</v>
      </c>
      <c r="CF15" s="5">
        <f t="shared" si="7"/>
        <v>56</v>
      </c>
      <c r="CG15" s="5">
        <f t="shared" si="8"/>
        <v>2.7</v>
      </c>
      <c r="CH15" s="5">
        <f t="shared" si="9"/>
        <v>1.8</v>
      </c>
      <c r="CI15" s="5">
        <f t="shared" si="10"/>
        <v>0.34291508443925345</v>
      </c>
      <c r="CJ15" s="2">
        <f t="shared" si="11"/>
        <v>7850</v>
      </c>
      <c r="CK15" s="48"/>
      <c r="CZ15" s="2" t="str">
        <f t="shared" si="12"/>
        <v>Ống-15.9x1.1</v>
      </c>
      <c r="DA15" s="19">
        <v>0.42199999999999999</v>
      </c>
      <c r="DB15" s="19">
        <v>15.9</v>
      </c>
      <c r="DC15" s="19">
        <v>1.1000000000000001</v>
      </c>
      <c r="DD15" s="21">
        <f t="shared" si="13"/>
        <v>49.951323192077709</v>
      </c>
      <c r="DE15" s="44">
        <f t="shared" si="14"/>
        <v>0.40148925794346851</v>
      </c>
      <c r="DF15" s="19">
        <f t="shared" si="15"/>
        <v>7850</v>
      </c>
      <c r="DY15" t="str">
        <f t="shared" si="16"/>
        <v>C-75x45x13x2</v>
      </c>
      <c r="DZ15" s="15" t="s">
        <v>116</v>
      </c>
      <c r="EA15" s="16">
        <v>2.9990000000000001</v>
      </c>
      <c r="EB15" s="16">
        <v>75</v>
      </c>
      <c r="EC15" s="16">
        <v>45</v>
      </c>
      <c r="ED15" s="15" t="s">
        <v>44</v>
      </c>
      <c r="EE15" s="15" t="s">
        <v>74</v>
      </c>
      <c r="EY15" s="2" t="str">
        <f t="shared" si="17"/>
        <v>C-200x80</v>
      </c>
      <c r="EZ15" s="33" t="s">
        <v>121</v>
      </c>
      <c r="FA15" s="34">
        <v>19.8</v>
      </c>
      <c r="FB15" s="34">
        <v>200</v>
      </c>
      <c r="FC15" s="34">
        <v>80</v>
      </c>
      <c r="FY15" s="5" t="str">
        <f t="shared" si="18"/>
        <v>D13</v>
      </c>
      <c r="FZ15" s="5">
        <v>13</v>
      </c>
      <c r="GA15" s="5">
        <v>0.69950000000000001</v>
      </c>
    </row>
    <row r="16" spans="1:183" x14ac:dyDescent="0.25">
      <c r="A16" s="9" t="str">
        <f t="shared" si="0"/>
        <v>L-63x6</v>
      </c>
      <c r="B16" s="8">
        <v>5.72</v>
      </c>
      <c r="C16" s="8">
        <v>63</v>
      </c>
      <c r="D16" s="8">
        <v>6</v>
      </c>
      <c r="E16" s="5">
        <f t="shared" si="1"/>
        <v>252</v>
      </c>
      <c r="AA16" s="5" t="str">
        <f t="shared" si="2"/>
        <v>L-90x56x6</v>
      </c>
      <c r="AB16" s="18">
        <v>6.7</v>
      </c>
      <c r="AC16" s="18">
        <v>90</v>
      </c>
      <c r="AD16" s="18">
        <v>56</v>
      </c>
      <c r="AE16" s="18" t="s">
        <v>27</v>
      </c>
      <c r="AF16" s="5">
        <f t="shared" si="3"/>
        <v>292</v>
      </c>
      <c r="BA16" s="2" t="str">
        <f t="shared" si="4"/>
        <v>H-270x135</v>
      </c>
      <c r="BB16" s="19">
        <v>33.9</v>
      </c>
      <c r="BC16" s="19">
        <v>270</v>
      </c>
      <c r="BD16" s="19">
        <v>135</v>
      </c>
      <c r="BE16" s="20" t="s">
        <v>43</v>
      </c>
      <c r="BF16" s="20" t="s">
        <v>43</v>
      </c>
      <c r="BG16" s="5">
        <f t="shared" si="5"/>
        <v>1080</v>
      </c>
      <c r="CA16" s="2" t="str">
        <f t="shared" si="6"/>
        <v>Hộp-14x1</v>
      </c>
      <c r="CB16" s="19">
        <v>0.40166666666666667</v>
      </c>
      <c r="CC16" s="19">
        <v>14</v>
      </c>
      <c r="CD16" s="19">
        <v>14</v>
      </c>
      <c r="CE16" s="20" t="s">
        <v>65</v>
      </c>
      <c r="CF16" s="5">
        <f t="shared" si="7"/>
        <v>56</v>
      </c>
      <c r="CG16" s="5">
        <f t="shared" si="8"/>
        <v>3</v>
      </c>
      <c r="CH16" s="5">
        <f t="shared" si="9"/>
        <v>2</v>
      </c>
      <c r="CI16" s="5">
        <f t="shared" si="10"/>
        <v>0.37450751165339941</v>
      </c>
      <c r="CJ16" s="2">
        <f t="shared" si="11"/>
        <v>7850</v>
      </c>
      <c r="CK16" s="48"/>
      <c r="CZ16" s="2" t="str">
        <f t="shared" si="12"/>
        <v>Ống-15.9x1.2</v>
      </c>
      <c r="DA16" s="19">
        <v>0.45900000000000002</v>
      </c>
      <c r="DB16" s="19">
        <v>15.9</v>
      </c>
      <c r="DC16" s="19">
        <v>1.2</v>
      </c>
      <c r="DD16" s="21">
        <f t="shared" si="13"/>
        <v>49.951323192077709</v>
      </c>
      <c r="DE16" s="44">
        <f t="shared" si="14"/>
        <v>0.43502890111319303</v>
      </c>
      <c r="DF16" s="19">
        <f t="shared" si="15"/>
        <v>7850</v>
      </c>
      <c r="DY16" t="str">
        <f t="shared" si="16"/>
        <v>C-75x45x13x2.5</v>
      </c>
      <c r="DZ16" s="15" t="s">
        <v>116</v>
      </c>
      <c r="EA16" s="16">
        <v>3.7480000000000002</v>
      </c>
      <c r="EB16" s="16">
        <v>75</v>
      </c>
      <c r="EC16" s="16">
        <v>45</v>
      </c>
      <c r="ED16" s="15" t="s">
        <v>44</v>
      </c>
      <c r="EE16" s="15" t="s">
        <v>79</v>
      </c>
      <c r="EY16" s="2" t="str">
        <f t="shared" si="17"/>
        <v>C-220x82</v>
      </c>
      <c r="EZ16" s="33" t="s">
        <v>121</v>
      </c>
      <c r="FA16" s="34">
        <v>21</v>
      </c>
      <c r="FB16" s="34">
        <v>220</v>
      </c>
      <c r="FC16" s="34">
        <v>82</v>
      </c>
      <c r="FY16" s="5" t="str">
        <f t="shared" si="18"/>
        <v>D14</v>
      </c>
      <c r="FZ16" s="5">
        <v>14</v>
      </c>
      <c r="GA16" s="5">
        <v>0.80200000000000005</v>
      </c>
    </row>
    <row r="17" spans="1:183" x14ac:dyDescent="0.25">
      <c r="A17" s="9" t="str">
        <f t="shared" si="0"/>
        <v>L-70x4.5</v>
      </c>
      <c r="B17" s="8">
        <v>4.87</v>
      </c>
      <c r="C17" s="8">
        <v>70</v>
      </c>
      <c r="D17" s="8">
        <v>4.5</v>
      </c>
      <c r="E17" s="5">
        <f t="shared" si="1"/>
        <v>280</v>
      </c>
      <c r="AA17" s="5" t="str">
        <f t="shared" si="2"/>
        <v>L-90x56x8</v>
      </c>
      <c r="AB17" s="18">
        <v>8.77</v>
      </c>
      <c r="AC17" s="18">
        <v>90</v>
      </c>
      <c r="AD17" s="18">
        <v>56</v>
      </c>
      <c r="AE17" s="18" t="s">
        <v>28</v>
      </c>
      <c r="AF17" s="5">
        <f t="shared" si="3"/>
        <v>292</v>
      </c>
      <c r="BA17" s="2" t="str">
        <f t="shared" si="4"/>
        <v>H-300x135</v>
      </c>
      <c r="BB17" s="19">
        <v>36.5</v>
      </c>
      <c r="BC17" s="19">
        <v>300</v>
      </c>
      <c r="BD17" s="19">
        <v>135</v>
      </c>
      <c r="BE17" s="20" t="s">
        <v>43</v>
      </c>
      <c r="BF17" s="20" t="s">
        <v>43</v>
      </c>
      <c r="BG17" s="5">
        <f t="shared" si="5"/>
        <v>1140</v>
      </c>
      <c r="CA17" s="2" t="str">
        <f t="shared" si="6"/>
        <v>Hộp-14x1.1</v>
      </c>
      <c r="CB17" s="19">
        <v>0.4383333333333333</v>
      </c>
      <c r="CC17" s="19">
        <v>14</v>
      </c>
      <c r="CD17" s="19">
        <v>14</v>
      </c>
      <c r="CE17" s="20" t="s">
        <v>66</v>
      </c>
      <c r="CF17" s="5">
        <f t="shared" si="7"/>
        <v>56</v>
      </c>
      <c r="CG17" s="5">
        <f t="shared" si="8"/>
        <v>3.3000000000000003</v>
      </c>
      <c r="CH17" s="5">
        <f t="shared" si="9"/>
        <v>2.2000000000000002</v>
      </c>
      <c r="CI17" s="5">
        <f t="shared" si="10"/>
        <v>0.40479808910061327</v>
      </c>
      <c r="CJ17" s="2">
        <f t="shared" si="11"/>
        <v>7850</v>
      </c>
      <c r="CK17" s="48"/>
      <c r="CZ17" s="2" t="str">
        <f t="shared" si="12"/>
        <v>Ống-15.9x1.4</v>
      </c>
      <c r="DA17" s="19">
        <v>0.53400000000000003</v>
      </c>
      <c r="DB17" s="19">
        <v>15.9</v>
      </c>
      <c r="DC17" s="19">
        <v>1.4</v>
      </c>
      <c r="DD17" s="21">
        <f t="shared" si="13"/>
        <v>49.951323192077709</v>
      </c>
      <c r="DE17" s="44">
        <f t="shared" si="14"/>
        <v>0.50062849731280123</v>
      </c>
      <c r="DF17" s="19">
        <f t="shared" si="15"/>
        <v>7850</v>
      </c>
      <c r="DY17" t="str">
        <f t="shared" si="16"/>
        <v>C-75x45x13x2.8</v>
      </c>
      <c r="DZ17" s="15" t="s">
        <v>116</v>
      </c>
      <c r="EA17" s="16">
        <v>4.1980000000000004</v>
      </c>
      <c r="EB17" s="16">
        <v>75</v>
      </c>
      <c r="EC17" s="16">
        <v>45</v>
      </c>
      <c r="ED17" s="15" t="s">
        <v>44</v>
      </c>
      <c r="EE17" s="15" t="s">
        <v>81</v>
      </c>
      <c r="EY17" s="2" t="str">
        <f t="shared" si="17"/>
        <v>C-220x87</v>
      </c>
      <c r="EZ17" s="33" t="s">
        <v>121</v>
      </c>
      <c r="FA17" s="34">
        <v>22.6</v>
      </c>
      <c r="FB17" s="34">
        <v>220</v>
      </c>
      <c r="FC17" s="34">
        <v>87</v>
      </c>
      <c r="FY17" s="5" t="str">
        <f t="shared" si="18"/>
        <v>D15</v>
      </c>
      <c r="FZ17" s="5">
        <v>15</v>
      </c>
      <c r="GA17" s="5">
        <v>0.91100000000000003</v>
      </c>
    </row>
    <row r="18" spans="1:183" x14ac:dyDescent="0.25">
      <c r="A18" s="9" t="str">
        <f t="shared" si="0"/>
        <v>L-70x5</v>
      </c>
      <c r="B18" s="8">
        <v>5.38</v>
      </c>
      <c r="C18" s="8">
        <v>70</v>
      </c>
      <c r="D18" s="8">
        <v>5</v>
      </c>
      <c r="E18" s="5">
        <f t="shared" si="1"/>
        <v>280</v>
      </c>
      <c r="AA18" s="5" t="str">
        <f t="shared" si="2"/>
        <v>L-100x63x6</v>
      </c>
      <c r="AB18" s="18">
        <v>7.53</v>
      </c>
      <c r="AC18" s="18">
        <v>100</v>
      </c>
      <c r="AD18" s="18">
        <v>63</v>
      </c>
      <c r="AE18" s="18" t="s">
        <v>27</v>
      </c>
      <c r="AF18" s="5">
        <f t="shared" si="3"/>
        <v>326</v>
      </c>
      <c r="BA18" s="2" t="str">
        <f t="shared" si="4"/>
        <v>H-300x145</v>
      </c>
      <c r="BB18" s="19">
        <v>39.200000000000003</v>
      </c>
      <c r="BC18" s="19">
        <v>300</v>
      </c>
      <c r="BD18" s="19">
        <v>145</v>
      </c>
      <c r="BE18" s="20" t="s">
        <v>43</v>
      </c>
      <c r="BF18" s="20" t="s">
        <v>43</v>
      </c>
      <c r="BG18" s="5">
        <f t="shared" si="5"/>
        <v>1180</v>
      </c>
      <c r="CA18" s="2" t="str">
        <f t="shared" si="6"/>
        <v>Hộp-14x1.2</v>
      </c>
      <c r="CB18" s="19">
        <v>0.47333333333333333</v>
      </c>
      <c r="CC18" s="19">
        <v>14</v>
      </c>
      <c r="CD18" s="19">
        <v>14</v>
      </c>
      <c r="CE18" s="20" t="s">
        <v>67</v>
      </c>
      <c r="CF18" s="5">
        <f t="shared" si="7"/>
        <v>56</v>
      </c>
      <c r="CG18" s="5">
        <f t="shared" si="8"/>
        <v>3.5999999999999996</v>
      </c>
      <c r="CH18" s="5">
        <f t="shared" si="9"/>
        <v>2.4</v>
      </c>
      <c r="CI18" s="5">
        <f t="shared" si="10"/>
        <v>0.43378681678089509</v>
      </c>
      <c r="CJ18" s="2">
        <f t="shared" si="11"/>
        <v>7850</v>
      </c>
      <c r="CK18" s="48"/>
      <c r="CZ18" s="2" t="str">
        <f t="shared" si="12"/>
        <v>Ống-15.9x1.5</v>
      </c>
      <c r="DA18" s="19">
        <v>0.57099999999999995</v>
      </c>
      <c r="DB18" s="19">
        <v>15.9</v>
      </c>
      <c r="DC18" s="19">
        <v>1.5</v>
      </c>
      <c r="DD18" s="21">
        <f t="shared" si="13"/>
        <v>49.951323192077709</v>
      </c>
      <c r="DE18" s="44">
        <f t="shared" si="14"/>
        <v>0.53268845034268519</v>
      </c>
      <c r="DF18" s="19">
        <f t="shared" si="15"/>
        <v>7850</v>
      </c>
      <c r="DY18" t="str">
        <f t="shared" si="16"/>
        <v>C-75x45x13x3</v>
      </c>
      <c r="DZ18" s="15" t="s">
        <v>116</v>
      </c>
      <c r="EA18" s="16">
        <v>4.4980000000000002</v>
      </c>
      <c r="EB18" s="16">
        <v>75</v>
      </c>
      <c r="EC18" s="16">
        <v>45</v>
      </c>
      <c r="ED18" s="15" t="s">
        <v>44</v>
      </c>
      <c r="EE18" s="15" t="s">
        <v>83</v>
      </c>
      <c r="EY18" s="2" t="str">
        <f t="shared" si="17"/>
        <v>C-240x90</v>
      </c>
      <c r="EZ18" s="33" t="s">
        <v>121</v>
      </c>
      <c r="FA18" s="34">
        <v>24</v>
      </c>
      <c r="FB18" s="34">
        <v>240</v>
      </c>
      <c r="FC18" s="34">
        <v>90</v>
      </c>
      <c r="FY18" s="5" t="str">
        <f t="shared" si="18"/>
        <v>D15.5</v>
      </c>
      <c r="FZ18" s="5">
        <v>15.5</v>
      </c>
      <c r="GA18" s="5">
        <v>1.03</v>
      </c>
    </row>
    <row r="19" spans="1:183" x14ac:dyDescent="0.25">
      <c r="A19" s="9" t="str">
        <f t="shared" si="0"/>
        <v>L-70x6</v>
      </c>
      <c r="B19" s="8">
        <v>6.39</v>
      </c>
      <c r="C19" s="8">
        <v>70</v>
      </c>
      <c r="D19" s="8">
        <v>6</v>
      </c>
      <c r="E19" s="5">
        <f t="shared" si="1"/>
        <v>280</v>
      </c>
      <c r="AA19" s="5" t="str">
        <f t="shared" si="2"/>
        <v>L-100x63x7</v>
      </c>
      <c r="AB19" s="18">
        <v>8.6999999999999993</v>
      </c>
      <c r="AC19" s="18">
        <v>100</v>
      </c>
      <c r="AD19" s="18">
        <v>63</v>
      </c>
      <c r="AE19" s="18" t="s">
        <v>30</v>
      </c>
      <c r="AF19" s="5">
        <f t="shared" si="3"/>
        <v>326</v>
      </c>
      <c r="BA19" s="2" t="str">
        <f t="shared" si="4"/>
        <v>H-330x140</v>
      </c>
      <c r="BB19" s="19">
        <v>42.2</v>
      </c>
      <c r="BC19" s="19">
        <v>330</v>
      </c>
      <c r="BD19" s="19">
        <v>140</v>
      </c>
      <c r="BE19" s="20" t="s">
        <v>43</v>
      </c>
      <c r="BF19" s="20" t="s">
        <v>43</v>
      </c>
      <c r="BG19" s="5">
        <f t="shared" si="5"/>
        <v>1220</v>
      </c>
      <c r="CA19" s="2" t="str">
        <f t="shared" si="6"/>
        <v>Hộp-14x1.4</v>
      </c>
      <c r="CB19" s="19">
        <v>0.54166666666666663</v>
      </c>
      <c r="CC19" s="19">
        <v>14</v>
      </c>
      <c r="CD19" s="19">
        <v>14</v>
      </c>
      <c r="CE19" s="20" t="s">
        <v>68</v>
      </c>
      <c r="CF19" s="5">
        <f t="shared" si="7"/>
        <v>56</v>
      </c>
      <c r="CG19" s="5">
        <f t="shared" si="8"/>
        <v>4.1999999999999993</v>
      </c>
      <c r="CH19" s="5">
        <f t="shared" si="9"/>
        <v>2.8</v>
      </c>
      <c r="CI19" s="5">
        <f t="shared" si="10"/>
        <v>0.48785872284066267</v>
      </c>
      <c r="CJ19" s="2">
        <f t="shared" si="11"/>
        <v>7850</v>
      </c>
      <c r="CK19" s="48"/>
      <c r="CZ19" s="2" t="str">
        <f t="shared" si="12"/>
        <v>Ống-19.1x0.6</v>
      </c>
      <c r="DA19" s="19">
        <v>0.20799999999999999</v>
      </c>
      <c r="DB19" s="19">
        <v>19.100000000000001</v>
      </c>
      <c r="DC19" s="19">
        <v>0.6</v>
      </c>
      <c r="DD19" s="21">
        <f t="shared" si="13"/>
        <v>60.004419683565054</v>
      </c>
      <c r="DE19" s="44">
        <f t="shared" si="14"/>
        <v>0.27374267587054674</v>
      </c>
      <c r="DF19" s="19">
        <f t="shared" si="15"/>
        <v>7850</v>
      </c>
      <c r="DY19" t="str">
        <f t="shared" si="16"/>
        <v>C-75x45x13x3.5</v>
      </c>
      <c r="DZ19" s="15" t="s">
        <v>116</v>
      </c>
      <c r="EA19" s="16">
        <v>5.2480000000000002</v>
      </c>
      <c r="EB19" s="16">
        <v>75</v>
      </c>
      <c r="EC19" s="16">
        <v>45</v>
      </c>
      <c r="ED19" s="15" t="s">
        <v>44</v>
      </c>
      <c r="EE19" s="15" t="s">
        <v>88</v>
      </c>
      <c r="EY19" s="2" t="str">
        <f t="shared" si="17"/>
        <v>C-240x95</v>
      </c>
      <c r="EZ19" s="33" t="s">
        <v>121</v>
      </c>
      <c r="FA19" s="34">
        <v>25.8</v>
      </c>
      <c r="FB19" s="34">
        <v>240</v>
      </c>
      <c r="FC19" s="34">
        <v>95</v>
      </c>
      <c r="FY19" s="5" t="str">
        <f t="shared" si="18"/>
        <v>D16.5</v>
      </c>
      <c r="FZ19" s="5">
        <v>16.5</v>
      </c>
      <c r="GA19" s="5">
        <v>1.1499999999999999</v>
      </c>
    </row>
    <row r="20" spans="1:183" x14ac:dyDescent="0.25">
      <c r="A20" s="9" t="str">
        <f t="shared" si="0"/>
        <v>L-70x7</v>
      </c>
      <c r="B20" s="8">
        <v>7.39</v>
      </c>
      <c r="C20" s="8">
        <v>70</v>
      </c>
      <c r="D20" s="8">
        <v>7</v>
      </c>
      <c r="E20" s="5">
        <f t="shared" si="1"/>
        <v>280</v>
      </c>
      <c r="AA20" s="5" t="str">
        <f t="shared" si="2"/>
        <v>L-100x63x8</v>
      </c>
      <c r="AB20" s="18">
        <v>9.8699999999999992</v>
      </c>
      <c r="AC20" s="18">
        <v>100</v>
      </c>
      <c r="AD20" s="18">
        <v>63</v>
      </c>
      <c r="AE20" s="18" t="s">
        <v>28</v>
      </c>
      <c r="AF20" s="5">
        <f t="shared" si="3"/>
        <v>326</v>
      </c>
      <c r="BA20" s="2" t="str">
        <f t="shared" si="4"/>
        <v>H-360x145</v>
      </c>
      <c r="BB20" s="19">
        <v>48.6</v>
      </c>
      <c r="BC20" s="19">
        <v>360</v>
      </c>
      <c r="BD20" s="19">
        <v>145</v>
      </c>
      <c r="BE20" s="20" t="s">
        <v>43</v>
      </c>
      <c r="BF20" s="20" t="s">
        <v>43</v>
      </c>
      <c r="BG20" s="5">
        <f t="shared" si="5"/>
        <v>1300</v>
      </c>
      <c r="CA20" s="2" t="str">
        <f t="shared" si="6"/>
        <v>Hộp-16x0.5</v>
      </c>
      <c r="CB20" s="19">
        <v>0.24166666666666667</v>
      </c>
      <c r="CC20" s="19">
        <v>16</v>
      </c>
      <c r="CD20" s="19">
        <v>16</v>
      </c>
      <c r="CE20" s="20" t="s">
        <v>60</v>
      </c>
      <c r="CF20" s="5">
        <f t="shared" si="7"/>
        <v>64</v>
      </c>
      <c r="CG20" s="5">
        <f t="shared" si="8"/>
        <v>1.5</v>
      </c>
      <c r="CH20" s="5">
        <f t="shared" si="9"/>
        <v>1</v>
      </c>
      <c r="CI20" s="5">
        <f t="shared" si="10"/>
        <v>0.23492687791334985</v>
      </c>
      <c r="CJ20" s="2">
        <f t="shared" si="11"/>
        <v>7850</v>
      </c>
      <c r="CK20" s="48"/>
      <c r="CZ20" s="2" t="str">
        <f t="shared" si="12"/>
        <v>Ống-19.1x0.7</v>
      </c>
      <c r="DA20" s="19">
        <v>0.32600000000000001</v>
      </c>
      <c r="DB20" s="19">
        <v>19.100000000000001</v>
      </c>
      <c r="DC20" s="19">
        <v>0.7</v>
      </c>
      <c r="DD20" s="21">
        <f t="shared" si="13"/>
        <v>60.004419683565054</v>
      </c>
      <c r="DE20" s="44">
        <f t="shared" si="14"/>
        <v>0.31764015001915691</v>
      </c>
      <c r="DF20" s="19">
        <f t="shared" si="15"/>
        <v>7850</v>
      </c>
      <c r="DY20" t="str">
        <f t="shared" si="16"/>
        <v>C-75x45x13x4</v>
      </c>
      <c r="DZ20" s="15" t="s">
        <v>116</v>
      </c>
      <c r="EA20" s="16">
        <v>5.9969999999999999</v>
      </c>
      <c r="EB20" s="16">
        <v>75</v>
      </c>
      <c r="EC20" s="16">
        <v>45</v>
      </c>
      <c r="ED20" s="15" t="s">
        <v>44</v>
      </c>
      <c r="EE20" s="15" t="s">
        <v>25</v>
      </c>
      <c r="EY20" s="2" t="str">
        <f t="shared" si="17"/>
        <v>C-270x95</v>
      </c>
      <c r="EZ20" s="33" t="s">
        <v>121</v>
      </c>
      <c r="FA20" s="34">
        <v>27.7</v>
      </c>
      <c r="FB20" s="34">
        <v>270</v>
      </c>
      <c r="FC20" s="34">
        <v>95</v>
      </c>
      <c r="FY20" s="5" t="str">
        <f t="shared" si="18"/>
        <v>D18.5</v>
      </c>
      <c r="FZ20" s="5">
        <v>18.5</v>
      </c>
      <c r="GA20" s="5">
        <v>1.4410000000000001</v>
      </c>
    </row>
    <row r="21" spans="1:183" x14ac:dyDescent="0.25">
      <c r="A21" s="9" t="str">
        <f t="shared" si="0"/>
        <v>L-70x8</v>
      </c>
      <c r="B21" s="8">
        <v>8.3699999999999992</v>
      </c>
      <c r="C21" s="8">
        <v>70</v>
      </c>
      <c r="D21" s="8">
        <v>8</v>
      </c>
      <c r="E21" s="5">
        <f t="shared" si="1"/>
        <v>280</v>
      </c>
      <c r="AA21" s="5" t="str">
        <f t="shared" si="2"/>
        <v>L-100x63x10</v>
      </c>
      <c r="AB21" s="18">
        <v>12.1</v>
      </c>
      <c r="AC21" s="18">
        <v>100</v>
      </c>
      <c r="AD21" s="18">
        <v>63</v>
      </c>
      <c r="AE21" s="18" t="s">
        <v>31</v>
      </c>
      <c r="AF21" s="5">
        <f t="shared" si="3"/>
        <v>326</v>
      </c>
      <c r="BA21" s="2" t="str">
        <f t="shared" si="4"/>
        <v>H-400x155</v>
      </c>
      <c r="BB21" s="19">
        <v>57</v>
      </c>
      <c r="BC21" s="19">
        <v>400</v>
      </c>
      <c r="BD21" s="19">
        <v>155</v>
      </c>
      <c r="BE21" s="20" t="s">
        <v>43</v>
      </c>
      <c r="BF21" s="20" t="s">
        <v>43</v>
      </c>
      <c r="BG21" s="5">
        <f t="shared" si="5"/>
        <v>1420</v>
      </c>
      <c r="CA21" s="2" t="str">
        <f t="shared" si="6"/>
        <v>Hộp-16x0.6</v>
      </c>
      <c r="CB21" s="19">
        <v>0.28833333333333333</v>
      </c>
      <c r="CC21" s="19">
        <v>16</v>
      </c>
      <c r="CD21" s="19">
        <v>16</v>
      </c>
      <c r="CE21" s="20" t="s">
        <v>61</v>
      </c>
      <c r="CF21" s="5">
        <f t="shared" si="7"/>
        <v>64</v>
      </c>
      <c r="CG21" s="5">
        <f t="shared" si="8"/>
        <v>1.7999999999999998</v>
      </c>
      <c r="CH21" s="5">
        <f t="shared" si="9"/>
        <v>1.2</v>
      </c>
      <c r="CI21" s="5">
        <f t="shared" si="10"/>
        <v>0.27800670419522377</v>
      </c>
      <c r="CJ21" s="2">
        <f t="shared" si="11"/>
        <v>7850</v>
      </c>
      <c r="CK21" s="48"/>
      <c r="CZ21" s="2" t="str">
        <f t="shared" si="12"/>
        <v>Ống-19.1x0.8</v>
      </c>
      <c r="DA21" s="19">
        <v>0.372</v>
      </c>
      <c r="DB21" s="19">
        <v>19.100000000000001</v>
      </c>
      <c r="DC21" s="19">
        <v>0.8</v>
      </c>
      <c r="DD21" s="21">
        <f t="shared" si="13"/>
        <v>60.004419683565054</v>
      </c>
      <c r="DE21" s="44">
        <f t="shared" si="14"/>
        <v>0.36104439412115391</v>
      </c>
      <c r="DF21" s="19">
        <f t="shared" si="15"/>
        <v>7850</v>
      </c>
      <c r="DY21" t="str">
        <f t="shared" si="16"/>
        <v>C-80x40x14x1.2</v>
      </c>
      <c r="DZ21" s="15" t="s">
        <v>116</v>
      </c>
      <c r="EA21" s="16">
        <v>1.7709999999999999</v>
      </c>
      <c r="EB21" s="16">
        <v>80</v>
      </c>
      <c r="EC21" s="16">
        <v>40</v>
      </c>
      <c r="ED21" s="15" t="s">
        <v>35</v>
      </c>
      <c r="EE21" s="15" t="s">
        <v>67</v>
      </c>
      <c r="EY21" s="2" t="str">
        <f t="shared" si="17"/>
        <v>C-300x100</v>
      </c>
      <c r="EZ21" s="33" t="s">
        <v>121</v>
      </c>
      <c r="FA21" s="34">
        <v>31.8</v>
      </c>
      <c r="FB21" s="34">
        <v>300</v>
      </c>
      <c r="FC21" s="34">
        <v>100</v>
      </c>
      <c r="FY21" s="5" t="str">
        <f t="shared" si="18"/>
        <v>D20</v>
      </c>
      <c r="FZ21" s="5">
        <v>20</v>
      </c>
      <c r="GA21" s="5">
        <v>1.7390000000000001</v>
      </c>
    </row>
    <row r="22" spans="1:183" x14ac:dyDescent="0.25">
      <c r="A22" s="9" t="str">
        <f t="shared" si="0"/>
        <v>L-75x5</v>
      </c>
      <c r="B22" s="8">
        <v>5.8</v>
      </c>
      <c r="C22" s="8">
        <v>75</v>
      </c>
      <c r="D22" s="8">
        <v>5</v>
      </c>
      <c r="E22" s="5">
        <f t="shared" si="1"/>
        <v>300</v>
      </c>
      <c r="AA22" s="5" t="str">
        <f t="shared" si="2"/>
        <v>L-110x70x6.5</v>
      </c>
      <c r="AB22" s="18">
        <v>8.98</v>
      </c>
      <c r="AC22" s="18">
        <v>110</v>
      </c>
      <c r="AD22" s="18">
        <v>70</v>
      </c>
      <c r="AE22" s="18" t="s">
        <v>32</v>
      </c>
      <c r="AF22" s="5">
        <f t="shared" si="3"/>
        <v>360</v>
      </c>
      <c r="BA22" s="2" t="str">
        <f t="shared" si="4"/>
        <v>H-450x160</v>
      </c>
      <c r="BB22" s="19">
        <v>66.5</v>
      </c>
      <c r="BC22" s="19">
        <v>450</v>
      </c>
      <c r="BD22" s="19">
        <v>160</v>
      </c>
      <c r="BE22" s="20" t="s">
        <v>43</v>
      </c>
      <c r="BF22" s="20" t="s">
        <v>43</v>
      </c>
      <c r="BG22" s="5">
        <f t="shared" si="5"/>
        <v>1540</v>
      </c>
      <c r="CA22" s="2" t="str">
        <f t="shared" si="6"/>
        <v>Hộp-16x0.7</v>
      </c>
      <c r="CB22" s="19">
        <v>0.33333333333333331</v>
      </c>
      <c r="CC22" s="19">
        <v>16</v>
      </c>
      <c r="CD22" s="19">
        <v>16</v>
      </c>
      <c r="CE22" s="20" t="s">
        <v>62</v>
      </c>
      <c r="CF22" s="5">
        <f t="shared" si="7"/>
        <v>64</v>
      </c>
      <c r="CG22" s="5">
        <f t="shared" si="8"/>
        <v>2.0999999999999996</v>
      </c>
      <c r="CH22" s="5">
        <f t="shared" si="9"/>
        <v>1.4</v>
      </c>
      <c r="CI22" s="5">
        <f t="shared" si="10"/>
        <v>0.31978468071016575</v>
      </c>
      <c r="CJ22" s="2">
        <f t="shared" si="11"/>
        <v>7850</v>
      </c>
      <c r="CK22" s="48"/>
      <c r="CZ22" s="2" t="str">
        <f t="shared" si="12"/>
        <v>Ống-19.1x0.9</v>
      </c>
      <c r="DA22" s="19">
        <v>0.41799999999999998</v>
      </c>
      <c r="DB22" s="19">
        <v>19.100000000000001</v>
      </c>
      <c r="DC22" s="19">
        <v>0.9</v>
      </c>
      <c r="DD22" s="21">
        <f t="shared" si="13"/>
        <v>60.004419683565054</v>
      </c>
      <c r="DE22" s="44">
        <f t="shared" si="14"/>
        <v>0.40395540817653686</v>
      </c>
      <c r="DF22" s="19">
        <f t="shared" si="15"/>
        <v>7850</v>
      </c>
      <c r="DY22" t="str">
        <f t="shared" si="16"/>
        <v>C-80x40x14x1.5</v>
      </c>
      <c r="DZ22" s="15" t="s">
        <v>116</v>
      </c>
      <c r="EA22" s="16">
        <v>2.214</v>
      </c>
      <c r="EB22" s="16">
        <v>80</v>
      </c>
      <c r="EC22" s="16">
        <v>40</v>
      </c>
      <c r="ED22" s="15" t="s">
        <v>35</v>
      </c>
      <c r="EE22" s="15" t="s">
        <v>69</v>
      </c>
      <c r="EY22" s="2" t="str">
        <f t="shared" si="17"/>
        <v>C-330x105</v>
      </c>
      <c r="EZ22" s="33" t="s">
        <v>121</v>
      </c>
      <c r="FA22" s="34">
        <v>36.5</v>
      </c>
      <c r="FB22" s="34">
        <v>330</v>
      </c>
      <c r="FC22" s="34">
        <v>105</v>
      </c>
      <c r="FY22" s="5" t="str">
        <f t="shared" si="18"/>
        <v>D22</v>
      </c>
      <c r="FZ22" s="5">
        <v>22</v>
      </c>
      <c r="GA22" s="5">
        <v>2.0649999999999999</v>
      </c>
    </row>
    <row r="23" spans="1:183" x14ac:dyDescent="0.25">
      <c r="A23" s="9" t="str">
        <f t="shared" si="0"/>
        <v>L-75x6</v>
      </c>
      <c r="B23" s="8">
        <v>6.89</v>
      </c>
      <c r="C23" s="8">
        <v>75</v>
      </c>
      <c r="D23" s="8">
        <v>6</v>
      </c>
      <c r="E23" s="5">
        <f t="shared" si="1"/>
        <v>300</v>
      </c>
      <c r="AA23" s="5" t="str">
        <f t="shared" si="2"/>
        <v>L-110x70x8</v>
      </c>
      <c r="AB23" s="18">
        <v>10.9</v>
      </c>
      <c r="AC23" s="18">
        <v>110</v>
      </c>
      <c r="AD23" s="18">
        <v>70</v>
      </c>
      <c r="AE23" s="18" t="s">
        <v>28</v>
      </c>
      <c r="AF23" s="5">
        <f t="shared" si="3"/>
        <v>360</v>
      </c>
      <c r="BA23" s="2" t="str">
        <f t="shared" si="4"/>
        <v>H-500x170</v>
      </c>
      <c r="BB23" s="19">
        <v>78.5</v>
      </c>
      <c r="BC23" s="19">
        <v>500</v>
      </c>
      <c r="BD23" s="19">
        <v>170</v>
      </c>
      <c r="BE23" s="20" t="s">
        <v>43</v>
      </c>
      <c r="BF23" s="20" t="s">
        <v>43</v>
      </c>
      <c r="BG23" s="5">
        <f t="shared" si="5"/>
        <v>1680</v>
      </c>
      <c r="CA23" s="2" t="str">
        <f t="shared" si="6"/>
        <v>Hộp-16x0.8</v>
      </c>
      <c r="CB23" s="19">
        <v>0.37833333333333335</v>
      </c>
      <c r="CC23" s="19">
        <v>16</v>
      </c>
      <c r="CD23" s="19">
        <v>16</v>
      </c>
      <c r="CE23" s="20" t="s">
        <v>63</v>
      </c>
      <c r="CF23" s="5">
        <f t="shared" si="7"/>
        <v>64</v>
      </c>
      <c r="CG23" s="5">
        <f t="shared" si="8"/>
        <v>2.4000000000000004</v>
      </c>
      <c r="CH23" s="5">
        <f t="shared" si="9"/>
        <v>1.6</v>
      </c>
      <c r="CI23" s="5">
        <f t="shared" si="10"/>
        <v>0.36026080745817562</v>
      </c>
      <c r="CJ23" s="2">
        <f t="shared" si="11"/>
        <v>7850</v>
      </c>
      <c r="CK23" s="48"/>
      <c r="CZ23" s="2" t="str">
        <f t="shared" si="12"/>
        <v>Ống-19.1x1</v>
      </c>
      <c r="DA23" s="19">
        <v>0.46300000000000002</v>
      </c>
      <c r="DB23" s="19">
        <v>19.100000000000001</v>
      </c>
      <c r="DC23" s="19">
        <v>1</v>
      </c>
      <c r="DD23" s="21">
        <f t="shared" si="13"/>
        <v>60.004419683565054</v>
      </c>
      <c r="DE23" s="44">
        <f t="shared" si="14"/>
        <v>0.44637319218530613</v>
      </c>
      <c r="DF23" s="19">
        <f t="shared" si="15"/>
        <v>7850</v>
      </c>
      <c r="DY23" t="str">
        <f t="shared" si="16"/>
        <v>C-80x40x14x1.8</v>
      </c>
      <c r="DZ23" s="15" t="s">
        <v>116</v>
      </c>
      <c r="EA23" s="16">
        <v>2.6560000000000001</v>
      </c>
      <c r="EB23" s="16">
        <v>80</v>
      </c>
      <c r="EC23" s="16">
        <v>40</v>
      </c>
      <c r="ED23" s="15" t="s">
        <v>35</v>
      </c>
      <c r="EE23" s="15" t="s">
        <v>72</v>
      </c>
      <c r="EY23" s="2" t="str">
        <f t="shared" si="17"/>
        <v>C-360x110</v>
      </c>
      <c r="EZ23" s="33" t="s">
        <v>121</v>
      </c>
      <c r="FA23" s="34">
        <v>41.9</v>
      </c>
      <c r="FB23" s="34">
        <v>360</v>
      </c>
      <c r="FC23" s="34">
        <v>110</v>
      </c>
      <c r="FY23" s="5" t="str">
        <f t="shared" si="18"/>
        <v>D24</v>
      </c>
      <c r="FZ23" s="5">
        <v>24</v>
      </c>
      <c r="GA23" s="5">
        <v>2.42</v>
      </c>
    </row>
    <row r="24" spans="1:183" x14ac:dyDescent="0.25">
      <c r="A24" s="9" t="str">
        <f t="shared" si="0"/>
        <v>L-75x7</v>
      </c>
      <c r="B24" s="8">
        <v>7.96</v>
      </c>
      <c r="C24" s="8">
        <v>75</v>
      </c>
      <c r="D24" s="8">
        <v>7</v>
      </c>
      <c r="E24" s="5">
        <f t="shared" si="1"/>
        <v>300</v>
      </c>
      <c r="AA24" s="5" t="str">
        <f t="shared" si="2"/>
        <v>L-125x90x7</v>
      </c>
      <c r="AB24" s="18">
        <v>11</v>
      </c>
      <c r="AC24" s="18">
        <v>125</v>
      </c>
      <c r="AD24" s="18">
        <v>90</v>
      </c>
      <c r="AE24" s="18" t="s">
        <v>30</v>
      </c>
      <c r="AF24" s="5">
        <f t="shared" si="3"/>
        <v>430</v>
      </c>
      <c r="BA24" s="2" t="str">
        <f t="shared" si="4"/>
        <v>H-550x180</v>
      </c>
      <c r="BB24" s="19">
        <v>92.6</v>
      </c>
      <c r="BC24" s="19">
        <v>550</v>
      </c>
      <c r="BD24" s="19">
        <v>180</v>
      </c>
      <c r="BE24" s="20" t="s">
        <v>43</v>
      </c>
      <c r="BF24" s="20" t="s">
        <v>43</v>
      </c>
      <c r="BG24" s="5">
        <f t="shared" si="5"/>
        <v>1820</v>
      </c>
      <c r="CA24" s="2" t="str">
        <f t="shared" si="6"/>
        <v>Hộp-16x0.9</v>
      </c>
      <c r="CB24" s="19">
        <v>0.42166666666666663</v>
      </c>
      <c r="CC24" s="19">
        <v>16</v>
      </c>
      <c r="CD24" s="19">
        <v>16</v>
      </c>
      <c r="CE24" s="20" t="s">
        <v>64</v>
      </c>
      <c r="CF24" s="5">
        <f t="shared" si="7"/>
        <v>64</v>
      </c>
      <c r="CG24" s="5">
        <f t="shared" si="8"/>
        <v>2.7</v>
      </c>
      <c r="CH24" s="5">
        <f t="shared" si="9"/>
        <v>1.8</v>
      </c>
      <c r="CI24" s="5">
        <f t="shared" si="10"/>
        <v>0.39943508443925352</v>
      </c>
      <c r="CJ24" s="2">
        <f t="shared" si="11"/>
        <v>7850</v>
      </c>
      <c r="CK24" s="48"/>
      <c r="CZ24" s="2" t="str">
        <f t="shared" si="12"/>
        <v>Ống-19.1x1.1</v>
      </c>
      <c r="DA24" s="19">
        <v>0.50900000000000001</v>
      </c>
      <c r="DB24" s="19">
        <v>19.100000000000001</v>
      </c>
      <c r="DC24" s="19">
        <v>1.1000000000000001</v>
      </c>
      <c r="DD24" s="21">
        <f t="shared" si="13"/>
        <v>60.004419683565054</v>
      </c>
      <c r="DE24" s="44">
        <f t="shared" si="14"/>
        <v>0.48829774614746169</v>
      </c>
      <c r="DF24" s="19">
        <f t="shared" si="15"/>
        <v>7850</v>
      </c>
      <c r="DY24" t="str">
        <f t="shared" si="16"/>
        <v>C-80x40x14x2</v>
      </c>
      <c r="DZ24" s="15" t="s">
        <v>116</v>
      </c>
      <c r="EA24" s="16">
        <v>2.952</v>
      </c>
      <c r="EB24" s="16">
        <v>80</v>
      </c>
      <c r="EC24" s="16">
        <v>40</v>
      </c>
      <c r="ED24" s="15" t="s">
        <v>35</v>
      </c>
      <c r="EE24" s="15" t="s">
        <v>74</v>
      </c>
      <c r="EY24" s="2" t="str">
        <f t="shared" si="17"/>
        <v>C-400x115</v>
      </c>
      <c r="EZ24" s="33" t="s">
        <v>121</v>
      </c>
      <c r="FA24" s="34">
        <v>48.3</v>
      </c>
      <c r="FB24" s="34">
        <v>400</v>
      </c>
      <c r="FC24" s="34">
        <v>115</v>
      </c>
      <c r="FY24" s="5" t="str">
        <f t="shared" si="18"/>
        <v>D26</v>
      </c>
      <c r="FZ24" s="5">
        <v>26</v>
      </c>
      <c r="GA24" s="5">
        <v>2.8</v>
      </c>
    </row>
    <row r="25" spans="1:183" x14ac:dyDescent="0.25">
      <c r="A25" s="9" t="str">
        <f t="shared" si="0"/>
        <v>L-75x8</v>
      </c>
      <c r="B25" s="8">
        <v>9.02</v>
      </c>
      <c r="C25" s="8">
        <v>75</v>
      </c>
      <c r="D25" s="8">
        <v>8</v>
      </c>
      <c r="E25" s="5">
        <f t="shared" si="1"/>
        <v>300</v>
      </c>
      <c r="AA25" s="5" t="str">
        <f t="shared" si="2"/>
        <v>L-125x90x8</v>
      </c>
      <c r="AB25" s="18">
        <v>12.5</v>
      </c>
      <c r="AC25" s="18">
        <v>125</v>
      </c>
      <c r="AD25" s="18">
        <v>90</v>
      </c>
      <c r="AE25" s="18" t="s">
        <v>28</v>
      </c>
      <c r="AF25" s="5">
        <f t="shared" si="3"/>
        <v>430</v>
      </c>
      <c r="BA25" s="2" t="str">
        <f t="shared" si="4"/>
        <v>H-600x190</v>
      </c>
      <c r="BB25" s="19">
        <v>108</v>
      </c>
      <c r="BC25" s="19">
        <v>600</v>
      </c>
      <c r="BD25" s="19">
        <v>190</v>
      </c>
      <c r="BE25" s="20" t="s">
        <v>43</v>
      </c>
      <c r="BF25" s="20" t="s">
        <v>43</v>
      </c>
      <c r="BG25" s="5">
        <f t="shared" si="5"/>
        <v>1960</v>
      </c>
      <c r="CA25" s="2" t="str">
        <f t="shared" si="6"/>
        <v>Hộp-16x1</v>
      </c>
      <c r="CB25" s="19">
        <v>0.46500000000000002</v>
      </c>
      <c r="CC25" s="19">
        <v>16</v>
      </c>
      <c r="CD25" s="19">
        <v>16</v>
      </c>
      <c r="CE25" s="20" t="s">
        <v>65</v>
      </c>
      <c r="CF25" s="5">
        <f t="shared" si="7"/>
        <v>64</v>
      </c>
      <c r="CG25" s="5">
        <f t="shared" si="8"/>
        <v>3</v>
      </c>
      <c r="CH25" s="5">
        <f t="shared" si="9"/>
        <v>2</v>
      </c>
      <c r="CI25" s="5">
        <f t="shared" si="10"/>
        <v>0.43730751165339937</v>
      </c>
      <c r="CJ25" s="2">
        <f t="shared" si="11"/>
        <v>7850</v>
      </c>
      <c r="CK25" s="48"/>
      <c r="CZ25" s="2" t="str">
        <f t="shared" si="12"/>
        <v>Ống-19.1x1.2</v>
      </c>
      <c r="DA25" s="19">
        <v>0.55400000000000005</v>
      </c>
      <c r="DB25" s="19">
        <v>19.100000000000001</v>
      </c>
      <c r="DC25" s="19">
        <v>1.2</v>
      </c>
      <c r="DD25" s="21">
        <f t="shared" si="13"/>
        <v>60.004419683565054</v>
      </c>
      <c r="DE25" s="44">
        <f t="shared" si="14"/>
        <v>0.52972907006300374</v>
      </c>
      <c r="DF25" s="19">
        <f t="shared" si="15"/>
        <v>7850</v>
      </c>
      <c r="DY25" t="str">
        <f t="shared" si="16"/>
        <v>C-80x40x14x2.5</v>
      </c>
      <c r="DZ25" s="15" t="s">
        <v>116</v>
      </c>
      <c r="EA25" s="16">
        <v>3.69</v>
      </c>
      <c r="EB25" s="16">
        <v>80</v>
      </c>
      <c r="EC25" s="16">
        <v>40</v>
      </c>
      <c r="ED25" s="15" t="s">
        <v>35</v>
      </c>
      <c r="EE25" s="15" t="s">
        <v>79</v>
      </c>
      <c r="EY25" s="2" t="str">
        <f t="shared" si="17"/>
        <v>C-50x32</v>
      </c>
      <c r="EZ25" s="33" t="s">
        <v>122</v>
      </c>
      <c r="FA25" s="34">
        <v>4.84</v>
      </c>
      <c r="FB25" s="34">
        <v>50</v>
      </c>
      <c r="FC25" s="34">
        <v>32</v>
      </c>
      <c r="FY25" s="5" t="str">
        <f t="shared" si="18"/>
        <v>D27.5</v>
      </c>
      <c r="FZ25" s="5">
        <v>27.5</v>
      </c>
      <c r="GA25" s="5">
        <v>3.21</v>
      </c>
    </row>
    <row r="26" spans="1:183" x14ac:dyDescent="0.25">
      <c r="A26" s="9" t="str">
        <f t="shared" si="0"/>
        <v>L-75x9</v>
      </c>
      <c r="B26" s="8">
        <v>10.1</v>
      </c>
      <c r="C26" s="8">
        <v>75</v>
      </c>
      <c r="D26" s="8">
        <v>9</v>
      </c>
      <c r="E26" s="5">
        <f t="shared" si="1"/>
        <v>300</v>
      </c>
      <c r="AA26" s="5" t="str">
        <f t="shared" si="2"/>
        <v>L-125x90x10</v>
      </c>
      <c r="AB26" s="18">
        <v>15.5</v>
      </c>
      <c r="AC26" s="18">
        <v>125</v>
      </c>
      <c r="AD26" s="18">
        <v>90</v>
      </c>
      <c r="AE26" s="18" t="s">
        <v>31</v>
      </c>
      <c r="AF26" s="5">
        <f t="shared" si="3"/>
        <v>430</v>
      </c>
      <c r="BA26" s="2" t="str">
        <f t="shared" si="4"/>
        <v>H-100x100x6x8</v>
      </c>
      <c r="BB26" s="19">
        <v>17.2</v>
      </c>
      <c r="BC26" s="19">
        <v>100</v>
      </c>
      <c r="BD26" s="19">
        <v>100</v>
      </c>
      <c r="BE26" s="20" t="s">
        <v>27</v>
      </c>
      <c r="BF26" s="20" t="s">
        <v>28</v>
      </c>
      <c r="BG26" s="5">
        <f t="shared" si="5"/>
        <v>600</v>
      </c>
      <c r="CA26" s="2" t="str">
        <f t="shared" si="6"/>
        <v>Hộp-16x1.1</v>
      </c>
      <c r="CB26" s="19">
        <v>0.50666666666666671</v>
      </c>
      <c r="CC26" s="19">
        <v>16</v>
      </c>
      <c r="CD26" s="19">
        <v>16</v>
      </c>
      <c r="CE26" s="20" t="s">
        <v>66</v>
      </c>
      <c r="CF26" s="5">
        <f t="shared" si="7"/>
        <v>64</v>
      </c>
      <c r="CG26" s="5">
        <f t="shared" si="8"/>
        <v>3.3000000000000003</v>
      </c>
      <c r="CH26" s="5">
        <f t="shared" si="9"/>
        <v>2.2000000000000002</v>
      </c>
      <c r="CI26" s="5">
        <f t="shared" si="10"/>
        <v>0.47387808910061324</v>
      </c>
      <c r="CJ26" s="2">
        <f t="shared" si="11"/>
        <v>7850</v>
      </c>
      <c r="CK26" s="48"/>
      <c r="CZ26" s="2" t="str">
        <f t="shared" si="12"/>
        <v>Ống-19.1x1.4</v>
      </c>
      <c r="DA26" s="19">
        <v>0.64400000000000002</v>
      </c>
      <c r="DB26" s="19">
        <v>19.100000000000001</v>
      </c>
      <c r="DC26" s="19">
        <v>1.4</v>
      </c>
      <c r="DD26" s="21">
        <f t="shared" si="13"/>
        <v>60.004419683565054</v>
      </c>
      <c r="DE26" s="44">
        <f t="shared" si="14"/>
        <v>0.61111202775424789</v>
      </c>
      <c r="DF26" s="19">
        <f t="shared" si="15"/>
        <v>7850</v>
      </c>
      <c r="DY26" t="str">
        <f t="shared" si="16"/>
        <v>C-80x40x14x2.8</v>
      </c>
      <c r="DZ26" s="15" t="s">
        <v>116</v>
      </c>
      <c r="EA26" s="16">
        <v>4.1319999999999997</v>
      </c>
      <c r="EB26" s="16">
        <v>80</v>
      </c>
      <c r="EC26" s="16">
        <v>40</v>
      </c>
      <c r="ED26" s="15" t="s">
        <v>35</v>
      </c>
      <c r="EE26" s="15" t="s">
        <v>81</v>
      </c>
      <c r="EY26" s="2" t="str">
        <f t="shared" si="17"/>
        <v>C-65x32</v>
      </c>
      <c r="EZ26" s="33" t="s">
        <v>122</v>
      </c>
      <c r="FA26" s="34">
        <v>5.9</v>
      </c>
      <c r="FB26" s="34">
        <v>65</v>
      </c>
      <c r="FC26" s="34">
        <v>32</v>
      </c>
    </row>
    <row r="27" spans="1:183" x14ac:dyDescent="0.25">
      <c r="A27" s="9" t="str">
        <f t="shared" si="0"/>
        <v>L-80x5.5</v>
      </c>
      <c r="B27" s="8">
        <v>6.78</v>
      </c>
      <c r="C27" s="8">
        <v>80</v>
      </c>
      <c r="D27" s="8">
        <v>5.5</v>
      </c>
      <c r="E27" s="5">
        <f t="shared" si="1"/>
        <v>320</v>
      </c>
      <c r="AA27" s="5" t="str">
        <f t="shared" si="2"/>
        <v>L-125x90x12</v>
      </c>
      <c r="AB27" s="18">
        <v>18.3</v>
      </c>
      <c r="AC27" s="18">
        <v>125</v>
      </c>
      <c r="AD27" s="18">
        <v>90</v>
      </c>
      <c r="AE27" s="18" t="s">
        <v>33</v>
      </c>
      <c r="AF27" s="5">
        <f t="shared" si="3"/>
        <v>430</v>
      </c>
      <c r="BA27" s="2" t="str">
        <f t="shared" si="4"/>
        <v>H-125x125x7x9</v>
      </c>
      <c r="BB27" s="19">
        <v>23.8</v>
      </c>
      <c r="BC27" s="19">
        <v>125</v>
      </c>
      <c r="BD27" s="19">
        <v>125</v>
      </c>
      <c r="BE27" s="20" t="s">
        <v>30</v>
      </c>
      <c r="BF27" s="20" t="s">
        <v>34</v>
      </c>
      <c r="BG27" s="5">
        <f t="shared" si="5"/>
        <v>750</v>
      </c>
      <c r="CA27" s="2" t="str">
        <f t="shared" si="6"/>
        <v>Hộp-16x1.2</v>
      </c>
      <c r="CB27" s="19">
        <v>0.54833333333333334</v>
      </c>
      <c r="CC27" s="19">
        <v>16</v>
      </c>
      <c r="CD27" s="19">
        <v>16</v>
      </c>
      <c r="CE27" s="20" t="s">
        <v>67</v>
      </c>
      <c r="CF27" s="5">
        <f t="shared" si="7"/>
        <v>64</v>
      </c>
      <c r="CG27" s="5">
        <f t="shared" si="8"/>
        <v>3.5999999999999996</v>
      </c>
      <c r="CH27" s="5">
        <f t="shared" si="9"/>
        <v>2.4</v>
      </c>
      <c r="CI27" s="5">
        <f t="shared" si="10"/>
        <v>0.50914681678089524</v>
      </c>
      <c r="CJ27" s="2">
        <f t="shared" si="11"/>
        <v>7850</v>
      </c>
      <c r="CK27" s="48"/>
      <c r="CZ27" s="2" t="str">
        <f t="shared" si="12"/>
        <v>Ống-19.1x1.5</v>
      </c>
      <c r="DA27" s="19">
        <v>0.68899999999999995</v>
      </c>
      <c r="DB27" s="19">
        <v>19.100000000000001</v>
      </c>
      <c r="DC27" s="19">
        <v>1.5</v>
      </c>
      <c r="DD27" s="21">
        <f t="shared" si="13"/>
        <v>60.004419683565054</v>
      </c>
      <c r="DE27" s="44">
        <f t="shared" si="14"/>
        <v>0.65106366152994899</v>
      </c>
      <c r="DF27" s="19">
        <f t="shared" si="15"/>
        <v>7850</v>
      </c>
      <c r="DY27" t="str">
        <f t="shared" si="16"/>
        <v>C-80x40x14x3</v>
      </c>
      <c r="DZ27" s="15" t="s">
        <v>116</v>
      </c>
      <c r="EA27" s="16">
        <v>4.4269999999999996</v>
      </c>
      <c r="EB27" s="16">
        <v>80</v>
      </c>
      <c r="EC27" s="16">
        <v>40</v>
      </c>
      <c r="ED27" s="15" t="s">
        <v>35</v>
      </c>
      <c r="EE27" s="15" t="s">
        <v>83</v>
      </c>
      <c r="EY27" s="2" t="str">
        <f t="shared" si="17"/>
        <v>C-80x40</v>
      </c>
      <c r="EZ27" s="33" t="s">
        <v>122</v>
      </c>
      <c r="FA27" s="34">
        <v>7.05</v>
      </c>
      <c r="FB27" s="34">
        <v>80</v>
      </c>
      <c r="FC27" s="34">
        <v>40</v>
      </c>
    </row>
    <row r="28" spans="1:183" x14ac:dyDescent="0.25">
      <c r="A28" s="9" t="str">
        <f t="shared" si="0"/>
        <v>L-80x6</v>
      </c>
      <c r="B28" s="8">
        <v>7.36</v>
      </c>
      <c r="C28" s="8">
        <v>80</v>
      </c>
      <c r="D28" s="8">
        <v>6</v>
      </c>
      <c r="E28" s="5">
        <f t="shared" si="1"/>
        <v>320</v>
      </c>
      <c r="AA28" s="5" t="str">
        <f t="shared" si="2"/>
        <v>L-140x90x8</v>
      </c>
      <c r="AB28" s="18">
        <v>14.1</v>
      </c>
      <c r="AC28" s="18">
        <v>140</v>
      </c>
      <c r="AD28" s="18">
        <v>90</v>
      </c>
      <c r="AE28" s="18" t="s">
        <v>28</v>
      </c>
      <c r="AF28" s="5">
        <f t="shared" si="3"/>
        <v>460</v>
      </c>
      <c r="BA28" s="2" t="str">
        <f t="shared" si="4"/>
        <v>H-150x75x5x7</v>
      </c>
      <c r="BB28" s="19">
        <v>14</v>
      </c>
      <c r="BC28" s="19">
        <v>150</v>
      </c>
      <c r="BD28" s="19">
        <v>75</v>
      </c>
      <c r="BE28" s="20" t="s">
        <v>26</v>
      </c>
      <c r="BF28" s="20" t="s">
        <v>30</v>
      </c>
      <c r="BG28" s="5">
        <f t="shared" si="5"/>
        <v>600</v>
      </c>
      <c r="CA28" s="2" t="str">
        <f t="shared" si="6"/>
        <v>Hộp-16x1.4</v>
      </c>
      <c r="CB28" s="19">
        <v>0.63</v>
      </c>
      <c r="CC28" s="19">
        <v>16</v>
      </c>
      <c r="CD28" s="19">
        <v>16</v>
      </c>
      <c r="CE28" s="20" t="s">
        <v>68</v>
      </c>
      <c r="CF28" s="5">
        <f t="shared" si="7"/>
        <v>64</v>
      </c>
      <c r="CG28" s="5">
        <f t="shared" si="8"/>
        <v>4.1999999999999993</v>
      </c>
      <c r="CH28" s="5">
        <f t="shared" si="9"/>
        <v>2.8</v>
      </c>
      <c r="CI28" s="5">
        <f t="shared" si="10"/>
        <v>0.57577872284066267</v>
      </c>
      <c r="CJ28" s="2">
        <f t="shared" si="11"/>
        <v>7850</v>
      </c>
      <c r="CK28" s="48"/>
      <c r="CZ28" s="2" t="str">
        <f t="shared" si="12"/>
        <v>Ống-21x0.9</v>
      </c>
      <c r="DA28" s="19">
        <v>0.46</v>
      </c>
      <c r="DB28" s="19">
        <v>21</v>
      </c>
      <c r="DC28" s="19">
        <v>0.9</v>
      </c>
      <c r="DD28" s="21">
        <f t="shared" si="13"/>
        <v>65.973445725385659</v>
      </c>
      <c r="DE28" s="44">
        <f t="shared" si="14"/>
        <v>0.44612657716199877</v>
      </c>
      <c r="DF28" s="19">
        <f t="shared" si="15"/>
        <v>7850</v>
      </c>
      <c r="DY28" t="str">
        <f t="shared" si="16"/>
        <v>C-80x40x14x3.5</v>
      </c>
      <c r="DZ28" s="15" t="s">
        <v>116</v>
      </c>
      <c r="EA28" s="16">
        <v>5.165</v>
      </c>
      <c r="EB28" s="16">
        <v>80</v>
      </c>
      <c r="EC28" s="16">
        <v>40</v>
      </c>
      <c r="ED28" s="15" t="s">
        <v>35</v>
      </c>
      <c r="EE28" s="15" t="s">
        <v>88</v>
      </c>
      <c r="EY28" s="2" t="str">
        <f t="shared" si="17"/>
        <v>C-100x46</v>
      </c>
      <c r="EZ28" s="33" t="s">
        <v>122</v>
      </c>
      <c r="FA28" s="34">
        <v>8.9499999999999993</v>
      </c>
      <c r="FB28" s="34">
        <v>100</v>
      </c>
      <c r="FC28" s="34">
        <v>46</v>
      </c>
    </row>
    <row r="29" spans="1:183" x14ac:dyDescent="0.25">
      <c r="A29" s="9" t="str">
        <f t="shared" si="0"/>
        <v>L-80x7</v>
      </c>
      <c r="B29" s="8">
        <v>8.51</v>
      </c>
      <c r="C29" s="8">
        <v>80</v>
      </c>
      <c r="D29" s="8">
        <v>7</v>
      </c>
      <c r="E29" s="5">
        <f t="shared" si="1"/>
        <v>320</v>
      </c>
      <c r="AA29" s="5" t="str">
        <f t="shared" si="2"/>
        <v>L-140x90x10</v>
      </c>
      <c r="AB29" s="18">
        <v>17.5</v>
      </c>
      <c r="AC29" s="18">
        <v>140</v>
      </c>
      <c r="AD29" s="18">
        <v>90</v>
      </c>
      <c r="AE29" s="18" t="s">
        <v>31</v>
      </c>
      <c r="AF29" s="5">
        <f t="shared" si="3"/>
        <v>460</v>
      </c>
      <c r="BA29" s="2" t="str">
        <f t="shared" si="4"/>
        <v>H-148x100x6x9</v>
      </c>
      <c r="BB29" s="19">
        <v>21.1</v>
      </c>
      <c r="BC29" s="19">
        <v>148</v>
      </c>
      <c r="BD29" s="19">
        <v>100</v>
      </c>
      <c r="BE29" s="20" t="s">
        <v>27</v>
      </c>
      <c r="BF29" s="20" t="s">
        <v>34</v>
      </c>
      <c r="BG29" s="5">
        <f t="shared" si="5"/>
        <v>696</v>
      </c>
      <c r="CA29" s="2" t="str">
        <f t="shared" si="6"/>
        <v>Hộp-13x26x0.6</v>
      </c>
      <c r="CB29" s="19">
        <v>0.35333333333333333</v>
      </c>
      <c r="CC29" s="19">
        <v>13</v>
      </c>
      <c r="CD29" s="19">
        <v>26</v>
      </c>
      <c r="CE29" s="20" t="s">
        <v>61</v>
      </c>
      <c r="CF29" s="5">
        <f t="shared" si="7"/>
        <v>78</v>
      </c>
      <c r="CG29" s="5">
        <f t="shared" si="8"/>
        <v>1.7999999999999998</v>
      </c>
      <c r="CH29" s="5">
        <f t="shared" si="9"/>
        <v>1.2</v>
      </c>
      <c r="CI29" s="5">
        <f t="shared" si="10"/>
        <v>0.34394670419522372</v>
      </c>
      <c r="CJ29" s="2">
        <f t="shared" si="11"/>
        <v>7850</v>
      </c>
      <c r="CK29" s="48"/>
      <c r="CZ29" s="2" t="str">
        <f t="shared" si="12"/>
        <v>Ống-21x1</v>
      </c>
      <c r="DA29" s="19">
        <v>0.51</v>
      </c>
      <c r="DB29" s="19">
        <v>21</v>
      </c>
      <c r="DC29" s="19">
        <v>1</v>
      </c>
      <c r="DD29" s="21">
        <f t="shared" si="13"/>
        <v>65.973445725385659</v>
      </c>
      <c r="DE29" s="44">
        <f t="shared" si="14"/>
        <v>0.49323004661359759</v>
      </c>
      <c r="DF29" s="19">
        <f t="shared" si="15"/>
        <v>7850</v>
      </c>
      <c r="DY29" t="str">
        <f t="shared" si="16"/>
        <v>C-80x40x14x4</v>
      </c>
      <c r="DZ29" s="15" t="s">
        <v>116</v>
      </c>
      <c r="EA29" s="16">
        <v>5.9029999999999996</v>
      </c>
      <c r="EB29" s="16">
        <v>80</v>
      </c>
      <c r="EC29" s="16">
        <v>40</v>
      </c>
      <c r="ED29" s="15" t="s">
        <v>35</v>
      </c>
      <c r="EE29" s="15" t="s">
        <v>25</v>
      </c>
      <c r="EY29" s="2" t="str">
        <f t="shared" si="17"/>
        <v>C-120x52</v>
      </c>
      <c r="EZ29" s="33" t="s">
        <v>122</v>
      </c>
      <c r="FA29" s="34">
        <v>10.4</v>
      </c>
      <c r="FB29" s="34">
        <v>120</v>
      </c>
      <c r="FC29" s="34">
        <v>52</v>
      </c>
    </row>
    <row r="30" spans="1:183" x14ac:dyDescent="0.25">
      <c r="A30" s="9" t="str">
        <f t="shared" si="0"/>
        <v>L-80x8</v>
      </c>
      <c r="B30" s="8">
        <v>9.65</v>
      </c>
      <c r="C30" s="8">
        <v>80</v>
      </c>
      <c r="D30" s="8">
        <v>8</v>
      </c>
      <c r="E30" s="5">
        <f t="shared" si="1"/>
        <v>320</v>
      </c>
      <c r="AA30" s="5" t="str">
        <f t="shared" si="2"/>
        <v>L-160x90x9</v>
      </c>
      <c r="AB30" s="18">
        <v>18</v>
      </c>
      <c r="AC30" s="18">
        <v>160</v>
      </c>
      <c r="AD30" s="18">
        <v>90</v>
      </c>
      <c r="AE30" s="18" t="s">
        <v>34</v>
      </c>
      <c r="AF30" s="5">
        <f t="shared" si="3"/>
        <v>500</v>
      </c>
      <c r="BA30" s="2" t="str">
        <f t="shared" si="4"/>
        <v>H-150x150x7x10</v>
      </c>
      <c r="BB30" s="19">
        <v>31.5</v>
      </c>
      <c r="BC30" s="19">
        <v>150</v>
      </c>
      <c r="BD30" s="19">
        <v>150</v>
      </c>
      <c r="BE30" s="20" t="s">
        <v>30</v>
      </c>
      <c r="BF30" s="20" t="s">
        <v>31</v>
      </c>
      <c r="BG30" s="5">
        <f t="shared" si="5"/>
        <v>900</v>
      </c>
      <c r="CA30" s="2" t="str">
        <f t="shared" si="6"/>
        <v>Hộp-13x26x0.7</v>
      </c>
      <c r="CB30" s="19">
        <v>0.41</v>
      </c>
      <c r="CC30" s="19">
        <v>13</v>
      </c>
      <c r="CD30" s="19">
        <v>26</v>
      </c>
      <c r="CE30" s="20" t="s">
        <v>62</v>
      </c>
      <c r="CF30" s="5">
        <f t="shared" si="7"/>
        <v>78</v>
      </c>
      <c r="CG30" s="5">
        <f t="shared" si="8"/>
        <v>2.0999999999999996</v>
      </c>
      <c r="CH30" s="5">
        <f t="shared" si="9"/>
        <v>1.4</v>
      </c>
      <c r="CI30" s="5">
        <f t="shared" si="10"/>
        <v>0.39671468071016575</v>
      </c>
      <c r="CJ30" s="2">
        <f t="shared" si="11"/>
        <v>7850</v>
      </c>
      <c r="CK30" s="48"/>
      <c r="CZ30" s="2" t="str">
        <f t="shared" si="12"/>
        <v>Ống-21x1.1</v>
      </c>
      <c r="DA30" s="19">
        <v>0.56000000000000005</v>
      </c>
      <c r="DB30" s="19">
        <v>21</v>
      </c>
      <c r="DC30" s="19">
        <v>1.1000000000000001</v>
      </c>
      <c r="DD30" s="21">
        <f t="shared" si="13"/>
        <v>65.973445725385659</v>
      </c>
      <c r="DE30" s="44">
        <f t="shared" si="14"/>
        <v>0.53984028601858214</v>
      </c>
      <c r="DF30" s="19">
        <f t="shared" si="15"/>
        <v>7850</v>
      </c>
      <c r="DY30" t="str">
        <f t="shared" si="16"/>
        <v>C-100x50x15x1.2</v>
      </c>
      <c r="DZ30" s="15" t="s">
        <v>116</v>
      </c>
      <c r="EA30" s="16">
        <v>2.1669999999999998</v>
      </c>
      <c r="EB30" s="16">
        <v>100</v>
      </c>
      <c r="EC30" s="16">
        <v>50</v>
      </c>
      <c r="ED30" s="15" t="s">
        <v>45</v>
      </c>
      <c r="EE30" s="15" t="s">
        <v>67</v>
      </c>
      <c r="EY30" s="2" t="str">
        <f t="shared" si="17"/>
        <v>C-140x58</v>
      </c>
      <c r="EZ30" s="33" t="s">
        <v>122</v>
      </c>
      <c r="FA30" s="34">
        <v>12.3</v>
      </c>
      <c r="FB30" s="34">
        <v>140</v>
      </c>
      <c r="FC30" s="34">
        <v>58</v>
      </c>
    </row>
    <row r="31" spans="1:183" x14ac:dyDescent="0.25">
      <c r="A31" s="9" t="str">
        <f t="shared" si="0"/>
        <v>L-100x6.5</v>
      </c>
      <c r="B31" s="8">
        <v>10.1</v>
      </c>
      <c r="C31" s="8">
        <v>100</v>
      </c>
      <c r="D31" s="8">
        <v>6.5</v>
      </c>
      <c r="E31" s="5">
        <f t="shared" si="1"/>
        <v>400</v>
      </c>
      <c r="AA31" s="5" t="str">
        <f t="shared" si="2"/>
        <v>L-160x90x10</v>
      </c>
      <c r="AB31" s="18">
        <v>19.8</v>
      </c>
      <c r="AC31" s="18">
        <v>160</v>
      </c>
      <c r="AD31" s="18">
        <v>90</v>
      </c>
      <c r="AE31" s="18" t="s">
        <v>31</v>
      </c>
      <c r="AF31" s="5">
        <f t="shared" si="3"/>
        <v>500</v>
      </c>
      <c r="BA31" s="2" t="str">
        <f t="shared" si="4"/>
        <v>H-175x175x8x11</v>
      </c>
      <c r="BB31" s="19">
        <v>40.200000000000003</v>
      </c>
      <c r="BC31" s="19">
        <v>175</v>
      </c>
      <c r="BD31" s="19">
        <v>175</v>
      </c>
      <c r="BE31" s="20" t="s">
        <v>28</v>
      </c>
      <c r="BF31" s="20" t="s">
        <v>36</v>
      </c>
      <c r="BG31" s="5">
        <f t="shared" si="5"/>
        <v>1050</v>
      </c>
      <c r="CA31" s="2" t="str">
        <f t="shared" si="6"/>
        <v>Hộp-13x26x0.8</v>
      </c>
      <c r="CB31" s="19">
        <v>0.46500000000000002</v>
      </c>
      <c r="CC31" s="19">
        <v>13</v>
      </c>
      <c r="CD31" s="19">
        <v>26</v>
      </c>
      <c r="CE31" s="20" t="s">
        <v>63</v>
      </c>
      <c r="CF31" s="5">
        <f t="shared" si="7"/>
        <v>78</v>
      </c>
      <c r="CG31" s="5">
        <f t="shared" si="8"/>
        <v>2.4000000000000004</v>
      </c>
      <c r="CH31" s="5">
        <f t="shared" si="9"/>
        <v>1.6</v>
      </c>
      <c r="CI31" s="5">
        <f t="shared" si="10"/>
        <v>0.44818080745817562</v>
      </c>
      <c r="CJ31" s="2">
        <f t="shared" si="11"/>
        <v>7850</v>
      </c>
      <c r="CK31" s="48"/>
      <c r="CZ31" s="2" t="str">
        <f t="shared" si="12"/>
        <v>Ống-21x1.2</v>
      </c>
      <c r="DA31" s="19">
        <v>0.61</v>
      </c>
      <c r="DB31" s="19">
        <v>21</v>
      </c>
      <c r="DC31" s="19">
        <v>1.2</v>
      </c>
      <c r="DD31" s="21">
        <f t="shared" si="13"/>
        <v>65.973445725385659</v>
      </c>
      <c r="DE31" s="44">
        <f t="shared" si="14"/>
        <v>0.58595729537695374</v>
      </c>
      <c r="DF31" s="19">
        <f t="shared" si="15"/>
        <v>7850</v>
      </c>
      <c r="DY31" t="str">
        <f t="shared" si="16"/>
        <v>C-100x50x15x1.5</v>
      </c>
      <c r="DZ31" s="15" t="s">
        <v>116</v>
      </c>
      <c r="EA31" s="16">
        <v>2.7080000000000002</v>
      </c>
      <c r="EB31" s="16">
        <v>100</v>
      </c>
      <c r="EC31" s="16">
        <v>50</v>
      </c>
      <c r="ED31" s="15" t="s">
        <v>45</v>
      </c>
      <c r="EE31" s="15" t="s">
        <v>69</v>
      </c>
      <c r="EY31" s="2" t="str">
        <f t="shared" si="17"/>
        <v>C-140x62</v>
      </c>
      <c r="EZ31" s="33" t="s">
        <v>122</v>
      </c>
      <c r="FA31" s="34">
        <v>13.3</v>
      </c>
      <c r="FB31" s="34">
        <v>140</v>
      </c>
      <c r="FC31" s="34">
        <v>62</v>
      </c>
    </row>
    <row r="32" spans="1:183" x14ac:dyDescent="0.25">
      <c r="A32" s="9" t="str">
        <f t="shared" si="0"/>
        <v>L-100x7</v>
      </c>
      <c r="B32" s="8">
        <v>10.8</v>
      </c>
      <c r="C32" s="8">
        <v>100</v>
      </c>
      <c r="D32" s="8">
        <v>7</v>
      </c>
      <c r="E32" s="5">
        <f t="shared" si="1"/>
        <v>400</v>
      </c>
      <c r="AA32" s="5" t="str">
        <f t="shared" si="2"/>
        <v>L-160x90x12</v>
      </c>
      <c r="AB32" s="18">
        <v>23.6</v>
      </c>
      <c r="AC32" s="18">
        <v>160</v>
      </c>
      <c r="AD32" s="18">
        <v>90</v>
      </c>
      <c r="AE32" s="18" t="s">
        <v>33</v>
      </c>
      <c r="AF32" s="5">
        <f t="shared" si="3"/>
        <v>500</v>
      </c>
      <c r="BA32" s="2" t="str">
        <f t="shared" si="4"/>
        <v>H-198x99x5x7</v>
      </c>
      <c r="BB32" s="19">
        <v>18.2</v>
      </c>
      <c r="BC32" s="19">
        <v>198</v>
      </c>
      <c r="BD32" s="19">
        <v>99</v>
      </c>
      <c r="BE32" s="20" t="s">
        <v>26</v>
      </c>
      <c r="BF32" s="20" t="s">
        <v>30</v>
      </c>
      <c r="BG32" s="5">
        <f t="shared" si="5"/>
        <v>792</v>
      </c>
      <c r="CA32" s="2" t="str">
        <f t="shared" si="6"/>
        <v>Hộp-13x26x0.9</v>
      </c>
      <c r="CB32" s="19">
        <v>0.52</v>
      </c>
      <c r="CC32" s="19">
        <v>13</v>
      </c>
      <c r="CD32" s="19">
        <v>26</v>
      </c>
      <c r="CE32" s="20" t="s">
        <v>64</v>
      </c>
      <c r="CF32" s="5">
        <f t="shared" si="7"/>
        <v>78</v>
      </c>
      <c r="CG32" s="5">
        <f t="shared" si="8"/>
        <v>2.7</v>
      </c>
      <c r="CH32" s="5">
        <f t="shared" si="9"/>
        <v>1.8</v>
      </c>
      <c r="CI32" s="5">
        <f t="shared" si="10"/>
        <v>0.49834508443925357</v>
      </c>
      <c r="CJ32" s="2">
        <f t="shared" si="11"/>
        <v>7850</v>
      </c>
      <c r="CK32" s="48"/>
      <c r="CZ32" s="2" t="str">
        <f t="shared" si="12"/>
        <v>Ống-21x1.4</v>
      </c>
      <c r="DA32" s="19">
        <v>0.71</v>
      </c>
      <c r="DB32" s="19">
        <v>21</v>
      </c>
      <c r="DC32" s="19">
        <v>1.4</v>
      </c>
      <c r="DD32" s="21">
        <f t="shared" si="13"/>
        <v>65.973445725385659</v>
      </c>
      <c r="DE32" s="44">
        <f t="shared" si="14"/>
        <v>0.67671162395385598</v>
      </c>
      <c r="DF32" s="19">
        <f t="shared" si="15"/>
        <v>7850</v>
      </c>
      <c r="DY32" t="str">
        <f t="shared" si="16"/>
        <v>C-100x50x15x1.8</v>
      </c>
      <c r="DZ32" s="15" t="s">
        <v>116</v>
      </c>
      <c r="EA32" s="16">
        <v>3.25</v>
      </c>
      <c r="EB32" s="16">
        <v>100</v>
      </c>
      <c r="EC32" s="16">
        <v>50</v>
      </c>
      <c r="ED32" s="15" t="s">
        <v>45</v>
      </c>
      <c r="EE32" s="15" t="s">
        <v>72</v>
      </c>
      <c r="EY32" s="2" t="str">
        <f t="shared" si="17"/>
        <v>C-160x64</v>
      </c>
      <c r="EZ32" s="33" t="s">
        <v>122</v>
      </c>
      <c r="FA32" s="34">
        <v>14.2</v>
      </c>
      <c r="FB32" s="34">
        <v>160</v>
      </c>
      <c r="FC32" s="34">
        <v>64</v>
      </c>
    </row>
    <row r="33" spans="1:159" x14ac:dyDescent="0.25">
      <c r="A33" s="9" t="str">
        <f t="shared" si="0"/>
        <v>L-100x8</v>
      </c>
      <c r="B33" s="8">
        <v>12.2</v>
      </c>
      <c r="C33" s="8">
        <v>100</v>
      </c>
      <c r="D33" s="8">
        <v>8</v>
      </c>
      <c r="E33" s="5">
        <f t="shared" si="1"/>
        <v>400</v>
      </c>
      <c r="AA33" s="5" t="str">
        <f t="shared" si="2"/>
        <v>L-160x90x14</v>
      </c>
      <c r="AB33" s="18">
        <v>27.3</v>
      </c>
      <c r="AC33" s="18">
        <v>160</v>
      </c>
      <c r="AD33" s="18">
        <v>90</v>
      </c>
      <c r="AE33" s="18" t="s">
        <v>35</v>
      </c>
      <c r="AF33" s="5">
        <f t="shared" si="3"/>
        <v>500</v>
      </c>
      <c r="BA33" s="2" t="str">
        <f t="shared" si="4"/>
        <v>H-200x100x6x8</v>
      </c>
      <c r="BB33" s="19">
        <v>21.3</v>
      </c>
      <c r="BC33" s="19">
        <v>200</v>
      </c>
      <c r="BD33" s="19">
        <v>100</v>
      </c>
      <c r="BE33" s="20" t="s">
        <v>27</v>
      </c>
      <c r="BF33" s="20" t="s">
        <v>28</v>
      </c>
      <c r="BG33" s="5">
        <f t="shared" si="5"/>
        <v>800</v>
      </c>
      <c r="CA33" s="2" t="str">
        <f t="shared" si="6"/>
        <v>Hộp-13x26x1</v>
      </c>
      <c r="CB33" s="19">
        <v>0.57500000000000007</v>
      </c>
      <c r="CC33" s="19">
        <v>13</v>
      </c>
      <c r="CD33" s="19">
        <v>26</v>
      </c>
      <c r="CE33" s="20" t="s">
        <v>65</v>
      </c>
      <c r="CF33" s="5">
        <f t="shared" si="7"/>
        <v>78</v>
      </c>
      <c r="CG33" s="5">
        <f t="shared" si="8"/>
        <v>3</v>
      </c>
      <c r="CH33" s="5">
        <f t="shared" si="9"/>
        <v>2</v>
      </c>
      <c r="CI33" s="5">
        <f t="shared" si="10"/>
        <v>0.54720751165339943</v>
      </c>
      <c r="CJ33" s="2">
        <f t="shared" si="11"/>
        <v>7850</v>
      </c>
      <c r="CK33" s="48"/>
      <c r="CZ33" s="2" t="str">
        <f t="shared" si="12"/>
        <v>Ống-21x1.5</v>
      </c>
      <c r="DA33" s="19">
        <v>0.75900000000000001</v>
      </c>
      <c r="DB33" s="19">
        <v>21</v>
      </c>
      <c r="DC33" s="19">
        <v>1.5</v>
      </c>
      <c r="DD33" s="21">
        <f t="shared" si="13"/>
        <v>65.973445725385659</v>
      </c>
      <c r="DE33" s="44">
        <f t="shared" si="14"/>
        <v>0.7213489431723864</v>
      </c>
      <c r="DF33" s="19">
        <f t="shared" si="15"/>
        <v>7850</v>
      </c>
      <c r="DY33" t="str">
        <f t="shared" si="16"/>
        <v>C-100x50x15x2</v>
      </c>
      <c r="DZ33" s="15" t="s">
        <v>116</v>
      </c>
      <c r="EA33" s="16">
        <v>3.6110000000000002</v>
      </c>
      <c r="EB33" s="16">
        <v>100</v>
      </c>
      <c r="EC33" s="16">
        <v>50</v>
      </c>
      <c r="ED33" s="15" t="s">
        <v>45</v>
      </c>
      <c r="EE33" s="15" t="s">
        <v>74</v>
      </c>
      <c r="EY33" s="2" t="str">
        <f t="shared" si="17"/>
        <v>C-160x68</v>
      </c>
      <c r="EZ33" s="33" t="s">
        <v>122</v>
      </c>
      <c r="FA33" s="34">
        <v>15.3</v>
      </c>
      <c r="FB33" s="34">
        <v>160</v>
      </c>
      <c r="FC33" s="34">
        <v>68</v>
      </c>
    </row>
    <row r="34" spans="1:159" x14ac:dyDescent="0.25">
      <c r="A34" s="9" t="str">
        <f t="shared" si="0"/>
        <v>L-100x10</v>
      </c>
      <c r="B34" s="8">
        <v>15.1</v>
      </c>
      <c r="C34" s="8">
        <v>100</v>
      </c>
      <c r="D34" s="8">
        <v>10</v>
      </c>
      <c r="E34" s="5">
        <f t="shared" si="1"/>
        <v>400</v>
      </c>
      <c r="AA34" s="5" t="str">
        <f t="shared" si="2"/>
        <v>L-180x110x10</v>
      </c>
      <c r="AB34" s="18">
        <v>22.2</v>
      </c>
      <c r="AC34" s="18">
        <v>180</v>
      </c>
      <c r="AD34" s="18">
        <v>110</v>
      </c>
      <c r="AE34" s="18" t="s">
        <v>31</v>
      </c>
      <c r="AF34" s="5">
        <f t="shared" si="3"/>
        <v>580</v>
      </c>
      <c r="BA34" s="2" t="str">
        <f t="shared" si="4"/>
        <v>H-194x150x6x9</v>
      </c>
      <c r="BB34" s="19">
        <v>30.6</v>
      </c>
      <c r="BC34" s="19">
        <v>194</v>
      </c>
      <c r="BD34" s="19">
        <v>150</v>
      </c>
      <c r="BE34" s="20" t="s">
        <v>27</v>
      </c>
      <c r="BF34" s="20" t="s">
        <v>34</v>
      </c>
      <c r="BG34" s="5">
        <f t="shared" si="5"/>
        <v>988</v>
      </c>
      <c r="CA34" s="2" t="str">
        <f t="shared" si="6"/>
        <v>Hộp-13x26x1.1</v>
      </c>
      <c r="CB34" s="19">
        <v>0.6283333333333333</v>
      </c>
      <c r="CC34" s="19">
        <v>13</v>
      </c>
      <c r="CD34" s="19">
        <v>26</v>
      </c>
      <c r="CE34" s="20" t="s">
        <v>66</v>
      </c>
      <c r="CF34" s="5">
        <f t="shared" si="7"/>
        <v>78</v>
      </c>
      <c r="CG34" s="5">
        <f t="shared" si="8"/>
        <v>3.3000000000000003</v>
      </c>
      <c r="CH34" s="5">
        <f t="shared" si="9"/>
        <v>2.2000000000000002</v>
      </c>
      <c r="CI34" s="5">
        <f t="shared" si="10"/>
        <v>0.59476808910061318</v>
      </c>
      <c r="CJ34" s="2">
        <f t="shared" si="11"/>
        <v>7850</v>
      </c>
      <c r="CK34" s="48"/>
      <c r="CZ34" s="2" t="str">
        <f t="shared" si="12"/>
        <v>Ống-21x1.7</v>
      </c>
      <c r="DA34" s="19">
        <v>0.85799999999999998</v>
      </c>
      <c r="DB34" s="19">
        <v>21</v>
      </c>
      <c r="DC34" s="19">
        <v>1.7</v>
      </c>
      <c r="DD34" s="21">
        <f t="shared" si="13"/>
        <v>65.973445725385659</v>
      </c>
      <c r="DE34" s="44">
        <f t="shared" si="14"/>
        <v>0.8091438914696063</v>
      </c>
      <c r="DF34" s="19">
        <f t="shared" si="15"/>
        <v>7850</v>
      </c>
      <c r="DY34" t="str">
        <f t="shared" si="16"/>
        <v>C-100x50x15x2.5</v>
      </c>
      <c r="DZ34" s="15" t="s">
        <v>116</v>
      </c>
      <c r="EA34" s="16">
        <v>4.5140000000000002</v>
      </c>
      <c r="EB34" s="16">
        <v>100</v>
      </c>
      <c r="EC34" s="16">
        <v>50</v>
      </c>
      <c r="ED34" s="15" t="s">
        <v>45</v>
      </c>
      <c r="EE34" s="15" t="s">
        <v>79</v>
      </c>
      <c r="EY34" s="2" t="str">
        <f t="shared" si="17"/>
        <v>C-180x70</v>
      </c>
      <c r="EZ34" s="33" t="s">
        <v>122</v>
      </c>
      <c r="FA34" s="34">
        <v>16.3</v>
      </c>
      <c r="FB34" s="34">
        <v>180</v>
      </c>
      <c r="FC34" s="34">
        <v>70</v>
      </c>
    </row>
    <row r="35" spans="1:159" x14ac:dyDescent="0.25">
      <c r="A35" s="9" t="str">
        <f t="shared" si="0"/>
        <v>L-100x12</v>
      </c>
      <c r="B35" s="8">
        <v>17.899999999999999</v>
      </c>
      <c r="C35" s="8">
        <v>100</v>
      </c>
      <c r="D35" s="8">
        <v>12</v>
      </c>
      <c r="E35" s="5">
        <f t="shared" si="1"/>
        <v>400</v>
      </c>
      <c r="AA35" s="5" t="str">
        <f t="shared" si="2"/>
        <v>L-180x110x12</v>
      </c>
      <c r="AB35" s="18">
        <v>26.4</v>
      </c>
      <c r="AC35" s="18">
        <v>180</v>
      </c>
      <c r="AD35" s="18">
        <v>110</v>
      </c>
      <c r="AE35" s="18" t="s">
        <v>33</v>
      </c>
      <c r="AF35" s="5">
        <f t="shared" si="3"/>
        <v>580</v>
      </c>
      <c r="BA35" s="2" t="str">
        <f t="shared" si="4"/>
        <v>H-200x200x8x12</v>
      </c>
      <c r="BB35" s="19">
        <v>49.9</v>
      </c>
      <c r="BC35" s="19">
        <v>200</v>
      </c>
      <c r="BD35" s="19">
        <v>200</v>
      </c>
      <c r="BE35" s="20" t="s">
        <v>28</v>
      </c>
      <c r="BF35" s="20" t="s">
        <v>33</v>
      </c>
      <c r="BG35" s="5">
        <f t="shared" si="5"/>
        <v>1200</v>
      </c>
      <c r="CA35" s="2" t="str">
        <f t="shared" si="6"/>
        <v>Hộp-13x26x1.2</v>
      </c>
      <c r="CB35" s="19">
        <v>0.68</v>
      </c>
      <c r="CC35" s="19">
        <v>13</v>
      </c>
      <c r="CD35" s="19">
        <v>26</v>
      </c>
      <c r="CE35" s="20" t="s">
        <v>67</v>
      </c>
      <c r="CF35" s="5">
        <f t="shared" si="7"/>
        <v>78</v>
      </c>
      <c r="CG35" s="5">
        <f t="shared" si="8"/>
        <v>3.5999999999999996</v>
      </c>
      <c r="CH35" s="5">
        <f t="shared" si="9"/>
        <v>2.4</v>
      </c>
      <c r="CI35" s="5">
        <f t="shared" si="10"/>
        <v>0.64102681678089513</v>
      </c>
      <c r="CJ35" s="2">
        <f t="shared" si="11"/>
        <v>7850</v>
      </c>
      <c r="CK35" s="48"/>
      <c r="CZ35" s="2" t="str">
        <f t="shared" si="12"/>
        <v>Ống-21x1.8</v>
      </c>
      <c r="DA35" s="19">
        <v>0.90700000000000003</v>
      </c>
      <c r="DB35" s="19">
        <v>21</v>
      </c>
      <c r="DC35" s="19">
        <v>1.8</v>
      </c>
      <c r="DD35" s="21">
        <f t="shared" si="13"/>
        <v>65.973445725385659</v>
      </c>
      <c r="DE35" s="44">
        <f t="shared" si="14"/>
        <v>0.85230152054829678</v>
      </c>
      <c r="DF35" s="19">
        <f t="shared" si="15"/>
        <v>7850</v>
      </c>
      <c r="DY35" t="str">
        <f t="shared" si="16"/>
        <v>C-100x50x15x2.8</v>
      </c>
      <c r="DZ35" s="15" t="s">
        <v>116</v>
      </c>
      <c r="EA35" s="16">
        <v>5.0549999999999997</v>
      </c>
      <c r="EB35" s="16">
        <v>100</v>
      </c>
      <c r="EC35" s="16">
        <v>50</v>
      </c>
      <c r="ED35" s="15" t="s">
        <v>45</v>
      </c>
      <c r="EE35" s="15" t="s">
        <v>81</v>
      </c>
      <c r="EY35" s="2" t="str">
        <f t="shared" si="17"/>
        <v>C-180x74</v>
      </c>
      <c r="EZ35" s="33" t="s">
        <v>122</v>
      </c>
      <c r="FA35" s="34">
        <v>17.399999999999999</v>
      </c>
      <c r="FB35" s="34">
        <v>180</v>
      </c>
      <c r="FC35" s="34">
        <v>74</v>
      </c>
    </row>
    <row r="36" spans="1:159" x14ac:dyDescent="0.25">
      <c r="A36" s="9" t="str">
        <f t="shared" si="0"/>
        <v>L-100x14</v>
      </c>
      <c r="B36" s="8">
        <v>20.6</v>
      </c>
      <c r="C36" s="8">
        <v>100</v>
      </c>
      <c r="D36" s="8">
        <v>14</v>
      </c>
      <c r="E36" s="5">
        <f t="shared" si="1"/>
        <v>400</v>
      </c>
      <c r="AA36" s="5" t="str">
        <f t="shared" si="2"/>
        <v>L-200x125x11</v>
      </c>
      <c r="AB36" s="18">
        <v>27.2</v>
      </c>
      <c r="AC36" s="18">
        <v>200</v>
      </c>
      <c r="AD36" s="18">
        <v>125</v>
      </c>
      <c r="AE36" s="18" t="s">
        <v>36</v>
      </c>
      <c r="AF36" s="5">
        <f t="shared" si="3"/>
        <v>650</v>
      </c>
      <c r="BA36" s="2" t="str">
        <f t="shared" si="4"/>
        <v>H-200x204x12x12</v>
      </c>
      <c r="BB36" s="19">
        <v>56.2</v>
      </c>
      <c r="BC36" s="19">
        <v>200</v>
      </c>
      <c r="BD36" s="19">
        <v>204</v>
      </c>
      <c r="BE36" s="20" t="s">
        <v>33</v>
      </c>
      <c r="BF36" s="20" t="s">
        <v>33</v>
      </c>
      <c r="BG36" s="5">
        <f t="shared" si="5"/>
        <v>1216</v>
      </c>
      <c r="CA36" s="2" t="str">
        <f t="shared" si="6"/>
        <v>Hộp-13x26x1.4</v>
      </c>
      <c r="CB36" s="19">
        <v>0.78333333333333333</v>
      </c>
      <c r="CC36" s="19">
        <v>13</v>
      </c>
      <c r="CD36" s="19">
        <v>26</v>
      </c>
      <c r="CE36" s="20" t="s">
        <v>68</v>
      </c>
      <c r="CF36" s="5">
        <f t="shared" si="7"/>
        <v>78</v>
      </c>
      <c r="CG36" s="5">
        <f t="shared" si="8"/>
        <v>4.1999999999999993</v>
      </c>
      <c r="CH36" s="5">
        <f t="shared" si="9"/>
        <v>2.8</v>
      </c>
      <c r="CI36" s="5">
        <f t="shared" si="10"/>
        <v>0.72963872284066278</v>
      </c>
      <c r="CJ36" s="2">
        <f t="shared" si="11"/>
        <v>7850</v>
      </c>
      <c r="CK36" s="48"/>
      <c r="CZ36" s="2" t="str">
        <f t="shared" si="12"/>
        <v>Ống-21x2</v>
      </c>
      <c r="DA36" s="19">
        <v>1.004</v>
      </c>
      <c r="DB36" s="19">
        <v>21</v>
      </c>
      <c r="DC36" s="19">
        <v>2</v>
      </c>
      <c r="DD36" s="21">
        <f t="shared" si="13"/>
        <v>65.973445725385659</v>
      </c>
      <c r="DE36" s="44">
        <f t="shared" si="14"/>
        <v>0.93713708856583533</v>
      </c>
      <c r="DF36" s="19">
        <f t="shared" si="15"/>
        <v>7850</v>
      </c>
      <c r="DY36" t="str">
        <f t="shared" si="16"/>
        <v>C-100x50x15x3</v>
      </c>
      <c r="DZ36" s="15" t="s">
        <v>116</v>
      </c>
      <c r="EA36" s="16">
        <v>5.4169999999999998</v>
      </c>
      <c r="EB36" s="16">
        <v>100</v>
      </c>
      <c r="EC36" s="16">
        <v>50</v>
      </c>
      <c r="ED36" s="15" t="s">
        <v>45</v>
      </c>
      <c r="EE36" s="15" t="s">
        <v>83</v>
      </c>
      <c r="EY36" s="2" t="str">
        <f t="shared" si="17"/>
        <v>C-200x76</v>
      </c>
      <c r="EZ36" s="33" t="s">
        <v>122</v>
      </c>
      <c r="FA36" s="34">
        <v>18.399999999999999</v>
      </c>
      <c r="FB36" s="34">
        <v>200</v>
      </c>
      <c r="FC36" s="34">
        <v>76</v>
      </c>
    </row>
    <row r="37" spans="1:159" x14ac:dyDescent="0.25">
      <c r="A37" s="9" t="str">
        <f t="shared" si="0"/>
        <v>L-100x16</v>
      </c>
      <c r="B37" s="8">
        <v>23.3</v>
      </c>
      <c r="C37" s="8">
        <v>100</v>
      </c>
      <c r="D37" s="8">
        <v>16</v>
      </c>
      <c r="E37" s="5">
        <f t="shared" si="1"/>
        <v>400</v>
      </c>
      <c r="AA37" s="5" t="str">
        <f t="shared" si="2"/>
        <v>L-200x125x12</v>
      </c>
      <c r="AB37" s="18">
        <v>29.7</v>
      </c>
      <c r="AC37" s="18">
        <v>200</v>
      </c>
      <c r="AD37" s="18">
        <v>125</v>
      </c>
      <c r="AE37" s="18" t="s">
        <v>33</v>
      </c>
      <c r="AF37" s="5">
        <f t="shared" si="3"/>
        <v>650</v>
      </c>
      <c r="BA37" s="2" t="str">
        <f t="shared" si="4"/>
        <v>H-208x202x10x16</v>
      </c>
      <c r="BB37" s="19">
        <v>65.7</v>
      </c>
      <c r="BC37" s="19">
        <v>208</v>
      </c>
      <c r="BD37" s="19">
        <v>202</v>
      </c>
      <c r="BE37" s="20" t="s">
        <v>31</v>
      </c>
      <c r="BF37" s="20" t="s">
        <v>37</v>
      </c>
      <c r="BG37" s="5">
        <f t="shared" si="5"/>
        <v>1224</v>
      </c>
      <c r="CA37" s="2" t="str">
        <f t="shared" si="6"/>
        <v>Hộp-13x26x1.5</v>
      </c>
      <c r="CB37" s="19">
        <v>0.83333333333333337</v>
      </c>
      <c r="CC37" s="19">
        <v>13</v>
      </c>
      <c r="CD37" s="19">
        <v>26</v>
      </c>
      <c r="CE37" s="20" t="s">
        <v>69</v>
      </c>
      <c r="CF37" s="5">
        <f t="shared" si="7"/>
        <v>78</v>
      </c>
      <c r="CG37" s="5">
        <f t="shared" si="8"/>
        <v>4.5</v>
      </c>
      <c r="CH37" s="5">
        <f t="shared" si="9"/>
        <v>3</v>
      </c>
      <c r="CI37" s="5">
        <f t="shared" si="10"/>
        <v>0.7719919012201486</v>
      </c>
      <c r="CJ37" s="2">
        <f t="shared" si="11"/>
        <v>7850</v>
      </c>
      <c r="CK37" s="48"/>
      <c r="CZ37" s="2" t="str">
        <f t="shared" si="12"/>
        <v>Ống-22.2x0.6</v>
      </c>
      <c r="DA37" s="19">
        <v>0.32600000000000001</v>
      </c>
      <c r="DB37" s="19">
        <v>22.2</v>
      </c>
      <c r="DC37" s="19">
        <v>0.6</v>
      </c>
      <c r="DD37" s="21">
        <f t="shared" si="13"/>
        <v>69.743356909693404</v>
      </c>
      <c r="DE37" s="44">
        <f t="shared" si="14"/>
        <v>0.31961307020561097</v>
      </c>
      <c r="DF37" s="19">
        <f t="shared" si="15"/>
        <v>7850</v>
      </c>
      <c r="DY37" t="str">
        <f t="shared" si="16"/>
        <v>C-100x50x15x3.5</v>
      </c>
      <c r="DZ37" s="15" t="s">
        <v>116</v>
      </c>
      <c r="EA37" s="16">
        <v>6.319</v>
      </c>
      <c r="EB37" s="16">
        <v>100</v>
      </c>
      <c r="EC37" s="16">
        <v>50</v>
      </c>
      <c r="ED37" s="15" t="s">
        <v>45</v>
      </c>
      <c r="EE37" s="15" t="s">
        <v>88</v>
      </c>
      <c r="EY37" s="2" t="str">
        <f t="shared" si="17"/>
        <v>C-200x80</v>
      </c>
      <c r="EZ37" s="33" t="s">
        <v>122</v>
      </c>
      <c r="FA37" s="34">
        <v>19.8</v>
      </c>
      <c r="FB37" s="34">
        <v>200</v>
      </c>
      <c r="FC37" s="34">
        <v>80</v>
      </c>
    </row>
    <row r="38" spans="1:159" x14ac:dyDescent="0.25">
      <c r="A38" s="9" t="str">
        <f t="shared" si="0"/>
        <v>L-110x7</v>
      </c>
      <c r="B38" s="8">
        <v>11.9</v>
      </c>
      <c r="C38" s="8">
        <v>110</v>
      </c>
      <c r="D38" s="8">
        <v>7</v>
      </c>
      <c r="E38" s="5">
        <f t="shared" si="1"/>
        <v>440</v>
      </c>
      <c r="AA38" s="5" t="str">
        <f t="shared" si="2"/>
        <v>L-200x125x14</v>
      </c>
      <c r="AB38" s="18">
        <v>34.4</v>
      </c>
      <c r="AC38" s="18">
        <v>200</v>
      </c>
      <c r="AD38" s="18">
        <v>125</v>
      </c>
      <c r="AE38" s="18" t="s">
        <v>35</v>
      </c>
      <c r="AF38" s="5">
        <f t="shared" si="3"/>
        <v>650</v>
      </c>
      <c r="BA38" s="2" t="str">
        <f t="shared" si="4"/>
        <v>H-248x124x5x8</v>
      </c>
      <c r="BB38" s="19">
        <v>25.7</v>
      </c>
      <c r="BC38" s="19">
        <v>248</v>
      </c>
      <c r="BD38" s="19">
        <v>124</v>
      </c>
      <c r="BE38" s="20" t="s">
        <v>26</v>
      </c>
      <c r="BF38" s="20" t="s">
        <v>28</v>
      </c>
      <c r="BG38" s="5">
        <f t="shared" si="5"/>
        <v>992</v>
      </c>
      <c r="CA38" s="2" t="str">
        <f t="shared" si="6"/>
        <v>Hộp-13x26x1.6</v>
      </c>
      <c r="CB38" s="19">
        <v>0.8833333333333333</v>
      </c>
      <c r="CC38" s="19">
        <v>13</v>
      </c>
      <c r="CD38" s="19">
        <v>26</v>
      </c>
      <c r="CE38" s="20" t="s">
        <v>70</v>
      </c>
      <c r="CF38" s="5">
        <f t="shared" si="7"/>
        <v>78</v>
      </c>
      <c r="CG38" s="5">
        <f t="shared" si="8"/>
        <v>4.8000000000000007</v>
      </c>
      <c r="CH38" s="5">
        <f t="shared" si="9"/>
        <v>3.2</v>
      </c>
      <c r="CI38" s="5">
        <f t="shared" si="10"/>
        <v>0.81304322983270239</v>
      </c>
      <c r="CJ38" s="2">
        <f t="shared" si="11"/>
        <v>7850</v>
      </c>
      <c r="CK38" s="48"/>
      <c r="CZ38" s="2" t="str">
        <f t="shared" si="12"/>
        <v>Ống-22.2x0.7</v>
      </c>
      <c r="DA38" s="19">
        <v>0.379</v>
      </c>
      <c r="DB38" s="19">
        <v>22.2</v>
      </c>
      <c r="DC38" s="19">
        <v>0.7</v>
      </c>
      <c r="DD38" s="21">
        <f t="shared" si="13"/>
        <v>69.743356909693404</v>
      </c>
      <c r="DE38" s="44">
        <f t="shared" si="14"/>
        <v>0.37115561007673176</v>
      </c>
      <c r="DF38" s="19">
        <f t="shared" si="15"/>
        <v>7850</v>
      </c>
      <c r="DY38" t="str">
        <f t="shared" si="16"/>
        <v>C-100x50x15x4</v>
      </c>
      <c r="DZ38" s="15" t="s">
        <v>116</v>
      </c>
      <c r="EA38" s="16">
        <v>7.2220000000000004</v>
      </c>
      <c r="EB38" s="16">
        <v>100</v>
      </c>
      <c r="EC38" s="16">
        <v>50</v>
      </c>
      <c r="ED38" s="15" t="s">
        <v>45</v>
      </c>
      <c r="EE38" s="15" t="s">
        <v>25</v>
      </c>
      <c r="EY38" s="2" t="str">
        <f t="shared" si="17"/>
        <v>C-220x82</v>
      </c>
      <c r="EZ38" s="33" t="s">
        <v>122</v>
      </c>
      <c r="FA38" s="34">
        <v>21</v>
      </c>
      <c r="FB38" s="34">
        <v>220</v>
      </c>
      <c r="FC38" s="34">
        <v>82</v>
      </c>
    </row>
    <row r="39" spans="1:159" x14ac:dyDescent="0.25">
      <c r="A39" s="9" t="str">
        <f t="shared" si="0"/>
        <v>L-110x8</v>
      </c>
      <c r="B39" s="8">
        <v>13.5</v>
      </c>
      <c r="C39" s="8">
        <v>110</v>
      </c>
      <c r="D39" s="8">
        <v>8</v>
      </c>
      <c r="E39" s="5">
        <f t="shared" si="1"/>
        <v>440</v>
      </c>
      <c r="AA39" s="5" t="str">
        <f t="shared" si="2"/>
        <v>L-200x125x16</v>
      </c>
      <c r="AB39" s="18">
        <v>39.1</v>
      </c>
      <c r="AC39" s="18">
        <v>200</v>
      </c>
      <c r="AD39" s="18">
        <v>125</v>
      </c>
      <c r="AE39" s="18" t="s">
        <v>37</v>
      </c>
      <c r="AF39" s="5">
        <f t="shared" si="3"/>
        <v>650</v>
      </c>
      <c r="BA39" s="2" t="str">
        <f t="shared" si="4"/>
        <v>H-250x125x6x9</v>
      </c>
      <c r="BB39" s="19">
        <v>29.6</v>
      </c>
      <c r="BC39" s="19">
        <v>250</v>
      </c>
      <c r="BD39" s="19">
        <v>125</v>
      </c>
      <c r="BE39" s="20" t="s">
        <v>27</v>
      </c>
      <c r="BF39" s="20" t="s">
        <v>34</v>
      </c>
      <c r="BG39" s="5">
        <f t="shared" si="5"/>
        <v>1000</v>
      </c>
      <c r="CA39" s="2" t="str">
        <f t="shared" si="6"/>
        <v>Hộp-10x30x0.6</v>
      </c>
      <c r="CB39" s="19">
        <v>0.36333333333333334</v>
      </c>
      <c r="CC39" s="19">
        <v>10</v>
      </c>
      <c r="CD39" s="19">
        <v>30</v>
      </c>
      <c r="CE39" s="20" t="s">
        <v>61</v>
      </c>
      <c r="CF39" s="5">
        <f t="shared" si="7"/>
        <v>80</v>
      </c>
      <c r="CG39" s="5">
        <f t="shared" si="8"/>
        <v>1.7999999999999998</v>
      </c>
      <c r="CH39" s="5">
        <f t="shared" si="9"/>
        <v>1.2</v>
      </c>
      <c r="CI39" s="5">
        <f t="shared" si="10"/>
        <v>0.35336670419522376</v>
      </c>
      <c r="CJ39" s="2">
        <f t="shared" si="11"/>
        <v>7850</v>
      </c>
      <c r="CK39" s="48"/>
      <c r="CZ39" s="2" t="str">
        <f t="shared" si="12"/>
        <v>Ống-22.2x0.8</v>
      </c>
      <c r="DA39" s="19">
        <v>0.433</v>
      </c>
      <c r="DB39" s="19">
        <v>22.2</v>
      </c>
      <c r="DC39" s="19">
        <v>0.8</v>
      </c>
      <c r="DD39" s="21">
        <f t="shared" si="13"/>
        <v>69.743356909693404</v>
      </c>
      <c r="DE39" s="44">
        <f t="shared" si="14"/>
        <v>0.42220491990123998</v>
      </c>
      <c r="DF39" s="19">
        <f t="shared" si="15"/>
        <v>7850</v>
      </c>
      <c r="DY39" t="str">
        <f t="shared" si="16"/>
        <v>C-120x50x15x1.2</v>
      </c>
      <c r="DZ39" s="15" t="s">
        <v>116</v>
      </c>
      <c r="EA39" s="16">
        <v>2.355</v>
      </c>
      <c r="EB39" s="16">
        <v>120</v>
      </c>
      <c r="EC39" s="16">
        <v>50</v>
      </c>
      <c r="ED39" s="15" t="s">
        <v>45</v>
      </c>
      <c r="EE39" s="15" t="s">
        <v>67</v>
      </c>
      <c r="EY39" s="2" t="str">
        <f t="shared" si="17"/>
        <v>C-220x87</v>
      </c>
      <c r="EZ39" s="33" t="s">
        <v>122</v>
      </c>
      <c r="FA39" s="34">
        <v>22.6</v>
      </c>
      <c r="FB39" s="34">
        <v>220</v>
      </c>
      <c r="FC39" s="34">
        <v>87</v>
      </c>
    </row>
    <row r="40" spans="1:159" x14ac:dyDescent="0.25">
      <c r="A40" s="9" t="str">
        <f t="shared" si="0"/>
        <v>L-125x8</v>
      </c>
      <c r="B40" s="8">
        <v>15.5</v>
      </c>
      <c r="C40" s="8">
        <v>125</v>
      </c>
      <c r="D40" s="8">
        <v>8</v>
      </c>
      <c r="E40" s="5">
        <f t="shared" si="1"/>
        <v>500</v>
      </c>
      <c r="AA40" s="5" t="str">
        <f t="shared" si="2"/>
        <v>L-250x160x12</v>
      </c>
      <c r="AB40" s="18">
        <v>37.9</v>
      </c>
      <c r="AC40" s="18">
        <v>250</v>
      </c>
      <c r="AD40" s="18">
        <v>160</v>
      </c>
      <c r="AE40" s="18" t="s">
        <v>33</v>
      </c>
      <c r="AF40" s="5">
        <f t="shared" si="3"/>
        <v>820</v>
      </c>
      <c r="BA40" s="2" t="str">
        <f t="shared" si="4"/>
        <v>H-244x175x7x11</v>
      </c>
      <c r="BB40" s="19">
        <v>44.1</v>
      </c>
      <c r="BC40" s="19">
        <v>244</v>
      </c>
      <c r="BD40" s="19">
        <v>175</v>
      </c>
      <c r="BE40" s="20" t="s">
        <v>30</v>
      </c>
      <c r="BF40" s="20" t="s">
        <v>36</v>
      </c>
      <c r="BG40" s="5">
        <f t="shared" si="5"/>
        <v>1188</v>
      </c>
      <c r="CA40" s="2" t="str">
        <f t="shared" si="6"/>
        <v>Hộp-10x30x0.7</v>
      </c>
      <c r="CB40" s="19">
        <v>0.42166666666666663</v>
      </c>
      <c r="CC40" s="19">
        <v>10</v>
      </c>
      <c r="CD40" s="19">
        <v>30</v>
      </c>
      <c r="CE40" s="20" t="s">
        <v>62</v>
      </c>
      <c r="CF40" s="5">
        <f t="shared" si="7"/>
        <v>80</v>
      </c>
      <c r="CG40" s="5">
        <f t="shared" si="8"/>
        <v>2.0999999999999996</v>
      </c>
      <c r="CH40" s="5">
        <f t="shared" si="9"/>
        <v>1.4</v>
      </c>
      <c r="CI40" s="5">
        <f t="shared" si="10"/>
        <v>0.40770468071016575</v>
      </c>
      <c r="CJ40" s="2">
        <f t="shared" si="11"/>
        <v>7850</v>
      </c>
      <c r="CK40" s="48"/>
      <c r="CZ40" s="2" t="str">
        <f t="shared" si="12"/>
        <v>Ống-22.2x0.9</v>
      </c>
      <c r="DA40" s="19">
        <v>0.48599999999999999</v>
      </c>
      <c r="DB40" s="19">
        <v>22.2</v>
      </c>
      <c r="DC40" s="19">
        <v>0.9</v>
      </c>
      <c r="DD40" s="21">
        <f t="shared" si="13"/>
        <v>69.743356909693404</v>
      </c>
      <c r="DE40" s="44">
        <f t="shared" si="14"/>
        <v>0.47276099967913304</v>
      </c>
      <c r="DF40" s="19">
        <f t="shared" si="15"/>
        <v>7850</v>
      </c>
      <c r="DY40" t="str">
        <f t="shared" si="16"/>
        <v>C-120x50x15x1.5</v>
      </c>
      <c r="DZ40" s="15" t="s">
        <v>116</v>
      </c>
      <c r="EA40" s="16">
        <v>2.944</v>
      </c>
      <c r="EB40" s="16">
        <v>120</v>
      </c>
      <c r="EC40" s="16">
        <v>50</v>
      </c>
      <c r="ED40" s="15" t="s">
        <v>45</v>
      </c>
      <c r="EE40" s="15" t="s">
        <v>69</v>
      </c>
      <c r="EY40" s="2" t="str">
        <f t="shared" si="17"/>
        <v>C-240x90</v>
      </c>
      <c r="EZ40" s="33" t="s">
        <v>122</v>
      </c>
      <c r="FA40" s="34">
        <v>24</v>
      </c>
      <c r="FB40" s="34">
        <v>240</v>
      </c>
      <c r="FC40" s="34">
        <v>90</v>
      </c>
    </row>
    <row r="41" spans="1:159" x14ac:dyDescent="0.25">
      <c r="A41" s="9" t="str">
        <f t="shared" si="0"/>
        <v>L-125x9</v>
      </c>
      <c r="B41" s="8">
        <v>17.3</v>
      </c>
      <c r="C41" s="8">
        <v>125</v>
      </c>
      <c r="D41" s="8">
        <v>9</v>
      </c>
      <c r="E41" s="5">
        <f t="shared" si="1"/>
        <v>500</v>
      </c>
      <c r="AA41" s="5" t="str">
        <f t="shared" si="2"/>
        <v>L-250x160x16</v>
      </c>
      <c r="AB41" s="18">
        <v>49.9</v>
      </c>
      <c r="AC41" s="18">
        <v>250</v>
      </c>
      <c r="AD41" s="18">
        <v>160</v>
      </c>
      <c r="AE41" s="18" t="s">
        <v>37</v>
      </c>
      <c r="AF41" s="5">
        <f t="shared" si="3"/>
        <v>820</v>
      </c>
      <c r="BA41" s="2" t="str">
        <f t="shared" si="4"/>
        <v>H-244x252x11x11</v>
      </c>
      <c r="BB41" s="19">
        <v>64.400000000000006</v>
      </c>
      <c r="BC41" s="19">
        <v>244</v>
      </c>
      <c r="BD41" s="19">
        <v>252</v>
      </c>
      <c r="BE41" s="20" t="s">
        <v>36</v>
      </c>
      <c r="BF41" s="20" t="s">
        <v>36</v>
      </c>
      <c r="BG41" s="5">
        <f t="shared" si="5"/>
        <v>1496</v>
      </c>
      <c r="CA41" s="2" t="str">
        <f t="shared" si="6"/>
        <v>Hộp-10x30x0.8</v>
      </c>
      <c r="CB41" s="19">
        <v>0.47833333333333333</v>
      </c>
      <c r="CC41" s="19">
        <v>10</v>
      </c>
      <c r="CD41" s="19">
        <v>30</v>
      </c>
      <c r="CE41" s="20" t="s">
        <v>63</v>
      </c>
      <c r="CF41" s="5">
        <f t="shared" si="7"/>
        <v>80</v>
      </c>
      <c r="CG41" s="5">
        <f t="shared" si="8"/>
        <v>2.4000000000000004</v>
      </c>
      <c r="CH41" s="5">
        <f t="shared" si="9"/>
        <v>1.6</v>
      </c>
      <c r="CI41" s="5">
        <f t="shared" si="10"/>
        <v>0.46074080745817564</v>
      </c>
      <c r="CJ41" s="2">
        <f t="shared" si="11"/>
        <v>7850</v>
      </c>
      <c r="CK41" s="48"/>
      <c r="CZ41" s="2" t="str">
        <f t="shared" si="12"/>
        <v>Ống-22.2x1</v>
      </c>
      <c r="DA41" s="19">
        <v>0.54</v>
      </c>
      <c r="DB41" s="19">
        <v>22.2</v>
      </c>
      <c r="DC41" s="19">
        <v>1</v>
      </c>
      <c r="DD41" s="21">
        <f t="shared" si="13"/>
        <v>69.743356909693404</v>
      </c>
      <c r="DE41" s="44">
        <f t="shared" si="14"/>
        <v>0.52282384941041316</v>
      </c>
      <c r="DF41" s="19">
        <f t="shared" si="15"/>
        <v>7850</v>
      </c>
      <c r="DY41" t="str">
        <f t="shared" si="16"/>
        <v>C-120x50x15x1.8</v>
      </c>
      <c r="DZ41" s="15" t="s">
        <v>116</v>
      </c>
      <c r="EA41" s="16">
        <v>3.5329999999999999</v>
      </c>
      <c r="EB41" s="16">
        <v>120</v>
      </c>
      <c r="EC41" s="16">
        <v>50</v>
      </c>
      <c r="ED41" s="15" t="s">
        <v>45</v>
      </c>
      <c r="EE41" s="15" t="s">
        <v>72</v>
      </c>
      <c r="EY41" s="2" t="str">
        <f t="shared" si="17"/>
        <v>C-240x95</v>
      </c>
      <c r="EZ41" s="33" t="s">
        <v>122</v>
      </c>
      <c r="FA41" s="34">
        <v>25.8</v>
      </c>
      <c r="FB41" s="34">
        <v>240</v>
      </c>
      <c r="FC41" s="34">
        <v>95</v>
      </c>
    </row>
    <row r="42" spans="1:159" x14ac:dyDescent="0.25">
      <c r="A42" s="9" t="str">
        <f t="shared" si="0"/>
        <v>L-125x10</v>
      </c>
      <c r="B42" s="8">
        <v>19.100000000000001</v>
      </c>
      <c r="C42" s="8">
        <v>125</v>
      </c>
      <c r="D42" s="8">
        <v>10</v>
      </c>
      <c r="E42" s="5">
        <f t="shared" si="1"/>
        <v>500</v>
      </c>
      <c r="AA42" s="5" t="str">
        <f t="shared" si="2"/>
        <v>L-250x160x18</v>
      </c>
      <c r="AB42" s="18">
        <v>55.8</v>
      </c>
      <c r="AC42" s="18">
        <v>250</v>
      </c>
      <c r="AD42" s="18">
        <v>160</v>
      </c>
      <c r="AE42" s="18" t="s">
        <v>38</v>
      </c>
      <c r="AF42" s="5">
        <f t="shared" si="3"/>
        <v>820</v>
      </c>
      <c r="BA42" s="2" t="str">
        <f t="shared" si="4"/>
        <v>H-248x249x8x13</v>
      </c>
      <c r="BB42" s="19">
        <v>66.5</v>
      </c>
      <c r="BC42" s="19">
        <v>248</v>
      </c>
      <c r="BD42" s="19">
        <v>249</v>
      </c>
      <c r="BE42" s="20" t="s">
        <v>28</v>
      </c>
      <c r="BF42" s="20" t="s">
        <v>44</v>
      </c>
      <c r="BG42" s="5">
        <f t="shared" si="5"/>
        <v>1492</v>
      </c>
      <c r="CA42" s="2" t="str">
        <f t="shared" si="6"/>
        <v>Hộp-10x30x0.9</v>
      </c>
      <c r="CB42" s="19">
        <v>0.53500000000000003</v>
      </c>
      <c r="CC42" s="19">
        <v>10</v>
      </c>
      <c r="CD42" s="19">
        <v>30</v>
      </c>
      <c r="CE42" s="20" t="s">
        <v>64</v>
      </c>
      <c r="CF42" s="5">
        <f t="shared" si="7"/>
        <v>80</v>
      </c>
      <c r="CG42" s="5">
        <f t="shared" si="8"/>
        <v>2.7</v>
      </c>
      <c r="CH42" s="5">
        <f t="shared" si="9"/>
        <v>1.8</v>
      </c>
      <c r="CI42" s="5">
        <f t="shared" si="10"/>
        <v>0.5124750844392536</v>
      </c>
      <c r="CJ42" s="2">
        <f t="shared" si="11"/>
        <v>7850</v>
      </c>
      <c r="CK42" s="48"/>
      <c r="CZ42" s="2" t="str">
        <f t="shared" si="12"/>
        <v>Ống-22.2x1.1</v>
      </c>
      <c r="DA42" s="19">
        <v>0.59299999999999997</v>
      </c>
      <c r="DB42" s="19">
        <v>22.2</v>
      </c>
      <c r="DC42" s="19">
        <v>1.1000000000000001</v>
      </c>
      <c r="DD42" s="21">
        <f t="shared" si="13"/>
        <v>69.743356909693404</v>
      </c>
      <c r="DE42" s="44">
        <f t="shared" si="14"/>
        <v>0.57239346909507949</v>
      </c>
      <c r="DF42" s="19">
        <f t="shared" si="15"/>
        <v>7850</v>
      </c>
      <c r="DY42" t="str">
        <f t="shared" si="16"/>
        <v>C-120x50x15x2</v>
      </c>
      <c r="DZ42" s="15" t="s">
        <v>116</v>
      </c>
      <c r="EA42" s="16">
        <v>3.9249999999999998</v>
      </c>
      <c r="EB42" s="16">
        <v>120</v>
      </c>
      <c r="EC42" s="16">
        <v>50</v>
      </c>
      <c r="ED42" s="15" t="s">
        <v>45</v>
      </c>
      <c r="EE42" s="15" t="s">
        <v>74</v>
      </c>
      <c r="EY42" s="2" t="str">
        <f t="shared" si="17"/>
        <v>C-270x95</v>
      </c>
      <c r="EZ42" s="33" t="s">
        <v>122</v>
      </c>
      <c r="FA42" s="34">
        <v>27.7</v>
      </c>
      <c r="FB42" s="34">
        <v>270</v>
      </c>
      <c r="FC42" s="34">
        <v>95</v>
      </c>
    </row>
    <row r="43" spans="1:159" x14ac:dyDescent="0.25">
      <c r="A43" s="9" t="str">
        <f t="shared" si="0"/>
        <v>L-125x12</v>
      </c>
      <c r="B43" s="8">
        <v>22.7</v>
      </c>
      <c r="C43" s="8">
        <v>125</v>
      </c>
      <c r="D43" s="8">
        <v>12</v>
      </c>
      <c r="E43" s="5">
        <f t="shared" si="1"/>
        <v>500</v>
      </c>
      <c r="AA43" s="5" t="str">
        <f t="shared" si="2"/>
        <v>L-250x160x28</v>
      </c>
      <c r="AB43" s="18">
        <v>61.7</v>
      </c>
      <c r="AC43" s="18">
        <v>250</v>
      </c>
      <c r="AD43" s="18">
        <v>160</v>
      </c>
      <c r="AE43" s="18" t="s">
        <v>39</v>
      </c>
      <c r="AF43" s="5">
        <f t="shared" si="3"/>
        <v>820</v>
      </c>
      <c r="BA43" s="2" t="str">
        <f t="shared" si="4"/>
        <v>H-250x250x9x14</v>
      </c>
      <c r="BB43" s="19">
        <v>72.400000000000006</v>
      </c>
      <c r="BC43" s="19">
        <v>250</v>
      </c>
      <c r="BD43" s="19">
        <v>250</v>
      </c>
      <c r="BE43" s="20" t="s">
        <v>34</v>
      </c>
      <c r="BF43" s="20" t="s">
        <v>35</v>
      </c>
      <c r="BG43" s="5">
        <f t="shared" si="5"/>
        <v>1500</v>
      </c>
      <c r="CA43" s="2" t="str">
        <f t="shared" si="6"/>
        <v>Hộp-10x30x1</v>
      </c>
      <c r="CB43" s="19">
        <v>0.59</v>
      </c>
      <c r="CC43" s="19">
        <v>10</v>
      </c>
      <c r="CD43" s="19">
        <v>30</v>
      </c>
      <c r="CE43" s="20" t="s">
        <v>65</v>
      </c>
      <c r="CF43" s="5">
        <f t="shared" si="7"/>
        <v>80</v>
      </c>
      <c r="CG43" s="5">
        <f t="shared" si="8"/>
        <v>3</v>
      </c>
      <c r="CH43" s="5">
        <f t="shared" si="9"/>
        <v>2</v>
      </c>
      <c r="CI43" s="5">
        <f t="shared" si="10"/>
        <v>0.56290751165339936</v>
      </c>
      <c r="CJ43" s="2">
        <f t="shared" si="11"/>
        <v>7850</v>
      </c>
      <c r="CK43" s="48"/>
      <c r="CZ43" s="2" t="str">
        <f t="shared" si="12"/>
        <v>Ống-22.2x1.2</v>
      </c>
      <c r="DA43" s="19">
        <v>0.64600000000000002</v>
      </c>
      <c r="DB43" s="19">
        <v>22.2</v>
      </c>
      <c r="DC43" s="19">
        <v>1.2</v>
      </c>
      <c r="DD43" s="21">
        <f t="shared" si="13"/>
        <v>69.743356909693404</v>
      </c>
      <c r="DE43" s="44">
        <f t="shared" si="14"/>
        <v>0.62146985873313243</v>
      </c>
      <c r="DF43" s="19">
        <f t="shared" si="15"/>
        <v>7850</v>
      </c>
      <c r="DY43" t="str">
        <f t="shared" si="16"/>
        <v>C-120x50x15x2.5</v>
      </c>
      <c r="DZ43" s="15" t="s">
        <v>116</v>
      </c>
      <c r="EA43" s="16">
        <v>4.9059999999999997</v>
      </c>
      <c r="EB43" s="16">
        <v>120</v>
      </c>
      <c r="EC43" s="16">
        <v>50</v>
      </c>
      <c r="ED43" s="15" t="s">
        <v>45</v>
      </c>
      <c r="EE43" s="15" t="s">
        <v>79</v>
      </c>
      <c r="EY43" s="2" t="str">
        <f t="shared" si="17"/>
        <v>C-300x100</v>
      </c>
      <c r="EZ43" s="33" t="s">
        <v>122</v>
      </c>
      <c r="FA43" s="34">
        <v>31.8</v>
      </c>
      <c r="FB43" s="34">
        <v>300</v>
      </c>
      <c r="FC43" s="34">
        <v>100</v>
      </c>
    </row>
    <row r="44" spans="1:159" x14ac:dyDescent="0.25">
      <c r="A44" s="9" t="str">
        <f t="shared" si="0"/>
        <v>L-125x14</v>
      </c>
      <c r="B44" s="8">
        <v>26.2</v>
      </c>
      <c r="C44" s="8">
        <v>125</v>
      </c>
      <c r="D44" s="8">
        <v>14</v>
      </c>
      <c r="E44" s="5">
        <f t="shared" si="1"/>
        <v>500</v>
      </c>
      <c r="BA44" s="2" t="str">
        <f t="shared" si="4"/>
        <v>H-250x255x14x14</v>
      </c>
      <c r="BB44" s="19">
        <v>82.2</v>
      </c>
      <c r="BC44" s="19">
        <v>250</v>
      </c>
      <c r="BD44" s="19">
        <v>255</v>
      </c>
      <c r="BE44" s="20" t="s">
        <v>35</v>
      </c>
      <c r="BF44" s="20" t="s">
        <v>35</v>
      </c>
      <c r="BG44" s="5">
        <f t="shared" si="5"/>
        <v>1520</v>
      </c>
      <c r="CA44" s="2" t="str">
        <f t="shared" si="6"/>
        <v>Hộp-10x30x1.1</v>
      </c>
      <c r="CB44" s="19">
        <v>0.64500000000000002</v>
      </c>
      <c r="CC44" s="19">
        <v>10</v>
      </c>
      <c r="CD44" s="19">
        <v>30</v>
      </c>
      <c r="CE44" s="20" t="s">
        <v>66</v>
      </c>
      <c r="CF44" s="5">
        <f t="shared" si="7"/>
        <v>80</v>
      </c>
      <c r="CG44" s="5">
        <f t="shared" si="8"/>
        <v>3.3000000000000003</v>
      </c>
      <c r="CH44" s="5">
        <f t="shared" si="9"/>
        <v>2.2000000000000002</v>
      </c>
      <c r="CI44" s="5">
        <f t="shared" si="10"/>
        <v>0.61203808910061319</v>
      </c>
      <c r="CJ44" s="2">
        <f t="shared" si="11"/>
        <v>7850</v>
      </c>
      <c r="CK44" s="48"/>
      <c r="CZ44" s="2" t="str">
        <f t="shared" si="12"/>
        <v>Ống-22.2x1.4</v>
      </c>
      <c r="DA44" s="19">
        <v>0.751</v>
      </c>
      <c r="DB44" s="19">
        <v>22.2</v>
      </c>
      <c r="DC44" s="19">
        <v>1.4</v>
      </c>
      <c r="DD44" s="21">
        <f t="shared" si="13"/>
        <v>69.743356909693404</v>
      </c>
      <c r="DE44" s="44">
        <f t="shared" si="14"/>
        <v>0.71814294786939792</v>
      </c>
      <c r="DF44" s="19">
        <f t="shared" si="15"/>
        <v>7850</v>
      </c>
      <c r="DY44" t="str">
        <f t="shared" si="16"/>
        <v>C-120x50x15x2.8</v>
      </c>
      <c r="DZ44" s="15" t="s">
        <v>116</v>
      </c>
      <c r="EA44" s="16">
        <v>5.4950000000000001</v>
      </c>
      <c r="EB44" s="16">
        <v>120</v>
      </c>
      <c r="EC44" s="16">
        <v>50</v>
      </c>
      <c r="ED44" s="15" t="s">
        <v>45</v>
      </c>
      <c r="EE44" s="15" t="s">
        <v>81</v>
      </c>
      <c r="EY44" s="2" t="str">
        <f t="shared" si="17"/>
        <v>C-330x105</v>
      </c>
      <c r="EZ44" s="33" t="s">
        <v>122</v>
      </c>
      <c r="FA44" s="34">
        <v>36.5</v>
      </c>
      <c r="FB44" s="34">
        <v>330</v>
      </c>
      <c r="FC44" s="34">
        <v>105</v>
      </c>
    </row>
    <row r="45" spans="1:159" x14ac:dyDescent="0.25">
      <c r="A45" s="9" t="str">
        <f t="shared" si="0"/>
        <v>L-125x16</v>
      </c>
      <c r="B45" s="8">
        <v>29.6</v>
      </c>
      <c r="C45" s="8">
        <v>125</v>
      </c>
      <c r="D45" s="8">
        <v>16</v>
      </c>
      <c r="E45" s="5">
        <f t="shared" si="1"/>
        <v>500</v>
      </c>
      <c r="BA45" s="2" t="str">
        <f t="shared" si="4"/>
        <v>H-298x149x6x8</v>
      </c>
      <c r="BB45" s="19">
        <v>32</v>
      </c>
      <c r="BC45" s="19">
        <v>298</v>
      </c>
      <c r="BD45" s="19">
        <v>149</v>
      </c>
      <c r="BE45" s="20" t="s">
        <v>27</v>
      </c>
      <c r="BF45" s="20" t="s">
        <v>28</v>
      </c>
      <c r="BG45" s="5">
        <f t="shared" si="5"/>
        <v>1192</v>
      </c>
      <c r="CA45" s="2" t="str">
        <f t="shared" si="6"/>
        <v>Hộp-10x30x1.2</v>
      </c>
      <c r="CB45" s="19">
        <v>0.70000000000000007</v>
      </c>
      <c r="CC45" s="19">
        <v>10</v>
      </c>
      <c r="CD45" s="19">
        <v>30</v>
      </c>
      <c r="CE45" s="20" t="s">
        <v>67</v>
      </c>
      <c r="CF45" s="5">
        <f t="shared" si="7"/>
        <v>80</v>
      </c>
      <c r="CG45" s="5">
        <f t="shared" si="8"/>
        <v>3.5999999999999996</v>
      </c>
      <c r="CH45" s="5">
        <f t="shared" si="9"/>
        <v>2.4</v>
      </c>
      <c r="CI45" s="5">
        <f t="shared" si="10"/>
        <v>0.65986681678089509</v>
      </c>
      <c r="CJ45" s="2">
        <f t="shared" si="11"/>
        <v>7850</v>
      </c>
      <c r="CK45" s="48"/>
      <c r="CZ45" s="2" t="str">
        <f t="shared" si="12"/>
        <v>Ống-22.2x1.5</v>
      </c>
      <c r="DA45" s="19">
        <v>0.80400000000000005</v>
      </c>
      <c r="DB45" s="19">
        <v>22.2</v>
      </c>
      <c r="DC45" s="19">
        <v>1.5</v>
      </c>
      <c r="DD45" s="21">
        <f t="shared" si="13"/>
        <v>69.743356909693404</v>
      </c>
      <c r="DE45" s="44">
        <f t="shared" si="14"/>
        <v>0.76573964736760969</v>
      </c>
      <c r="DF45" s="19">
        <f t="shared" si="15"/>
        <v>7850</v>
      </c>
      <c r="DY45" t="str">
        <f t="shared" si="16"/>
        <v>C-120x50x15x3</v>
      </c>
      <c r="DZ45" s="15" t="s">
        <v>116</v>
      </c>
      <c r="EA45" s="16">
        <v>5.8879999999999999</v>
      </c>
      <c r="EB45" s="16">
        <v>120</v>
      </c>
      <c r="EC45" s="16">
        <v>50</v>
      </c>
      <c r="ED45" s="15" t="s">
        <v>45</v>
      </c>
      <c r="EE45" s="15" t="s">
        <v>83</v>
      </c>
      <c r="EY45" s="2" t="str">
        <f t="shared" si="17"/>
        <v>C-360x110</v>
      </c>
      <c r="EZ45" s="33" t="s">
        <v>122</v>
      </c>
      <c r="FA45" s="34">
        <v>41.9</v>
      </c>
      <c r="FB45" s="34">
        <v>360</v>
      </c>
      <c r="FC45" s="34">
        <v>110</v>
      </c>
    </row>
    <row r="46" spans="1:159" x14ac:dyDescent="0.25">
      <c r="A46" s="9" t="str">
        <f t="shared" si="0"/>
        <v>L-140x9</v>
      </c>
      <c r="B46" s="8">
        <v>19.399999999999999</v>
      </c>
      <c r="C46" s="8">
        <v>140</v>
      </c>
      <c r="D46" s="8">
        <v>9</v>
      </c>
      <c r="E46" s="5">
        <f t="shared" si="1"/>
        <v>560</v>
      </c>
      <c r="BA46" s="2" t="str">
        <f t="shared" si="4"/>
        <v>H-300x150x7x9</v>
      </c>
      <c r="BB46" s="19">
        <v>36.700000000000003</v>
      </c>
      <c r="BC46" s="19">
        <v>300</v>
      </c>
      <c r="BD46" s="19">
        <v>150</v>
      </c>
      <c r="BE46" s="20" t="s">
        <v>30</v>
      </c>
      <c r="BF46" s="20" t="s">
        <v>34</v>
      </c>
      <c r="BG46" s="5">
        <f t="shared" si="5"/>
        <v>1200</v>
      </c>
      <c r="CA46" s="2" t="str">
        <f t="shared" si="6"/>
        <v>Hộp-10x30x1.4</v>
      </c>
      <c r="CB46" s="19">
        <v>0.80500000000000005</v>
      </c>
      <c r="CC46" s="19">
        <v>10</v>
      </c>
      <c r="CD46" s="19">
        <v>30</v>
      </c>
      <c r="CE46" s="20" t="s">
        <v>68</v>
      </c>
      <c r="CF46" s="5">
        <f t="shared" si="7"/>
        <v>80</v>
      </c>
      <c r="CG46" s="5">
        <f t="shared" si="8"/>
        <v>4.1999999999999993</v>
      </c>
      <c r="CH46" s="5">
        <f t="shared" si="9"/>
        <v>2.8</v>
      </c>
      <c r="CI46" s="5">
        <f t="shared" si="10"/>
        <v>0.75161872284066278</v>
      </c>
      <c r="CJ46" s="2">
        <f t="shared" si="11"/>
        <v>7850</v>
      </c>
      <c r="CK46" s="48"/>
      <c r="CZ46" s="2" t="str">
        <f t="shared" si="12"/>
        <v>Ống-25.4x0.6</v>
      </c>
      <c r="DA46" s="19">
        <v>0.373</v>
      </c>
      <c r="DB46" s="19">
        <v>25.4</v>
      </c>
      <c r="DC46" s="19">
        <v>0.6</v>
      </c>
      <c r="DD46" s="21">
        <f t="shared" si="13"/>
        <v>79.796453401180742</v>
      </c>
      <c r="DE46" s="44">
        <f t="shared" si="14"/>
        <v>0.36696315468051649</v>
      </c>
      <c r="DF46" s="19">
        <f t="shared" si="15"/>
        <v>7850</v>
      </c>
      <c r="DY46" t="str">
        <f t="shared" si="16"/>
        <v>C-120x50x15x3.5</v>
      </c>
      <c r="DZ46" s="15" t="s">
        <v>116</v>
      </c>
      <c r="EA46" s="16">
        <v>6.8689999999999998</v>
      </c>
      <c r="EB46" s="16">
        <v>120</v>
      </c>
      <c r="EC46" s="16">
        <v>50</v>
      </c>
      <c r="ED46" s="15" t="s">
        <v>45</v>
      </c>
      <c r="EE46" s="15" t="s">
        <v>88</v>
      </c>
      <c r="EY46" s="2" t="str">
        <f t="shared" si="17"/>
        <v>C-400x115</v>
      </c>
      <c r="EZ46" s="33" t="s">
        <v>122</v>
      </c>
      <c r="FA46" s="34">
        <v>48.3</v>
      </c>
      <c r="FB46" s="34">
        <v>400</v>
      </c>
      <c r="FC46" s="34">
        <v>115</v>
      </c>
    </row>
    <row r="47" spans="1:159" x14ac:dyDescent="0.25">
      <c r="A47" s="9" t="str">
        <f t="shared" si="0"/>
        <v>L-140x10</v>
      </c>
      <c r="B47" s="8">
        <v>21.5</v>
      </c>
      <c r="C47" s="8">
        <v>140</v>
      </c>
      <c r="D47" s="8">
        <v>10</v>
      </c>
      <c r="E47" s="5">
        <f t="shared" si="1"/>
        <v>560</v>
      </c>
      <c r="BA47" s="2" t="str">
        <f t="shared" si="4"/>
        <v>H-294x200x8x12</v>
      </c>
      <c r="BB47" s="19">
        <v>56.8</v>
      </c>
      <c r="BC47" s="19">
        <v>294</v>
      </c>
      <c r="BD47" s="19">
        <v>200</v>
      </c>
      <c r="BE47" s="20" t="s">
        <v>28</v>
      </c>
      <c r="BF47" s="20" t="s">
        <v>33</v>
      </c>
      <c r="BG47" s="5">
        <f t="shared" si="5"/>
        <v>1388</v>
      </c>
      <c r="CA47" s="2" t="str">
        <f t="shared" si="6"/>
        <v>Hộp-10x30x1.5</v>
      </c>
      <c r="CB47" s="19">
        <v>0.85666666666666658</v>
      </c>
      <c r="CC47" s="19">
        <v>10</v>
      </c>
      <c r="CD47" s="19">
        <v>30</v>
      </c>
      <c r="CE47" s="20" t="s">
        <v>69</v>
      </c>
      <c r="CF47" s="5">
        <f t="shared" si="7"/>
        <v>80</v>
      </c>
      <c r="CG47" s="5">
        <f t="shared" si="8"/>
        <v>4.5</v>
      </c>
      <c r="CH47" s="5">
        <f t="shared" si="9"/>
        <v>3</v>
      </c>
      <c r="CI47" s="5">
        <f t="shared" si="10"/>
        <v>0.79554190122014856</v>
      </c>
      <c r="CJ47" s="2">
        <f t="shared" si="11"/>
        <v>7850</v>
      </c>
      <c r="CK47" s="48"/>
      <c r="CZ47" s="2" t="str">
        <f t="shared" si="12"/>
        <v>Ống-25.4x0.7</v>
      </c>
      <c r="DA47" s="19">
        <v>0.435</v>
      </c>
      <c r="DB47" s="19">
        <v>25.4</v>
      </c>
      <c r="DC47" s="19">
        <v>0.7</v>
      </c>
      <c r="DD47" s="21">
        <f t="shared" si="13"/>
        <v>79.796453401180742</v>
      </c>
      <c r="DE47" s="44">
        <f t="shared" si="14"/>
        <v>0.42639737529745481</v>
      </c>
      <c r="DF47" s="19">
        <f t="shared" si="15"/>
        <v>7850</v>
      </c>
      <c r="DY47" t="str">
        <f t="shared" si="16"/>
        <v>C-120x50x15x4</v>
      </c>
      <c r="DZ47" s="15" t="s">
        <v>116</v>
      </c>
      <c r="EA47" s="16">
        <v>7.85</v>
      </c>
      <c r="EB47" s="16">
        <v>120</v>
      </c>
      <c r="EC47" s="16">
        <v>50</v>
      </c>
      <c r="ED47" s="15" t="s">
        <v>45</v>
      </c>
      <c r="EE47" s="15" t="s">
        <v>25</v>
      </c>
    </row>
    <row r="48" spans="1:159" x14ac:dyDescent="0.25">
      <c r="A48" s="9" t="str">
        <f t="shared" si="0"/>
        <v>L-140x12</v>
      </c>
      <c r="B48" s="8">
        <v>25.5</v>
      </c>
      <c r="C48" s="8">
        <v>140</v>
      </c>
      <c r="D48" s="8">
        <v>12</v>
      </c>
      <c r="E48" s="5">
        <f t="shared" si="1"/>
        <v>560</v>
      </c>
      <c r="BA48" s="2" t="str">
        <f t="shared" si="4"/>
        <v>H-298x201x9x14</v>
      </c>
      <c r="BB48" s="19">
        <v>65.400000000000006</v>
      </c>
      <c r="BC48" s="19">
        <v>298</v>
      </c>
      <c r="BD48" s="19">
        <v>201</v>
      </c>
      <c r="BE48" s="20" t="s">
        <v>34</v>
      </c>
      <c r="BF48" s="20" t="s">
        <v>35</v>
      </c>
      <c r="BG48" s="5">
        <f t="shared" si="5"/>
        <v>1400</v>
      </c>
      <c r="CA48" s="2" t="str">
        <f t="shared" si="6"/>
        <v>Hộp-10x30x1.6</v>
      </c>
      <c r="CB48" s="19">
        <v>0.90833333333333333</v>
      </c>
      <c r="CC48" s="19">
        <v>10</v>
      </c>
      <c r="CD48" s="19">
        <v>30</v>
      </c>
      <c r="CE48" s="20" t="s">
        <v>70</v>
      </c>
      <c r="CF48" s="5">
        <f t="shared" si="7"/>
        <v>80</v>
      </c>
      <c r="CG48" s="5">
        <f t="shared" si="8"/>
        <v>4.8000000000000007</v>
      </c>
      <c r="CH48" s="5">
        <f t="shared" si="9"/>
        <v>3.2</v>
      </c>
      <c r="CI48" s="5">
        <f t="shared" si="10"/>
        <v>0.83816322983270242</v>
      </c>
      <c r="CJ48" s="2">
        <f t="shared" si="11"/>
        <v>7850</v>
      </c>
      <c r="CK48" s="48"/>
      <c r="CZ48" s="2" t="str">
        <f t="shared" si="12"/>
        <v>Ống-25.4x0.8</v>
      </c>
      <c r="DA48" s="19">
        <v>0.496</v>
      </c>
      <c r="DB48" s="19">
        <v>25.4</v>
      </c>
      <c r="DC48" s="19">
        <v>0.8</v>
      </c>
      <c r="DD48" s="21">
        <f t="shared" si="13"/>
        <v>79.796453401180742</v>
      </c>
      <c r="DE48" s="44">
        <f t="shared" si="14"/>
        <v>0.48533836586778051</v>
      </c>
      <c r="DF48" s="19">
        <f t="shared" si="15"/>
        <v>7850</v>
      </c>
      <c r="DY48" t="str">
        <f t="shared" si="16"/>
        <v>C-125x50x15x1.2</v>
      </c>
      <c r="DZ48" s="15" t="s">
        <v>116</v>
      </c>
      <c r="EA48" s="16">
        <v>2.4020000000000001</v>
      </c>
      <c r="EB48" s="16">
        <v>125</v>
      </c>
      <c r="EC48" s="16">
        <v>50</v>
      </c>
      <c r="ED48" s="15" t="s">
        <v>45</v>
      </c>
      <c r="EE48" s="15" t="s">
        <v>67</v>
      </c>
    </row>
    <row r="49" spans="1:135" x14ac:dyDescent="0.25">
      <c r="A49" s="9" t="str">
        <f t="shared" si="0"/>
        <v>L-160x10</v>
      </c>
      <c r="B49" s="8">
        <v>24.7</v>
      </c>
      <c r="C49" s="8">
        <v>160</v>
      </c>
      <c r="D49" s="8">
        <v>10</v>
      </c>
      <c r="E49" s="5">
        <f t="shared" si="1"/>
        <v>640</v>
      </c>
      <c r="BA49" s="2" t="str">
        <f t="shared" si="4"/>
        <v>H-294x302x12x12</v>
      </c>
      <c r="BB49" s="19">
        <v>84.5</v>
      </c>
      <c r="BC49" s="19">
        <v>294</v>
      </c>
      <c r="BD49" s="19">
        <v>302</v>
      </c>
      <c r="BE49" s="20" t="s">
        <v>33</v>
      </c>
      <c r="BF49" s="20" t="s">
        <v>33</v>
      </c>
      <c r="BG49" s="5">
        <f t="shared" si="5"/>
        <v>1796</v>
      </c>
      <c r="CA49" s="2" t="str">
        <f t="shared" si="6"/>
        <v>Hộp-10x30x1.7</v>
      </c>
      <c r="CB49" s="19">
        <v>0.95833333333333337</v>
      </c>
      <c r="CC49" s="19">
        <v>10</v>
      </c>
      <c r="CD49" s="19">
        <v>30</v>
      </c>
      <c r="CE49" s="20" t="s">
        <v>71</v>
      </c>
      <c r="CF49" s="5">
        <f t="shared" si="7"/>
        <v>80</v>
      </c>
      <c r="CG49" s="5">
        <f t="shared" si="8"/>
        <v>5.0999999999999996</v>
      </c>
      <c r="CH49" s="5">
        <f t="shared" si="9"/>
        <v>3.4</v>
      </c>
      <c r="CI49" s="5">
        <f t="shared" si="10"/>
        <v>0.87948270867832412</v>
      </c>
      <c r="CJ49" s="2">
        <f t="shared" si="11"/>
        <v>7850</v>
      </c>
      <c r="CK49" s="48"/>
      <c r="CZ49" s="2" t="str">
        <f t="shared" si="12"/>
        <v>Ống-25.4x0.9</v>
      </c>
      <c r="DA49" s="19">
        <v>0.55700000000000005</v>
      </c>
      <c r="DB49" s="19">
        <v>25.4</v>
      </c>
      <c r="DC49" s="19">
        <v>0.9</v>
      </c>
      <c r="DD49" s="21">
        <f t="shared" si="13"/>
        <v>79.796453401180742</v>
      </c>
      <c r="DE49" s="44">
        <f t="shared" si="14"/>
        <v>0.5437861263914916</v>
      </c>
      <c r="DF49" s="19">
        <f t="shared" si="15"/>
        <v>7850</v>
      </c>
      <c r="DY49" t="str">
        <f t="shared" si="16"/>
        <v>C-125x50x15x1.5</v>
      </c>
      <c r="DZ49" s="15" t="s">
        <v>116</v>
      </c>
      <c r="EA49" s="16">
        <v>3.0030000000000001</v>
      </c>
      <c r="EB49" s="16">
        <v>125</v>
      </c>
      <c r="EC49" s="16">
        <v>50</v>
      </c>
      <c r="ED49" s="15" t="s">
        <v>45</v>
      </c>
      <c r="EE49" s="15" t="s">
        <v>69</v>
      </c>
    </row>
    <row r="50" spans="1:135" x14ac:dyDescent="0.25">
      <c r="A50" s="9" t="str">
        <f t="shared" si="0"/>
        <v>L-160x11</v>
      </c>
      <c r="B50" s="8">
        <v>27</v>
      </c>
      <c r="C50" s="8">
        <v>160</v>
      </c>
      <c r="D50" s="8">
        <v>11</v>
      </c>
      <c r="E50" s="5">
        <f t="shared" si="1"/>
        <v>640</v>
      </c>
      <c r="BA50" s="2" t="str">
        <f t="shared" si="4"/>
        <v>H-298x299x9x14</v>
      </c>
      <c r="BB50" s="19">
        <v>87</v>
      </c>
      <c r="BC50" s="19">
        <v>298</v>
      </c>
      <c r="BD50" s="19">
        <v>299</v>
      </c>
      <c r="BE50" s="20" t="s">
        <v>34</v>
      </c>
      <c r="BF50" s="20" t="s">
        <v>35</v>
      </c>
      <c r="BG50" s="5">
        <f t="shared" si="5"/>
        <v>1792</v>
      </c>
      <c r="CA50" s="2" t="str">
        <f t="shared" si="6"/>
        <v>Hộp-10x30x1.8</v>
      </c>
      <c r="CB50" s="19">
        <v>1.0083333333333333</v>
      </c>
      <c r="CC50" s="19">
        <v>10</v>
      </c>
      <c r="CD50" s="19">
        <v>30</v>
      </c>
      <c r="CE50" s="20" t="s">
        <v>72</v>
      </c>
      <c r="CF50" s="5">
        <f t="shared" si="7"/>
        <v>80</v>
      </c>
      <c r="CG50" s="5">
        <f t="shared" si="8"/>
        <v>5.4</v>
      </c>
      <c r="CH50" s="5">
        <f t="shared" si="9"/>
        <v>3.6</v>
      </c>
      <c r="CI50" s="5">
        <f t="shared" si="10"/>
        <v>0.9195003377570139</v>
      </c>
      <c r="CJ50" s="2">
        <f t="shared" si="11"/>
        <v>7850</v>
      </c>
      <c r="CK50" s="48"/>
      <c r="CZ50" s="2" t="str">
        <f t="shared" si="12"/>
        <v>Ống-25.4x1</v>
      </c>
      <c r="DA50" s="19">
        <v>0.61899999999999999</v>
      </c>
      <c r="DB50" s="19">
        <v>25.4</v>
      </c>
      <c r="DC50" s="19">
        <v>1</v>
      </c>
      <c r="DD50" s="21">
        <f t="shared" si="13"/>
        <v>79.796453401180742</v>
      </c>
      <c r="DE50" s="44">
        <f t="shared" si="14"/>
        <v>0.60174065686858924</v>
      </c>
      <c r="DF50" s="19">
        <f t="shared" si="15"/>
        <v>7850</v>
      </c>
      <c r="DY50" t="str">
        <f t="shared" si="16"/>
        <v>C-125x50x15x1.8</v>
      </c>
      <c r="DZ50" s="15" t="s">
        <v>116</v>
      </c>
      <c r="EA50" s="16">
        <v>3.6030000000000002</v>
      </c>
      <c r="EB50" s="16">
        <v>125</v>
      </c>
      <c r="EC50" s="16">
        <v>50</v>
      </c>
      <c r="ED50" s="15" t="s">
        <v>45</v>
      </c>
      <c r="EE50" s="15" t="s">
        <v>72</v>
      </c>
    </row>
    <row r="51" spans="1:135" x14ac:dyDescent="0.25">
      <c r="A51" s="9" t="str">
        <f t="shared" si="0"/>
        <v>L-160x12</v>
      </c>
      <c r="B51" s="8">
        <v>29.4</v>
      </c>
      <c r="C51" s="8">
        <v>160</v>
      </c>
      <c r="D51" s="8">
        <v>12</v>
      </c>
      <c r="E51" s="5">
        <f t="shared" si="1"/>
        <v>640</v>
      </c>
      <c r="BA51" s="2" t="str">
        <f t="shared" si="4"/>
        <v>H-300x300x10x15</v>
      </c>
      <c r="BB51" s="19">
        <v>94</v>
      </c>
      <c r="BC51" s="19">
        <v>300</v>
      </c>
      <c r="BD51" s="19">
        <v>300</v>
      </c>
      <c r="BE51" s="20" t="s">
        <v>31</v>
      </c>
      <c r="BF51" s="20" t="s">
        <v>45</v>
      </c>
      <c r="BG51" s="5">
        <f t="shared" si="5"/>
        <v>1800</v>
      </c>
      <c r="CA51" s="2" t="str">
        <f t="shared" si="6"/>
        <v>Hộp-10x30x1.9</v>
      </c>
      <c r="CB51" s="19">
        <v>1.0566666666666666</v>
      </c>
      <c r="CC51" s="19">
        <v>10</v>
      </c>
      <c r="CD51" s="19">
        <v>30</v>
      </c>
      <c r="CE51" s="20" t="s">
        <v>73</v>
      </c>
      <c r="CF51" s="5">
        <f t="shared" si="7"/>
        <v>80</v>
      </c>
      <c r="CG51" s="5">
        <f t="shared" si="8"/>
        <v>5.6999999999999993</v>
      </c>
      <c r="CH51" s="5">
        <f t="shared" si="9"/>
        <v>3.8</v>
      </c>
      <c r="CI51" s="5">
        <f t="shared" si="10"/>
        <v>0.95821611706877174</v>
      </c>
      <c r="CJ51" s="2">
        <f t="shared" si="11"/>
        <v>7850</v>
      </c>
      <c r="CK51" s="48"/>
      <c r="CZ51" s="2" t="str">
        <f t="shared" si="12"/>
        <v>Ống-25.4x1.1</v>
      </c>
      <c r="DA51" s="19">
        <v>0.68</v>
      </c>
      <c r="DB51" s="19">
        <v>25.4</v>
      </c>
      <c r="DC51" s="19">
        <v>1.1000000000000001</v>
      </c>
      <c r="DD51" s="21">
        <f t="shared" si="13"/>
        <v>79.796453401180742</v>
      </c>
      <c r="DE51" s="44">
        <f t="shared" si="14"/>
        <v>0.65920195729907261</v>
      </c>
      <c r="DF51" s="19">
        <f t="shared" si="15"/>
        <v>7850</v>
      </c>
      <c r="DY51" t="str">
        <f t="shared" si="16"/>
        <v>C-125x50x15x2</v>
      </c>
      <c r="DZ51" s="15" t="s">
        <v>116</v>
      </c>
      <c r="EA51" s="16">
        <v>4.0039999999999996</v>
      </c>
      <c r="EB51" s="16">
        <v>125</v>
      </c>
      <c r="EC51" s="16">
        <v>50</v>
      </c>
      <c r="ED51" s="15" t="s">
        <v>45</v>
      </c>
      <c r="EE51" s="15" t="s">
        <v>74</v>
      </c>
    </row>
    <row r="52" spans="1:135" x14ac:dyDescent="0.25">
      <c r="A52" s="9" t="str">
        <f t="shared" si="0"/>
        <v>L-160x14</v>
      </c>
      <c r="B52" s="8">
        <v>34</v>
      </c>
      <c r="C52" s="8">
        <v>160</v>
      </c>
      <c r="D52" s="8">
        <v>14</v>
      </c>
      <c r="E52" s="5">
        <f t="shared" si="1"/>
        <v>640</v>
      </c>
      <c r="BA52" s="2" t="str">
        <f t="shared" si="4"/>
        <v>H-300x305x15x15</v>
      </c>
      <c r="BB52" s="19">
        <v>106</v>
      </c>
      <c r="BC52" s="19">
        <v>300</v>
      </c>
      <c r="BD52" s="19">
        <v>305</v>
      </c>
      <c r="BE52" s="20" t="s">
        <v>45</v>
      </c>
      <c r="BF52" s="20" t="s">
        <v>45</v>
      </c>
      <c r="BG52" s="5">
        <f t="shared" si="5"/>
        <v>1820</v>
      </c>
      <c r="CA52" s="2" t="str">
        <f t="shared" si="6"/>
        <v>Hộp-10x30x2</v>
      </c>
      <c r="CB52" s="19">
        <v>1.105</v>
      </c>
      <c r="CC52" s="19">
        <v>10</v>
      </c>
      <c r="CD52" s="19">
        <v>30</v>
      </c>
      <c r="CE52" s="20" t="s">
        <v>74</v>
      </c>
      <c r="CF52" s="5">
        <f t="shared" si="7"/>
        <v>80</v>
      </c>
      <c r="CG52" s="5">
        <f t="shared" si="8"/>
        <v>6</v>
      </c>
      <c r="CH52" s="5">
        <f t="shared" si="9"/>
        <v>4</v>
      </c>
      <c r="CI52" s="5">
        <f t="shared" si="10"/>
        <v>0.99563004661359755</v>
      </c>
      <c r="CJ52" s="2">
        <f t="shared" si="11"/>
        <v>7850</v>
      </c>
      <c r="CK52" s="48"/>
      <c r="CZ52" s="2" t="str">
        <f t="shared" si="12"/>
        <v>Ống-25.4x1.2</v>
      </c>
      <c r="DA52" s="19">
        <v>0.74</v>
      </c>
      <c r="DB52" s="19">
        <v>25.4</v>
      </c>
      <c r="DC52" s="19">
        <v>1.2</v>
      </c>
      <c r="DD52" s="21">
        <f t="shared" si="13"/>
        <v>79.796453401180742</v>
      </c>
      <c r="DE52" s="44">
        <f t="shared" si="14"/>
        <v>0.71617002768294347</v>
      </c>
      <c r="DF52" s="19">
        <f t="shared" si="15"/>
        <v>7850</v>
      </c>
      <c r="DY52" t="str">
        <f t="shared" si="16"/>
        <v>C-125x50x15x2.5</v>
      </c>
      <c r="DZ52" s="15" t="s">
        <v>116</v>
      </c>
      <c r="EA52" s="16">
        <v>5.0039999999999996</v>
      </c>
      <c r="EB52" s="16">
        <v>125</v>
      </c>
      <c r="EC52" s="16">
        <v>50</v>
      </c>
      <c r="ED52" s="15" t="s">
        <v>45</v>
      </c>
      <c r="EE52" s="15" t="s">
        <v>79</v>
      </c>
    </row>
    <row r="53" spans="1:135" x14ac:dyDescent="0.25">
      <c r="A53" s="9" t="str">
        <f t="shared" si="0"/>
        <v>L-160x16</v>
      </c>
      <c r="B53" s="8">
        <v>38.5</v>
      </c>
      <c r="C53" s="8">
        <v>160</v>
      </c>
      <c r="D53" s="8">
        <v>16</v>
      </c>
      <c r="E53" s="5">
        <f t="shared" si="1"/>
        <v>640</v>
      </c>
      <c r="BA53" s="2" t="str">
        <f t="shared" si="4"/>
        <v>H-304x301x11x17</v>
      </c>
      <c r="BB53" s="19">
        <v>106</v>
      </c>
      <c r="BC53" s="19">
        <v>304</v>
      </c>
      <c r="BD53" s="19">
        <v>301</v>
      </c>
      <c r="BE53" s="20" t="s">
        <v>36</v>
      </c>
      <c r="BF53" s="20" t="s">
        <v>46</v>
      </c>
      <c r="BG53" s="5">
        <f t="shared" si="5"/>
        <v>1812</v>
      </c>
      <c r="CA53" s="2" t="str">
        <f t="shared" si="6"/>
        <v>Hộp-20x0.6</v>
      </c>
      <c r="CB53" s="19">
        <v>0.36333333333333334</v>
      </c>
      <c r="CC53" s="19">
        <v>20</v>
      </c>
      <c r="CD53" s="19">
        <v>20</v>
      </c>
      <c r="CE53" s="20" t="s">
        <v>61</v>
      </c>
      <c r="CF53" s="5">
        <f t="shared" si="7"/>
        <v>80</v>
      </c>
      <c r="CG53" s="5">
        <f t="shared" si="8"/>
        <v>1.7999999999999998</v>
      </c>
      <c r="CH53" s="5">
        <f t="shared" si="9"/>
        <v>1.2</v>
      </c>
      <c r="CI53" s="5">
        <f t="shared" si="10"/>
        <v>0.35336670419522376</v>
      </c>
      <c r="CJ53" s="2">
        <f t="shared" si="11"/>
        <v>7850</v>
      </c>
      <c r="CK53" s="48"/>
      <c r="CZ53" s="2" t="str">
        <f t="shared" si="12"/>
        <v>Ống-25.4x1.4</v>
      </c>
      <c r="DA53" s="19">
        <v>0.86199999999999999</v>
      </c>
      <c r="DB53" s="19">
        <v>25.4</v>
      </c>
      <c r="DC53" s="19">
        <v>1.4</v>
      </c>
      <c r="DD53" s="21">
        <f t="shared" si="13"/>
        <v>79.796453401180742</v>
      </c>
      <c r="DE53" s="44">
        <f t="shared" si="14"/>
        <v>0.82862647831084446</v>
      </c>
      <c r="DF53" s="19">
        <f t="shared" si="15"/>
        <v>7850</v>
      </c>
      <c r="DY53" t="str">
        <f t="shared" si="16"/>
        <v>C-125x50x15x2.8</v>
      </c>
      <c r="DZ53" s="15" t="s">
        <v>116</v>
      </c>
      <c r="EA53" s="16">
        <v>5.6050000000000004</v>
      </c>
      <c r="EB53" s="16">
        <v>125</v>
      </c>
      <c r="EC53" s="16">
        <v>50</v>
      </c>
      <c r="ED53" s="15" t="s">
        <v>45</v>
      </c>
      <c r="EE53" s="15" t="s">
        <v>81</v>
      </c>
    </row>
    <row r="54" spans="1:135" x14ac:dyDescent="0.25">
      <c r="A54" s="9" t="str">
        <f t="shared" si="0"/>
        <v>L-160x18</v>
      </c>
      <c r="B54" s="8">
        <v>43</v>
      </c>
      <c r="C54" s="8">
        <v>160</v>
      </c>
      <c r="D54" s="8">
        <v>18</v>
      </c>
      <c r="E54" s="5">
        <f t="shared" si="1"/>
        <v>640</v>
      </c>
      <c r="BA54" s="2" t="str">
        <f t="shared" si="4"/>
        <v>H-310x305x15x20</v>
      </c>
      <c r="BB54" s="19">
        <v>130</v>
      </c>
      <c r="BC54" s="19">
        <v>310</v>
      </c>
      <c r="BD54" s="19">
        <v>305</v>
      </c>
      <c r="BE54" s="20" t="s">
        <v>45</v>
      </c>
      <c r="BF54" s="20" t="s">
        <v>47</v>
      </c>
      <c r="BG54" s="5">
        <f t="shared" si="5"/>
        <v>1840</v>
      </c>
      <c r="CA54" s="2" t="str">
        <f t="shared" si="6"/>
        <v>Hộp-20x0.7</v>
      </c>
      <c r="CB54" s="19">
        <v>0.42166666666666663</v>
      </c>
      <c r="CC54" s="19">
        <v>20</v>
      </c>
      <c r="CD54" s="19">
        <v>20</v>
      </c>
      <c r="CE54" s="20" t="s">
        <v>62</v>
      </c>
      <c r="CF54" s="5">
        <f t="shared" si="7"/>
        <v>80</v>
      </c>
      <c r="CG54" s="5">
        <f t="shared" si="8"/>
        <v>2.0999999999999996</v>
      </c>
      <c r="CH54" s="5">
        <f t="shared" si="9"/>
        <v>1.4</v>
      </c>
      <c r="CI54" s="5">
        <f t="shared" si="10"/>
        <v>0.40770468071016575</v>
      </c>
      <c r="CJ54" s="2">
        <f t="shared" si="11"/>
        <v>7850</v>
      </c>
      <c r="CK54" s="48"/>
      <c r="CZ54" s="2" t="str">
        <f t="shared" si="12"/>
        <v>Ống-25.4x1.5</v>
      </c>
      <c r="DA54" s="19">
        <v>0.92200000000000004</v>
      </c>
      <c r="DB54" s="19">
        <v>25.4</v>
      </c>
      <c r="DC54" s="19">
        <v>1.5</v>
      </c>
      <c r="DD54" s="21">
        <f t="shared" si="13"/>
        <v>79.796453401180742</v>
      </c>
      <c r="DE54" s="44">
        <f t="shared" si="14"/>
        <v>0.88411485855487382</v>
      </c>
      <c r="DF54" s="19">
        <f t="shared" si="15"/>
        <v>7850</v>
      </c>
      <c r="DY54" t="str">
        <f t="shared" si="16"/>
        <v>C-125x50x15x3</v>
      </c>
      <c r="DZ54" s="15" t="s">
        <v>116</v>
      </c>
      <c r="EA54" s="16">
        <v>6.0049999999999999</v>
      </c>
      <c r="EB54" s="16">
        <v>125</v>
      </c>
      <c r="EC54" s="16">
        <v>50</v>
      </c>
      <c r="ED54" s="15" t="s">
        <v>45</v>
      </c>
      <c r="EE54" s="15" t="s">
        <v>83</v>
      </c>
    </row>
    <row r="55" spans="1:135" x14ac:dyDescent="0.25">
      <c r="A55" s="9" t="str">
        <f t="shared" si="0"/>
        <v>L-160x20</v>
      </c>
      <c r="B55" s="8">
        <v>47.4</v>
      </c>
      <c r="C55" s="8">
        <v>160</v>
      </c>
      <c r="D55" s="8">
        <v>20</v>
      </c>
      <c r="E55" s="5">
        <f t="shared" si="1"/>
        <v>640</v>
      </c>
      <c r="BA55" s="2" t="str">
        <f t="shared" si="4"/>
        <v>H-310x310x20x20</v>
      </c>
      <c r="BB55" s="19">
        <v>142</v>
      </c>
      <c r="BC55" s="19">
        <v>310</v>
      </c>
      <c r="BD55" s="19">
        <v>310</v>
      </c>
      <c r="BE55" s="20" t="s">
        <v>47</v>
      </c>
      <c r="BF55" s="20" t="s">
        <v>47</v>
      </c>
      <c r="BG55" s="5">
        <f t="shared" si="5"/>
        <v>1860</v>
      </c>
      <c r="CA55" s="2" t="str">
        <f t="shared" si="6"/>
        <v>Hộp-20x0.8</v>
      </c>
      <c r="CB55" s="19">
        <v>0.47833333333333333</v>
      </c>
      <c r="CC55" s="19">
        <v>20</v>
      </c>
      <c r="CD55" s="19">
        <v>20</v>
      </c>
      <c r="CE55" s="20" t="s">
        <v>63</v>
      </c>
      <c r="CF55" s="5">
        <f t="shared" si="7"/>
        <v>80</v>
      </c>
      <c r="CG55" s="5">
        <f t="shared" si="8"/>
        <v>2.4000000000000004</v>
      </c>
      <c r="CH55" s="5">
        <f t="shared" si="9"/>
        <v>1.6</v>
      </c>
      <c r="CI55" s="5">
        <f t="shared" si="10"/>
        <v>0.46074080745817564</v>
      </c>
      <c r="CJ55" s="2">
        <f t="shared" si="11"/>
        <v>7850</v>
      </c>
      <c r="CK55" s="48"/>
      <c r="CZ55" s="2" t="str">
        <f t="shared" si="12"/>
        <v>Ống-27x0.9</v>
      </c>
      <c r="DA55" s="19">
        <v>0.59299999999999997</v>
      </c>
      <c r="DB55" s="19">
        <v>27</v>
      </c>
      <c r="DC55" s="19">
        <v>0.9</v>
      </c>
      <c r="DD55" s="21">
        <f t="shared" si="13"/>
        <v>84.823001646924411</v>
      </c>
      <c r="DE55" s="44">
        <f t="shared" si="14"/>
        <v>0.57929868974767018</v>
      </c>
      <c r="DF55" s="19">
        <f t="shared" si="15"/>
        <v>7850</v>
      </c>
      <c r="DY55" t="str">
        <f t="shared" si="16"/>
        <v>C-125x50x15x3.5</v>
      </c>
      <c r="DZ55" s="15" t="s">
        <v>116</v>
      </c>
      <c r="EA55" s="16">
        <v>7.0060000000000002</v>
      </c>
      <c r="EB55" s="16">
        <v>125</v>
      </c>
      <c r="EC55" s="16">
        <v>50</v>
      </c>
      <c r="ED55" s="15" t="s">
        <v>45</v>
      </c>
      <c r="EE55" s="15" t="s">
        <v>88</v>
      </c>
    </row>
    <row r="56" spans="1:135" x14ac:dyDescent="0.25">
      <c r="A56" s="9" t="str">
        <f t="shared" si="0"/>
        <v>L-180x11</v>
      </c>
      <c r="B56" s="8">
        <v>30.5</v>
      </c>
      <c r="C56" s="8">
        <v>180</v>
      </c>
      <c r="D56" s="8">
        <v>11</v>
      </c>
      <c r="E56" s="5">
        <f t="shared" si="1"/>
        <v>720</v>
      </c>
      <c r="BA56" s="2" t="str">
        <f t="shared" si="4"/>
        <v>H-346x174x6x9</v>
      </c>
      <c r="BB56" s="19">
        <v>41.4</v>
      </c>
      <c r="BC56" s="19">
        <v>346</v>
      </c>
      <c r="BD56" s="19">
        <v>174</v>
      </c>
      <c r="BE56" s="20" t="s">
        <v>27</v>
      </c>
      <c r="BF56" s="20" t="s">
        <v>34</v>
      </c>
      <c r="BG56" s="5">
        <f t="shared" si="5"/>
        <v>1388</v>
      </c>
      <c r="CA56" s="2" t="str">
        <f t="shared" si="6"/>
        <v>Hộp-20x0.9</v>
      </c>
      <c r="CB56" s="19">
        <v>0.53500000000000003</v>
      </c>
      <c r="CC56" s="19">
        <v>20</v>
      </c>
      <c r="CD56" s="19">
        <v>20</v>
      </c>
      <c r="CE56" s="20" t="s">
        <v>64</v>
      </c>
      <c r="CF56" s="5">
        <f t="shared" si="7"/>
        <v>80</v>
      </c>
      <c r="CG56" s="5">
        <f t="shared" si="8"/>
        <v>2.7</v>
      </c>
      <c r="CH56" s="5">
        <f t="shared" si="9"/>
        <v>1.8</v>
      </c>
      <c r="CI56" s="5">
        <f t="shared" si="10"/>
        <v>0.5124750844392536</v>
      </c>
      <c r="CJ56" s="2">
        <f t="shared" si="11"/>
        <v>7850</v>
      </c>
      <c r="CK56" s="48"/>
      <c r="CZ56" s="2" t="str">
        <f t="shared" si="12"/>
        <v>Ống-27x1</v>
      </c>
      <c r="DA56" s="19">
        <v>0.65800000000000003</v>
      </c>
      <c r="DB56" s="19">
        <v>27</v>
      </c>
      <c r="DC56" s="19">
        <v>1</v>
      </c>
      <c r="DD56" s="21">
        <f t="shared" si="13"/>
        <v>84.823001646924411</v>
      </c>
      <c r="DE56" s="44">
        <f t="shared" si="14"/>
        <v>0.6411990605976764</v>
      </c>
      <c r="DF56" s="19">
        <f t="shared" si="15"/>
        <v>7850</v>
      </c>
      <c r="DY56" t="str">
        <f t="shared" si="16"/>
        <v>C-125x50x15x4</v>
      </c>
      <c r="DZ56" s="15" t="s">
        <v>116</v>
      </c>
      <c r="EA56" s="16">
        <v>8.0069999999999997</v>
      </c>
      <c r="EB56" s="16">
        <v>125</v>
      </c>
      <c r="EC56" s="16">
        <v>50</v>
      </c>
      <c r="ED56" s="15" t="s">
        <v>45</v>
      </c>
      <c r="EE56" s="15" t="s">
        <v>25</v>
      </c>
    </row>
    <row r="57" spans="1:135" x14ac:dyDescent="0.25">
      <c r="A57" s="9" t="str">
        <f t="shared" si="0"/>
        <v>L-180x12</v>
      </c>
      <c r="B57" s="8">
        <v>33.1</v>
      </c>
      <c r="C57" s="8">
        <v>180</v>
      </c>
      <c r="D57" s="8">
        <v>12</v>
      </c>
      <c r="E57" s="5">
        <f t="shared" si="1"/>
        <v>720</v>
      </c>
      <c r="BA57" s="2" t="str">
        <f t="shared" si="4"/>
        <v>H-350x175x7x11</v>
      </c>
      <c r="BB57" s="19">
        <v>49.6</v>
      </c>
      <c r="BC57" s="19">
        <v>350</v>
      </c>
      <c r="BD57" s="19">
        <v>175</v>
      </c>
      <c r="BE57" s="20" t="s">
        <v>30</v>
      </c>
      <c r="BF57" s="20" t="s">
        <v>36</v>
      </c>
      <c r="BG57" s="5">
        <f t="shared" si="5"/>
        <v>1400</v>
      </c>
      <c r="CA57" s="2" t="str">
        <f t="shared" si="6"/>
        <v>Hộp-20x1</v>
      </c>
      <c r="CB57" s="19">
        <v>0.59</v>
      </c>
      <c r="CC57" s="19">
        <v>20</v>
      </c>
      <c r="CD57" s="19">
        <v>20</v>
      </c>
      <c r="CE57" s="20" t="s">
        <v>65</v>
      </c>
      <c r="CF57" s="5">
        <f t="shared" si="7"/>
        <v>80</v>
      </c>
      <c r="CG57" s="5">
        <f t="shared" si="8"/>
        <v>3</v>
      </c>
      <c r="CH57" s="5">
        <f t="shared" si="9"/>
        <v>2</v>
      </c>
      <c r="CI57" s="5">
        <f t="shared" si="10"/>
        <v>0.56290751165339936</v>
      </c>
      <c r="CJ57" s="2">
        <f t="shared" si="11"/>
        <v>7850</v>
      </c>
      <c r="CK57" s="48"/>
      <c r="CZ57" s="2" t="str">
        <f t="shared" si="12"/>
        <v>Ống-27x1.1</v>
      </c>
      <c r="DA57" s="19">
        <v>0.72299999999999998</v>
      </c>
      <c r="DB57" s="19">
        <v>27</v>
      </c>
      <c r="DC57" s="19">
        <v>1.1000000000000001</v>
      </c>
      <c r="DD57" s="21">
        <f t="shared" si="13"/>
        <v>84.823001646924411</v>
      </c>
      <c r="DE57" s="44">
        <f t="shared" si="14"/>
        <v>0.70260620140106866</v>
      </c>
      <c r="DF57" s="19">
        <f t="shared" si="15"/>
        <v>7850</v>
      </c>
      <c r="DY57" t="str">
        <f t="shared" si="16"/>
        <v>C-150x50x15x1.2</v>
      </c>
      <c r="DZ57" s="15" t="s">
        <v>116</v>
      </c>
      <c r="EA57" s="16">
        <v>2.6379999999999999</v>
      </c>
      <c r="EB57" s="16">
        <v>150</v>
      </c>
      <c r="EC57" s="16">
        <v>50</v>
      </c>
      <c r="ED57" s="15" t="s">
        <v>45</v>
      </c>
      <c r="EE57" s="15" t="s">
        <v>67</v>
      </c>
    </row>
    <row r="58" spans="1:135" x14ac:dyDescent="0.25">
      <c r="A58" s="9" t="str">
        <f t="shared" si="0"/>
        <v>L-200x12</v>
      </c>
      <c r="B58" s="8">
        <v>37</v>
      </c>
      <c r="C58" s="8">
        <v>200</v>
      </c>
      <c r="D58" s="8">
        <v>12</v>
      </c>
      <c r="E58" s="5">
        <f t="shared" si="1"/>
        <v>800</v>
      </c>
      <c r="BA58" s="2" t="str">
        <f t="shared" si="4"/>
        <v>H-354x176x8x13</v>
      </c>
      <c r="BB58" s="19">
        <v>57.8</v>
      </c>
      <c r="BC58" s="19">
        <v>354</v>
      </c>
      <c r="BD58" s="19">
        <v>176</v>
      </c>
      <c r="BE58" s="20" t="s">
        <v>28</v>
      </c>
      <c r="BF58" s="20" t="s">
        <v>44</v>
      </c>
      <c r="BG58" s="5">
        <f t="shared" si="5"/>
        <v>1412</v>
      </c>
      <c r="CA58" s="2" t="str">
        <f t="shared" si="6"/>
        <v>Hộp-20x1.1</v>
      </c>
      <c r="CB58" s="19">
        <v>0.64500000000000002</v>
      </c>
      <c r="CC58" s="19">
        <v>20</v>
      </c>
      <c r="CD58" s="19">
        <v>20</v>
      </c>
      <c r="CE58" s="20" t="s">
        <v>66</v>
      </c>
      <c r="CF58" s="5">
        <f t="shared" si="7"/>
        <v>80</v>
      </c>
      <c r="CG58" s="5">
        <f t="shared" si="8"/>
        <v>3.3000000000000003</v>
      </c>
      <c r="CH58" s="5">
        <f t="shared" si="9"/>
        <v>2.2000000000000002</v>
      </c>
      <c r="CI58" s="5">
        <f t="shared" si="10"/>
        <v>0.61203808910061319</v>
      </c>
      <c r="CJ58" s="2">
        <f t="shared" si="11"/>
        <v>7850</v>
      </c>
      <c r="CK58" s="48"/>
      <c r="CZ58" s="2" t="str">
        <f t="shared" si="12"/>
        <v>Ống-27x1.2</v>
      </c>
      <c r="DA58" s="19">
        <v>0.78800000000000003</v>
      </c>
      <c r="DB58" s="19">
        <v>27</v>
      </c>
      <c r="DC58" s="19">
        <v>1.2</v>
      </c>
      <c r="DD58" s="21">
        <f t="shared" si="13"/>
        <v>84.823001646924411</v>
      </c>
      <c r="DE58" s="44">
        <f t="shared" si="14"/>
        <v>0.7635201121578481</v>
      </c>
      <c r="DF58" s="19">
        <f t="shared" si="15"/>
        <v>7850</v>
      </c>
      <c r="DY58" t="str">
        <f t="shared" si="16"/>
        <v>C-150x50x15x1.5</v>
      </c>
      <c r="DZ58" s="15" t="s">
        <v>116</v>
      </c>
      <c r="EA58" s="16">
        <v>3.2970000000000002</v>
      </c>
      <c r="EB58" s="16">
        <v>150</v>
      </c>
      <c r="EC58" s="16">
        <v>50</v>
      </c>
      <c r="ED58" s="15" t="s">
        <v>45</v>
      </c>
      <c r="EE58" s="15" t="s">
        <v>69</v>
      </c>
    </row>
    <row r="59" spans="1:135" x14ac:dyDescent="0.25">
      <c r="A59" s="9" t="str">
        <f t="shared" si="0"/>
        <v>L-200x13</v>
      </c>
      <c r="B59" s="8">
        <v>39.9</v>
      </c>
      <c r="C59" s="8">
        <v>200</v>
      </c>
      <c r="D59" s="8">
        <v>13</v>
      </c>
      <c r="E59" s="5">
        <f t="shared" si="1"/>
        <v>800</v>
      </c>
      <c r="BA59" s="2" t="str">
        <f t="shared" si="4"/>
        <v>H-336x249x8x12</v>
      </c>
      <c r="BB59" s="19">
        <v>69.2</v>
      </c>
      <c r="BC59" s="19">
        <v>336</v>
      </c>
      <c r="BD59" s="19">
        <v>249</v>
      </c>
      <c r="BE59" s="20" t="s">
        <v>28</v>
      </c>
      <c r="BF59" s="20" t="s">
        <v>33</v>
      </c>
      <c r="BG59" s="5">
        <f t="shared" si="5"/>
        <v>1668</v>
      </c>
      <c r="CA59" s="2" t="str">
        <f t="shared" si="6"/>
        <v>Hộp-20x1.2</v>
      </c>
      <c r="CB59" s="19">
        <v>0.70000000000000007</v>
      </c>
      <c r="CC59" s="19">
        <v>20</v>
      </c>
      <c r="CD59" s="19">
        <v>20</v>
      </c>
      <c r="CE59" s="20" t="s">
        <v>67</v>
      </c>
      <c r="CF59" s="5">
        <f t="shared" si="7"/>
        <v>80</v>
      </c>
      <c r="CG59" s="5">
        <f t="shared" si="8"/>
        <v>3.5999999999999996</v>
      </c>
      <c r="CH59" s="5">
        <f t="shared" si="9"/>
        <v>2.4</v>
      </c>
      <c r="CI59" s="5">
        <f t="shared" si="10"/>
        <v>0.65986681678089509</v>
      </c>
      <c r="CJ59" s="2">
        <f t="shared" si="11"/>
        <v>7850</v>
      </c>
      <c r="CK59" s="48"/>
      <c r="CZ59" s="2" t="str">
        <f t="shared" si="12"/>
        <v>Ống-27x1.4</v>
      </c>
      <c r="DA59" s="19">
        <v>0.91700000000000004</v>
      </c>
      <c r="DB59" s="19">
        <v>27</v>
      </c>
      <c r="DC59" s="19">
        <v>1.4</v>
      </c>
      <c r="DD59" s="21">
        <f t="shared" si="13"/>
        <v>84.823001646924411</v>
      </c>
      <c r="DE59" s="44">
        <f t="shared" si="14"/>
        <v>0.88386824353156657</v>
      </c>
      <c r="DF59" s="19">
        <f t="shared" si="15"/>
        <v>7850</v>
      </c>
      <c r="DY59" t="str">
        <f t="shared" si="16"/>
        <v>C-150x50x15x1.8</v>
      </c>
      <c r="DZ59" s="15" t="s">
        <v>116</v>
      </c>
      <c r="EA59" s="16">
        <v>3.956</v>
      </c>
      <c r="EB59" s="16">
        <v>150</v>
      </c>
      <c r="EC59" s="16">
        <v>50</v>
      </c>
      <c r="ED59" s="15" t="s">
        <v>45</v>
      </c>
      <c r="EE59" s="15" t="s">
        <v>72</v>
      </c>
    </row>
    <row r="60" spans="1:135" x14ac:dyDescent="0.25">
      <c r="A60" s="9" t="str">
        <f t="shared" si="0"/>
        <v>L-200x14</v>
      </c>
      <c r="B60" s="8">
        <v>42.8</v>
      </c>
      <c r="C60" s="8">
        <v>200</v>
      </c>
      <c r="D60" s="8">
        <v>14</v>
      </c>
      <c r="E60" s="5">
        <f t="shared" si="1"/>
        <v>800</v>
      </c>
      <c r="BA60" s="2" t="str">
        <f t="shared" si="4"/>
        <v>H-340x250x9x14</v>
      </c>
      <c r="BB60" s="19">
        <v>79.7</v>
      </c>
      <c r="BC60" s="19">
        <v>340</v>
      </c>
      <c r="BD60" s="19">
        <v>250</v>
      </c>
      <c r="BE60" s="20" t="s">
        <v>34</v>
      </c>
      <c r="BF60" s="20" t="s">
        <v>35</v>
      </c>
      <c r="BG60" s="5">
        <f t="shared" si="5"/>
        <v>1680</v>
      </c>
      <c r="CA60" s="2" t="str">
        <f t="shared" si="6"/>
        <v>Hộp-20x1.4</v>
      </c>
      <c r="CB60" s="19">
        <v>0.80500000000000005</v>
      </c>
      <c r="CC60" s="19">
        <v>20</v>
      </c>
      <c r="CD60" s="19">
        <v>20</v>
      </c>
      <c r="CE60" s="20" t="s">
        <v>68</v>
      </c>
      <c r="CF60" s="5">
        <f t="shared" si="7"/>
        <v>80</v>
      </c>
      <c r="CG60" s="5">
        <f t="shared" si="8"/>
        <v>4.1999999999999993</v>
      </c>
      <c r="CH60" s="5">
        <f t="shared" si="9"/>
        <v>2.8</v>
      </c>
      <c r="CI60" s="5">
        <f t="shared" si="10"/>
        <v>0.75161872284066278</v>
      </c>
      <c r="CJ60" s="2">
        <f t="shared" si="11"/>
        <v>7850</v>
      </c>
      <c r="CK60" s="48"/>
      <c r="CZ60" s="2" t="str">
        <f t="shared" si="12"/>
        <v>Ống-27x1.5</v>
      </c>
      <c r="DA60" s="19">
        <v>0.98099999999999998</v>
      </c>
      <c r="DB60" s="19">
        <v>27</v>
      </c>
      <c r="DC60" s="19">
        <v>1.5</v>
      </c>
      <c r="DD60" s="21">
        <f t="shared" si="13"/>
        <v>84.823001646924411</v>
      </c>
      <c r="DE60" s="44">
        <f t="shared" si="14"/>
        <v>0.94330246414850494</v>
      </c>
      <c r="DF60" s="19">
        <f t="shared" si="15"/>
        <v>7850</v>
      </c>
      <c r="DY60" t="str">
        <f t="shared" si="16"/>
        <v>C-150x50x15x2</v>
      </c>
      <c r="DZ60" s="15" t="s">
        <v>116</v>
      </c>
      <c r="EA60" s="16">
        <v>4.3959999999999999</v>
      </c>
      <c r="EB60" s="16">
        <v>150</v>
      </c>
      <c r="EC60" s="16">
        <v>50</v>
      </c>
      <c r="ED60" s="15" t="s">
        <v>45</v>
      </c>
      <c r="EE60" s="15" t="s">
        <v>74</v>
      </c>
    </row>
    <row r="61" spans="1:135" x14ac:dyDescent="0.25">
      <c r="A61" s="9" t="str">
        <f t="shared" si="0"/>
        <v>L-200x16</v>
      </c>
      <c r="B61" s="8">
        <v>48.7</v>
      </c>
      <c r="C61" s="8">
        <v>200</v>
      </c>
      <c r="D61" s="8">
        <v>16</v>
      </c>
      <c r="E61" s="5">
        <f t="shared" si="1"/>
        <v>800</v>
      </c>
      <c r="BA61" s="2" t="str">
        <f t="shared" si="4"/>
        <v>H-338x351x13x13</v>
      </c>
      <c r="BB61" s="19">
        <v>106</v>
      </c>
      <c r="BC61" s="19">
        <v>338</v>
      </c>
      <c r="BD61" s="19">
        <v>351</v>
      </c>
      <c r="BE61" s="20" t="s">
        <v>44</v>
      </c>
      <c r="BF61" s="20" t="s">
        <v>44</v>
      </c>
      <c r="BG61" s="5">
        <f t="shared" si="5"/>
        <v>2080</v>
      </c>
      <c r="CA61" s="2" t="str">
        <f t="shared" si="6"/>
        <v>Hộp-20x1.5</v>
      </c>
      <c r="CB61" s="19">
        <v>0.85666666666666658</v>
      </c>
      <c r="CC61" s="19">
        <v>20</v>
      </c>
      <c r="CD61" s="19">
        <v>20</v>
      </c>
      <c r="CE61" s="20" t="s">
        <v>69</v>
      </c>
      <c r="CF61" s="5">
        <f t="shared" si="7"/>
        <v>80</v>
      </c>
      <c r="CG61" s="5">
        <f t="shared" si="8"/>
        <v>4.5</v>
      </c>
      <c r="CH61" s="5">
        <f t="shared" si="9"/>
        <v>3</v>
      </c>
      <c r="CI61" s="5">
        <f t="shared" si="10"/>
        <v>0.79554190122014856</v>
      </c>
      <c r="CJ61" s="2">
        <f t="shared" si="11"/>
        <v>7850</v>
      </c>
      <c r="CK61" s="48"/>
      <c r="CZ61" s="2" t="str">
        <f t="shared" si="12"/>
        <v>Ống-27x1.7</v>
      </c>
      <c r="DA61" s="19">
        <v>1.109</v>
      </c>
      <c r="DB61" s="19">
        <v>27</v>
      </c>
      <c r="DC61" s="19">
        <v>1.7</v>
      </c>
      <c r="DD61" s="21">
        <f t="shared" si="13"/>
        <v>84.823001646924411</v>
      </c>
      <c r="DE61" s="44">
        <f t="shared" si="14"/>
        <v>1.060691215242541</v>
      </c>
      <c r="DF61" s="19">
        <f t="shared" si="15"/>
        <v>7850</v>
      </c>
      <c r="DY61" t="str">
        <f t="shared" si="16"/>
        <v>C-150x50x15x2.5</v>
      </c>
      <c r="DZ61" s="15" t="s">
        <v>116</v>
      </c>
      <c r="EA61" s="16">
        <v>5.4950000000000001</v>
      </c>
      <c r="EB61" s="16">
        <v>150</v>
      </c>
      <c r="EC61" s="16">
        <v>50</v>
      </c>
      <c r="ED61" s="15" t="s">
        <v>45</v>
      </c>
      <c r="EE61" s="15" t="s">
        <v>79</v>
      </c>
    </row>
    <row r="62" spans="1:135" x14ac:dyDescent="0.25">
      <c r="A62" s="9" t="str">
        <f t="shared" si="0"/>
        <v>L-200x20</v>
      </c>
      <c r="B62" s="8">
        <v>60.1</v>
      </c>
      <c r="C62" s="8">
        <v>200</v>
      </c>
      <c r="D62" s="8">
        <v>20</v>
      </c>
      <c r="E62" s="5">
        <f t="shared" si="1"/>
        <v>800</v>
      </c>
      <c r="BA62" s="2" t="str">
        <f t="shared" si="4"/>
        <v>H-344x348x10x16</v>
      </c>
      <c r="BB62" s="19">
        <v>115</v>
      </c>
      <c r="BC62" s="19">
        <v>344</v>
      </c>
      <c r="BD62" s="19">
        <v>348</v>
      </c>
      <c r="BE62" s="20" t="s">
        <v>31</v>
      </c>
      <c r="BF62" s="20" t="s">
        <v>37</v>
      </c>
      <c r="BG62" s="5">
        <f t="shared" si="5"/>
        <v>2080</v>
      </c>
      <c r="CA62" s="2" t="str">
        <f t="shared" si="6"/>
        <v>Hộp-20x1.6</v>
      </c>
      <c r="CB62" s="19">
        <v>0.90833333333333333</v>
      </c>
      <c r="CC62" s="19">
        <v>20</v>
      </c>
      <c r="CD62" s="19">
        <v>20</v>
      </c>
      <c r="CE62" s="20" t="s">
        <v>70</v>
      </c>
      <c r="CF62" s="5">
        <f t="shared" si="7"/>
        <v>80</v>
      </c>
      <c r="CG62" s="5">
        <f t="shared" si="8"/>
        <v>4.8000000000000007</v>
      </c>
      <c r="CH62" s="5">
        <f t="shared" si="9"/>
        <v>3.2</v>
      </c>
      <c r="CI62" s="5">
        <f t="shared" si="10"/>
        <v>0.83816322983270242</v>
      </c>
      <c r="CJ62" s="2">
        <f t="shared" si="11"/>
        <v>7850</v>
      </c>
      <c r="CK62" s="48"/>
      <c r="CZ62" s="2" t="str">
        <f t="shared" si="12"/>
        <v>Ống-27x1.8</v>
      </c>
      <c r="DA62" s="19">
        <v>1.173</v>
      </c>
      <c r="DB62" s="19">
        <v>27</v>
      </c>
      <c r="DC62" s="19">
        <v>1.8</v>
      </c>
      <c r="DD62" s="21">
        <f t="shared" si="13"/>
        <v>84.823001646924411</v>
      </c>
      <c r="DE62" s="44">
        <f t="shared" si="14"/>
        <v>1.1186457457196395</v>
      </c>
      <c r="DF62" s="19">
        <f t="shared" si="15"/>
        <v>7850</v>
      </c>
      <c r="DY62" t="str">
        <f t="shared" si="16"/>
        <v>C-150x50x15x2.8</v>
      </c>
      <c r="DZ62" s="15" t="s">
        <v>116</v>
      </c>
      <c r="EA62" s="16">
        <v>6.1539999999999999</v>
      </c>
      <c r="EB62" s="16">
        <v>150</v>
      </c>
      <c r="EC62" s="16">
        <v>50</v>
      </c>
      <c r="ED62" s="15" t="s">
        <v>45</v>
      </c>
      <c r="EE62" s="15" t="s">
        <v>81</v>
      </c>
    </row>
    <row r="63" spans="1:135" x14ac:dyDescent="0.25">
      <c r="A63" s="9" t="str">
        <f t="shared" si="0"/>
        <v>L-200x25</v>
      </c>
      <c r="B63" s="8">
        <v>74</v>
      </c>
      <c r="C63" s="8">
        <v>200</v>
      </c>
      <c r="D63" s="8">
        <v>25</v>
      </c>
      <c r="E63" s="5">
        <f t="shared" si="1"/>
        <v>800</v>
      </c>
      <c r="BA63" s="2" t="str">
        <f t="shared" si="4"/>
        <v>H-344x354x16x16</v>
      </c>
      <c r="BB63" s="19">
        <v>131</v>
      </c>
      <c r="BC63" s="19">
        <v>344</v>
      </c>
      <c r="BD63" s="19">
        <v>354</v>
      </c>
      <c r="BE63" s="20" t="s">
        <v>37</v>
      </c>
      <c r="BF63" s="20" t="s">
        <v>37</v>
      </c>
      <c r="BG63" s="5">
        <f t="shared" si="5"/>
        <v>2104</v>
      </c>
      <c r="CA63" s="2" t="str">
        <f t="shared" si="6"/>
        <v>Hộp-20x1.7</v>
      </c>
      <c r="CB63" s="19">
        <v>0.95833333333333337</v>
      </c>
      <c r="CC63" s="19">
        <v>20</v>
      </c>
      <c r="CD63" s="19">
        <v>20</v>
      </c>
      <c r="CE63" s="20" t="s">
        <v>71</v>
      </c>
      <c r="CF63" s="5">
        <f t="shared" si="7"/>
        <v>80</v>
      </c>
      <c r="CG63" s="5">
        <f t="shared" si="8"/>
        <v>5.0999999999999996</v>
      </c>
      <c r="CH63" s="5">
        <f t="shared" si="9"/>
        <v>3.4</v>
      </c>
      <c r="CI63" s="5">
        <f t="shared" si="10"/>
        <v>0.87948270867832412</v>
      </c>
      <c r="CJ63" s="2">
        <f t="shared" si="11"/>
        <v>7850</v>
      </c>
      <c r="CK63" s="48"/>
      <c r="CZ63" s="2" t="str">
        <f t="shared" si="12"/>
        <v>Ống-27x2</v>
      </c>
      <c r="DA63" s="19">
        <v>1.3</v>
      </c>
      <c r="DB63" s="19">
        <v>27</v>
      </c>
      <c r="DC63" s="19">
        <v>2</v>
      </c>
      <c r="DD63" s="21">
        <f t="shared" si="13"/>
        <v>84.823001646924411</v>
      </c>
      <c r="DE63" s="44">
        <f t="shared" si="14"/>
        <v>1.2330751165339935</v>
      </c>
      <c r="DF63" s="19">
        <f t="shared" si="15"/>
        <v>7850</v>
      </c>
      <c r="DY63" t="str">
        <f t="shared" si="16"/>
        <v>C-150x50x15x3</v>
      </c>
      <c r="DZ63" s="15" t="s">
        <v>116</v>
      </c>
      <c r="EA63" s="16">
        <v>6.5940000000000003</v>
      </c>
      <c r="EB63" s="16">
        <v>150</v>
      </c>
      <c r="EC63" s="16">
        <v>50</v>
      </c>
      <c r="ED63" s="15" t="s">
        <v>45</v>
      </c>
      <c r="EE63" s="15" t="s">
        <v>83</v>
      </c>
    </row>
    <row r="64" spans="1:135" x14ac:dyDescent="0.25">
      <c r="A64" s="9" t="str">
        <f t="shared" si="0"/>
        <v>L-200x30</v>
      </c>
      <c r="B64" s="8">
        <v>87.6</v>
      </c>
      <c r="C64" s="8">
        <v>200</v>
      </c>
      <c r="D64" s="8">
        <v>30</v>
      </c>
      <c r="E64" s="5">
        <f t="shared" si="1"/>
        <v>800</v>
      </c>
      <c r="BA64" s="2" t="str">
        <f t="shared" si="4"/>
        <v>H-350x350x12x19</v>
      </c>
      <c r="BB64" s="19">
        <v>137</v>
      </c>
      <c r="BC64" s="19">
        <v>350</v>
      </c>
      <c r="BD64" s="19">
        <v>350</v>
      </c>
      <c r="BE64" s="20" t="s">
        <v>33</v>
      </c>
      <c r="BF64" s="20" t="s">
        <v>48</v>
      </c>
      <c r="BG64" s="5">
        <f t="shared" si="5"/>
        <v>2100</v>
      </c>
      <c r="CA64" s="2" t="str">
        <f t="shared" si="6"/>
        <v>Hộp-20x1.8</v>
      </c>
      <c r="CB64" s="19">
        <v>1.0083333333333333</v>
      </c>
      <c r="CC64" s="19">
        <v>20</v>
      </c>
      <c r="CD64" s="19">
        <v>20</v>
      </c>
      <c r="CE64" s="20" t="s">
        <v>72</v>
      </c>
      <c r="CF64" s="5">
        <f t="shared" si="7"/>
        <v>80</v>
      </c>
      <c r="CG64" s="5">
        <f t="shared" si="8"/>
        <v>5.4</v>
      </c>
      <c r="CH64" s="5">
        <f t="shared" si="9"/>
        <v>3.6</v>
      </c>
      <c r="CI64" s="5">
        <f t="shared" si="10"/>
        <v>0.9195003377570139</v>
      </c>
      <c r="CJ64" s="2">
        <f t="shared" si="11"/>
        <v>7850</v>
      </c>
      <c r="CK64" s="48"/>
      <c r="CZ64" s="2" t="str">
        <f t="shared" si="12"/>
        <v>Ống-31.8x0.8</v>
      </c>
      <c r="DA64" s="19">
        <v>0.622</v>
      </c>
      <c r="DB64" s="19">
        <v>31.8</v>
      </c>
      <c r="DC64" s="19">
        <v>0.8</v>
      </c>
      <c r="DD64" s="21">
        <f t="shared" si="13"/>
        <v>99.902646384155418</v>
      </c>
      <c r="DE64" s="44">
        <f t="shared" si="14"/>
        <v>0.61160525780086072</v>
      </c>
      <c r="DF64" s="19">
        <f t="shared" si="15"/>
        <v>7850</v>
      </c>
      <c r="DY64" t="str">
        <f t="shared" si="16"/>
        <v>C-150x50x15x3.5</v>
      </c>
      <c r="DZ64" s="15" t="s">
        <v>116</v>
      </c>
      <c r="EA64" s="16">
        <v>7.6929999999999996</v>
      </c>
      <c r="EB64" s="16">
        <v>150</v>
      </c>
      <c r="EC64" s="16">
        <v>50</v>
      </c>
      <c r="ED64" s="15" t="s">
        <v>45</v>
      </c>
      <c r="EE64" s="15" t="s">
        <v>88</v>
      </c>
    </row>
    <row r="65" spans="1:135" x14ac:dyDescent="0.25">
      <c r="A65" s="9" t="str">
        <f t="shared" si="0"/>
        <v>L-220x14</v>
      </c>
      <c r="B65" s="8">
        <v>47.4</v>
      </c>
      <c r="C65" s="8">
        <v>220</v>
      </c>
      <c r="D65" s="8">
        <v>14</v>
      </c>
      <c r="E65" s="5">
        <f t="shared" si="1"/>
        <v>880</v>
      </c>
      <c r="BA65" s="2" t="str">
        <f t="shared" si="4"/>
        <v>H-350x357x19x19</v>
      </c>
      <c r="BB65" s="19">
        <v>156</v>
      </c>
      <c r="BC65" s="19">
        <v>350</v>
      </c>
      <c r="BD65" s="19">
        <v>357</v>
      </c>
      <c r="BE65" s="20" t="s">
        <v>48</v>
      </c>
      <c r="BF65" s="20" t="s">
        <v>48</v>
      </c>
      <c r="BG65" s="5">
        <f t="shared" si="5"/>
        <v>2128</v>
      </c>
      <c r="CA65" s="2" t="str">
        <f t="shared" si="6"/>
        <v>Hộp-20x1.9</v>
      </c>
      <c r="CB65" s="19">
        <v>1.0566666666666666</v>
      </c>
      <c r="CC65" s="19">
        <v>20</v>
      </c>
      <c r="CD65" s="19">
        <v>20</v>
      </c>
      <c r="CE65" s="20" t="s">
        <v>73</v>
      </c>
      <c r="CF65" s="5">
        <f t="shared" si="7"/>
        <v>80</v>
      </c>
      <c r="CG65" s="5">
        <f t="shared" si="8"/>
        <v>5.6999999999999993</v>
      </c>
      <c r="CH65" s="5">
        <f t="shared" si="9"/>
        <v>3.8</v>
      </c>
      <c r="CI65" s="5">
        <f t="shared" si="10"/>
        <v>0.95821611706877174</v>
      </c>
      <c r="CJ65" s="2">
        <f t="shared" si="11"/>
        <v>7850</v>
      </c>
      <c r="CK65" s="48"/>
      <c r="CZ65" s="2" t="str">
        <f t="shared" si="12"/>
        <v>Ống-31.8x0.9</v>
      </c>
      <c r="DA65" s="19">
        <v>0.69899999999999995</v>
      </c>
      <c r="DB65" s="19">
        <v>31.8</v>
      </c>
      <c r="DC65" s="19">
        <v>0.9</v>
      </c>
      <c r="DD65" s="21">
        <f t="shared" si="13"/>
        <v>99.902646384155418</v>
      </c>
      <c r="DE65" s="44">
        <f t="shared" si="14"/>
        <v>0.68583637981620738</v>
      </c>
      <c r="DF65" s="19">
        <f t="shared" si="15"/>
        <v>7850</v>
      </c>
      <c r="DY65" t="str">
        <f t="shared" si="16"/>
        <v>C-150x50x15x4</v>
      </c>
      <c r="DZ65" s="15" t="s">
        <v>116</v>
      </c>
      <c r="EA65" s="16">
        <v>8.7919999999999998</v>
      </c>
      <c r="EB65" s="16">
        <v>150</v>
      </c>
      <c r="EC65" s="16">
        <v>50</v>
      </c>
      <c r="ED65" s="15" t="s">
        <v>45</v>
      </c>
      <c r="EE65" s="15" t="s">
        <v>25</v>
      </c>
    </row>
    <row r="66" spans="1:135" x14ac:dyDescent="0.25">
      <c r="A66" s="9" t="str">
        <f t="shared" si="0"/>
        <v>L-220x16</v>
      </c>
      <c r="B66" s="8">
        <v>53.8</v>
      </c>
      <c r="C66" s="8">
        <v>220</v>
      </c>
      <c r="D66" s="8">
        <v>16</v>
      </c>
      <c r="E66" s="5">
        <f t="shared" si="1"/>
        <v>880</v>
      </c>
      <c r="BA66" s="2" t="str">
        <f t="shared" si="4"/>
        <v>H-396x199x7x11</v>
      </c>
      <c r="BB66" s="19">
        <v>56.6</v>
      </c>
      <c r="BC66" s="19">
        <v>396</v>
      </c>
      <c r="BD66" s="19">
        <v>199</v>
      </c>
      <c r="BE66" s="20" t="s">
        <v>30</v>
      </c>
      <c r="BF66" s="20" t="s">
        <v>36</v>
      </c>
      <c r="BG66" s="5">
        <f t="shared" si="5"/>
        <v>1588</v>
      </c>
      <c r="CA66" s="2" t="str">
        <f t="shared" si="6"/>
        <v>Hộp-20x2</v>
      </c>
      <c r="CB66" s="19">
        <v>1.105</v>
      </c>
      <c r="CC66" s="19">
        <v>20</v>
      </c>
      <c r="CD66" s="19">
        <v>20</v>
      </c>
      <c r="CE66" s="20" t="s">
        <v>74</v>
      </c>
      <c r="CF66" s="5">
        <f t="shared" si="7"/>
        <v>80</v>
      </c>
      <c r="CG66" s="5">
        <f t="shared" si="8"/>
        <v>6</v>
      </c>
      <c r="CH66" s="5">
        <f t="shared" si="9"/>
        <v>4</v>
      </c>
      <c r="CI66" s="5">
        <f t="shared" si="10"/>
        <v>0.99563004661359755</v>
      </c>
      <c r="CJ66" s="2">
        <f t="shared" si="11"/>
        <v>7850</v>
      </c>
      <c r="CK66" s="48"/>
      <c r="CZ66" s="2" t="str">
        <f t="shared" si="12"/>
        <v>Ống-31.8x1</v>
      </c>
      <c r="DA66" s="19">
        <v>0.77600000000000002</v>
      </c>
      <c r="DB66" s="19">
        <v>31.8</v>
      </c>
      <c r="DC66" s="19">
        <v>1</v>
      </c>
      <c r="DD66" s="21">
        <f t="shared" si="13"/>
        <v>99.902646384155418</v>
      </c>
      <c r="DE66" s="44">
        <f t="shared" si="14"/>
        <v>0.75957427178493953</v>
      </c>
      <c r="DF66" s="19">
        <f t="shared" si="15"/>
        <v>7850</v>
      </c>
      <c r="DY66" t="str">
        <f t="shared" si="16"/>
        <v>C-175x50x16x1.2</v>
      </c>
      <c r="DZ66" s="15" t="s">
        <v>116</v>
      </c>
      <c r="EA66" s="16">
        <v>2.8919999999999999</v>
      </c>
      <c r="EB66" s="16">
        <v>175</v>
      </c>
      <c r="EC66" s="16">
        <v>50</v>
      </c>
      <c r="ED66" s="15" t="s">
        <v>37</v>
      </c>
      <c r="EE66" s="15" t="s">
        <v>67</v>
      </c>
    </row>
    <row r="67" spans="1:135" x14ac:dyDescent="0.25">
      <c r="A67" s="9" t="str">
        <f t="shared" si="0"/>
        <v>L-250x16</v>
      </c>
      <c r="B67" s="8">
        <v>61.5</v>
      </c>
      <c r="C67" s="8">
        <v>250</v>
      </c>
      <c r="D67" s="8">
        <v>16</v>
      </c>
      <c r="E67" s="5">
        <f t="shared" si="1"/>
        <v>1000</v>
      </c>
      <c r="BA67" s="2" t="str">
        <f t="shared" si="4"/>
        <v>H-400x200x8x13</v>
      </c>
      <c r="BB67" s="19">
        <v>66</v>
      </c>
      <c r="BC67" s="19">
        <v>400</v>
      </c>
      <c r="BD67" s="19">
        <v>200</v>
      </c>
      <c r="BE67" s="20" t="s">
        <v>28</v>
      </c>
      <c r="BF67" s="20" t="s">
        <v>44</v>
      </c>
      <c r="BG67" s="5">
        <f t="shared" si="5"/>
        <v>1600</v>
      </c>
      <c r="CA67" s="2" t="str">
        <f t="shared" si="6"/>
        <v>Hộp-20x30x0.7</v>
      </c>
      <c r="CB67" s="19">
        <v>0.53166666666666662</v>
      </c>
      <c r="CC67" s="19">
        <v>20</v>
      </c>
      <c r="CD67" s="19">
        <v>30</v>
      </c>
      <c r="CE67" s="20" t="s">
        <v>62</v>
      </c>
      <c r="CF67" s="5">
        <f t="shared" si="7"/>
        <v>100</v>
      </c>
      <c r="CG67" s="5">
        <f t="shared" si="8"/>
        <v>2.0999999999999996</v>
      </c>
      <c r="CH67" s="5">
        <f t="shared" si="9"/>
        <v>1.4</v>
      </c>
      <c r="CI67" s="5">
        <f t="shared" si="10"/>
        <v>0.51760468071016563</v>
      </c>
      <c r="CJ67" s="2">
        <f t="shared" si="11"/>
        <v>7850</v>
      </c>
      <c r="CK67" s="48"/>
      <c r="CZ67" s="2" t="str">
        <f t="shared" si="12"/>
        <v>Ống-31.8x1.1</v>
      </c>
      <c r="DA67" s="19">
        <v>0.85299999999999998</v>
      </c>
      <c r="DB67" s="19">
        <v>31.8</v>
      </c>
      <c r="DC67" s="19">
        <v>1.1000000000000001</v>
      </c>
      <c r="DD67" s="21">
        <f t="shared" si="13"/>
        <v>99.902646384155418</v>
      </c>
      <c r="DE67" s="44">
        <f t="shared" si="14"/>
        <v>0.8328189337070584</v>
      </c>
      <c r="DF67" s="19">
        <f t="shared" si="15"/>
        <v>7850</v>
      </c>
      <c r="DY67" t="str">
        <f t="shared" si="16"/>
        <v>C-175x50x16x1.5</v>
      </c>
      <c r="DZ67" s="15" t="s">
        <v>116</v>
      </c>
      <c r="EA67" s="16">
        <v>3.6150000000000002</v>
      </c>
      <c r="EB67" s="16">
        <v>175</v>
      </c>
      <c r="EC67" s="16">
        <v>50</v>
      </c>
      <c r="ED67" s="15" t="s">
        <v>37</v>
      </c>
      <c r="EE67" s="15" t="s">
        <v>69</v>
      </c>
    </row>
    <row r="68" spans="1:135" x14ac:dyDescent="0.25">
      <c r="A68" s="9" t="str">
        <f t="shared" ref="A68:A73" si="19">$A$2&amp;"-"&amp;C68&amp;"x"&amp;D68</f>
        <v>L-250x18</v>
      </c>
      <c r="B68" s="8">
        <v>68.900000000000006</v>
      </c>
      <c r="C68" s="8">
        <v>250</v>
      </c>
      <c r="D68" s="8">
        <v>18</v>
      </c>
      <c r="E68" s="5">
        <f t="shared" ref="E68:E73" si="20">4*C68</f>
        <v>1000</v>
      </c>
      <c r="BA68" s="2" t="str">
        <f t="shared" ref="BA68:BA87" si="21">$BA$2&amp;"-"&amp;BC68&amp;"x"&amp;BD68&amp;IF(BE68="","","x"&amp;BE68&amp;"x"&amp;BF68)</f>
        <v>H-404x201x9x15</v>
      </c>
      <c r="BB68" s="19">
        <v>75.5</v>
      </c>
      <c r="BC68" s="19">
        <v>404</v>
      </c>
      <c r="BD68" s="19">
        <v>201</v>
      </c>
      <c r="BE68" s="20" t="s">
        <v>34</v>
      </c>
      <c r="BF68" s="20" t="s">
        <v>45</v>
      </c>
      <c r="BG68" s="5">
        <f t="shared" ref="BG68:BG87" si="22">4*BD68+2*BC68</f>
        <v>1612</v>
      </c>
      <c r="CA68" s="2" t="str">
        <f t="shared" ref="CA68:CA131" si="23">$CA$2&amp;"-"&amp;IF(CC68=CD68,CD68&amp;"x"&amp;CE68,CC68&amp;"x"&amp;CD68&amp;"x"&amp;CE68)</f>
        <v>Hộp-20x30x0.8</v>
      </c>
      <c r="CB68" s="19">
        <v>0.60333333333333339</v>
      </c>
      <c r="CC68" s="19">
        <v>20</v>
      </c>
      <c r="CD68" s="19">
        <v>30</v>
      </c>
      <c r="CE68" s="20" t="s">
        <v>63</v>
      </c>
      <c r="CF68" s="5">
        <f t="shared" ref="CF68:CF131" si="24">2*(CC68+CD68)</f>
        <v>100</v>
      </c>
      <c r="CG68" s="5">
        <f t="shared" ref="CG68:CG131" si="25">IF(CE68&lt;=6,2,IF(CE68&lt;=10,2.5,3))*CE68</f>
        <v>2.4000000000000004</v>
      </c>
      <c r="CH68" s="5">
        <f t="shared" ref="CH68:CH131" si="26">IF(CE68&lt;=6,1,IF(CE68&lt;=10,1.5,2))*CE68</f>
        <v>1.6</v>
      </c>
      <c r="CI68" s="5">
        <f t="shared" ref="CI68:CI131" si="27">(2*CE68*(CC68+CD68-2*CE68)-(4-PI())*(CG68^2-CH68^2))/1000000*CJ68</f>
        <v>0.58634080745817563</v>
      </c>
      <c r="CJ68" s="2">
        <f t="shared" ref="CJ68:CJ131" si="28">IF(LEFT(CA68,4)="Inox",7930,7850)</f>
        <v>7850</v>
      </c>
      <c r="CK68" s="48"/>
      <c r="CZ68" s="2" t="str">
        <f t="shared" ref="CZ68:CZ131" si="29">$CZ$2&amp;"-"&amp;DB68&amp;"x"&amp;DC68</f>
        <v>Ống-31.8x1.2</v>
      </c>
      <c r="DA68" s="19">
        <v>0.93</v>
      </c>
      <c r="DB68" s="19">
        <v>31.8</v>
      </c>
      <c r="DC68" s="19">
        <v>1.2</v>
      </c>
      <c r="DD68" s="21">
        <f t="shared" ref="DD68:DD131" si="30">PI()*DB68</f>
        <v>99.902646384155418</v>
      </c>
      <c r="DE68" s="44">
        <f t="shared" ref="DE68:DE131" si="31">(PI()*DB68^2/4-PI()*(DB68-2*DC68)^2/4)/1000000*DF68</f>
        <v>0.90557036558256387</v>
      </c>
      <c r="DF68" s="19">
        <f t="shared" ref="DF68:DF131" si="32">IF(LEFT(CZ68,4)="Inox",7930,7850)</f>
        <v>7850</v>
      </c>
      <c r="DY68" t="str">
        <f t="shared" ref="DY68:DY131" si="33">IF(DZ68=$DZ$3,"C-","Z-")&amp;EB68&amp;"x"&amp;EC68&amp;"x"&amp;ED68&amp;"x"&amp;EE68</f>
        <v>C-175x50x16x1.8</v>
      </c>
      <c r="DZ68" s="15" t="s">
        <v>116</v>
      </c>
      <c r="EA68" s="16">
        <v>4.3380000000000001</v>
      </c>
      <c r="EB68" s="16">
        <v>175</v>
      </c>
      <c r="EC68" s="16">
        <v>50</v>
      </c>
      <c r="ED68" s="15" t="s">
        <v>37</v>
      </c>
      <c r="EE68" s="15" t="s">
        <v>72</v>
      </c>
    </row>
    <row r="69" spans="1:135" x14ac:dyDescent="0.25">
      <c r="A69" s="9" t="str">
        <f t="shared" si="19"/>
        <v>L-250x20</v>
      </c>
      <c r="B69" s="8">
        <v>76.099999999999994</v>
      </c>
      <c r="C69" s="8">
        <v>250</v>
      </c>
      <c r="D69" s="8">
        <v>20</v>
      </c>
      <c r="E69" s="5">
        <f t="shared" si="20"/>
        <v>1000</v>
      </c>
      <c r="BA69" s="2" t="str">
        <f t="shared" si="21"/>
        <v>H-386x299x9x14</v>
      </c>
      <c r="BB69" s="19">
        <v>94.3</v>
      </c>
      <c r="BC69" s="19">
        <v>386</v>
      </c>
      <c r="BD69" s="19">
        <v>299</v>
      </c>
      <c r="BE69" s="20" t="s">
        <v>34</v>
      </c>
      <c r="BF69" s="20" t="s">
        <v>35</v>
      </c>
      <c r="BG69" s="5">
        <f t="shared" si="22"/>
        <v>1968</v>
      </c>
      <c r="CA69" s="2" t="str">
        <f t="shared" si="23"/>
        <v>Hộp-20x30x0.9</v>
      </c>
      <c r="CB69" s="19">
        <v>0.67666666666666664</v>
      </c>
      <c r="CC69" s="19">
        <v>20</v>
      </c>
      <c r="CD69" s="19">
        <v>30</v>
      </c>
      <c r="CE69" s="20" t="s">
        <v>64</v>
      </c>
      <c r="CF69" s="5">
        <f t="shared" si="24"/>
        <v>100</v>
      </c>
      <c r="CG69" s="5">
        <f t="shared" si="25"/>
        <v>2.7</v>
      </c>
      <c r="CH69" s="5">
        <f t="shared" si="26"/>
        <v>1.8</v>
      </c>
      <c r="CI69" s="5">
        <f t="shared" si="27"/>
        <v>0.65377508443925358</v>
      </c>
      <c r="CJ69" s="2">
        <f t="shared" si="28"/>
        <v>7850</v>
      </c>
      <c r="CK69" s="48"/>
      <c r="CZ69" s="2" t="str">
        <f t="shared" si="29"/>
        <v>Ống-31.8x1.4</v>
      </c>
      <c r="DA69" s="19">
        <v>1.083</v>
      </c>
      <c r="DB69" s="19">
        <v>31.8</v>
      </c>
      <c r="DC69" s="19">
        <v>1.4</v>
      </c>
      <c r="DD69" s="21">
        <f t="shared" si="30"/>
        <v>99.902646384155418</v>
      </c>
      <c r="DE69" s="44">
        <f t="shared" si="31"/>
        <v>1.0495935391937354</v>
      </c>
      <c r="DF69" s="19">
        <f t="shared" si="32"/>
        <v>7850</v>
      </c>
      <c r="DY69" t="str">
        <f t="shared" si="33"/>
        <v>C-175x50x16x2</v>
      </c>
      <c r="DZ69" s="15" t="s">
        <v>116</v>
      </c>
      <c r="EA69" s="16">
        <v>4.82</v>
      </c>
      <c r="EB69" s="16">
        <v>175</v>
      </c>
      <c r="EC69" s="16">
        <v>50</v>
      </c>
      <c r="ED69" s="15" t="s">
        <v>37</v>
      </c>
      <c r="EE69" s="15" t="s">
        <v>74</v>
      </c>
    </row>
    <row r="70" spans="1:135" x14ac:dyDescent="0.25">
      <c r="A70" s="9" t="str">
        <f t="shared" si="19"/>
        <v>L-250x22</v>
      </c>
      <c r="B70" s="8">
        <v>83.3</v>
      </c>
      <c r="C70" s="8">
        <v>250</v>
      </c>
      <c r="D70" s="8">
        <v>22</v>
      </c>
      <c r="E70" s="5">
        <f t="shared" si="20"/>
        <v>1000</v>
      </c>
      <c r="BA70" s="2" t="str">
        <f t="shared" si="21"/>
        <v>H-390x300x10x16</v>
      </c>
      <c r="BB70" s="19">
        <v>107</v>
      </c>
      <c r="BC70" s="19">
        <v>390</v>
      </c>
      <c r="BD70" s="19">
        <v>300</v>
      </c>
      <c r="BE70" s="20" t="s">
        <v>31</v>
      </c>
      <c r="BF70" s="20" t="s">
        <v>37</v>
      </c>
      <c r="BG70" s="5">
        <f t="shared" si="22"/>
        <v>1980</v>
      </c>
      <c r="CA70" s="2" t="str">
        <f t="shared" si="23"/>
        <v>Hộp-20x30x1</v>
      </c>
      <c r="CB70" s="19">
        <v>0.7466666666666667</v>
      </c>
      <c r="CC70" s="19">
        <v>20</v>
      </c>
      <c r="CD70" s="19">
        <v>30</v>
      </c>
      <c r="CE70" s="20" t="s">
        <v>65</v>
      </c>
      <c r="CF70" s="5">
        <f t="shared" si="24"/>
        <v>100</v>
      </c>
      <c r="CG70" s="5">
        <f t="shared" si="25"/>
        <v>3</v>
      </c>
      <c r="CH70" s="5">
        <f t="shared" si="26"/>
        <v>2</v>
      </c>
      <c r="CI70" s="5">
        <f t="shared" si="27"/>
        <v>0.7199075116533995</v>
      </c>
      <c r="CJ70" s="2">
        <f t="shared" si="28"/>
        <v>7850</v>
      </c>
      <c r="CK70" s="48"/>
      <c r="CZ70" s="2" t="str">
        <f t="shared" si="29"/>
        <v>Ống-31.8x1.5</v>
      </c>
      <c r="DA70" s="19">
        <v>1.159</v>
      </c>
      <c r="DB70" s="19">
        <v>31.8</v>
      </c>
      <c r="DC70" s="19">
        <v>1.5</v>
      </c>
      <c r="DD70" s="21">
        <f t="shared" si="30"/>
        <v>99.902646384155418</v>
      </c>
      <c r="DE70" s="44">
        <f t="shared" si="31"/>
        <v>1.1208652809293997</v>
      </c>
      <c r="DF70" s="19">
        <f t="shared" si="32"/>
        <v>7850</v>
      </c>
      <c r="DY70" t="str">
        <f t="shared" si="33"/>
        <v>C-175x50x16x2.5</v>
      </c>
      <c r="DZ70" s="15" t="s">
        <v>116</v>
      </c>
      <c r="EA70" s="16">
        <v>6.0250000000000004</v>
      </c>
      <c r="EB70" s="16">
        <v>175</v>
      </c>
      <c r="EC70" s="16">
        <v>50</v>
      </c>
      <c r="ED70" s="15" t="s">
        <v>37</v>
      </c>
      <c r="EE70" s="15" t="s">
        <v>79</v>
      </c>
    </row>
    <row r="71" spans="1:135" x14ac:dyDescent="0.25">
      <c r="A71" s="9" t="str">
        <f t="shared" si="19"/>
        <v>L-250x25</v>
      </c>
      <c r="B71" s="8">
        <v>94</v>
      </c>
      <c r="C71" s="8">
        <v>250</v>
      </c>
      <c r="D71" s="8">
        <v>25</v>
      </c>
      <c r="E71" s="5">
        <f t="shared" si="20"/>
        <v>1000</v>
      </c>
      <c r="BA71" s="2" t="str">
        <f t="shared" si="21"/>
        <v>H-388x402x15x15</v>
      </c>
      <c r="BB71" s="19">
        <v>140</v>
      </c>
      <c r="BC71" s="19">
        <v>388</v>
      </c>
      <c r="BD71" s="19">
        <v>402</v>
      </c>
      <c r="BE71" s="20" t="s">
        <v>45</v>
      </c>
      <c r="BF71" s="20" t="s">
        <v>45</v>
      </c>
      <c r="BG71" s="5">
        <f t="shared" si="22"/>
        <v>2384</v>
      </c>
      <c r="CA71" s="2" t="str">
        <f t="shared" si="23"/>
        <v>Hộp-20x30x1.1</v>
      </c>
      <c r="CB71" s="19">
        <v>0.81833333333333336</v>
      </c>
      <c r="CC71" s="19">
        <v>20</v>
      </c>
      <c r="CD71" s="19">
        <v>30</v>
      </c>
      <c r="CE71" s="20" t="s">
        <v>66</v>
      </c>
      <c r="CF71" s="5">
        <f t="shared" si="24"/>
        <v>100</v>
      </c>
      <c r="CG71" s="5">
        <f t="shared" si="25"/>
        <v>3.3000000000000003</v>
      </c>
      <c r="CH71" s="5">
        <f t="shared" si="26"/>
        <v>2.2000000000000002</v>
      </c>
      <c r="CI71" s="5">
        <f t="shared" si="27"/>
        <v>0.78473808910061327</v>
      </c>
      <c r="CJ71" s="2">
        <f t="shared" si="28"/>
        <v>7850</v>
      </c>
      <c r="CK71" s="48"/>
      <c r="CZ71" s="2" t="str">
        <f t="shared" si="29"/>
        <v>Ống-31.8x1.7</v>
      </c>
      <c r="DA71" s="19">
        <v>1.3109999999999999</v>
      </c>
      <c r="DB71" s="19">
        <v>31.8</v>
      </c>
      <c r="DC71" s="19">
        <v>1.7</v>
      </c>
      <c r="DD71" s="21">
        <f t="shared" si="30"/>
        <v>99.902646384155418</v>
      </c>
      <c r="DE71" s="44">
        <f t="shared" si="31"/>
        <v>1.2619290742608882</v>
      </c>
      <c r="DF71" s="19">
        <f t="shared" si="32"/>
        <v>7850</v>
      </c>
      <c r="DY71" t="str">
        <f t="shared" si="33"/>
        <v>C-175x50x16x2.8</v>
      </c>
      <c r="DZ71" s="15" t="s">
        <v>116</v>
      </c>
      <c r="EA71" s="16">
        <v>6.7480000000000002</v>
      </c>
      <c r="EB71" s="16">
        <v>175</v>
      </c>
      <c r="EC71" s="16">
        <v>50</v>
      </c>
      <c r="ED71" s="15" t="s">
        <v>37</v>
      </c>
      <c r="EE71" s="15" t="s">
        <v>81</v>
      </c>
    </row>
    <row r="72" spans="1:135" x14ac:dyDescent="0.25">
      <c r="A72" s="9" t="str">
        <f t="shared" si="19"/>
        <v>L-250x28</v>
      </c>
      <c r="B72" s="8">
        <v>104.5</v>
      </c>
      <c r="C72" s="8">
        <v>250</v>
      </c>
      <c r="D72" s="8">
        <v>28</v>
      </c>
      <c r="E72" s="5">
        <f t="shared" si="20"/>
        <v>1000</v>
      </c>
      <c r="BA72" s="2" t="str">
        <f t="shared" si="21"/>
        <v>H-394x398x11x18</v>
      </c>
      <c r="BB72" s="19">
        <v>147</v>
      </c>
      <c r="BC72" s="19">
        <v>394</v>
      </c>
      <c r="BD72" s="19">
        <v>398</v>
      </c>
      <c r="BE72" s="20" t="s">
        <v>36</v>
      </c>
      <c r="BF72" s="20" t="s">
        <v>38</v>
      </c>
      <c r="BG72" s="5">
        <f t="shared" si="22"/>
        <v>2380</v>
      </c>
      <c r="CA72" s="2" t="str">
        <f t="shared" si="23"/>
        <v>Hộp-20x30x1.2</v>
      </c>
      <c r="CB72" s="19">
        <v>0.88833333333333331</v>
      </c>
      <c r="CC72" s="19">
        <v>20</v>
      </c>
      <c r="CD72" s="19">
        <v>30</v>
      </c>
      <c r="CE72" s="20" t="s">
        <v>67</v>
      </c>
      <c r="CF72" s="5">
        <f t="shared" si="24"/>
        <v>100</v>
      </c>
      <c r="CG72" s="5">
        <f t="shared" si="25"/>
        <v>3.5999999999999996</v>
      </c>
      <c r="CH72" s="5">
        <f t="shared" si="26"/>
        <v>2.4</v>
      </c>
      <c r="CI72" s="5">
        <f t="shared" si="27"/>
        <v>0.84826681678089511</v>
      </c>
      <c r="CJ72" s="2">
        <f t="shared" si="28"/>
        <v>7850</v>
      </c>
      <c r="CK72" s="48"/>
      <c r="CZ72" s="2" t="str">
        <f t="shared" si="29"/>
        <v>Ống-31.8x1.8</v>
      </c>
      <c r="DA72" s="19">
        <v>1.3859999999999999</v>
      </c>
      <c r="DB72" s="19">
        <v>31.8</v>
      </c>
      <c r="DC72" s="19">
        <v>1.8</v>
      </c>
      <c r="DD72" s="21">
        <f t="shared" si="30"/>
        <v>99.902646384155418</v>
      </c>
      <c r="DE72" s="44">
        <f t="shared" si="31"/>
        <v>1.3317211258567134</v>
      </c>
      <c r="DF72" s="19">
        <f t="shared" si="32"/>
        <v>7850</v>
      </c>
      <c r="DY72" t="str">
        <f t="shared" si="33"/>
        <v>C-175x50x16x3</v>
      </c>
      <c r="DZ72" s="15" t="s">
        <v>116</v>
      </c>
      <c r="EA72" s="16">
        <v>7.23</v>
      </c>
      <c r="EB72" s="16">
        <v>175</v>
      </c>
      <c r="EC72" s="16">
        <v>50</v>
      </c>
      <c r="ED72" s="15" t="s">
        <v>37</v>
      </c>
      <c r="EE72" s="15" t="s">
        <v>83</v>
      </c>
    </row>
    <row r="73" spans="1:135" x14ac:dyDescent="0.25">
      <c r="A73" s="9" t="str">
        <f t="shared" si="19"/>
        <v>L-250x30</v>
      </c>
      <c r="B73" s="8">
        <v>111.4</v>
      </c>
      <c r="C73" s="8">
        <v>250</v>
      </c>
      <c r="D73" s="8">
        <v>30</v>
      </c>
      <c r="E73" s="5">
        <f t="shared" si="20"/>
        <v>1000</v>
      </c>
      <c r="BA73" s="2" t="str">
        <f t="shared" si="21"/>
        <v>H-294x405x18x18</v>
      </c>
      <c r="BB73" s="19">
        <v>168</v>
      </c>
      <c r="BC73" s="19">
        <v>294</v>
      </c>
      <c r="BD73" s="19">
        <v>405</v>
      </c>
      <c r="BE73" s="20" t="s">
        <v>38</v>
      </c>
      <c r="BF73" s="20" t="s">
        <v>38</v>
      </c>
      <c r="BG73" s="5">
        <f t="shared" si="22"/>
        <v>2208</v>
      </c>
      <c r="CA73" s="2" t="str">
        <f t="shared" si="23"/>
        <v>Hộp-20x30x1.4</v>
      </c>
      <c r="CB73" s="19">
        <v>1.0250000000000001</v>
      </c>
      <c r="CC73" s="19">
        <v>20</v>
      </c>
      <c r="CD73" s="19">
        <v>30</v>
      </c>
      <c r="CE73" s="20" t="s">
        <v>68</v>
      </c>
      <c r="CF73" s="5">
        <f t="shared" si="24"/>
        <v>100</v>
      </c>
      <c r="CG73" s="5">
        <f t="shared" si="25"/>
        <v>4.1999999999999993</v>
      </c>
      <c r="CH73" s="5">
        <f t="shared" si="26"/>
        <v>2.8</v>
      </c>
      <c r="CI73" s="5">
        <f t="shared" si="27"/>
        <v>0.97141872284066288</v>
      </c>
      <c r="CJ73" s="2">
        <f t="shared" si="28"/>
        <v>7850</v>
      </c>
      <c r="CK73" s="48"/>
      <c r="CZ73" s="2" t="str">
        <f t="shared" si="29"/>
        <v>Ống-31.8x2</v>
      </c>
      <c r="DA73" s="19">
        <v>1.5369999999999999</v>
      </c>
      <c r="DB73" s="19">
        <v>31.8</v>
      </c>
      <c r="DC73" s="19">
        <v>2</v>
      </c>
      <c r="DD73" s="21">
        <f t="shared" si="30"/>
        <v>99.902646384155418</v>
      </c>
      <c r="DE73" s="44">
        <f t="shared" si="31"/>
        <v>1.4698255389085204</v>
      </c>
      <c r="DF73" s="19">
        <f t="shared" si="32"/>
        <v>7850</v>
      </c>
      <c r="DY73" t="str">
        <f t="shared" si="33"/>
        <v>C-175x50x16x3.5</v>
      </c>
      <c r="DZ73" s="15" t="s">
        <v>116</v>
      </c>
      <c r="EA73" s="16">
        <v>8.4350000000000005</v>
      </c>
      <c r="EB73" s="16">
        <v>175</v>
      </c>
      <c r="EC73" s="16">
        <v>50</v>
      </c>
      <c r="ED73" s="15" t="s">
        <v>37</v>
      </c>
      <c r="EE73" s="15" t="s">
        <v>88</v>
      </c>
    </row>
    <row r="74" spans="1:135" x14ac:dyDescent="0.25">
      <c r="BA74" s="2" t="str">
        <f t="shared" si="21"/>
        <v>H-400x400x13x21</v>
      </c>
      <c r="BB74" s="19">
        <v>172</v>
      </c>
      <c r="BC74" s="19">
        <v>400</v>
      </c>
      <c r="BD74" s="19">
        <v>400</v>
      </c>
      <c r="BE74" s="20" t="s">
        <v>44</v>
      </c>
      <c r="BF74" s="20" t="s">
        <v>49</v>
      </c>
      <c r="BG74" s="5">
        <f t="shared" si="22"/>
        <v>2400</v>
      </c>
      <c r="CA74" s="2" t="str">
        <f t="shared" si="23"/>
        <v>Hộp-20x30x1.5</v>
      </c>
      <c r="CB74" s="19">
        <v>1.0933333333333333</v>
      </c>
      <c r="CC74" s="19">
        <v>20</v>
      </c>
      <c r="CD74" s="19">
        <v>30</v>
      </c>
      <c r="CE74" s="20" t="s">
        <v>69</v>
      </c>
      <c r="CF74" s="5">
        <f t="shared" si="24"/>
        <v>100</v>
      </c>
      <c r="CG74" s="5">
        <f t="shared" si="25"/>
        <v>4.5</v>
      </c>
      <c r="CH74" s="5">
        <f t="shared" si="26"/>
        <v>3</v>
      </c>
      <c r="CI74" s="5">
        <f t="shared" si="27"/>
        <v>1.0310419012201486</v>
      </c>
      <c r="CJ74" s="2">
        <f t="shared" si="28"/>
        <v>7850</v>
      </c>
      <c r="CK74" s="48"/>
      <c r="CZ74" s="2" t="str">
        <f t="shared" si="29"/>
        <v>Ống-34x0.9</v>
      </c>
      <c r="DA74" s="19">
        <v>0.748</v>
      </c>
      <c r="DB74" s="19">
        <v>34</v>
      </c>
      <c r="DC74" s="19">
        <v>0.9</v>
      </c>
      <c r="DD74" s="21">
        <f t="shared" si="30"/>
        <v>106.81415022205297</v>
      </c>
      <c r="DE74" s="44">
        <f t="shared" si="31"/>
        <v>0.73466615443095262</v>
      </c>
      <c r="DF74" s="19">
        <f t="shared" si="32"/>
        <v>7850</v>
      </c>
      <c r="DY74" t="str">
        <f t="shared" si="33"/>
        <v>C-175x50x16x4</v>
      </c>
      <c r="DZ74" s="15" t="s">
        <v>116</v>
      </c>
      <c r="EA74" s="16">
        <v>9.64</v>
      </c>
      <c r="EB74" s="16">
        <v>175</v>
      </c>
      <c r="EC74" s="16">
        <v>50</v>
      </c>
      <c r="ED74" s="15" t="s">
        <v>37</v>
      </c>
      <c r="EE74" s="15" t="s">
        <v>25</v>
      </c>
    </row>
    <row r="75" spans="1:135" x14ac:dyDescent="0.25">
      <c r="BA75" s="2" t="str">
        <f t="shared" si="21"/>
        <v>H-400x408x21x21</v>
      </c>
      <c r="BB75" s="19">
        <v>197</v>
      </c>
      <c r="BC75" s="19">
        <v>400</v>
      </c>
      <c r="BD75" s="19">
        <v>408</v>
      </c>
      <c r="BE75" s="20" t="s">
        <v>49</v>
      </c>
      <c r="BF75" s="20" t="s">
        <v>49</v>
      </c>
      <c r="BG75" s="5">
        <f t="shared" si="22"/>
        <v>2432</v>
      </c>
      <c r="CA75" s="2" t="str">
        <f t="shared" si="23"/>
        <v>Hộp-20x30x1.6</v>
      </c>
      <c r="CB75" s="19">
        <v>1.1599999999999999</v>
      </c>
      <c r="CC75" s="19">
        <v>20</v>
      </c>
      <c r="CD75" s="19">
        <v>30</v>
      </c>
      <c r="CE75" s="20" t="s">
        <v>70</v>
      </c>
      <c r="CF75" s="5">
        <f t="shared" si="24"/>
        <v>100</v>
      </c>
      <c r="CG75" s="5">
        <f t="shared" si="25"/>
        <v>4.8000000000000007</v>
      </c>
      <c r="CH75" s="5">
        <f t="shared" si="26"/>
        <v>3.2</v>
      </c>
      <c r="CI75" s="5">
        <f t="shared" si="27"/>
        <v>1.0893632298327025</v>
      </c>
      <c r="CJ75" s="2">
        <f t="shared" si="28"/>
        <v>7850</v>
      </c>
      <c r="CK75" s="48"/>
      <c r="CZ75" s="2" t="str">
        <f t="shared" si="29"/>
        <v>Ống-34x1</v>
      </c>
      <c r="DA75" s="19">
        <v>0.83099999999999996</v>
      </c>
      <c r="DB75" s="19">
        <v>34</v>
      </c>
      <c r="DC75" s="19">
        <v>1</v>
      </c>
      <c r="DD75" s="21">
        <f t="shared" si="30"/>
        <v>106.81415022205297</v>
      </c>
      <c r="DE75" s="44">
        <f t="shared" si="31"/>
        <v>0.81382957691243585</v>
      </c>
      <c r="DF75" s="19">
        <f t="shared" si="32"/>
        <v>7850</v>
      </c>
      <c r="DY75" t="str">
        <f t="shared" si="33"/>
        <v>C-200x50x18x1.2</v>
      </c>
      <c r="DZ75" s="15" t="s">
        <v>116</v>
      </c>
      <c r="EA75" s="16">
        <v>3.165</v>
      </c>
      <c r="EB75" s="16">
        <v>200</v>
      </c>
      <c r="EC75" s="16">
        <v>50</v>
      </c>
      <c r="ED75" s="15" t="s">
        <v>38</v>
      </c>
      <c r="EE75" s="15" t="s">
        <v>67</v>
      </c>
    </row>
    <row r="76" spans="1:135" x14ac:dyDescent="0.25">
      <c r="BA76" s="2" t="str">
        <f t="shared" si="21"/>
        <v>H-406x403x16x24</v>
      </c>
      <c r="BB76" s="19">
        <v>200</v>
      </c>
      <c r="BC76" s="19">
        <v>406</v>
      </c>
      <c r="BD76" s="19">
        <v>403</v>
      </c>
      <c r="BE76" s="20" t="s">
        <v>37</v>
      </c>
      <c r="BF76" s="20" t="s">
        <v>50</v>
      </c>
      <c r="BG76" s="5">
        <f t="shared" si="22"/>
        <v>2424</v>
      </c>
      <c r="CA76" s="2" t="str">
        <f t="shared" si="23"/>
        <v>Hộp-20x30x1.7</v>
      </c>
      <c r="CB76" s="19">
        <v>1.2249999999999999</v>
      </c>
      <c r="CC76" s="19">
        <v>20</v>
      </c>
      <c r="CD76" s="19">
        <v>30</v>
      </c>
      <c r="CE76" s="20" t="s">
        <v>71</v>
      </c>
      <c r="CF76" s="5">
        <f t="shared" si="24"/>
        <v>100</v>
      </c>
      <c r="CG76" s="5">
        <f t="shared" si="25"/>
        <v>5.0999999999999996</v>
      </c>
      <c r="CH76" s="5">
        <f t="shared" si="26"/>
        <v>3.4</v>
      </c>
      <c r="CI76" s="5">
        <f t="shared" si="27"/>
        <v>1.1463827086783243</v>
      </c>
      <c r="CJ76" s="2">
        <f t="shared" si="28"/>
        <v>7850</v>
      </c>
      <c r="CK76" s="48"/>
      <c r="CZ76" s="2" t="str">
        <f t="shared" si="29"/>
        <v>Ống-34x1.1</v>
      </c>
      <c r="DA76" s="19">
        <v>0.91300000000000003</v>
      </c>
      <c r="DB76" s="19">
        <v>34</v>
      </c>
      <c r="DC76" s="19">
        <v>1.1000000000000001</v>
      </c>
      <c r="DD76" s="21">
        <f t="shared" si="30"/>
        <v>106.81415022205297</v>
      </c>
      <c r="DE76" s="44">
        <f t="shared" si="31"/>
        <v>0.89249976934730468</v>
      </c>
      <c r="DF76" s="19">
        <f t="shared" si="32"/>
        <v>7850</v>
      </c>
      <c r="DY76" t="str">
        <f t="shared" si="33"/>
        <v>C-200x50x18x1.5</v>
      </c>
      <c r="DZ76" s="15" t="s">
        <v>116</v>
      </c>
      <c r="EA76" s="16">
        <v>3.956</v>
      </c>
      <c r="EB76" s="16">
        <v>200</v>
      </c>
      <c r="EC76" s="16">
        <v>50</v>
      </c>
      <c r="ED76" s="15" t="s">
        <v>38</v>
      </c>
      <c r="EE76" s="15" t="s">
        <v>69</v>
      </c>
    </row>
    <row r="77" spans="1:135" x14ac:dyDescent="0.25">
      <c r="BA77" s="2" t="str">
        <f t="shared" si="21"/>
        <v>H-414x405x18x28</v>
      </c>
      <c r="BB77" s="19">
        <v>232</v>
      </c>
      <c r="BC77" s="19">
        <v>414</v>
      </c>
      <c r="BD77" s="19">
        <v>405</v>
      </c>
      <c r="BE77" s="20" t="s">
        <v>38</v>
      </c>
      <c r="BF77" s="20" t="s">
        <v>39</v>
      </c>
      <c r="BG77" s="5">
        <f t="shared" si="22"/>
        <v>2448</v>
      </c>
      <c r="CA77" s="2" t="str">
        <f t="shared" si="23"/>
        <v>Hộp-20x30x1.8</v>
      </c>
      <c r="CB77" s="19">
        <v>1.2916666666666667</v>
      </c>
      <c r="CC77" s="19">
        <v>20</v>
      </c>
      <c r="CD77" s="19">
        <v>30</v>
      </c>
      <c r="CE77" s="20" t="s">
        <v>72</v>
      </c>
      <c r="CF77" s="5">
        <f t="shared" si="24"/>
        <v>100</v>
      </c>
      <c r="CG77" s="5">
        <f t="shared" si="25"/>
        <v>5.4</v>
      </c>
      <c r="CH77" s="5">
        <f t="shared" si="26"/>
        <v>3.6</v>
      </c>
      <c r="CI77" s="5">
        <f t="shared" si="27"/>
        <v>1.2021003377570139</v>
      </c>
      <c r="CJ77" s="2">
        <f t="shared" si="28"/>
        <v>7850</v>
      </c>
      <c r="CK77" s="48"/>
      <c r="CZ77" s="2" t="str">
        <f t="shared" si="29"/>
        <v>Ống-34x1.2</v>
      </c>
      <c r="DA77" s="19">
        <v>0.995</v>
      </c>
      <c r="DB77" s="19">
        <v>34</v>
      </c>
      <c r="DC77" s="19">
        <v>1.2</v>
      </c>
      <c r="DD77" s="21">
        <f t="shared" si="30"/>
        <v>106.81415022205297</v>
      </c>
      <c r="DE77" s="44">
        <f t="shared" si="31"/>
        <v>0.97067673173555935</v>
      </c>
      <c r="DF77" s="19">
        <f t="shared" si="32"/>
        <v>7850</v>
      </c>
      <c r="DY77" t="str">
        <f t="shared" si="33"/>
        <v>C-200x50x18x1.8</v>
      </c>
      <c r="DZ77" s="15" t="s">
        <v>116</v>
      </c>
      <c r="EA77" s="16">
        <v>4.7480000000000002</v>
      </c>
      <c r="EB77" s="16">
        <v>200</v>
      </c>
      <c r="EC77" s="16">
        <v>50</v>
      </c>
      <c r="ED77" s="15" t="s">
        <v>38</v>
      </c>
      <c r="EE77" s="15" t="s">
        <v>72</v>
      </c>
    </row>
    <row r="78" spans="1:135" x14ac:dyDescent="0.25">
      <c r="BA78" s="2" t="str">
        <f t="shared" si="21"/>
        <v>H-428x407x20x35</v>
      </c>
      <c r="BB78" s="19">
        <v>283</v>
      </c>
      <c r="BC78" s="19">
        <v>428</v>
      </c>
      <c r="BD78" s="19">
        <v>407</v>
      </c>
      <c r="BE78" s="20" t="s">
        <v>47</v>
      </c>
      <c r="BF78" s="20" t="s">
        <v>51</v>
      </c>
      <c r="BG78" s="5">
        <f t="shared" si="22"/>
        <v>2484</v>
      </c>
      <c r="CA78" s="2" t="str">
        <f t="shared" si="23"/>
        <v>Hộp-20x30x1.9</v>
      </c>
      <c r="CB78" s="19">
        <v>1.3550000000000002</v>
      </c>
      <c r="CC78" s="19">
        <v>20</v>
      </c>
      <c r="CD78" s="19">
        <v>30</v>
      </c>
      <c r="CE78" s="20" t="s">
        <v>73</v>
      </c>
      <c r="CF78" s="5">
        <f t="shared" si="24"/>
        <v>100</v>
      </c>
      <c r="CG78" s="5">
        <f t="shared" si="25"/>
        <v>5.6999999999999993</v>
      </c>
      <c r="CH78" s="5">
        <f t="shared" si="26"/>
        <v>3.8</v>
      </c>
      <c r="CI78" s="5">
        <f t="shared" si="27"/>
        <v>1.256516117068772</v>
      </c>
      <c r="CJ78" s="2">
        <f t="shared" si="28"/>
        <v>7850</v>
      </c>
      <c r="CK78" s="48"/>
      <c r="CZ78" s="2" t="str">
        <f t="shared" si="29"/>
        <v>Ống-34x1.4</v>
      </c>
      <c r="DA78" s="19">
        <v>1.159</v>
      </c>
      <c r="DB78" s="19">
        <v>34</v>
      </c>
      <c r="DC78" s="19">
        <v>1.4</v>
      </c>
      <c r="DD78" s="21">
        <f t="shared" si="30"/>
        <v>106.81415022205297</v>
      </c>
      <c r="DE78" s="44">
        <f t="shared" si="31"/>
        <v>1.1255509663722303</v>
      </c>
      <c r="DF78" s="19">
        <f t="shared" si="32"/>
        <v>7850</v>
      </c>
      <c r="DY78" t="str">
        <f t="shared" si="33"/>
        <v>C-200x50x18x2</v>
      </c>
      <c r="DZ78" s="15" t="s">
        <v>116</v>
      </c>
      <c r="EA78" s="16">
        <v>5.2750000000000004</v>
      </c>
      <c r="EB78" s="16">
        <v>200</v>
      </c>
      <c r="EC78" s="16">
        <v>50</v>
      </c>
      <c r="ED78" s="15" t="s">
        <v>38</v>
      </c>
      <c r="EE78" s="15" t="s">
        <v>74</v>
      </c>
    </row>
    <row r="79" spans="1:135" x14ac:dyDescent="0.25">
      <c r="BA79" s="2" t="str">
        <f t="shared" si="21"/>
        <v>H-458x417x30x50</v>
      </c>
      <c r="BB79" s="19">
        <v>415</v>
      </c>
      <c r="BC79" s="19">
        <v>458</v>
      </c>
      <c r="BD79" s="19">
        <v>417</v>
      </c>
      <c r="BE79" s="20" t="s">
        <v>52</v>
      </c>
      <c r="BF79" s="20" t="s">
        <v>53</v>
      </c>
      <c r="BG79" s="5">
        <f t="shared" si="22"/>
        <v>2584</v>
      </c>
      <c r="CA79" s="2" t="str">
        <f t="shared" si="23"/>
        <v>Hộp-20x30x2</v>
      </c>
      <c r="CB79" s="19">
        <v>1.42</v>
      </c>
      <c r="CC79" s="19">
        <v>20</v>
      </c>
      <c r="CD79" s="19">
        <v>30</v>
      </c>
      <c r="CE79" s="20" t="s">
        <v>74</v>
      </c>
      <c r="CF79" s="5">
        <f t="shared" si="24"/>
        <v>100</v>
      </c>
      <c r="CG79" s="5">
        <f t="shared" si="25"/>
        <v>6</v>
      </c>
      <c r="CH79" s="5">
        <f t="shared" si="26"/>
        <v>4</v>
      </c>
      <c r="CI79" s="5">
        <f t="shared" si="27"/>
        <v>1.3096300466135975</v>
      </c>
      <c r="CJ79" s="2">
        <f t="shared" si="28"/>
        <v>7850</v>
      </c>
      <c r="CK79" s="48"/>
      <c r="CZ79" s="2" t="str">
        <f t="shared" si="29"/>
        <v>Ống-34x1.5</v>
      </c>
      <c r="DA79" s="19">
        <v>1.24</v>
      </c>
      <c r="DB79" s="19">
        <v>34</v>
      </c>
      <c r="DC79" s="19">
        <v>1.5</v>
      </c>
      <c r="DD79" s="21">
        <f t="shared" si="30"/>
        <v>106.81415022205297</v>
      </c>
      <c r="DE79" s="44">
        <f t="shared" si="31"/>
        <v>1.2022482386206437</v>
      </c>
      <c r="DF79" s="19">
        <f t="shared" si="32"/>
        <v>7850</v>
      </c>
      <c r="DY79" t="str">
        <f t="shared" si="33"/>
        <v>C-200x50x18x2.5</v>
      </c>
      <c r="DZ79" s="15" t="s">
        <v>116</v>
      </c>
      <c r="EA79" s="16">
        <v>6.5940000000000003</v>
      </c>
      <c r="EB79" s="16">
        <v>200</v>
      </c>
      <c r="EC79" s="16">
        <v>50</v>
      </c>
      <c r="ED79" s="15" t="s">
        <v>38</v>
      </c>
      <c r="EE79" s="15" t="s">
        <v>79</v>
      </c>
    </row>
    <row r="80" spans="1:135" x14ac:dyDescent="0.25">
      <c r="BA80" s="2" t="str">
        <f t="shared" si="21"/>
        <v>H-498x432x45x70</v>
      </c>
      <c r="BB80" s="19">
        <v>605</v>
      </c>
      <c r="BC80" s="19">
        <v>498</v>
      </c>
      <c r="BD80" s="19">
        <v>432</v>
      </c>
      <c r="BE80" s="20" t="s">
        <v>54</v>
      </c>
      <c r="BF80" s="20" t="s">
        <v>55</v>
      </c>
      <c r="BG80" s="5">
        <f t="shared" si="22"/>
        <v>2724</v>
      </c>
      <c r="CA80" s="2" t="str">
        <f t="shared" si="23"/>
        <v>Hộp-25x0.7</v>
      </c>
      <c r="CB80" s="19">
        <v>0.53166666666666662</v>
      </c>
      <c r="CC80" s="19">
        <v>25</v>
      </c>
      <c r="CD80" s="19">
        <v>25</v>
      </c>
      <c r="CE80" s="20" t="s">
        <v>62</v>
      </c>
      <c r="CF80" s="5">
        <f t="shared" si="24"/>
        <v>100</v>
      </c>
      <c r="CG80" s="5">
        <f t="shared" si="25"/>
        <v>2.0999999999999996</v>
      </c>
      <c r="CH80" s="5">
        <f t="shared" si="26"/>
        <v>1.4</v>
      </c>
      <c r="CI80" s="5">
        <f t="shared" si="27"/>
        <v>0.51760468071016563</v>
      </c>
      <c r="CJ80" s="2">
        <f t="shared" si="28"/>
        <v>7850</v>
      </c>
      <c r="CK80" s="48"/>
      <c r="CZ80" s="2" t="str">
        <f t="shared" si="29"/>
        <v>Ống-34x1.7</v>
      </c>
      <c r="DA80" s="19">
        <v>1.403</v>
      </c>
      <c r="DB80" s="19">
        <v>34</v>
      </c>
      <c r="DC80" s="19">
        <v>1.7</v>
      </c>
      <c r="DD80" s="21">
        <f t="shared" si="30"/>
        <v>106.81415022205297</v>
      </c>
      <c r="DE80" s="44">
        <f t="shared" si="31"/>
        <v>1.3541630929776314</v>
      </c>
      <c r="DF80" s="19">
        <f t="shared" si="32"/>
        <v>7850</v>
      </c>
      <c r="DY80" t="str">
        <f t="shared" si="33"/>
        <v>C-200x50x18x2.8</v>
      </c>
      <c r="DZ80" s="15" t="s">
        <v>116</v>
      </c>
      <c r="EA80" s="16">
        <v>7.3849999999999998</v>
      </c>
      <c r="EB80" s="16">
        <v>200</v>
      </c>
      <c r="EC80" s="16">
        <v>50</v>
      </c>
      <c r="ED80" s="15" t="s">
        <v>38</v>
      </c>
      <c r="EE80" s="15" t="s">
        <v>81</v>
      </c>
    </row>
    <row r="81" spans="53:135" x14ac:dyDescent="0.25">
      <c r="BA81" s="2" t="str">
        <f t="shared" si="21"/>
        <v>H-446x199x8x12</v>
      </c>
      <c r="BB81" s="19">
        <v>66.2</v>
      </c>
      <c r="BC81" s="19">
        <v>446</v>
      </c>
      <c r="BD81" s="19">
        <v>199</v>
      </c>
      <c r="BE81" s="20" t="s">
        <v>28</v>
      </c>
      <c r="BF81" s="20" t="s">
        <v>33</v>
      </c>
      <c r="BG81" s="5">
        <f t="shared" si="22"/>
        <v>1688</v>
      </c>
      <c r="CA81" s="2" t="str">
        <f t="shared" si="23"/>
        <v>Hộp-25x0.8</v>
      </c>
      <c r="CB81" s="19">
        <v>0.60333333333333339</v>
      </c>
      <c r="CC81" s="19">
        <v>25</v>
      </c>
      <c r="CD81" s="19">
        <v>25</v>
      </c>
      <c r="CE81" s="20" t="s">
        <v>63</v>
      </c>
      <c r="CF81" s="5">
        <f t="shared" si="24"/>
        <v>100</v>
      </c>
      <c r="CG81" s="5">
        <f t="shared" si="25"/>
        <v>2.4000000000000004</v>
      </c>
      <c r="CH81" s="5">
        <f t="shared" si="26"/>
        <v>1.6</v>
      </c>
      <c r="CI81" s="5">
        <f t="shared" si="27"/>
        <v>0.58634080745817563</v>
      </c>
      <c r="CJ81" s="2">
        <f t="shared" si="28"/>
        <v>7850</v>
      </c>
      <c r="CK81" s="48"/>
      <c r="CZ81" s="2" t="str">
        <f t="shared" si="29"/>
        <v>Ống-34x1.8</v>
      </c>
      <c r="DA81" s="19">
        <v>1.484</v>
      </c>
      <c r="DB81" s="19">
        <v>34</v>
      </c>
      <c r="DC81" s="19">
        <v>1.8</v>
      </c>
      <c r="DD81" s="21">
        <f t="shared" si="30"/>
        <v>106.81415022205297</v>
      </c>
      <c r="DE81" s="44">
        <f t="shared" si="31"/>
        <v>1.4293806750862055</v>
      </c>
      <c r="DF81" s="19">
        <f t="shared" si="32"/>
        <v>7850</v>
      </c>
      <c r="DY81" t="str">
        <f t="shared" si="33"/>
        <v>C-200x50x18x3</v>
      </c>
      <c r="DZ81" s="15" t="s">
        <v>116</v>
      </c>
      <c r="EA81" s="16">
        <v>7.9130000000000003</v>
      </c>
      <c r="EB81" s="16">
        <v>200</v>
      </c>
      <c r="EC81" s="16">
        <v>50</v>
      </c>
      <c r="ED81" s="15" t="s">
        <v>38</v>
      </c>
      <c r="EE81" s="15" t="s">
        <v>83</v>
      </c>
    </row>
    <row r="82" spans="53:135" x14ac:dyDescent="0.25">
      <c r="BA82" s="2" t="str">
        <f t="shared" si="21"/>
        <v>H-450x200x9x14</v>
      </c>
      <c r="BB82" s="19">
        <v>76</v>
      </c>
      <c r="BC82" s="19">
        <v>450</v>
      </c>
      <c r="BD82" s="19">
        <v>200</v>
      </c>
      <c r="BE82" s="20" t="s">
        <v>34</v>
      </c>
      <c r="BF82" s="20" t="s">
        <v>35</v>
      </c>
      <c r="BG82" s="5">
        <f t="shared" si="22"/>
        <v>1700</v>
      </c>
      <c r="CA82" s="2" t="str">
        <f t="shared" si="23"/>
        <v>Hộp-25x0.9</v>
      </c>
      <c r="CB82" s="19">
        <v>0.67666666666666664</v>
      </c>
      <c r="CC82" s="19">
        <v>25</v>
      </c>
      <c r="CD82" s="19">
        <v>25</v>
      </c>
      <c r="CE82" s="20" t="s">
        <v>64</v>
      </c>
      <c r="CF82" s="5">
        <f t="shared" si="24"/>
        <v>100</v>
      </c>
      <c r="CG82" s="5">
        <f t="shared" si="25"/>
        <v>2.7</v>
      </c>
      <c r="CH82" s="5">
        <f t="shared" si="26"/>
        <v>1.8</v>
      </c>
      <c r="CI82" s="5">
        <f t="shared" si="27"/>
        <v>0.65377508443925358</v>
      </c>
      <c r="CJ82" s="2">
        <f t="shared" si="28"/>
        <v>7850</v>
      </c>
      <c r="CK82" s="48"/>
      <c r="CZ82" s="2" t="str">
        <f t="shared" si="29"/>
        <v>Ống-34x2</v>
      </c>
      <c r="DA82" s="19">
        <v>1.6459999999999999</v>
      </c>
      <c r="DB82" s="19">
        <v>34</v>
      </c>
      <c r="DC82" s="19">
        <v>2</v>
      </c>
      <c r="DD82" s="21">
        <f t="shared" si="30"/>
        <v>106.81415022205297</v>
      </c>
      <c r="DE82" s="44">
        <f t="shared" si="31"/>
        <v>1.5783361491635122</v>
      </c>
      <c r="DF82" s="19">
        <f t="shared" si="32"/>
        <v>7850</v>
      </c>
      <c r="DY82" t="str">
        <f t="shared" si="33"/>
        <v>C-200x50x18x3.5</v>
      </c>
      <c r="DZ82" s="15" t="s">
        <v>116</v>
      </c>
      <c r="EA82" s="16">
        <v>9.2319999999999993</v>
      </c>
      <c r="EB82" s="16">
        <v>200</v>
      </c>
      <c r="EC82" s="16">
        <v>50</v>
      </c>
      <c r="ED82" s="15" t="s">
        <v>38</v>
      </c>
      <c r="EE82" s="15" t="s">
        <v>88</v>
      </c>
    </row>
    <row r="83" spans="53:135" x14ac:dyDescent="0.25">
      <c r="BA83" s="2" t="str">
        <f t="shared" si="21"/>
        <v>H-434x299x10x15</v>
      </c>
      <c r="BB83" s="19">
        <v>106</v>
      </c>
      <c r="BC83" s="19">
        <v>434</v>
      </c>
      <c r="BD83" s="19">
        <v>299</v>
      </c>
      <c r="BE83" s="20" t="s">
        <v>31</v>
      </c>
      <c r="BF83" s="20" t="s">
        <v>45</v>
      </c>
      <c r="BG83" s="5">
        <f t="shared" si="22"/>
        <v>2064</v>
      </c>
      <c r="CA83" s="2" t="str">
        <f t="shared" si="23"/>
        <v>Hộp-25x1</v>
      </c>
      <c r="CB83" s="19">
        <v>0.7466666666666667</v>
      </c>
      <c r="CC83" s="19">
        <v>25</v>
      </c>
      <c r="CD83" s="19">
        <v>25</v>
      </c>
      <c r="CE83" s="20" t="s">
        <v>65</v>
      </c>
      <c r="CF83" s="5">
        <f t="shared" si="24"/>
        <v>100</v>
      </c>
      <c r="CG83" s="5">
        <f t="shared" si="25"/>
        <v>3</v>
      </c>
      <c r="CH83" s="5">
        <f t="shared" si="26"/>
        <v>2</v>
      </c>
      <c r="CI83" s="5">
        <f t="shared" si="27"/>
        <v>0.7199075116533995</v>
      </c>
      <c r="CJ83" s="2">
        <f t="shared" si="28"/>
        <v>7850</v>
      </c>
      <c r="CK83" s="48"/>
      <c r="CZ83" s="2" t="str">
        <f t="shared" si="29"/>
        <v>Ống-34x2.3</v>
      </c>
      <c r="DA83" s="19">
        <v>1.887</v>
      </c>
      <c r="DB83" s="19">
        <v>34</v>
      </c>
      <c r="DC83" s="19">
        <v>2.2999999999999998</v>
      </c>
      <c r="DD83" s="21">
        <f t="shared" si="30"/>
        <v>106.81415022205297</v>
      </c>
      <c r="DE83" s="44">
        <f t="shared" si="31"/>
        <v>1.7980701349298704</v>
      </c>
      <c r="DF83" s="19">
        <f t="shared" si="32"/>
        <v>7850</v>
      </c>
      <c r="DY83" t="str">
        <f t="shared" si="33"/>
        <v>C-200x50x18x4</v>
      </c>
      <c r="DZ83" s="15" t="s">
        <v>116</v>
      </c>
      <c r="EA83" s="16">
        <v>10.55</v>
      </c>
      <c r="EB83" s="16">
        <v>200</v>
      </c>
      <c r="EC83" s="16">
        <v>50</v>
      </c>
      <c r="ED83" s="15" t="s">
        <v>38</v>
      </c>
      <c r="EE83" s="15" t="s">
        <v>25</v>
      </c>
    </row>
    <row r="84" spans="53:135" x14ac:dyDescent="0.25">
      <c r="BA84" s="2" t="str">
        <f t="shared" si="21"/>
        <v>H-440x300x11x18</v>
      </c>
      <c r="BB84" s="19">
        <v>124</v>
      </c>
      <c r="BC84" s="19">
        <v>440</v>
      </c>
      <c r="BD84" s="19">
        <v>300</v>
      </c>
      <c r="BE84" s="20" t="s">
        <v>36</v>
      </c>
      <c r="BF84" s="20" t="s">
        <v>38</v>
      </c>
      <c r="BG84" s="5">
        <f t="shared" si="22"/>
        <v>2080</v>
      </c>
      <c r="CA84" s="2" t="str">
        <f t="shared" si="23"/>
        <v>Hộp-25x1.1</v>
      </c>
      <c r="CB84" s="19">
        <v>0.81833333333333336</v>
      </c>
      <c r="CC84" s="19">
        <v>25</v>
      </c>
      <c r="CD84" s="19">
        <v>25</v>
      </c>
      <c r="CE84" s="20" t="s">
        <v>66</v>
      </c>
      <c r="CF84" s="5">
        <f t="shared" si="24"/>
        <v>100</v>
      </c>
      <c r="CG84" s="5">
        <f t="shared" si="25"/>
        <v>3.3000000000000003</v>
      </c>
      <c r="CH84" s="5">
        <f t="shared" si="26"/>
        <v>2.2000000000000002</v>
      </c>
      <c r="CI84" s="5">
        <f t="shared" si="27"/>
        <v>0.78473808910061327</v>
      </c>
      <c r="CJ84" s="2">
        <f t="shared" si="28"/>
        <v>7850</v>
      </c>
      <c r="CK84" s="48"/>
      <c r="CZ84" s="2" t="str">
        <f t="shared" si="29"/>
        <v>Ống-34x2.5</v>
      </c>
      <c r="DA84" s="19">
        <v>2.0470000000000002</v>
      </c>
      <c r="DB84" s="19">
        <v>34</v>
      </c>
      <c r="DC84" s="19">
        <v>2.5</v>
      </c>
      <c r="DD84" s="21">
        <f t="shared" si="30"/>
        <v>106.81415022205297</v>
      </c>
      <c r="DE84" s="44">
        <f t="shared" si="31"/>
        <v>1.9420933085410401</v>
      </c>
      <c r="DF84" s="19">
        <f t="shared" si="32"/>
        <v>7850</v>
      </c>
      <c r="DY84" t="str">
        <f t="shared" si="33"/>
        <v>C-250x50x20x1.2</v>
      </c>
      <c r="DZ84" s="15" t="s">
        <v>116</v>
      </c>
      <c r="EA84" s="16">
        <v>3.6739999999999999</v>
      </c>
      <c r="EB84" s="16">
        <v>250</v>
      </c>
      <c r="EC84" s="16">
        <v>50</v>
      </c>
      <c r="ED84" s="15" t="s">
        <v>47</v>
      </c>
      <c r="EE84" s="15" t="s">
        <v>67</v>
      </c>
    </row>
    <row r="85" spans="53:135" x14ac:dyDescent="0.25">
      <c r="BA85" s="2" t="str">
        <f t="shared" si="21"/>
        <v>H-496x199x9x14</v>
      </c>
      <c r="BB85" s="19">
        <v>79.5</v>
      </c>
      <c r="BC85" s="19">
        <v>496</v>
      </c>
      <c r="BD85" s="19">
        <v>199</v>
      </c>
      <c r="BE85" s="20" t="s">
        <v>34</v>
      </c>
      <c r="BF85" s="20" t="s">
        <v>35</v>
      </c>
      <c r="BG85" s="5">
        <f t="shared" si="22"/>
        <v>1788</v>
      </c>
      <c r="CA85" s="2" t="str">
        <f t="shared" si="23"/>
        <v>Hộp-25x1.2</v>
      </c>
      <c r="CB85" s="19">
        <v>0.88833333333333331</v>
      </c>
      <c r="CC85" s="19">
        <v>25</v>
      </c>
      <c r="CD85" s="19">
        <v>25</v>
      </c>
      <c r="CE85" s="20" t="s">
        <v>67</v>
      </c>
      <c r="CF85" s="5">
        <f t="shared" si="24"/>
        <v>100</v>
      </c>
      <c r="CG85" s="5">
        <f t="shared" si="25"/>
        <v>3.5999999999999996</v>
      </c>
      <c r="CH85" s="5">
        <f t="shared" si="26"/>
        <v>2.4</v>
      </c>
      <c r="CI85" s="5">
        <f t="shared" si="27"/>
        <v>0.84826681678089511</v>
      </c>
      <c r="CJ85" s="2">
        <f t="shared" si="28"/>
        <v>7850</v>
      </c>
      <c r="CK85" s="48"/>
      <c r="CZ85" s="2" t="str">
        <f t="shared" si="29"/>
        <v>Ống-34x2.8</v>
      </c>
      <c r="DA85" s="19">
        <v>2.286</v>
      </c>
      <c r="DB85" s="19">
        <v>34</v>
      </c>
      <c r="DC85" s="19">
        <v>2.8</v>
      </c>
      <c r="DD85" s="21">
        <f t="shared" si="30"/>
        <v>106.81415022205297</v>
      </c>
      <c r="DE85" s="44">
        <f t="shared" si="31"/>
        <v>2.1544288436081938</v>
      </c>
      <c r="DF85" s="19">
        <f t="shared" si="32"/>
        <v>7850</v>
      </c>
      <c r="DY85" t="str">
        <f t="shared" si="33"/>
        <v>C-250x50x20x1.5</v>
      </c>
      <c r="DZ85" s="15" t="s">
        <v>116</v>
      </c>
      <c r="EA85" s="16">
        <v>4.5919999999999996</v>
      </c>
      <c r="EB85" s="16">
        <v>250</v>
      </c>
      <c r="EC85" s="16">
        <v>50</v>
      </c>
      <c r="ED85" s="15" t="s">
        <v>47</v>
      </c>
      <c r="EE85" s="15" t="s">
        <v>69</v>
      </c>
    </row>
    <row r="86" spans="53:135" x14ac:dyDescent="0.25">
      <c r="BA86" s="2" t="str">
        <f t="shared" si="21"/>
        <v>H-500x200x10x16</v>
      </c>
      <c r="BB86" s="19">
        <v>89.6</v>
      </c>
      <c r="BC86" s="19">
        <v>500</v>
      </c>
      <c r="BD86" s="19">
        <v>200</v>
      </c>
      <c r="BE86" s="20" t="s">
        <v>31</v>
      </c>
      <c r="BF86" s="20" t="s">
        <v>37</v>
      </c>
      <c r="BG86" s="5">
        <f t="shared" si="22"/>
        <v>1800</v>
      </c>
      <c r="CA86" s="2" t="str">
        <f t="shared" si="23"/>
        <v>Hộp-25x1.4</v>
      </c>
      <c r="CB86" s="19">
        <v>1.0250000000000001</v>
      </c>
      <c r="CC86" s="19">
        <v>25</v>
      </c>
      <c r="CD86" s="19">
        <v>25</v>
      </c>
      <c r="CE86" s="20" t="s">
        <v>68</v>
      </c>
      <c r="CF86" s="5">
        <f t="shared" si="24"/>
        <v>100</v>
      </c>
      <c r="CG86" s="5">
        <f t="shared" si="25"/>
        <v>4.1999999999999993</v>
      </c>
      <c r="CH86" s="5">
        <f t="shared" si="26"/>
        <v>2.8</v>
      </c>
      <c r="CI86" s="5">
        <f t="shared" si="27"/>
        <v>0.97141872284066288</v>
      </c>
      <c r="CJ86" s="2">
        <f t="shared" si="28"/>
        <v>7850</v>
      </c>
      <c r="CK86" s="48"/>
      <c r="CZ86" s="2" t="str">
        <f t="shared" si="29"/>
        <v>Ống-34x3</v>
      </c>
      <c r="DA86" s="19">
        <v>2.4449999999999998</v>
      </c>
      <c r="DB86" s="19">
        <v>34</v>
      </c>
      <c r="DC86" s="19">
        <v>3</v>
      </c>
      <c r="DD86" s="21">
        <f t="shared" si="30"/>
        <v>106.81415022205297</v>
      </c>
      <c r="DE86" s="44">
        <f t="shared" si="31"/>
        <v>2.2935197167532286</v>
      </c>
      <c r="DF86" s="19">
        <f t="shared" si="32"/>
        <v>7850</v>
      </c>
      <c r="DY86" t="str">
        <f t="shared" si="33"/>
        <v>C-250x50x20x1.8</v>
      </c>
      <c r="DZ86" s="15" t="s">
        <v>116</v>
      </c>
      <c r="EA86" s="16">
        <v>5.5110000000000001</v>
      </c>
      <c r="EB86" s="16">
        <v>250</v>
      </c>
      <c r="EC86" s="16">
        <v>50</v>
      </c>
      <c r="ED86" s="15" t="s">
        <v>47</v>
      </c>
      <c r="EE86" s="15" t="s">
        <v>72</v>
      </c>
    </row>
    <row r="87" spans="53:135" x14ac:dyDescent="0.25">
      <c r="BA87" s="2" t="str">
        <f t="shared" si="21"/>
        <v>H-506x201x11x19</v>
      </c>
      <c r="BB87" s="19">
        <v>103</v>
      </c>
      <c r="BC87" s="19">
        <v>506</v>
      </c>
      <c r="BD87" s="19">
        <v>201</v>
      </c>
      <c r="BE87" s="20" t="s">
        <v>36</v>
      </c>
      <c r="BF87" s="20" t="s">
        <v>48</v>
      </c>
      <c r="BG87" s="5">
        <f t="shared" si="22"/>
        <v>1816</v>
      </c>
      <c r="CA87" s="2" t="str">
        <f t="shared" si="23"/>
        <v>Hộp-25x1.5</v>
      </c>
      <c r="CB87" s="19">
        <v>1.0933333333333333</v>
      </c>
      <c r="CC87" s="19">
        <v>25</v>
      </c>
      <c r="CD87" s="19">
        <v>25</v>
      </c>
      <c r="CE87" s="20" t="s">
        <v>69</v>
      </c>
      <c r="CF87" s="5">
        <f t="shared" si="24"/>
        <v>100</v>
      </c>
      <c r="CG87" s="5">
        <f t="shared" si="25"/>
        <v>4.5</v>
      </c>
      <c r="CH87" s="5">
        <f t="shared" si="26"/>
        <v>3</v>
      </c>
      <c r="CI87" s="5">
        <f t="shared" si="27"/>
        <v>1.0310419012201486</v>
      </c>
      <c r="CJ87" s="2">
        <f t="shared" si="28"/>
        <v>7850</v>
      </c>
      <c r="CK87" s="48"/>
      <c r="CZ87" s="2" t="str">
        <f t="shared" si="29"/>
        <v>Ống-38.1x0.8</v>
      </c>
      <c r="DA87" s="19">
        <v>0.747</v>
      </c>
      <c r="DB87" s="19">
        <v>38.1</v>
      </c>
      <c r="DC87" s="19">
        <v>0.8</v>
      </c>
      <c r="DD87" s="21">
        <f t="shared" si="30"/>
        <v>119.69468010177113</v>
      </c>
      <c r="DE87" s="44">
        <f t="shared" si="31"/>
        <v>0.73589922954748654</v>
      </c>
      <c r="DF87" s="19">
        <f t="shared" si="32"/>
        <v>7850</v>
      </c>
      <c r="DY87" t="str">
        <f t="shared" si="33"/>
        <v>C-250x50x20x2</v>
      </c>
      <c r="DZ87" s="15" t="s">
        <v>116</v>
      </c>
      <c r="EA87" s="16">
        <v>6.1230000000000002</v>
      </c>
      <c r="EB87" s="16">
        <v>250</v>
      </c>
      <c r="EC87" s="16">
        <v>50</v>
      </c>
      <c r="ED87" s="15" t="s">
        <v>47</v>
      </c>
      <c r="EE87" s="15" t="s">
        <v>74</v>
      </c>
    </row>
    <row r="88" spans="53:135" x14ac:dyDescent="0.25">
      <c r="CA88" s="2" t="str">
        <f t="shared" si="23"/>
        <v>Hộp-25x1.6</v>
      </c>
      <c r="CB88" s="19">
        <v>1.1599999999999999</v>
      </c>
      <c r="CC88" s="19">
        <v>25</v>
      </c>
      <c r="CD88" s="19">
        <v>25</v>
      </c>
      <c r="CE88" s="20" t="s">
        <v>70</v>
      </c>
      <c r="CF88" s="5">
        <f t="shared" si="24"/>
        <v>100</v>
      </c>
      <c r="CG88" s="5">
        <f t="shared" si="25"/>
        <v>4.8000000000000007</v>
      </c>
      <c r="CH88" s="5">
        <f t="shared" si="26"/>
        <v>3.2</v>
      </c>
      <c r="CI88" s="5">
        <f t="shared" si="27"/>
        <v>1.0893632298327025</v>
      </c>
      <c r="CJ88" s="2">
        <f t="shared" si="28"/>
        <v>7850</v>
      </c>
      <c r="CK88" s="48"/>
      <c r="CZ88" s="2" t="str">
        <f t="shared" si="29"/>
        <v>Ống-38.1x0.9</v>
      </c>
      <c r="DA88" s="19">
        <v>0.83899999999999997</v>
      </c>
      <c r="DB88" s="19">
        <v>38.1</v>
      </c>
      <c r="DC88" s="19">
        <v>0.9</v>
      </c>
      <c r="DD88" s="21">
        <f t="shared" si="30"/>
        <v>119.69468010177113</v>
      </c>
      <c r="DE88" s="44">
        <f t="shared" si="31"/>
        <v>0.82566709803116101</v>
      </c>
      <c r="DF88" s="19">
        <f t="shared" si="32"/>
        <v>7850</v>
      </c>
      <c r="DY88" t="str">
        <f t="shared" si="33"/>
        <v>C-250x50x20x2.5</v>
      </c>
      <c r="DZ88" s="15" t="s">
        <v>116</v>
      </c>
      <c r="EA88" s="16">
        <v>7.6539999999999999</v>
      </c>
      <c r="EB88" s="16">
        <v>250</v>
      </c>
      <c r="EC88" s="16">
        <v>50</v>
      </c>
      <c r="ED88" s="15" t="s">
        <v>47</v>
      </c>
      <c r="EE88" s="15" t="s">
        <v>79</v>
      </c>
    </row>
    <row r="89" spans="53:135" x14ac:dyDescent="0.25">
      <c r="CA89" s="2" t="str">
        <f t="shared" si="23"/>
        <v>Hộp-25x1.7</v>
      </c>
      <c r="CB89" s="19">
        <v>1.2249999999999999</v>
      </c>
      <c r="CC89" s="19">
        <v>25</v>
      </c>
      <c r="CD89" s="19">
        <v>25</v>
      </c>
      <c r="CE89" s="20" t="s">
        <v>71</v>
      </c>
      <c r="CF89" s="5">
        <f t="shared" si="24"/>
        <v>100</v>
      </c>
      <c r="CG89" s="5">
        <f t="shared" si="25"/>
        <v>5.0999999999999996</v>
      </c>
      <c r="CH89" s="5">
        <f t="shared" si="26"/>
        <v>3.4</v>
      </c>
      <c r="CI89" s="5">
        <f t="shared" si="27"/>
        <v>1.1463827086783243</v>
      </c>
      <c r="CJ89" s="2">
        <f t="shared" si="28"/>
        <v>7850</v>
      </c>
      <c r="CK89" s="48"/>
      <c r="CZ89" s="2" t="str">
        <f t="shared" si="29"/>
        <v>Ống-38.1x1</v>
      </c>
      <c r="DA89" s="19">
        <v>0.93200000000000005</v>
      </c>
      <c r="DB89" s="19">
        <v>38.1</v>
      </c>
      <c r="DC89" s="19">
        <v>1</v>
      </c>
      <c r="DD89" s="21">
        <f t="shared" si="30"/>
        <v>119.69468010177113</v>
      </c>
      <c r="DE89" s="44">
        <f t="shared" si="31"/>
        <v>0.91494173646822285</v>
      </c>
      <c r="DF89" s="19">
        <f t="shared" si="32"/>
        <v>7850</v>
      </c>
      <c r="DY89" t="str">
        <f t="shared" si="33"/>
        <v>C-250x50x20x2.8</v>
      </c>
      <c r="DZ89" s="15" t="s">
        <v>116</v>
      </c>
      <c r="EA89" s="16">
        <v>8.5719999999999992</v>
      </c>
      <c r="EB89" s="16">
        <v>250</v>
      </c>
      <c r="EC89" s="16">
        <v>50</v>
      </c>
      <c r="ED89" s="15" t="s">
        <v>47</v>
      </c>
      <c r="EE89" s="15" t="s">
        <v>81</v>
      </c>
    </row>
    <row r="90" spans="53:135" x14ac:dyDescent="0.25">
      <c r="CA90" s="2" t="str">
        <f t="shared" si="23"/>
        <v>Hộp-25x1.8</v>
      </c>
      <c r="CB90" s="19">
        <v>1.2916666666666667</v>
      </c>
      <c r="CC90" s="19">
        <v>25</v>
      </c>
      <c r="CD90" s="19">
        <v>25</v>
      </c>
      <c r="CE90" s="20" t="s">
        <v>72</v>
      </c>
      <c r="CF90" s="5">
        <f t="shared" si="24"/>
        <v>100</v>
      </c>
      <c r="CG90" s="5">
        <f t="shared" si="25"/>
        <v>5.4</v>
      </c>
      <c r="CH90" s="5">
        <f t="shared" si="26"/>
        <v>3.6</v>
      </c>
      <c r="CI90" s="5">
        <f t="shared" si="27"/>
        <v>1.2021003377570139</v>
      </c>
      <c r="CJ90" s="2">
        <f t="shared" si="28"/>
        <v>7850</v>
      </c>
      <c r="CK90" s="48"/>
      <c r="CZ90" s="2" t="str">
        <f t="shared" si="29"/>
        <v>Ống-38.1x1.1</v>
      </c>
      <c r="DA90" s="19">
        <v>1.024</v>
      </c>
      <c r="DB90" s="19">
        <v>38.1</v>
      </c>
      <c r="DC90" s="19">
        <v>1.1000000000000001</v>
      </c>
      <c r="DD90" s="21">
        <f t="shared" si="30"/>
        <v>119.69468010177113</v>
      </c>
      <c r="DE90" s="44">
        <f t="shared" si="31"/>
        <v>1.0037231448586714</v>
      </c>
      <c r="DF90" s="19">
        <f t="shared" si="32"/>
        <v>7850</v>
      </c>
      <c r="DY90" t="str">
        <f t="shared" si="33"/>
        <v>C-250x50x20x3</v>
      </c>
      <c r="DZ90" s="15" t="s">
        <v>116</v>
      </c>
      <c r="EA90" s="16">
        <v>9.1850000000000005</v>
      </c>
      <c r="EB90" s="16">
        <v>250</v>
      </c>
      <c r="EC90" s="16">
        <v>50</v>
      </c>
      <c r="ED90" s="15" t="s">
        <v>47</v>
      </c>
      <c r="EE90" s="15" t="s">
        <v>83</v>
      </c>
    </row>
    <row r="91" spans="53:135" x14ac:dyDescent="0.25">
      <c r="CA91" s="2" t="str">
        <f t="shared" si="23"/>
        <v>Hộp-25x1.9</v>
      </c>
      <c r="CB91" s="19">
        <v>1.3550000000000002</v>
      </c>
      <c r="CC91" s="19">
        <v>25</v>
      </c>
      <c r="CD91" s="19">
        <v>25</v>
      </c>
      <c r="CE91" s="20" t="s">
        <v>73</v>
      </c>
      <c r="CF91" s="5">
        <f t="shared" si="24"/>
        <v>100</v>
      </c>
      <c r="CG91" s="5">
        <f t="shared" si="25"/>
        <v>5.6999999999999993</v>
      </c>
      <c r="CH91" s="5">
        <f t="shared" si="26"/>
        <v>3.8</v>
      </c>
      <c r="CI91" s="5">
        <f t="shared" si="27"/>
        <v>1.256516117068772</v>
      </c>
      <c r="CJ91" s="2">
        <f t="shared" si="28"/>
        <v>7850</v>
      </c>
      <c r="CK91" s="48"/>
      <c r="CZ91" s="2" t="str">
        <f t="shared" si="29"/>
        <v>Ống-38.1x1.2</v>
      </c>
      <c r="DA91" s="19">
        <v>1.1160000000000001</v>
      </c>
      <c r="DB91" s="19">
        <v>38.1</v>
      </c>
      <c r="DC91" s="19">
        <v>1.2</v>
      </c>
      <c r="DD91" s="21">
        <f t="shared" si="30"/>
        <v>119.69468010177113</v>
      </c>
      <c r="DE91" s="44">
        <f t="shared" si="31"/>
        <v>1.0920113232025039</v>
      </c>
      <c r="DF91" s="19">
        <f t="shared" si="32"/>
        <v>7850</v>
      </c>
      <c r="DY91" t="str">
        <f t="shared" si="33"/>
        <v>C-250x50x20x3.5</v>
      </c>
      <c r="DZ91" s="15" t="s">
        <v>116</v>
      </c>
      <c r="EA91" s="16">
        <v>10.715</v>
      </c>
      <c r="EB91" s="16">
        <v>250</v>
      </c>
      <c r="EC91" s="16">
        <v>50</v>
      </c>
      <c r="ED91" s="15" t="s">
        <v>47</v>
      </c>
      <c r="EE91" s="15" t="s">
        <v>88</v>
      </c>
    </row>
    <row r="92" spans="53:135" x14ac:dyDescent="0.25">
      <c r="CA92" s="2" t="str">
        <f t="shared" si="23"/>
        <v>Hộp-25x2</v>
      </c>
      <c r="CB92" s="19">
        <v>1.42</v>
      </c>
      <c r="CC92" s="19">
        <v>25</v>
      </c>
      <c r="CD92" s="19">
        <v>25</v>
      </c>
      <c r="CE92" s="20" t="s">
        <v>74</v>
      </c>
      <c r="CF92" s="5">
        <f t="shared" si="24"/>
        <v>100</v>
      </c>
      <c r="CG92" s="5">
        <f t="shared" si="25"/>
        <v>6</v>
      </c>
      <c r="CH92" s="5">
        <f t="shared" si="26"/>
        <v>4</v>
      </c>
      <c r="CI92" s="5">
        <f t="shared" si="27"/>
        <v>1.3096300466135975</v>
      </c>
      <c r="CJ92" s="2">
        <f t="shared" si="28"/>
        <v>7850</v>
      </c>
      <c r="CK92" s="48"/>
      <c r="CZ92" s="2" t="str">
        <f t="shared" si="29"/>
        <v>Ống-38.1x1.4</v>
      </c>
      <c r="DA92" s="19">
        <v>1.3</v>
      </c>
      <c r="DB92" s="19">
        <v>38.1</v>
      </c>
      <c r="DC92" s="19">
        <v>1.4</v>
      </c>
      <c r="DD92" s="21">
        <f t="shared" si="30"/>
        <v>119.69468010177113</v>
      </c>
      <c r="DE92" s="44">
        <f t="shared" si="31"/>
        <v>1.2671079897503292</v>
      </c>
      <c r="DF92" s="19">
        <f t="shared" si="32"/>
        <v>7850</v>
      </c>
      <c r="DY92" t="str">
        <f t="shared" si="33"/>
        <v>C-250x50x20x4</v>
      </c>
      <c r="DZ92" s="15" t="s">
        <v>116</v>
      </c>
      <c r="EA92" s="16">
        <v>12.246</v>
      </c>
      <c r="EB92" s="16">
        <v>250</v>
      </c>
      <c r="EC92" s="16">
        <v>50</v>
      </c>
      <c r="ED92" s="15" t="s">
        <v>47</v>
      </c>
      <c r="EE92" s="15" t="s">
        <v>25</v>
      </c>
    </row>
    <row r="93" spans="53:135" x14ac:dyDescent="0.25">
      <c r="CA93" s="2" t="str">
        <f t="shared" si="23"/>
        <v>Hộp-20x40x0.7</v>
      </c>
      <c r="CB93" s="19">
        <v>0.64166666666666672</v>
      </c>
      <c r="CC93" s="19">
        <v>20</v>
      </c>
      <c r="CD93" s="19">
        <v>40</v>
      </c>
      <c r="CE93" s="20" t="s">
        <v>62</v>
      </c>
      <c r="CF93" s="5">
        <f t="shared" si="24"/>
        <v>120</v>
      </c>
      <c r="CG93" s="5">
        <f t="shared" si="25"/>
        <v>2.0999999999999996</v>
      </c>
      <c r="CH93" s="5">
        <f t="shared" si="26"/>
        <v>1.4</v>
      </c>
      <c r="CI93" s="5">
        <f t="shared" si="27"/>
        <v>0.62750468071016563</v>
      </c>
      <c r="CJ93" s="2">
        <f t="shared" si="28"/>
        <v>7850</v>
      </c>
      <c r="CK93" s="48"/>
      <c r="CZ93" s="2" t="str">
        <f t="shared" si="29"/>
        <v>Ống-38.1x1.5</v>
      </c>
      <c r="DA93" s="19">
        <v>1.3919999999999999</v>
      </c>
      <c r="DB93" s="19">
        <v>38.1</v>
      </c>
      <c r="DC93" s="19">
        <v>1.5</v>
      </c>
      <c r="DD93" s="21">
        <f t="shared" si="30"/>
        <v>119.69468010177113</v>
      </c>
      <c r="DE93" s="44">
        <f t="shared" si="31"/>
        <v>1.3539164779543251</v>
      </c>
      <c r="DF93" s="19">
        <f t="shared" si="32"/>
        <v>7850</v>
      </c>
      <c r="DY93" t="str">
        <f t="shared" si="33"/>
        <v>C-150x65x15x1.2</v>
      </c>
      <c r="DZ93" s="15" t="s">
        <v>116</v>
      </c>
      <c r="EA93" s="16">
        <v>2.92</v>
      </c>
      <c r="EB93" s="16">
        <v>150</v>
      </c>
      <c r="EC93" s="16">
        <v>65</v>
      </c>
      <c r="ED93" s="15" t="s">
        <v>45</v>
      </c>
      <c r="EE93" s="15" t="s">
        <v>67</v>
      </c>
    </row>
    <row r="94" spans="53:135" x14ac:dyDescent="0.25">
      <c r="CA94" s="2" t="str">
        <f t="shared" si="23"/>
        <v>Hộp-20x40x0.8</v>
      </c>
      <c r="CB94" s="19">
        <v>0.73</v>
      </c>
      <c r="CC94" s="19">
        <v>20</v>
      </c>
      <c r="CD94" s="19">
        <v>40</v>
      </c>
      <c r="CE94" s="20" t="s">
        <v>63</v>
      </c>
      <c r="CF94" s="5">
        <f t="shared" si="24"/>
        <v>120</v>
      </c>
      <c r="CG94" s="5">
        <f t="shared" si="25"/>
        <v>2.4000000000000004</v>
      </c>
      <c r="CH94" s="5">
        <f t="shared" si="26"/>
        <v>1.6</v>
      </c>
      <c r="CI94" s="5">
        <f t="shared" si="27"/>
        <v>0.71194080745817556</v>
      </c>
      <c r="CJ94" s="2">
        <f t="shared" si="28"/>
        <v>7850</v>
      </c>
      <c r="CK94" s="48"/>
      <c r="CZ94" s="2" t="str">
        <f t="shared" si="29"/>
        <v>Ống-38.1x1.7</v>
      </c>
      <c r="DA94" s="19">
        <v>1.575</v>
      </c>
      <c r="DB94" s="19">
        <v>38.1</v>
      </c>
      <c r="DC94" s="19">
        <v>1.7</v>
      </c>
      <c r="DD94" s="21">
        <f t="shared" si="30"/>
        <v>119.69468010177113</v>
      </c>
      <c r="DE94" s="44">
        <f t="shared" si="31"/>
        <v>1.5260537642224694</v>
      </c>
      <c r="DF94" s="19">
        <f t="shared" si="32"/>
        <v>7850</v>
      </c>
      <c r="DY94" t="str">
        <f t="shared" si="33"/>
        <v>C-150x65x15x1.5</v>
      </c>
      <c r="DZ94" s="15" t="s">
        <v>116</v>
      </c>
      <c r="EA94" s="16">
        <v>3.65</v>
      </c>
      <c r="EB94" s="16">
        <v>150</v>
      </c>
      <c r="EC94" s="16">
        <v>65</v>
      </c>
      <c r="ED94" s="15" t="s">
        <v>45</v>
      </c>
      <c r="EE94" s="15" t="s">
        <v>69</v>
      </c>
    </row>
    <row r="95" spans="53:135" x14ac:dyDescent="0.25">
      <c r="CA95" s="2" t="str">
        <f t="shared" si="23"/>
        <v>Hộp-20x40x0.9</v>
      </c>
      <c r="CB95" s="19">
        <v>0.81666666666666676</v>
      </c>
      <c r="CC95" s="19">
        <v>20</v>
      </c>
      <c r="CD95" s="19">
        <v>40</v>
      </c>
      <c r="CE95" s="20" t="s">
        <v>64</v>
      </c>
      <c r="CF95" s="5">
        <f t="shared" si="24"/>
        <v>120</v>
      </c>
      <c r="CG95" s="5">
        <f t="shared" si="25"/>
        <v>2.7</v>
      </c>
      <c r="CH95" s="5">
        <f t="shared" si="26"/>
        <v>1.8</v>
      </c>
      <c r="CI95" s="5">
        <f t="shared" si="27"/>
        <v>0.79507508443925357</v>
      </c>
      <c r="CJ95" s="2">
        <f t="shared" si="28"/>
        <v>7850</v>
      </c>
      <c r="CK95" s="48"/>
      <c r="CZ95" s="2" t="str">
        <f t="shared" si="29"/>
        <v>Ống-38.1x1.8</v>
      </c>
      <c r="DA95" s="19">
        <v>1.6659999999999999</v>
      </c>
      <c r="DB95" s="19">
        <v>38.1</v>
      </c>
      <c r="DC95" s="19">
        <v>1.8</v>
      </c>
      <c r="DD95" s="21">
        <f t="shared" si="30"/>
        <v>119.69468010177113</v>
      </c>
      <c r="DE95" s="44">
        <f t="shared" si="31"/>
        <v>1.6113825622866234</v>
      </c>
      <c r="DF95" s="19">
        <f t="shared" si="32"/>
        <v>7850</v>
      </c>
      <c r="DY95" t="str">
        <f t="shared" si="33"/>
        <v>C-150x65x15x1.8</v>
      </c>
      <c r="DZ95" s="15" t="s">
        <v>116</v>
      </c>
      <c r="EA95" s="16">
        <v>4.38</v>
      </c>
      <c r="EB95" s="16">
        <v>150</v>
      </c>
      <c r="EC95" s="16">
        <v>65</v>
      </c>
      <c r="ED95" s="15" t="s">
        <v>45</v>
      </c>
      <c r="EE95" s="15" t="s">
        <v>72</v>
      </c>
    </row>
    <row r="96" spans="53:135" x14ac:dyDescent="0.25">
      <c r="CA96" s="2" t="str">
        <f t="shared" si="23"/>
        <v>Hộp-20x40x1</v>
      </c>
      <c r="CB96" s="19">
        <v>0.90499999999999992</v>
      </c>
      <c r="CC96" s="19">
        <v>20</v>
      </c>
      <c r="CD96" s="19">
        <v>40</v>
      </c>
      <c r="CE96" s="20" t="s">
        <v>65</v>
      </c>
      <c r="CF96" s="5">
        <f t="shared" si="24"/>
        <v>120</v>
      </c>
      <c r="CG96" s="5">
        <f t="shared" si="25"/>
        <v>3</v>
      </c>
      <c r="CH96" s="5">
        <f t="shared" si="26"/>
        <v>2</v>
      </c>
      <c r="CI96" s="5">
        <f t="shared" si="27"/>
        <v>0.87690751165339942</v>
      </c>
      <c r="CJ96" s="2">
        <f t="shared" si="28"/>
        <v>7850</v>
      </c>
      <c r="CK96" s="48"/>
      <c r="CZ96" s="2" t="str">
        <f t="shared" si="29"/>
        <v>Ống-38.1x2</v>
      </c>
      <c r="DA96" s="19">
        <v>1.8480000000000001</v>
      </c>
      <c r="DB96" s="19">
        <v>38.1</v>
      </c>
      <c r="DC96" s="19">
        <v>2</v>
      </c>
      <c r="DD96" s="21">
        <f t="shared" si="30"/>
        <v>119.69468010177113</v>
      </c>
      <c r="DE96" s="44">
        <f t="shared" si="31"/>
        <v>1.7805604682750862</v>
      </c>
      <c r="DF96" s="19">
        <f t="shared" si="32"/>
        <v>7850</v>
      </c>
      <c r="DY96" t="str">
        <f t="shared" si="33"/>
        <v>C-150x65x15x2</v>
      </c>
      <c r="DZ96" s="15" t="s">
        <v>116</v>
      </c>
      <c r="EA96" s="16">
        <v>4.867</v>
      </c>
      <c r="EB96" s="16">
        <v>150</v>
      </c>
      <c r="EC96" s="16">
        <v>65</v>
      </c>
      <c r="ED96" s="15" t="s">
        <v>45</v>
      </c>
      <c r="EE96" s="15" t="s">
        <v>74</v>
      </c>
    </row>
    <row r="97" spans="79:135" x14ac:dyDescent="0.25">
      <c r="CA97" s="2" t="str">
        <f t="shared" si="23"/>
        <v>Hộp-20x40x1.1</v>
      </c>
      <c r="CB97" s="19">
        <v>0.9900000000000001</v>
      </c>
      <c r="CC97" s="19">
        <v>20</v>
      </c>
      <c r="CD97" s="19">
        <v>40</v>
      </c>
      <c r="CE97" s="20" t="s">
        <v>66</v>
      </c>
      <c r="CF97" s="5">
        <f t="shared" si="24"/>
        <v>120</v>
      </c>
      <c r="CG97" s="5">
        <f t="shared" si="25"/>
        <v>3.3000000000000003</v>
      </c>
      <c r="CH97" s="5">
        <f t="shared" si="26"/>
        <v>2.2000000000000002</v>
      </c>
      <c r="CI97" s="5">
        <f t="shared" si="27"/>
        <v>0.95743808910061323</v>
      </c>
      <c r="CJ97" s="2">
        <f t="shared" si="28"/>
        <v>7850</v>
      </c>
      <c r="CK97" s="48"/>
      <c r="CZ97" s="2" t="str">
        <f t="shared" si="29"/>
        <v>Ống-38.1x2.3</v>
      </c>
      <c r="DA97" s="19">
        <v>2.12</v>
      </c>
      <c r="DB97" s="19">
        <v>38.1</v>
      </c>
      <c r="DC97" s="19">
        <v>2.2999999999999998</v>
      </c>
      <c r="DD97" s="21">
        <f t="shared" si="30"/>
        <v>119.69468010177113</v>
      </c>
      <c r="DE97" s="44">
        <f t="shared" si="31"/>
        <v>2.0306281019081807</v>
      </c>
      <c r="DF97" s="19">
        <f t="shared" si="32"/>
        <v>7850</v>
      </c>
      <c r="DY97" t="str">
        <f t="shared" si="33"/>
        <v>C-150x65x15x2.5</v>
      </c>
      <c r="DZ97" s="15" t="s">
        <v>116</v>
      </c>
      <c r="EA97" s="16">
        <v>6.0839999999999996</v>
      </c>
      <c r="EB97" s="16">
        <v>150</v>
      </c>
      <c r="EC97" s="16">
        <v>65</v>
      </c>
      <c r="ED97" s="15" t="s">
        <v>45</v>
      </c>
      <c r="EE97" s="15" t="s">
        <v>79</v>
      </c>
    </row>
    <row r="98" spans="79:135" x14ac:dyDescent="0.25">
      <c r="CA98" s="2" t="str">
        <f t="shared" si="23"/>
        <v>Hộp-20x40x1.2</v>
      </c>
      <c r="CB98" s="19">
        <v>1.0766666666666667</v>
      </c>
      <c r="CC98" s="19">
        <v>20</v>
      </c>
      <c r="CD98" s="19">
        <v>40</v>
      </c>
      <c r="CE98" s="20" t="s">
        <v>67</v>
      </c>
      <c r="CF98" s="5">
        <f t="shared" si="24"/>
        <v>120</v>
      </c>
      <c r="CG98" s="5">
        <f t="shared" si="25"/>
        <v>3.5999999999999996</v>
      </c>
      <c r="CH98" s="5">
        <f t="shared" si="26"/>
        <v>2.4</v>
      </c>
      <c r="CI98" s="5">
        <f t="shared" si="27"/>
        <v>1.0366668167808952</v>
      </c>
      <c r="CJ98" s="2">
        <f t="shared" si="28"/>
        <v>7850</v>
      </c>
      <c r="CK98" s="48"/>
      <c r="CZ98" s="2" t="str">
        <f t="shared" si="29"/>
        <v>Ống-38.1x2.5</v>
      </c>
      <c r="DA98" s="19">
        <v>2.2999999999999998</v>
      </c>
      <c r="DB98" s="19">
        <v>38.1</v>
      </c>
      <c r="DC98" s="19">
        <v>2.5</v>
      </c>
      <c r="DD98" s="21">
        <f t="shared" si="30"/>
        <v>119.69468010177113</v>
      </c>
      <c r="DE98" s="44">
        <f t="shared" si="31"/>
        <v>2.1948737074305074</v>
      </c>
      <c r="DF98" s="19">
        <f t="shared" si="32"/>
        <v>7850</v>
      </c>
      <c r="DY98" t="str">
        <f t="shared" si="33"/>
        <v>C-150x65x15x2.8</v>
      </c>
      <c r="DZ98" s="15" t="s">
        <v>116</v>
      </c>
      <c r="EA98" s="16">
        <v>6.8140000000000001</v>
      </c>
      <c r="EB98" s="16">
        <v>150</v>
      </c>
      <c r="EC98" s="16">
        <v>65</v>
      </c>
      <c r="ED98" s="15" t="s">
        <v>45</v>
      </c>
      <c r="EE98" s="15" t="s">
        <v>81</v>
      </c>
    </row>
    <row r="99" spans="79:135" x14ac:dyDescent="0.25">
      <c r="CA99" s="2" t="str">
        <f t="shared" si="23"/>
        <v>Hộp-20x40x1.4</v>
      </c>
      <c r="CB99" s="19">
        <v>1.2449999999999999</v>
      </c>
      <c r="CC99" s="19">
        <v>20</v>
      </c>
      <c r="CD99" s="19">
        <v>40</v>
      </c>
      <c r="CE99" s="20" t="s">
        <v>68</v>
      </c>
      <c r="CF99" s="5">
        <f t="shared" si="24"/>
        <v>120</v>
      </c>
      <c r="CG99" s="5">
        <f t="shared" si="25"/>
        <v>4.1999999999999993</v>
      </c>
      <c r="CH99" s="5">
        <f t="shared" si="26"/>
        <v>2.8</v>
      </c>
      <c r="CI99" s="5">
        <f t="shared" si="27"/>
        <v>1.191218722840663</v>
      </c>
      <c r="CJ99" s="2">
        <f t="shared" si="28"/>
        <v>7850</v>
      </c>
      <c r="CK99" s="48"/>
      <c r="CZ99" s="2" t="str">
        <f t="shared" si="29"/>
        <v>Ống-38.1x2.8</v>
      </c>
      <c r="DA99" s="19">
        <v>2.569</v>
      </c>
      <c r="DB99" s="19">
        <v>38.1</v>
      </c>
      <c r="DC99" s="19">
        <v>2.8</v>
      </c>
      <c r="DD99" s="21">
        <f t="shared" si="30"/>
        <v>119.69468010177113</v>
      </c>
      <c r="DE99" s="44">
        <f t="shared" si="31"/>
        <v>2.4375428903643983</v>
      </c>
      <c r="DF99" s="19">
        <f t="shared" si="32"/>
        <v>7850</v>
      </c>
      <c r="DY99" t="str">
        <f t="shared" si="33"/>
        <v>C-150x65x15x3</v>
      </c>
      <c r="DZ99" s="15" t="s">
        <v>116</v>
      </c>
      <c r="EA99" s="16">
        <v>7.3010000000000002</v>
      </c>
      <c r="EB99" s="16">
        <v>150</v>
      </c>
      <c r="EC99" s="16">
        <v>65</v>
      </c>
      <c r="ED99" s="15" t="s">
        <v>45</v>
      </c>
      <c r="EE99" s="15" t="s">
        <v>83</v>
      </c>
    </row>
    <row r="100" spans="79:135" x14ac:dyDescent="0.25">
      <c r="CA100" s="2" t="str">
        <f t="shared" si="23"/>
        <v>Hộp-20x40x1.5</v>
      </c>
      <c r="CB100" s="19">
        <v>1.3283333333333334</v>
      </c>
      <c r="CC100" s="19">
        <v>20</v>
      </c>
      <c r="CD100" s="19">
        <v>40</v>
      </c>
      <c r="CE100" s="20" t="s">
        <v>69</v>
      </c>
      <c r="CF100" s="5">
        <f t="shared" si="24"/>
        <v>120</v>
      </c>
      <c r="CG100" s="5">
        <f t="shared" si="25"/>
        <v>4.5</v>
      </c>
      <c r="CH100" s="5">
        <f t="shared" si="26"/>
        <v>3</v>
      </c>
      <c r="CI100" s="5">
        <f t="shared" si="27"/>
        <v>1.2665419012201486</v>
      </c>
      <c r="CJ100" s="2">
        <f t="shared" si="28"/>
        <v>7850</v>
      </c>
      <c r="CK100" s="48"/>
      <c r="CZ100" s="2" t="str">
        <f t="shared" si="29"/>
        <v>Ống-38.1x3</v>
      </c>
      <c r="DA100" s="19">
        <v>2.7480000000000002</v>
      </c>
      <c r="DB100" s="19">
        <v>38.1</v>
      </c>
      <c r="DC100" s="19">
        <v>3</v>
      </c>
      <c r="DD100" s="21">
        <f t="shared" si="30"/>
        <v>119.69468010177113</v>
      </c>
      <c r="DE100" s="44">
        <f t="shared" si="31"/>
        <v>2.5968561954205911</v>
      </c>
      <c r="DF100" s="19">
        <f t="shared" si="32"/>
        <v>7850</v>
      </c>
      <c r="DY100" t="str">
        <f t="shared" si="33"/>
        <v>C-150x65x15x3.5</v>
      </c>
      <c r="DZ100" s="15" t="s">
        <v>116</v>
      </c>
      <c r="EA100" s="16">
        <v>8.5169999999999995</v>
      </c>
      <c r="EB100" s="16">
        <v>150</v>
      </c>
      <c r="EC100" s="16">
        <v>65</v>
      </c>
      <c r="ED100" s="15" t="s">
        <v>45</v>
      </c>
      <c r="EE100" s="15" t="s">
        <v>88</v>
      </c>
    </row>
    <row r="101" spans="79:135" x14ac:dyDescent="0.25">
      <c r="CA101" s="2" t="str">
        <f t="shared" si="23"/>
        <v>Hộp-20x40x1.6</v>
      </c>
      <c r="CB101" s="19">
        <v>1.4100000000000001</v>
      </c>
      <c r="CC101" s="19">
        <v>20</v>
      </c>
      <c r="CD101" s="19">
        <v>40</v>
      </c>
      <c r="CE101" s="20" t="s">
        <v>70</v>
      </c>
      <c r="CF101" s="5">
        <f t="shared" si="24"/>
        <v>120</v>
      </c>
      <c r="CG101" s="5">
        <f t="shared" si="25"/>
        <v>4.8000000000000007</v>
      </c>
      <c r="CH101" s="5">
        <f t="shared" si="26"/>
        <v>3.2</v>
      </c>
      <c r="CI101" s="5">
        <f t="shared" si="27"/>
        <v>1.3405632298327024</v>
      </c>
      <c r="CJ101" s="2">
        <f t="shared" si="28"/>
        <v>7850</v>
      </c>
      <c r="CK101" s="48"/>
      <c r="CZ101" s="2" t="str">
        <f t="shared" si="29"/>
        <v>Ống-42x0.8</v>
      </c>
      <c r="DA101" s="19">
        <v>0.82399999999999995</v>
      </c>
      <c r="DB101" s="19">
        <v>42</v>
      </c>
      <c r="DC101" s="19">
        <v>0.8</v>
      </c>
      <c r="DD101" s="21">
        <f t="shared" si="30"/>
        <v>131.94689145077132</v>
      </c>
      <c r="DE101" s="44">
        <f t="shared" si="31"/>
        <v>0.81284311681920907</v>
      </c>
      <c r="DF101" s="19">
        <f t="shared" si="32"/>
        <v>7850</v>
      </c>
      <c r="DY101" t="str">
        <f t="shared" si="33"/>
        <v>C-150x65x15x4</v>
      </c>
      <c r="DZ101" s="15" t="s">
        <v>116</v>
      </c>
      <c r="EA101" s="16">
        <v>9.734</v>
      </c>
      <c r="EB101" s="16">
        <v>150</v>
      </c>
      <c r="EC101" s="16">
        <v>65</v>
      </c>
      <c r="ED101" s="15" t="s">
        <v>45</v>
      </c>
      <c r="EE101" s="15" t="s">
        <v>25</v>
      </c>
    </row>
    <row r="102" spans="79:135" x14ac:dyDescent="0.25">
      <c r="CA102" s="2" t="str">
        <f t="shared" si="23"/>
        <v>Hộp-20x40x1.7</v>
      </c>
      <c r="CB102" s="19">
        <v>1.4933333333333334</v>
      </c>
      <c r="CC102" s="19">
        <v>20</v>
      </c>
      <c r="CD102" s="19">
        <v>40</v>
      </c>
      <c r="CE102" s="20" t="s">
        <v>71</v>
      </c>
      <c r="CF102" s="5">
        <f t="shared" si="24"/>
        <v>120</v>
      </c>
      <c r="CG102" s="5">
        <f t="shared" si="25"/>
        <v>5.0999999999999996</v>
      </c>
      <c r="CH102" s="5">
        <f t="shared" si="26"/>
        <v>3.4</v>
      </c>
      <c r="CI102" s="5">
        <f t="shared" si="27"/>
        <v>1.4132827086783242</v>
      </c>
      <c r="CJ102" s="2">
        <f t="shared" si="28"/>
        <v>7850</v>
      </c>
      <c r="CK102" s="48"/>
      <c r="CZ102" s="2" t="str">
        <f t="shared" si="29"/>
        <v>Ống-42x0.9</v>
      </c>
      <c r="DA102" s="19">
        <v>0.92600000000000005</v>
      </c>
      <c r="DB102" s="19">
        <v>42</v>
      </c>
      <c r="DC102" s="19">
        <v>0.9</v>
      </c>
      <c r="DD102" s="21">
        <f t="shared" si="30"/>
        <v>131.94689145077132</v>
      </c>
      <c r="DE102" s="44">
        <f t="shared" si="31"/>
        <v>0.91222897121184698</v>
      </c>
      <c r="DF102" s="19">
        <f t="shared" si="32"/>
        <v>7850</v>
      </c>
      <c r="DY102" t="str">
        <f t="shared" si="33"/>
        <v>C-175x65x16x1.2</v>
      </c>
      <c r="DZ102" s="15" t="s">
        <v>116</v>
      </c>
      <c r="EA102" s="16">
        <v>3.1749999999999998</v>
      </c>
      <c r="EB102" s="16">
        <v>175</v>
      </c>
      <c r="EC102" s="16">
        <v>65</v>
      </c>
      <c r="ED102" s="15" t="s">
        <v>37</v>
      </c>
      <c r="EE102" s="15" t="s">
        <v>67</v>
      </c>
    </row>
    <row r="103" spans="79:135" x14ac:dyDescent="0.25">
      <c r="CA103" s="2" t="str">
        <f t="shared" si="23"/>
        <v>Hộp-20x40x1.8</v>
      </c>
      <c r="CB103" s="19">
        <v>1.5733333333333333</v>
      </c>
      <c r="CC103" s="19">
        <v>20</v>
      </c>
      <c r="CD103" s="19">
        <v>40</v>
      </c>
      <c r="CE103" s="20" t="s">
        <v>72</v>
      </c>
      <c r="CF103" s="5">
        <f t="shared" si="24"/>
        <v>120</v>
      </c>
      <c r="CG103" s="5">
        <f t="shared" si="25"/>
        <v>5.4</v>
      </c>
      <c r="CH103" s="5">
        <f t="shared" si="26"/>
        <v>3.6</v>
      </c>
      <c r="CI103" s="5">
        <f t="shared" si="27"/>
        <v>1.4847003377570138</v>
      </c>
      <c r="CJ103" s="2">
        <f t="shared" si="28"/>
        <v>7850</v>
      </c>
      <c r="CK103" s="48"/>
      <c r="CZ103" s="2" t="str">
        <f t="shared" si="29"/>
        <v>Ống-42x1</v>
      </c>
      <c r="DA103" s="19">
        <v>1.028</v>
      </c>
      <c r="DB103" s="19">
        <v>42</v>
      </c>
      <c r="DC103" s="19">
        <v>1</v>
      </c>
      <c r="DD103" s="21">
        <f t="shared" si="30"/>
        <v>131.94689145077132</v>
      </c>
      <c r="DE103" s="44">
        <f t="shared" si="31"/>
        <v>1.0111215955578743</v>
      </c>
      <c r="DF103" s="19">
        <f t="shared" si="32"/>
        <v>7850</v>
      </c>
      <c r="DY103" t="str">
        <f t="shared" si="33"/>
        <v>C-175x65x16x1.5</v>
      </c>
      <c r="DZ103" s="15" t="s">
        <v>116</v>
      </c>
      <c r="EA103" s="16">
        <v>3.968</v>
      </c>
      <c r="EB103" s="16">
        <v>175</v>
      </c>
      <c r="EC103" s="16">
        <v>65</v>
      </c>
      <c r="ED103" s="15" t="s">
        <v>37</v>
      </c>
      <c r="EE103" s="15" t="s">
        <v>69</v>
      </c>
    </row>
    <row r="104" spans="79:135" x14ac:dyDescent="0.25">
      <c r="CA104" s="2" t="str">
        <f t="shared" si="23"/>
        <v>Hộp-20x40x1.9</v>
      </c>
      <c r="CB104" s="19">
        <v>1.6533333333333333</v>
      </c>
      <c r="CC104" s="19">
        <v>20</v>
      </c>
      <c r="CD104" s="19">
        <v>40</v>
      </c>
      <c r="CE104" s="20" t="s">
        <v>73</v>
      </c>
      <c r="CF104" s="5">
        <f t="shared" si="24"/>
        <v>120</v>
      </c>
      <c r="CG104" s="5">
        <f t="shared" si="25"/>
        <v>5.6999999999999993</v>
      </c>
      <c r="CH104" s="5">
        <f t="shared" si="26"/>
        <v>3.8</v>
      </c>
      <c r="CI104" s="5">
        <f t="shared" si="27"/>
        <v>1.554816117068772</v>
      </c>
      <c r="CJ104" s="2">
        <f t="shared" si="28"/>
        <v>7850</v>
      </c>
      <c r="CK104" s="48"/>
      <c r="CZ104" s="2" t="str">
        <f t="shared" si="29"/>
        <v>Ống-42x1.1</v>
      </c>
      <c r="DA104" s="19">
        <v>1.1299999999999999</v>
      </c>
      <c r="DB104" s="19">
        <v>42</v>
      </c>
      <c r="DC104" s="19">
        <v>1.1000000000000001</v>
      </c>
      <c r="DD104" s="21">
        <f t="shared" si="30"/>
        <v>131.94689145077132</v>
      </c>
      <c r="DE104" s="44">
        <f t="shared" si="31"/>
        <v>1.1095209898572889</v>
      </c>
      <c r="DF104" s="19">
        <f t="shared" si="32"/>
        <v>7850</v>
      </c>
      <c r="DY104" t="str">
        <f t="shared" si="33"/>
        <v>C-175x65x16x1.8</v>
      </c>
      <c r="DZ104" s="15" t="s">
        <v>116</v>
      </c>
      <c r="EA104" s="16">
        <v>4.7619999999999996</v>
      </c>
      <c r="EB104" s="16">
        <v>175</v>
      </c>
      <c r="EC104" s="16">
        <v>65</v>
      </c>
      <c r="ED104" s="15" t="s">
        <v>37</v>
      </c>
      <c r="EE104" s="15" t="s">
        <v>72</v>
      </c>
    </row>
    <row r="105" spans="79:135" x14ac:dyDescent="0.25">
      <c r="CA105" s="2" t="str">
        <f t="shared" si="23"/>
        <v>Hộp-20x40x2</v>
      </c>
      <c r="CB105" s="19">
        <v>1.7333333333333334</v>
      </c>
      <c r="CC105" s="19">
        <v>20</v>
      </c>
      <c r="CD105" s="19">
        <v>40</v>
      </c>
      <c r="CE105" s="20" t="s">
        <v>74</v>
      </c>
      <c r="CF105" s="5">
        <f t="shared" si="24"/>
        <v>120</v>
      </c>
      <c r="CG105" s="5">
        <f t="shared" si="25"/>
        <v>6</v>
      </c>
      <c r="CH105" s="5">
        <f t="shared" si="26"/>
        <v>4</v>
      </c>
      <c r="CI105" s="5">
        <f t="shared" si="27"/>
        <v>1.6236300466135978</v>
      </c>
      <c r="CJ105" s="2">
        <f t="shared" si="28"/>
        <v>7850</v>
      </c>
      <c r="CK105" s="48"/>
      <c r="CZ105" s="2" t="str">
        <f t="shared" si="29"/>
        <v>Ống-42x1.2</v>
      </c>
      <c r="DA105" s="19">
        <v>1.232</v>
      </c>
      <c r="DB105" s="19">
        <v>42</v>
      </c>
      <c r="DC105" s="19">
        <v>1.2</v>
      </c>
      <c r="DD105" s="21">
        <f t="shared" si="30"/>
        <v>131.94689145077132</v>
      </c>
      <c r="DE105" s="44">
        <f t="shared" si="31"/>
        <v>1.2074271541100858</v>
      </c>
      <c r="DF105" s="19">
        <f t="shared" si="32"/>
        <v>7850</v>
      </c>
      <c r="DY105" t="str">
        <f t="shared" si="33"/>
        <v>C-175x65x16x2</v>
      </c>
      <c r="DZ105" s="15" t="s">
        <v>116</v>
      </c>
      <c r="EA105" s="16">
        <v>5.2910000000000004</v>
      </c>
      <c r="EB105" s="16">
        <v>175</v>
      </c>
      <c r="EC105" s="16">
        <v>65</v>
      </c>
      <c r="ED105" s="15" t="s">
        <v>37</v>
      </c>
      <c r="EE105" s="15" t="s">
        <v>74</v>
      </c>
    </row>
    <row r="106" spans="79:135" x14ac:dyDescent="0.25">
      <c r="CA106" s="2" t="str">
        <f t="shared" si="23"/>
        <v>Hộp-20x40x2.1</v>
      </c>
      <c r="CB106" s="19">
        <v>1.8166666666666667</v>
      </c>
      <c r="CC106" s="19">
        <v>20</v>
      </c>
      <c r="CD106" s="19">
        <v>40</v>
      </c>
      <c r="CE106" s="20" t="s">
        <v>75</v>
      </c>
      <c r="CF106" s="5">
        <f t="shared" si="24"/>
        <v>120</v>
      </c>
      <c r="CG106" s="5">
        <f t="shared" si="25"/>
        <v>6.3000000000000007</v>
      </c>
      <c r="CH106" s="5">
        <f t="shared" si="26"/>
        <v>4.2</v>
      </c>
      <c r="CI106" s="5">
        <f t="shared" si="27"/>
        <v>1.691142126391491</v>
      </c>
      <c r="CJ106" s="2">
        <f t="shared" si="28"/>
        <v>7850</v>
      </c>
      <c r="CK106" s="48"/>
      <c r="CZ106" s="2" t="str">
        <f t="shared" si="29"/>
        <v>Ống-42x1.4</v>
      </c>
      <c r="DA106" s="19">
        <v>1.4350000000000001</v>
      </c>
      <c r="DB106" s="19">
        <v>42</v>
      </c>
      <c r="DC106" s="19">
        <v>1.4</v>
      </c>
      <c r="DD106" s="21">
        <f t="shared" si="30"/>
        <v>131.94689145077132</v>
      </c>
      <c r="DE106" s="44">
        <f t="shared" si="31"/>
        <v>1.401759792475842</v>
      </c>
      <c r="DF106" s="19">
        <f t="shared" si="32"/>
        <v>7850</v>
      </c>
      <c r="DY106" t="str">
        <f t="shared" si="33"/>
        <v>C-175x65x16x2.5</v>
      </c>
      <c r="DZ106" s="15" t="s">
        <v>116</v>
      </c>
      <c r="EA106" s="16">
        <v>6.6139999999999999</v>
      </c>
      <c r="EB106" s="16">
        <v>175</v>
      </c>
      <c r="EC106" s="16">
        <v>65</v>
      </c>
      <c r="ED106" s="15" t="s">
        <v>37</v>
      </c>
      <c r="EE106" s="15" t="s">
        <v>79</v>
      </c>
    </row>
    <row r="107" spans="79:135" x14ac:dyDescent="0.25">
      <c r="CA107" s="2" t="str">
        <f t="shared" si="23"/>
        <v>Hộp-20x40x2.2</v>
      </c>
      <c r="CB107" s="19">
        <v>1.8833333333333335</v>
      </c>
      <c r="CC107" s="19">
        <v>20</v>
      </c>
      <c r="CD107" s="19">
        <v>40</v>
      </c>
      <c r="CE107" s="20" t="s">
        <v>76</v>
      </c>
      <c r="CF107" s="5">
        <f t="shared" si="24"/>
        <v>120</v>
      </c>
      <c r="CG107" s="5">
        <f t="shared" si="25"/>
        <v>6.6000000000000005</v>
      </c>
      <c r="CH107" s="5">
        <f t="shared" si="26"/>
        <v>4.4000000000000004</v>
      </c>
      <c r="CI107" s="5">
        <f t="shared" si="27"/>
        <v>1.7573523564024529</v>
      </c>
      <c r="CJ107" s="2">
        <f t="shared" si="28"/>
        <v>7850</v>
      </c>
      <c r="CK107" s="48"/>
      <c r="CZ107" s="2" t="str">
        <f t="shared" si="29"/>
        <v>Ống-42x1.5</v>
      </c>
      <c r="DA107" s="19">
        <v>1.536</v>
      </c>
      <c r="DB107" s="19">
        <v>42</v>
      </c>
      <c r="DC107" s="19">
        <v>1.5</v>
      </c>
      <c r="DD107" s="21">
        <f t="shared" si="30"/>
        <v>131.94689145077132</v>
      </c>
      <c r="DE107" s="44">
        <f t="shared" si="31"/>
        <v>1.4981862665888028</v>
      </c>
      <c r="DF107" s="19">
        <f t="shared" si="32"/>
        <v>7850</v>
      </c>
      <c r="DY107" t="str">
        <f t="shared" si="33"/>
        <v>C-175x65x16x2.8</v>
      </c>
      <c r="DZ107" s="15" t="s">
        <v>116</v>
      </c>
      <c r="EA107" s="16">
        <v>7.407</v>
      </c>
      <c r="EB107" s="16">
        <v>175</v>
      </c>
      <c r="EC107" s="16">
        <v>65</v>
      </c>
      <c r="ED107" s="15" t="s">
        <v>37</v>
      </c>
      <c r="EE107" s="15" t="s">
        <v>81</v>
      </c>
    </row>
    <row r="108" spans="79:135" x14ac:dyDescent="0.25">
      <c r="CA108" s="2" t="str">
        <f t="shared" si="23"/>
        <v>Hộp-20x40x2.3</v>
      </c>
      <c r="CB108" s="19">
        <v>1.9666666666666668</v>
      </c>
      <c r="CC108" s="19">
        <v>20</v>
      </c>
      <c r="CD108" s="19">
        <v>40</v>
      </c>
      <c r="CE108" s="20" t="s">
        <v>77</v>
      </c>
      <c r="CF108" s="5">
        <f t="shared" si="24"/>
        <v>120</v>
      </c>
      <c r="CG108" s="5">
        <f t="shared" si="25"/>
        <v>6.8999999999999995</v>
      </c>
      <c r="CH108" s="5">
        <f t="shared" si="26"/>
        <v>4.5999999999999996</v>
      </c>
      <c r="CI108" s="5">
        <f t="shared" si="27"/>
        <v>1.8222607366464825</v>
      </c>
      <c r="CJ108" s="2">
        <f t="shared" si="28"/>
        <v>7850</v>
      </c>
      <c r="CK108" s="48"/>
      <c r="CZ108" s="2" t="str">
        <f t="shared" si="29"/>
        <v>Ống-42x1.7</v>
      </c>
      <c r="DA108" s="19">
        <v>1.738</v>
      </c>
      <c r="DB108" s="19">
        <v>42</v>
      </c>
      <c r="DC108" s="19">
        <v>1.7</v>
      </c>
      <c r="DD108" s="21">
        <f t="shared" si="30"/>
        <v>131.94689145077132</v>
      </c>
      <c r="DE108" s="44">
        <f t="shared" si="31"/>
        <v>1.6895595246748769</v>
      </c>
      <c r="DF108" s="19">
        <f t="shared" si="32"/>
        <v>7850</v>
      </c>
      <c r="DY108" t="str">
        <f t="shared" si="33"/>
        <v>C-175x65x16x3</v>
      </c>
      <c r="DZ108" s="15" t="s">
        <v>116</v>
      </c>
      <c r="EA108" s="16">
        <v>7.9359999999999999</v>
      </c>
      <c r="EB108" s="16">
        <v>175</v>
      </c>
      <c r="EC108" s="16">
        <v>65</v>
      </c>
      <c r="ED108" s="15" t="s">
        <v>37</v>
      </c>
      <c r="EE108" s="15" t="s">
        <v>83</v>
      </c>
    </row>
    <row r="109" spans="79:135" x14ac:dyDescent="0.25">
      <c r="CA109" s="2" t="str">
        <f t="shared" si="23"/>
        <v>Hộp-20x40x2.4</v>
      </c>
      <c r="CB109" s="19">
        <v>2.0500000000000003</v>
      </c>
      <c r="CC109" s="19">
        <v>20</v>
      </c>
      <c r="CD109" s="19">
        <v>40</v>
      </c>
      <c r="CE109" s="20" t="s">
        <v>78</v>
      </c>
      <c r="CF109" s="5">
        <f t="shared" si="24"/>
        <v>120</v>
      </c>
      <c r="CG109" s="5">
        <f t="shared" si="25"/>
        <v>7.1999999999999993</v>
      </c>
      <c r="CH109" s="5">
        <f t="shared" si="26"/>
        <v>4.8</v>
      </c>
      <c r="CI109" s="5">
        <f t="shared" si="27"/>
        <v>1.8858672671235803</v>
      </c>
      <c r="CJ109" s="2">
        <f t="shared" si="28"/>
        <v>7850</v>
      </c>
      <c r="CK109" s="48"/>
      <c r="CZ109" s="2" t="str">
        <f t="shared" si="29"/>
        <v>Ống-42x1.8</v>
      </c>
      <c r="DA109" s="19">
        <v>1.839</v>
      </c>
      <c r="DB109" s="19">
        <v>42</v>
      </c>
      <c r="DC109" s="19">
        <v>1.8</v>
      </c>
      <c r="DD109" s="21">
        <f t="shared" si="30"/>
        <v>131.94689145077132</v>
      </c>
      <c r="DE109" s="44">
        <f t="shared" si="31"/>
        <v>1.7845063086479951</v>
      </c>
      <c r="DF109" s="19">
        <f t="shared" si="32"/>
        <v>7850</v>
      </c>
      <c r="DY109" t="str">
        <f t="shared" si="33"/>
        <v>C-175x65x16x3.5</v>
      </c>
      <c r="DZ109" s="15" t="s">
        <v>116</v>
      </c>
      <c r="EA109" s="16">
        <v>9.2590000000000003</v>
      </c>
      <c r="EB109" s="16">
        <v>175</v>
      </c>
      <c r="EC109" s="16">
        <v>65</v>
      </c>
      <c r="ED109" s="15" t="s">
        <v>37</v>
      </c>
      <c r="EE109" s="15" t="s">
        <v>88</v>
      </c>
    </row>
    <row r="110" spans="79:135" x14ac:dyDescent="0.25">
      <c r="CA110" s="2" t="str">
        <f t="shared" si="23"/>
        <v>Hộp-30x0.7</v>
      </c>
      <c r="CB110" s="19">
        <v>0.64166666666666672</v>
      </c>
      <c r="CC110" s="19">
        <v>30</v>
      </c>
      <c r="CD110" s="19">
        <v>30</v>
      </c>
      <c r="CE110" s="20" t="s">
        <v>62</v>
      </c>
      <c r="CF110" s="5">
        <f t="shared" si="24"/>
        <v>120</v>
      </c>
      <c r="CG110" s="5">
        <f t="shared" si="25"/>
        <v>2.0999999999999996</v>
      </c>
      <c r="CH110" s="5">
        <f t="shared" si="26"/>
        <v>1.4</v>
      </c>
      <c r="CI110" s="5">
        <f t="shared" si="27"/>
        <v>0.62750468071016563</v>
      </c>
      <c r="CJ110" s="2">
        <f t="shared" si="28"/>
        <v>7850</v>
      </c>
      <c r="CK110" s="48"/>
      <c r="CZ110" s="2" t="str">
        <f t="shared" si="29"/>
        <v>Ống-42x2</v>
      </c>
      <c r="DA110" s="19">
        <v>2.04</v>
      </c>
      <c r="DB110" s="19">
        <v>42</v>
      </c>
      <c r="DC110" s="19">
        <v>2</v>
      </c>
      <c r="DD110" s="21">
        <f t="shared" si="30"/>
        <v>131.94689145077132</v>
      </c>
      <c r="DE110" s="44">
        <f t="shared" si="31"/>
        <v>1.9729201864543904</v>
      </c>
      <c r="DF110" s="19">
        <f t="shared" si="32"/>
        <v>7850</v>
      </c>
      <c r="DY110" t="str">
        <f t="shared" si="33"/>
        <v>C-175x65x16x4</v>
      </c>
      <c r="DZ110" s="15" t="s">
        <v>116</v>
      </c>
      <c r="EA110" s="16">
        <v>10.582000000000001</v>
      </c>
      <c r="EB110" s="16">
        <v>175</v>
      </c>
      <c r="EC110" s="16">
        <v>65</v>
      </c>
      <c r="ED110" s="15" t="s">
        <v>37</v>
      </c>
      <c r="EE110" s="15" t="s">
        <v>25</v>
      </c>
    </row>
    <row r="111" spans="79:135" x14ac:dyDescent="0.25">
      <c r="CA111" s="2" t="str">
        <f t="shared" si="23"/>
        <v>Hộp-30x0.8</v>
      </c>
      <c r="CB111" s="19">
        <v>0.73</v>
      </c>
      <c r="CC111" s="19">
        <v>30</v>
      </c>
      <c r="CD111" s="19">
        <v>30</v>
      </c>
      <c r="CE111" s="20" t="s">
        <v>63</v>
      </c>
      <c r="CF111" s="5">
        <f t="shared" si="24"/>
        <v>120</v>
      </c>
      <c r="CG111" s="5">
        <f t="shared" si="25"/>
        <v>2.4000000000000004</v>
      </c>
      <c r="CH111" s="5">
        <f t="shared" si="26"/>
        <v>1.6</v>
      </c>
      <c r="CI111" s="5">
        <f t="shared" si="27"/>
        <v>0.71194080745817556</v>
      </c>
      <c r="CJ111" s="2">
        <f t="shared" si="28"/>
        <v>7850</v>
      </c>
      <c r="CK111" s="48"/>
      <c r="CZ111" s="2" t="str">
        <f t="shared" si="29"/>
        <v>Ống-42x2.3</v>
      </c>
      <c r="DA111" s="19">
        <v>2.3410000000000002</v>
      </c>
      <c r="DB111" s="19">
        <v>42</v>
      </c>
      <c r="DC111" s="19">
        <v>2.2999999999999998</v>
      </c>
      <c r="DD111" s="21">
        <f t="shared" si="30"/>
        <v>131.94689145077132</v>
      </c>
      <c r="DE111" s="44">
        <f t="shared" si="31"/>
        <v>2.2518417778143793</v>
      </c>
      <c r="DF111" s="19">
        <f t="shared" si="32"/>
        <v>7850</v>
      </c>
      <c r="DY111" t="str">
        <f t="shared" si="33"/>
        <v>C-200x65x18x1.2</v>
      </c>
      <c r="DZ111" s="15" t="s">
        <v>116</v>
      </c>
      <c r="EA111" s="16">
        <v>3.448</v>
      </c>
      <c r="EB111" s="16">
        <v>200</v>
      </c>
      <c r="EC111" s="16">
        <v>65</v>
      </c>
      <c r="ED111" s="15" t="s">
        <v>38</v>
      </c>
      <c r="EE111" s="15" t="s">
        <v>67</v>
      </c>
    </row>
    <row r="112" spans="79:135" x14ac:dyDescent="0.25">
      <c r="CA112" s="2" t="str">
        <f t="shared" si="23"/>
        <v>Hộp-30x0.9</v>
      </c>
      <c r="CB112" s="19">
        <v>0.81666666666666676</v>
      </c>
      <c r="CC112" s="19">
        <v>30</v>
      </c>
      <c r="CD112" s="19">
        <v>30</v>
      </c>
      <c r="CE112" s="20" t="s">
        <v>64</v>
      </c>
      <c r="CF112" s="5">
        <f t="shared" si="24"/>
        <v>120</v>
      </c>
      <c r="CG112" s="5">
        <f t="shared" si="25"/>
        <v>2.7</v>
      </c>
      <c r="CH112" s="5">
        <f t="shared" si="26"/>
        <v>1.8</v>
      </c>
      <c r="CI112" s="5">
        <f t="shared" si="27"/>
        <v>0.79507508443925357</v>
      </c>
      <c r="CJ112" s="2">
        <f t="shared" si="28"/>
        <v>7850</v>
      </c>
      <c r="CK112" s="48"/>
      <c r="CZ112" s="2" t="str">
        <f t="shared" si="29"/>
        <v>Ống-42x2.5</v>
      </c>
      <c r="DA112" s="19">
        <v>2.54</v>
      </c>
      <c r="DB112" s="19">
        <v>42</v>
      </c>
      <c r="DC112" s="19">
        <v>2.5</v>
      </c>
      <c r="DD112" s="21">
        <f t="shared" si="30"/>
        <v>131.94689145077132</v>
      </c>
      <c r="DE112" s="44">
        <f t="shared" si="31"/>
        <v>2.4353233551546372</v>
      </c>
      <c r="DF112" s="19">
        <f t="shared" si="32"/>
        <v>7850</v>
      </c>
      <c r="DY112" t="str">
        <f t="shared" si="33"/>
        <v>C-200x65x18x1.5</v>
      </c>
      <c r="DZ112" s="15" t="s">
        <v>116</v>
      </c>
      <c r="EA112" s="16">
        <v>4.3099999999999996</v>
      </c>
      <c r="EB112" s="16">
        <v>200</v>
      </c>
      <c r="EC112" s="16">
        <v>65</v>
      </c>
      <c r="ED112" s="15" t="s">
        <v>38</v>
      </c>
      <c r="EE112" s="15" t="s">
        <v>69</v>
      </c>
    </row>
    <row r="113" spans="79:135" x14ac:dyDescent="0.25">
      <c r="CA113" s="2" t="str">
        <f t="shared" si="23"/>
        <v>Hộp-30x1</v>
      </c>
      <c r="CB113" s="19">
        <v>0.90499999999999992</v>
      </c>
      <c r="CC113" s="19">
        <v>30</v>
      </c>
      <c r="CD113" s="19">
        <v>30</v>
      </c>
      <c r="CE113" s="20" t="s">
        <v>65</v>
      </c>
      <c r="CF113" s="5">
        <f t="shared" si="24"/>
        <v>120</v>
      </c>
      <c r="CG113" s="5">
        <f t="shared" si="25"/>
        <v>3</v>
      </c>
      <c r="CH113" s="5">
        <f t="shared" si="26"/>
        <v>2</v>
      </c>
      <c r="CI113" s="5">
        <f t="shared" si="27"/>
        <v>0.87690751165339942</v>
      </c>
      <c r="CJ113" s="2">
        <f t="shared" si="28"/>
        <v>7850</v>
      </c>
      <c r="CK113" s="48"/>
      <c r="CZ113" s="2" t="str">
        <f t="shared" si="29"/>
        <v>Ống-42x2.8</v>
      </c>
      <c r="DA113" s="19">
        <v>2.839</v>
      </c>
      <c r="DB113" s="19">
        <v>42</v>
      </c>
      <c r="DC113" s="19">
        <v>2.8</v>
      </c>
      <c r="DD113" s="21">
        <f t="shared" si="30"/>
        <v>131.94689145077132</v>
      </c>
      <c r="DE113" s="44">
        <f t="shared" si="31"/>
        <v>2.7068464958154239</v>
      </c>
      <c r="DF113" s="19">
        <f t="shared" si="32"/>
        <v>7850</v>
      </c>
      <c r="DY113" t="str">
        <f t="shared" si="33"/>
        <v>C-200x65x18x1.8</v>
      </c>
      <c r="DZ113" s="15" t="s">
        <v>116</v>
      </c>
      <c r="EA113" s="16">
        <v>5.1719999999999997</v>
      </c>
      <c r="EB113" s="16">
        <v>200</v>
      </c>
      <c r="EC113" s="16">
        <v>65</v>
      </c>
      <c r="ED113" s="15" t="s">
        <v>38</v>
      </c>
      <c r="EE113" s="15" t="s">
        <v>72</v>
      </c>
    </row>
    <row r="114" spans="79:135" x14ac:dyDescent="0.25">
      <c r="CA114" s="2" t="str">
        <f t="shared" si="23"/>
        <v>Hộp-30x1.1</v>
      </c>
      <c r="CB114" s="19">
        <v>0.9900000000000001</v>
      </c>
      <c r="CC114" s="19">
        <v>30</v>
      </c>
      <c r="CD114" s="19">
        <v>30</v>
      </c>
      <c r="CE114" s="20" t="s">
        <v>66</v>
      </c>
      <c r="CF114" s="5">
        <f t="shared" si="24"/>
        <v>120</v>
      </c>
      <c r="CG114" s="5">
        <f t="shared" si="25"/>
        <v>3.3000000000000003</v>
      </c>
      <c r="CH114" s="5">
        <f t="shared" si="26"/>
        <v>2.2000000000000002</v>
      </c>
      <c r="CI114" s="5">
        <f t="shared" si="27"/>
        <v>0.95743808910061323</v>
      </c>
      <c r="CJ114" s="2">
        <f t="shared" si="28"/>
        <v>7850</v>
      </c>
      <c r="CK114" s="48"/>
      <c r="CZ114" s="2" t="str">
        <f t="shared" si="29"/>
        <v>Ống-42x3</v>
      </c>
      <c r="DA114" s="19">
        <v>3.0369999999999999</v>
      </c>
      <c r="DB114" s="19">
        <v>42</v>
      </c>
      <c r="DC114" s="19">
        <v>3</v>
      </c>
      <c r="DD114" s="21">
        <f t="shared" si="30"/>
        <v>131.94689145077132</v>
      </c>
      <c r="DE114" s="44">
        <f t="shared" si="31"/>
        <v>2.8853957726895456</v>
      </c>
      <c r="DF114" s="19">
        <f t="shared" si="32"/>
        <v>7850</v>
      </c>
      <c r="DY114" t="str">
        <f t="shared" si="33"/>
        <v>C-200x65x18x2</v>
      </c>
      <c r="DZ114" s="15" t="s">
        <v>116</v>
      </c>
      <c r="EA114" s="16">
        <v>5.7460000000000004</v>
      </c>
      <c r="EB114" s="16">
        <v>200</v>
      </c>
      <c r="EC114" s="16">
        <v>65</v>
      </c>
      <c r="ED114" s="15" t="s">
        <v>38</v>
      </c>
      <c r="EE114" s="15" t="s">
        <v>74</v>
      </c>
    </row>
    <row r="115" spans="79:135" x14ac:dyDescent="0.25">
      <c r="CA115" s="2" t="str">
        <f t="shared" si="23"/>
        <v>Hộp-30x1.2</v>
      </c>
      <c r="CB115" s="19">
        <v>1.0766666666666667</v>
      </c>
      <c r="CC115" s="19">
        <v>30</v>
      </c>
      <c r="CD115" s="19">
        <v>30</v>
      </c>
      <c r="CE115" s="20" t="s">
        <v>67</v>
      </c>
      <c r="CF115" s="5">
        <f t="shared" si="24"/>
        <v>120</v>
      </c>
      <c r="CG115" s="5">
        <f t="shared" si="25"/>
        <v>3.5999999999999996</v>
      </c>
      <c r="CH115" s="5">
        <f t="shared" si="26"/>
        <v>2.4</v>
      </c>
      <c r="CI115" s="5">
        <f t="shared" si="27"/>
        <v>1.0366668167808952</v>
      </c>
      <c r="CJ115" s="2">
        <f t="shared" si="28"/>
        <v>7850</v>
      </c>
      <c r="CK115" s="48"/>
      <c r="CZ115" s="2" t="str">
        <f t="shared" si="29"/>
        <v>Ống-49x0.8</v>
      </c>
      <c r="DA115" s="19">
        <v>0.96199999999999997</v>
      </c>
      <c r="DB115" s="19">
        <v>49</v>
      </c>
      <c r="DC115" s="19">
        <v>0.8</v>
      </c>
      <c r="DD115" s="21">
        <f t="shared" si="30"/>
        <v>153.93804002589985</v>
      </c>
      <c r="DE115" s="44">
        <f t="shared" si="31"/>
        <v>0.95094752987101805</v>
      </c>
      <c r="DF115" s="19">
        <f t="shared" si="32"/>
        <v>7850</v>
      </c>
      <c r="DY115" t="str">
        <f t="shared" si="33"/>
        <v>C-200x65x18x2.5</v>
      </c>
      <c r="DZ115" s="15" t="s">
        <v>116</v>
      </c>
      <c r="EA115" s="16">
        <v>7.1829999999999998</v>
      </c>
      <c r="EB115" s="16">
        <v>200</v>
      </c>
      <c r="EC115" s="16">
        <v>65</v>
      </c>
      <c r="ED115" s="15" t="s">
        <v>38</v>
      </c>
      <c r="EE115" s="15" t="s">
        <v>79</v>
      </c>
    </row>
    <row r="116" spans="79:135" x14ac:dyDescent="0.25">
      <c r="CA116" s="2" t="str">
        <f t="shared" si="23"/>
        <v>Hộp-30x1.4</v>
      </c>
      <c r="CB116" s="19">
        <v>1.2449999999999999</v>
      </c>
      <c r="CC116" s="19">
        <v>30</v>
      </c>
      <c r="CD116" s="19">
        <v>30</v>
      </c>
      <c r="CE116" s="20" t="s">
        <v>68</v>
      </c>
      <c r="CF116" s="5">
        <f t="shared" si="24"/>
        <v>120</v>
      </c>
      <c r="CG116" s="5">
        <f t="shared" si="25"/>
        <v>4.1999999999999993</v>
      </c>
      <c r="CH116" s="5">
        <f t="shared" si="26"/>
        <v>2.8</v>
      </c>
      <c r="CI116" s="5">
        <f t="shared" si="27"/>
        <v>1.191218722840663</v>
      </c>
      <c r="CJ116" s="2">
        <f t="shared" si="28"/>
        <v>7850</v>
      </c>
      <c r="CK116" s="48"/>
      <c r="CZ116" s="2" t="str">
        <f t="shared" si="29"/>
        <v>Ống-49x0.9</v>
      </c>
      <c r="DA116" s="19">
        <v>1.081</v>
      </c>
      <c r="DB116" s="19">
        <v>49</v>
      </c>
      <c r="DC116" s="19">
        <v>0.9</v>
      </c>
      <c r="DD116" s="21">
        <f t="shared" si="30"/>
        <v>153.93804002589985</v>
      </c>
      <c r="DE116" s="44">
        <f t="shared" si="31"/>
        <v>1.0675964358951311</v>
      </c>
      <c r="DF116" s="19">
        <f t="shared" si="32"/>
        <v>7850</v>
      </c>
      <c r="DY116" t="str">
        <f t="shared" si="33"/>
        <v>C-200x65x18x2.8</v>
      </c>
      <c r="DZ116" s="15" t="s">
        <v>116</v>
      </c>
      <c r="EA116" s="16">
        <v>8.0449999999999999</v>
      </c>
      <c r="EB116" s="16">
        <v>200</v>
      </c>
      <c r="EC116" s="16">
        <v>65</v>
      </c>
      <c r="ED116" s="15" t="s">
        <v>38</v>
      </c>
      <c r="EE116" s="15" t="s">
        <v>81</v>
      </c>
    </row>
    <row r="117" spans="79:135" x14ac:dyDescent="0.25">
      <c r="CA117" s="2" t="str">
        <f t="shared" si="23"/>
        <v>Hộp-30x1.5</v>
      </c>
      <c r="CB117" s="19">
        <v>1.3283333333333334</v>
      </c>
      <c r="CC117" s="19">
        <v>30</v>
      </c>
      <c r="CD117" s="19">
        <v>30</v>
      </c>
      <c r="CE117" s="20" t="s">
        <v>69</v>
      </c>
      <c r="CF117" s="5">
        <f t="shared" si="24"/>
        <v>120</v>
      </c>
      <c r="CG117" s="5">
        <f t="shared" si="25"/>
        <v>4.5</v>
      </c>
      <c r="CH117" s="5">
        <f t="shared" si="26"/>
        <v>3</v>
      </c>
      <c r="CI117" s="5">
        <f t="shared" si="27"/>
        <v>1.2665419012201486</v>
      </c>
      <c r="CJ117" s="2">
        <f t="shared" si="28"/>
        <v>7850</v>
      </c>
      <c r="CK117" s="48"/>
      <c r="CZ117" s="2" t="str">
        <f t="shared" si="29"/>
        <v>Ống-49x1</v>
      </c>
      <c r="DA117" s="19">
        <v>1.2010000000000001</v>
      </c>
      <c r="DB117" s="19">
        <v>49</v>
      </c>
      <c r="DC117" s="19">
        <v>1</v>
      </c>
      <c r="DD117" s="21">
        <f t="shared" si="30"/>
        <v>153.93804002589985</v>
      </c>
      <c r="DE117" s="44">
        <f t="shared" si="31"/>
        <v>1.1837521118726335</v>
      </c>
      <c r="DF117" s="19">
        <f t="shared" si="32"/>
        <v>7850</v>
      </c>
      <c r="DY117" t="str">
        <f t="shared" si="33"/>
        <v>C-200x65x18x3</v>
      </c>
      <c r="DZ117" s="15" t="s">
        <v>116</v>
      </c>
      <c r="EA117" s="16">
        <v>8.6189999999999998</v>
      </c>
      <c r="EB117" s="16">
        <v>200</v>
      </c>
      <c r="EC117" s="16">
        <v>65</v>
      </c>
      <c r="ED117" s="15" t="s">
        <v>38</v>
      </c>
      <c r="EE117" s="15" t="s">
        <v>83</v>
      </c>
    </row>
    <row r="118" spans="79:135" x14ac:dyDescent="0.25">
      <c r="CA118" s="2" t="str">
        <f t="shared" si="23"/>
        <v>Hộp-30x1.6</v>
      </c>
      <c r="CB118" s="19">
        <v>1.4100000000000001</v>
      </c>
      <c r="CC118" s="19">
        <v>30</v>
      </c>
      <c r="CD118" s="19">
        <v>30</v>
      </c>
      <c r="CE118" s="20" t="s">
        <v>70</v>
      </c>
      <c r="CF118" s="5">
        <f t="shared" si="24"/>
        <v>120</v>
      </c>
      <c r="CG118" s="5">
        <f t="shared" si="25"/>
        <v>4.8000000000000007</v>
      </c>
      <c r="CH118" s="5">
        <f t="shared" si="26"/>
        <v>3.2</v>
      </c>
      <c r="CI118" s="5">
        <f t="shared" si="27"/>
        <v>1.3405632298327024</v>
      </c>
      <c r="CJ118" s="2">
        <f t="shared" si="28"/>
        <v>7850</v>
      </c>
      <c r="CK118" s="48"/>
      <c r="CZ118" s="2" t="str">
        <f t="shared" si="29"/>
        <v>Ống-49x1.1</v>
      </c>
      <c r="DA118" s="19">
        <v>1.32</v>
      </c>
      <c r="DB118" s="19">
        <v>49</v>
      </c>
      <c r="DC118" s="19">
        <v>1.1000000000000001</v>
      </c>
      <c r="DD118" s="21">
        <f t="shared" si="30"/>
        <v>153.93804002589985</v>
      </c>
      <c r="DE118" s="44">
        <f t="shared" si="31"/>
        <v>1.2994145578035254</v>
      </c>
      <c r="DF118" s="19">
        <f t="shared" si="32"/>
        <v>7850</v>
      </c>
      <c r="DY118" t="str">
        <f t="shared" si="33"/>
        <v>C-200x65x18x3.5</v>
      </c>
      <c r="DZ118" s="15" t="s">
        <v>116</v>
      </c>
      <c r="EA118" s="16">
        <v>10.055999999999999</v>
      </c>
      <c r="EB118" s="16">
        <v>200</v>
      </c>
      <c r="EC118" s="16">
        <v>65</v>
      </c>
      <c r="ED118" s="15" t="s">
        <v>38</v>
      </c>
      <c r="EE118" s="15" t="s">
        <v>88</v>
      </c>
    </row>
    <row r="119" spans="79:135" x14ac:dyDescent="0.25">
      <c r="CA119" s="2" t="str">
        <f t="shared" si="23"/>
        <v>Hộp-30x1.7</v>
      </c>
      <c r="CB119" s="19">
        <v>1.4933333333333334</v>
      </c>
      <c r="CC119" s="19">
        <v>30</v>
      </c>
      <c r="CD119" s="19">
        <v>30</v>
      </c>
      <c r="CE119" s="20" t="s">
        <v>71</v>
      </c>
      <c r="CF119" s="5">
        <f t="shared" si="24"/>
        <v>120</v>
      </c>
      <c r="CG119" s="5">
        <f t="shared" si="25"/>
        <v>5.0999999999999996</v>
      </c>
      <c r="CH119" s="5">
        <f t="shared" si="26"/>
        <v>3.4</v>
      </c>
      <c r="CI119" s="5">
        <f t="shared" si="27"/>
        <v>1.4132827086783242</v>
      </c>
      <c r="CJ119" s="2">
        <f t="shared" si="28"/>
        <v>7850</v>
      </c>
      <c r="CK119" s="48"/>
      <c r="CZ119" s="2" t="str">
        <f t="shared" si="29"/>
        <v>Ống-49x1.2</v>
      </c>
      <c r="DA119" s="19">
        <v>1.4390000000000001</v>
      </c>
      <c r="DB119" s="19">
        <v>49</v>
      </c>
      <c r="DC119" s="19">
        <v>1.2</v>
      </c>
      <c r="DD119" s="21">
        <f t="shared" si="30"/>
        <v>153.93804002589985</v>
      </c>
      <c r="DE119" s="44">
        <f t="shared" si="31"/>
        <v>1.4145837736877991</v>
      </c>
      <c r="DF119" s="19">
        <f t="shared" si="32"/>
        <v>7850</v>
      </c>
      <c r="DY119" t="str">
        <f t="shared" si="33"/>
        <v>C-200x65x18x4</v>
      </c>
      <c r="DZ119" s="15" t="s">
        <v>116</v>
      </c>
      <c r="EA119" s="16">
        <v>11.492000000000001</v>
      </c>
      <c r="EB119" s="16">
        <v>200</v>
      </c>
      <c r="EC119" s="16">
        <v>65</v>
      </c>
      <c r="ED119" s="15" t="s">
        <v>38</v>
      </c>
      <c r="EE119" s="15" t="s">
        <v>25</v>
      </c>
    </row>
    <row r="120" spans="79:135" x14ac:dyDescent="0.25">
      <c r="CA120" s="2" t="str">
        <f t="shared" si="23"/>
        <v>Hộp-30x1.8</v>
      </c>
      <c r="CB120" s="19">
        <v>1.5733333333333333</v>
      </c>
      <c r="CC120" s="19">
        <v>30</v>
      </c>
      <c r="CD120" s="19">
        <v>30</v>
      </c>
      <c r="CE120" s="20" t="s">
        <v>72</v>
      </c>
      <c r="CF120" s="5">
        <f t="shared" si="24"/>
        <v>120</v>
      </c>
      <c r="CG120" s="5">
        <f t="shared" si="25"/>
        <v>5.4</v>
      </c>
      <c r="CH120" s="5">
        <f t="shared" si="26"/>
        <v>3.6</v>
      </c>
      <c r="CI120" s="5">
        <f t="shared" si="27"/>
        <v>1.4847003377570138</v>
      </c>
      <c r="CJ120" s="2">
        <f t="shared" si="28"/>
        <v>7850</v>
      </c>
      <c r="CK120" s="48"/>
      <c r="CZ120" s="2" t="str">
        <f t="shared" si="29"/>
        <v>Ống-49x1.4</v>
      </c>
      <c r="DA120" s="19">
        <v>1.6759999999999999</v>
      </c>
      <c r="DB120" s="19">
        <v>49</v>
      </c>
      <c r="DC120" s="19">
        <v>1.4</v>
      </c>
      <c r="DD120" s="21">
        <f t="shared" si="30"/>
        <v>153.93804002589985</v>
      </c>
      <c r="DE120" s="44">
        <f t="shared" si="31"/>
        <v>1.6434425153165075</v>
      </c>
      <c r="DF120" s="19">
        <f t="shared" si="32"/>
        <v>7850</v>
      </c>
      <c r="DY120" t="str">
        <f t="shared" si="33"/>
        <v>C-250x65x20x1.2</v>
      </c>
      <c r="DZ120" s="15" t="s">
        <v>116</v>
      </c>
      <c r="EA120" s="16">
        <v>3.956</v>
      </c>
      <c r="EB120" s="16">
        <v>250</v>
      </c>
      <c r="EC120" s="16">
        <v>65</v>
      </c>
      <c r="ED120" s="15" t="s">
        <v>47</v>
      </c>
      <c r="EE120" s="15" t="s">
        <v>67</v>
      </c>
    </row>
    <row r="121" spans="79:135" x14ac:dyDescent="0.25">
      <c r="CA121" s="2" t="str">
        <f t="shared" si="23"/>
        <v>Hộp-30x1.9</v>
      </c>
      <c r="CB121" s="19">
        <v>1.6533333333333333</v>
      </c>
      <c r="CC121" s="19">
        <v>30</v>
      </c>
      <c r="CD121" s="19">
        <v>30</v>
      </c>
      <c r="CE121" s="20" t="s">
        <v>73</v>
      </c>
      <c r="CF121" s="5">
        <f t="shared" si="24"/>
        <v>120</v>
      </c>
      <c r="CG121" s="5">
        <f t="shared" si="25"/>
        <v>5.6999999999999993</v>
      </c>
      <c r="CH121" s="5">
        <f t="shared" si="26"/>
        <v>3.8</v>
      </c>
      <c r="CI121" s="5">
        <f t="shared" si="27"/>
        <v>1.554816117068772</v>
      </c>
      <c r="CJ121" s="2">
        <f t="shared" si="28"/>
        <v>7850</v>
      </c>
      <c r="CK121" s="48"/>
      <c r="CZ121" s="2" t="str">
        <f t="shared" si="29"/>
        <v>Ống-49x1.5</v>
      </c>
      <c r="DA121" s="19">
        <v>1.7949999999999999</v>
      </c>
      <c r="DB121" s="19">
        <v>49</v>
      </c>
      <c r="DC121" s="19">
        <v>1.5</v>
      </c>
      <c r="DD121" s="21">
        <f t="shared" si="30"/>
        <v>153.93804002589985</v>
      </c>
      <c r="DE121" s="44">
        <f t="shared" si="31"/>
        <v>1.7571320410609421</v>
      </c>
      <c r="DF121" s="19">
        <f t="shared" si="32"/>
        <v>7850</v>
      </c>
      <c r="DY121" t="str">
        <f t="shared" si="33"/>
        <v>C-250x65x20x1.5</v>
      </c>
      <c r="DZ121" s="15" t="s">
        <v>116</v>
      </c>
      <c r="EA121" s="16">
        <v>4.9459999999999997</v>
      </c>
      <c r="EB121" s="16">
        <v>250</v>
      </c>
      <c r="EC121" s="16">
        <v>65</v>
      </c>
      <c r="ED121" s="15" t="s">
        <v>47</v>
      </c>
      <c r="EE121" s="15" t="s">
        <v>69</v>
      </c>
    </row>
    <row r="122" spans="79:135" x14ac:dyDescent="0.25">
      <c r="CA122" s="2" t="str">
        <f t="shared" si="23"/>
        <v>Hộp-30x2</v>
      </c>
      <c r="CB122" s="19">
        <v>1.7333333333333334</v>
      </c>
      <c r="CC122" s="19">
        <v>30</v>
      </c>
      <c r="CD122" s="19">
        <v>30</v>
      </c>
      <c r="CE122" s="20" t="s">
        <v>74</v>
      </c>
      <c r="CF122" s="5">
        <f t="shared" si="24"/>
        <v>120</v>
      </c>
      <c r="CG122" s="5">
        <f t="shared" si="25"/>
        <v>6</v>
      </c>
      <c r="CH122" s="5">
        <f t="shared" si="26"/>
        <v>4</v>
      </c>
      <c r="CI122" s="5">
        <f t="shared" si="27"/>
        <v>1.6236300466135978</v>
      </c>
      <c r="CJ122" s="2">
        <f t="shared" si="28"/>
        <v>7850</v>
      </c>
      <c r="CK122" s="48"/>
      <c r="CZ122" s="2" t="str">
        <f t="shared" si="29"/>
        <v>Ống-49x1.7</v>
      </c>
      <c r="DA122" s="19">
        <v>2.032</v>
      </c>
      <c r="DB122" s="19">
        <v>49</v>
      </c>
      <c r="DC122" s="19">
        <v>1.7</v>
      </c>
      <c r="DD122" s="21">
        <f t="shared" si="30"/>
        <v>153.93804002589985</v>
      </c>
      <c r="DE122" s="44">
        <f t="shared" si="31"/>
        <v>1.9830314024099682</v>
      </c>
      <c r="DF122" s="19">
        <f t="shared" si="32"/>
        <v>7850</v>
      </c>
      <c r="DY122" t="str">
        <f t="shared" si="33"/>
        <v>C-250x65x20x1.8</v>
      </c>
      <c r="DZ122" s="15" t="s">
        <v>116</v>
      </c>
      <c r="EA122" s="16">
        <v>5.9349999999999996</v>
      </c>
      <c r="EB122" s="16">
        <v>250</v>
      </c>
      <c r="EC122" s="16">
        <v>65</v>
      </c>
      <c r="ED122" s="15" t="s">
        <v>47</v>
      </c>
      <c r="EE122" s="15" t="s">
        <v>72</v>
      </c>
    </row>
    <row r="123" spans="79:135" x14ac:dyDescent="0.25">
      <c r="CA123" s="2" t="str">
        <f t="shared" si="23"/>
        <v>Hộp-30x2.1</v>
      </c>
      <c r="CB123" s="19">
        <v>1.8166666666666667</v>
      </c>
      <c r="CC123" s="19">
        <v>30</v>
      </c>
      <c r="CD123" s="19">
        <v>30</v>
      </c>
      <c r="CE123" s="20" t="s">
        <v>75</v>
      </c>
      <c r="CF123" s="5">
        <f t="shared" si="24"/>
        <v>120</v>
      </c>
      <c r="CG123" s="5">
        <f t="shared" si="25"/>
        <v>6.3000000000000007</v>
      </c>
      <c r="CH123" s="5">
        <f t="shared" si="26"/>
        <v>4.2</v>
      </c>
      <c r="CI123" s="5">
        <f t="shared" si="27"/>
        <v>1.691142126391491</v>
      </c>
      <c r="CJ123" s="2">
        <f t="shared" si="28"/>
        <v>7850</v>
      </c>
      <c r="CK123" s="48"/>
      <c r="CZ123" s="2" t="str">
        <f t="shared" si="29"/>
        <v>Ống-49x1.8</v>
      </c>
      <c r="DA123" s="19">
        <v>2.15</v>
      </c>
      <c r="DB123" s="19">
        <v>49</v>
      </c>
      <c r="DC123" s="19">
        <v>1.8</v>
      </c>
      <c r="DD123" s="21">
        <f t="shared" si="30"/>
        <v>153.93804002589985</v>
      </c>
      <c r="DE123" s="44">
        <f t="shared" si="31"/>
        <v>2.0952412380145637</v>
      </c>
      <c r="DF123" s="19">
        <f t="shared" si="32"/>
        <v>7850</v>
      </c>
      <c r="DY123" t="str">
        <f t="shared" si="33"/>
        <v>C-250x65x20x2</v>
      </c>
      <c r="DZ123" s="15" t="s">
        <v>116</v>
      </c>
      <c r="EA123" s="16">
        <v>6.5940000000000003</v>
      </c>
      <c r="EB123" s="16">
        <v>250</v>
      </c>
      <c r="EC123" s="16">
        <v>65</v>
      </c>
      <c r="ED123" s="15" t="s">
        <v>47</v>
      </c>
      <c r="EE123" s="15" t="s">
        <v>74</v>
      </c>
    </row>
    <row r="124" spans="79:135" x14ac:dyDescent="0.25">
      <c r="CA124" s="2" t="str">
        <f t="shared" si="23"/>
        <v>Hộp-30x2.2</v>
      </c>
      <c r="CB124" s="19">
        <v>1.8833333333333335</v>
      </c>
      <c r="CC124" s="19">
        <v>30</v>
      </c>
      <c r="CD124" s="19">
        <v>30</v>
      </c>
      <c r="CE124" s="20" t="s">
        <v>76</v>
      </c>
      <c r="CF124" s="5">
        <f t="shared" si="24"/>
        <v>120</v>
      </c>
      <c r="CG124" s="5">
        <f t="shared" si="25"/>
        <v>6.6000000000000005</v>
      </c>
      <c r="CH124" s="5">
        <f t="shared" si="26"/>
        <v>4.4000000000000004</v>
      </c>
      <c r="CI124" s="5">
        <f t="shared" si="27"/>
        <v>1.7573523564024529</v>
      </c>
      <c r="CJ124" s="2">
        <f t="shared" si="28"/>
        <v>7850</v>
      </c>
      <c r="CK124" s="48"/>
      <c r="CZ124" s="2" t="str">
        <f t="shared" si="29"/>
        <v>Ống-49x2</v>
      </c>
      <c r="DA124" s="19">
        <v>2.3849999999999998</v>
      </c>
      <c r="DB124" s="19">
        <v>49</v>
      </c>
      <c r="DC124" s="19">
        <v>2</v>
      </c>
      <c r="DD124" s="21">
        <f t="shared" si="30"/>
        <v>153.93804002589985</v>
      </c>
      <c r="DE124" s="44">
        <f t="shared" si="31"/>
        <v>2.3181812190839097</v>
      </c>
      <c r="DF124" s="19">
        <f t="shared" si="32"/>
        <v>7850</v>
      </c>
      <c r="DY124" t="str">
        <f t="shared" si="33"/>
        <v>C-250x65x20x2.5</v>
      </c>
      <c r="DZ124" s="15" t="s">
        <v>116</v>
      </c>
      <c r="EA124" s="16">
        <v>8.2430000000000003</v>
      </c>
      <c r="EB124" s="16">
        <v>250</v>
      </c>
      <c r="EC124" s="16">
        <v>65</v>
      </c>
      <c r="ED124" s="15" t="s">
        <v>47</v>
      </c>
      <c r="EE124" s="15" t="s">
        <v>79</v>
      </c>
    </row>
    <row r="125" spans="79:135" x14ac:dyDescent="0.25">
      <c r="CA125" s="2" t="str">
        <f t="shared" si="23"/>
        <v>Hộp-30x2.3</v>
      </c>
      <c r="CB125" s="19">
        <v>1.9666666666666668</v>
      </c>
      <c r="CC125" s="19">
        <v>30</v>
      </c>
      <c r="CD125" s="19">
        <v>30</v>
      </c>
      <c r="CE125" s="20" t="s">
        <v>77</v>
      </c>
      <c r="CF125" s="5">
        <f t="shared" si="24"/>
        <v>120</v>
      </c>
      <c r="CG125" s="5">
        <f t="shared" si="25"/>
        <v>6.8999999999999995</v>
      </c>
      <c r="CH125" s="5">
        <f t="shared" si="26"/>
        <v>4.5999999999999996</v>
      </c>
      <c r="CI125" s="5">
        <f t="shared" si="27"/>
        <v>1.8222607366464825</v>
      </c>
      <c r="CJ125" s="2">
        <f t="shared" si="28"/>
        <v>7850</v>
      </c>
      <c r="CK125" s="48"/>
      <c r="CZ125" s="2" t="str">
        <f t="shared" si="29"/>
        <v>Ống-49x2.3</v>
      </c>
      <c r="DA125" s="19">
        <v>2.738</v>
      </c>
      <c r="DB125" s="19">
        <v>49</v>
      </c>
      <c r="DC125" s="19">
        <v>2.2999999999999998</v>
      </c>
      <c r="DD125" s="21">
        <f t="shared" si="30"/>
        <v>153.93804002589985</v>
      </c>
      <c r="DE125" s="44">
        <f t="shared" si="31"/>
        <v>2.6488919653383274</v>
      </c>
      <c r="DF125" s="19">
        <f t="shared" si="32"/>
        <v>7850</v>
      </c>
      <c r="DY125" t="str">
        <f t="shared" si="33"/>
        <v>C-250x65x20x2.8</v>
      </c>
      <c r="DZ125" s="15" t="s">
        <v>116</v>
      </c>
      <c r="EA125" s="16">
        <v>9.2319999999999993</v>
      </c>
      <c r="EB125" s="16">
        <v>250</v>
      </c>
      <c r="EC125" s="16">
        <v>65</v>
      </c>
      <c r="ED125" s="15" t="s">
        <v>47</v>
      </c>
      <c r="EE125" s="15" t="s">
        <v>81</v>
      </c>
    </row>
    <row r="126" spans="79:135" x14ac:dyDescent="0.25">
      <c r="CA126" s="2" t="str">
        <f t="shared" si="23"/>
        <v>Hộp-30x2.4</v>
      </c>
      <c r="CB126" s="19">
        <v>2.0500000000000003</v>
      </c>
      <c r="CC126" s="19">
        <v>30</v>
      </c>
      <c r="CD126" s="19">
        <v>30</v>
      </c>
      <c r="CE126" s="20" t="s">
        <v>78</v>
      </c>
      <c r="CF126" s="5">
        <f t="shared" si="24"/>
        <v>120</v>
      </c>
      <c r="CG126" s="5">
        <f t="shared" si="25"/>
        <v>7.1999999999999993</v>
      </c>
      <c r="CH126" s="5">
        <f t="shared" si="26"/>
        <v>4.8</v>
      </c>
      <c r="CI126" s="5">
        <f t="shared" si="27"/>
        <v>1.8858672671235803</v>
      </c>
      <c r="CJ126" s="2">
        <f t="shared" si="28"/>
        <v>7850</v>
      </c>
      <c r="CK126" s="48"/>
      <c r="CZ126" s="2" t="str">
        <f t="shared" si="29"/>
        <v>Ống-49x2.5</v>
      </c>
      <c r="DA126" s="19">
        <v>2.972</v>
      </c>
      <c r="DB126" s="19">
        <v>49</v>
      </c>
      <c r="DC126" s="19">
        <v>2.5</v>
      </c>
      <c r="DD126" s="21">
        <f t="shared" si="30"/>
        <v>153.93804002589985</v>
      </c>
      <c r="DE126" s="44">
        <f t="shared" si="31"/>
        <v>2.8668996459415355</v>
      </c>
      <c r="DF126" s="19">
        <f t="shared" si="32"/>
        <v>7850</v>
      </c>
      <c r="DY126" t="str">
        <f t="shared" si="33"/>
        <v>C-250x65x20x3</v>
      </c>
      <c r="DZ126" s="15" t="s">
        <v>116</v>
      </c>
      <c r="EA126" s="16">
        <v>9.891</v>
      </c>
      <c r="EB126" s="16">
        <v>250</v>
      </c>
      <c r="EC126" s="16">
        <v>65</v>
      </c>
      <c r="ED126" s="15" t="s">
        <v>47</v>
      </c>
      <c r="EE126" s="15" t="s">
        <v>83</v>
      </c>
    </row>
    <row r="127" spans="79:135" x14ac:dyDescent="0.25">
      <c r="CA127" s="2" t="str">
        <f t="shared" si="23"/>
        <v>Hộp-25x50x0.7</v>
      </c>
      <c r="CB127" s="19">
        <v>0.80500000000000005</v>
      </c>
      <c r="CC127" s="19">
        <v>25</v>
      </c>
      <c r="CD127" s="19">
        <v>50</v>
      </c>
      <c r="CE127" s="20" t="s">
        <v>62</v>
      </c>
      <c r="CF127" s="5">
        <f t="shared" si="24"/>
        <v>150</v>
      </c>
      <c r="CG127" s="5">
        <f t="shared" si="25"/>
        <v>2.0999999999999996</v>
      </c>
      <c r="CH127" s="5">
        <f t="shared" si="26"/>
        <v>1.4</v>
      </c>
      <c r="CI127" s="5">
        <f t="shared" si="27"/>
        <v>0.79235468071016557</v>
      </c>
      <c r="CJ127" s="2">
        <f t="shared" si="28"/>
        <v>7850</v>
      </c>
      <c r="CK127" s="48"/>
      <c r="CZ127" s="2" t="str">
        <f t="shared" si="29"/>
        <v>Ống-49x2.8</v>
      </c>
      <c r="DA127" s="19">
        <v>3.3220000000000001</v>
      </c>
      <c r="DB127" s="19">
        <v>49</v>
      </c>
      <c r="DC127" s="19">
        <v>2.8</v>
      </c>
      <c r="DD127" s="21">
        <f t="shared" si="30"/>
        <v>153.93804002589985</v>
      </c>
      <c r="DE127" s="44">
        <f t="shared" si="31"/>
        <v>3.1902119414967496</v>
      </c>
      <c r="DF127" s="19">
        <f t="shared" si="32"/>
        <v>7850</v>
      </c>
      <c r="DY127" t="str">
        <f t="shared" si="33"/>
        <v>C-250x65x20x3.5</v>
      </c>
      <c r="DZ127" s="15" t="s">
        <v>116</v>
      </c>
      <c r="EA127" s="16">
        <v>11.54</v>
      </c>
      <c r="EB127" s="16">
        <v>250</v>
      </c>
      <c r="EC127" s="16">
        <v>65</v>
      </c>
      <c r="ED127" s="15" t="s">
        <v>47</v>
      </c>
      <c r="EE127" s="15" t="s">
        <v>88</v>
      </c>
    </row>
    <row r="128" spans="79:135" x14ac:dyDescent="0.25">
      <c r="CA128" s="2" t="str">
        <f t="shared" si="23"/>
        <v>Hộp-25x50x0.8</v>
      </c>
      <c r="CB128" s="19">
        <v>0.91833333333333333</v>
      </c>
      <c r="CC128" s="19">
        <v>25</v>
      </c>
      <c r="CD128" s="19">
        <v>50</v>
      </c>
      <c r="CE128" s="20" t="s">
        <v>63</v>
      </c>
      <c r="CF128" s="5">
        <f t="shared" si="24"/>
        <v>150</v>
      </c>
      <c r="CG128" s="5">
        <f t="shared" si="25"/>
        <v>2.4000000000000004</v>
      </c>
      <c r="CH128" s="5">
        <f t="shared" si="26"/>
        <v>1.6</v>
      </c>
      <c r="CI128" s="5">
        <f t="shared" si="27"/>
        <v>0.90034080745817568</v>
      </c>
      <c r="CJ128" s="2">
        <f t="shared" si="28"/>
        <v>7850</v>
      </c>
      <c r="CK128" s="48"/>
      <c r="CZ128" s="2" t="str">
        <f t="shared" si="29"/>
        <v>Ống-49x3</v>
      </c>
      <c r="DA128" s="19">
        <v>3.5550000000000002</v>
      </c>
      <c r="DB128" s="19">
        <v>49</v>
      </c>
      <c r="DC128" s="19">
        <v>3</v>
      </c>
      <c r="DD128" s="21">
        <f t="shared" si="30"/>
        <v>153.93804002589985</v>
      </c>
      <c r="DE128" s="44">
        <f t="shared" si="31"/>
        <v>3.4032873216338242</v>
      </c>
      <c r="DF128" s="19">
        <f t="shared" si="32"/>
        <v>7850</v>
      </c>
      <c r="DY128" t="str">
        <f t="shared" si="33"/>
        <v>C-250x65x20x4</v>
      </c>
      <c r="DZ128" s="15" t="s">
        <v>116</v>
      </c>
      <c r="EA128" s="16">
        <v>13.188000000000001</v>
      </c>
      <c r="EB128" s="16">
        <v>250</v>
      </c>
      <c r="EC128" s="16">
        <v>65</v>
      </c>
      <c r="ED128" s="15" t="s">
        <v>47</v>
      </c>
      <c r="EE128" s="15" t="s">
        <v>25</v>
      </c>
    </row>
    <row r="129" spans="79:135" x14ac:dyDescent="0.25">
      <c r="CA129" s="2" t="str">
        <f t="shared" si="23"/>
        <v>Hộp-25x50x0.9</v>
      </c>
      <c r="CB129" s="19">
        <v>1.03</v>
      </c>
      <c r="CC129" s="19">
        <v>25</v>
      </c>
      <c r="CD129" s="19">
        <v>50</v>
      </c>
      <c r="CE129" s="20" t="s">
        <v>64</v>
      </c>
      <c r="CF129" s="5">
        <f t="shared" si="24"/>
        <v>150</v>
      </c>
      <c r="CG129" s="5">
        <f t="shared" si="25"/>
        <v>2.7</v>
      </c>
      <c r="CH129" s="5">
        <f t="shared" si="26"/>
        <v>1.8</v>
      </c>
      <c r="CI129" s="5">
        <f t="shared" si="27"/>
        <v>1.0070250844392534</v>
      </c>
      <c r="CJ129" s="2">
        <f t="shared" si="28"/>
        <v>7850</v>
      </c>
      <c r="CK129" s="48"/>
      <c r="CZ129" s="2" t="str">
        <f t="shared" si="29"/>
        <v>Ống-60x1</v>
      </c>
      <c r="DA129" s="19">
        <v>1.472</v>
      </c>
      <c r="DB129" s="19">
        <v>60</v>
      </c>
      <c r="DC129" s="19">
        <v>1</v>
      </c>
      <c r="DD129" s="21">
        <f t="shared" si="30"/>
        <v>188.49555921538757</v>
      </c>
      <c r="DE129" s="44">
        <f t="shared" si="31"/>
        <v>1.455028637510112</v>
      </c>
      <c r="DF129" s="19">
        <f t="shared" si="32"/>
        <v>7850</v>
      </c>
      <c r="DY129" t="str">
        <f t="shared" si="33"/>
        <v>C-300x65x22x1.2</v>
      </c>
      <c r="DZ129" s="15" t="s">
        <v>116</v>
      </c>
      <c r="EA129" s="16">
        <v>4.4649999999999999</v>
      </c>
      <c r="EB129" s="16">
        <v>300</v>
      </c>
      <c r="EC129" s="16">
        <v>65</v>
      </c>
      <c r="ED129" s="15" t="s">
        <v>117</v>
      </c>
      <c r="EE129" s="15" t="s">
        <v>67</v>
      </c>
    </row>
    <row r="130" spans="79:135" x14ac:dyDescent="0.25">
      <c r="CA130" s="2" t="str">
        <f t="shared" si="23"/>
        <v>Hộp-25x50x1</v>
      </c>
      <c r="CB130" s="19">
        <v>1.1399999999999999</v>
      </c>
      <c r="CC130" s="19">
        <v>25</v>
      </c>
      <c r="CD130" s="19">
        <v>50</v>
      </c>
      <c r="CE130" s="20" t="s">
        <v>65</v>
      </c>
      <c r="CF130" s="5">
        <f t="shared" si="24"/>
        <v>150</v>
      </c>
      <c r="CG130" s="5">
        <f t="shared" si="25"/>
        <v>3</v>
      </c>
      <c r="CH130" s="5">
        <f t="shared" si="26"/>
        <v>2</v>
      </c>
      <c r="CI130" s="5">
        <f t="shared" si="27"/>
        <v>1.1124075116533994</v>
      </c>
      <c r="CJ130" s="2">
        <f t="shared" si="28"/>
        <v>7850</v>
      </c>
      <c r="CK130" s="48"/>
      <c r="CZ130" s="2" t="str">
        <f t="shared" si="29"/>
        <v>Ống-60x1.1</v>
      </c>
      <c r="DA130" s="19">
        <v>1.6180000000000001</v>
      </c>
      <c r="DB130" s="19">
        <v>60</v>
      </c>
      <c r="DC130" s="19">
        <v>1.1000000000000001</v>
      </c>
      <c r="DD130" s="21">
        <f t="shared" si="30"/>
        <v>188.49555921538757</v>
      </c>
      <c r="DE130" s="44">
        <f t="shared" si="31"/>
        <v>1.5978187360047509</v>
      </c>
      <c r="DF130" s="19">
        <f t="shared" si="32"/>
        <v>7850</v>
      </c>
      <c r="DY130" t="str">
        <f t="shared" si="33"/>
        <v>C-300x65x22x1.5</v>
      </c>
      <c r="DZ130" s="15" t="s">
        <v>116</v>
      </c>
      <c r="EA130" s="16">
        <v>5.5810000000000004</v>
      </c>
      <c r="EB130" s="16">
        <v>300</v>
      </c>
      <c r="EC130" s="16">
        <v>65</v>
      </c>
      <c r="ED130" s="15" t="s">
        <v>117</v>
      </c>
      <c r="EE130" s="15" t="s">
        <v>69</v>
      </c>
    </row>
    <row r="131" spans="79:135" x14ac:dyDescent="0.25">
      <c r="CA131" s="2" t="str">
        <f t="shared" si="23"/>
        <v>Hộp-25x50x1.1</v>
      </c>
      <c r="CB131" s="19">
        <v>1.25</v>
      </c>
      <c r="CC131" s="19">
        <v>25</v>
      </c>
      <c r="CD131" s="19">
        <v>50</v>
      </c>
      <c r="CE131" s="20" t="s">
        <v>66</v>
      </c>
      <c r="CF131" s="5">
        <f t="shared" si="24"/>
        <v>150</v>
      </c>
      <c r="CG131" s="5">
        <f t="shared" si="25"/>
        <v>3.3000000000000003</v>
      </c>
      <c r="CH131" s="5">
        <f t="shared" si="26"/>
        <v>2.2000000000000002</v>
      </c>
      <c r="CI131" s="5">
        <f t="shared" si="27"/>
        <v>1.2164880891006133</v>
      </c>
      <c r="CJ131" s="2">
        <f t="shared" si="28"/>
        <v>7850</v>
      </c>
      <c r="CK131" s="48"/>
      <c r="CZ131" s="2" t="str">
        <f t="shared" si="29"/>
        <v>Ống-60x1.2</v>
      </c>
      <c r="DA131" s="19">
        <v>1.764</v>
      </c>
      <c r="DB131" s="19">
        <v>60</v>
      </c>
      <c r="DC131" s="19">
        <v>1.2</v>
      </c>
      <c r="DD131" s="21">
        <f t="shared" si="30"/>
        <v>188.49555921538757</v>
      </c>
      <c r="DE131" s="44">
        <f t="shared" si="31"/>
        <v>1.7401156044527697</v>
      </c>
      <c r="DF131" s="19">
        <f t="shared" si="32"/>
        <v>7850</v>
      </c>
      <c r="DY131" t="str">
        <f t="shared" si="33"/>
        <v>C-300x65x22x1.8</v>
      </c>
      <c r="DZ131" s="15" t="s">
        <v>116</v>
      </c>
      <c r="EA131" s="16">
        <v>6.6980000000000004</v>
      </c>
      <c r="EB131" s="16">
        <v>300</v>
      </c>
      <c r="EC131" s="16">
        <v>65</v>
      </c>
      <c r="ED131" s="15" t="s">
        <v>117</v>
      </c>
      <c r="EE131" s="15" t="s">
        <v>72</v>
      </c>
    </row>
    <row r="132" spans="79:135" x14ac:dyDescent="0.25">
      <c r="CA132" s="2" t="str">
        <f t="shared" ref="CA132:CA195" si="34">$CA$2&amp;"-"&amp;IF(CC132=CD132,CD132&amp;"x"&amp;CE132,CC132&amp;"x"&amp;CD132&amp;"x"&amp;CE132)</f>
        <v>Hộp-25x50x1.2</v>
      </c>
      <c r="CB132" s="19">
        <v>1.3583333333333334</v>
      </c>
      <c r="CC132" s="19">
        <v>25</v>
      </c>
      <c r="CD132" s="19">
        <v>50</v>
      </c>
      <c r="CE132" s="20" t="s">
        <v>67</v>
      </c>
      <c r="CF132" s="5">
        <f t="shared" ref="CF132:CF195" si="35">2*(CC132+CD132)</f>
        <v>150</v>
      </c>
      <c r="CG132" s="5">
        <f t="shared" ref="CG132:CG195" si="36">IF(CE132&lt;=6,2,IF(CE132&lt;=10,2.5,3))*CE132</f>
        <v>3.5999999999999996</v>
      </c>
      <c r="CH132" s="5">
        <f t="shared" ref="CH132:CH195" si="37">IF(CE132&lt;=6,1,IF(CE132&lt;=10,1.5,2))*CE132</f>
        <v>2.4</v>
      </c>
      <c r="CI132" s="5">
        <f t="shared" ref="CI132:CI195" si="38">(2*CE132*(CC132+CD132-2*CE132)-(4-PI())*(CG132^2-CH132^2))/1000000*CJ132</f>
        <v>1.319266816780895</v>
      </c>
      <c r="CJ132" s="2">
        <f t="shared" ref="CJ132:CJ195" si="39">IF(LEFT(CA132,4)="Inox",7930,7850)</f>
        <v>7850</v>
      </c>
      <c r="CK132" s="48"/>
      <c r="CZ132" s="2" t="str">
        <f t="shared" ref="CZ132:CZ178" si="40">$CZ$2&amp;"-"&amp;DB132&amp;"x"&amp;DC132</f>
        <v>Ống-60x1.4</v>
      </c>
      <c r="DA132" s="19">
        <v>2.056</v>
      </c>
      <c r="DB132" s="19">
        <v>60</v>
      </c>
      <c r="DC132" s="19">
        <v>1.4</v>
      </c>
      <c r="DD132" s="21">
        <f t="shared" ref="DD132:DD178" si="41">PI()*DB132</f>
        <v>188.49555921538757</v>
      </c>
      <c r="DE132" s="44">
        <f t="shared" ref="DE132:DE195" si="42">(PI()*DB132^2/4-PI()*(DB132-2*DC132)^2/4)/1000000*DF132</f>
        <v>2.0232296512089771</v>
      </c>
      <c r="DF132" s="19">
        <f t="shared" ref="DF132:DF195" si="43">IF(LEFT(CZ132,4)="Inox",7930,7850)</f>
        <v>7850</v>
      </c>
      <c r="DY132" t="str">
        <f t="shared" ref="DY132:DY195" si="44">IF(DZ132=$DZ$3,"C-","Z-")&amp;EB132&amp;"x"&amp;EC132&amp;"x"&amp;ED132&amp;"x"&amp;EE132</f>
        <v>C-300x65x22x2</v>
      </c>
      <c r="DZ132" s="15" t="s">
        <v>116</v>
      </c>
      <c r="EA132" s="16">
        <v>7.4420000000000002</v>
      </c>
      <c r="EB132" s="16">
        <v>300</v>
      </c>
      <c r="EC132" s="16">
        <v>65</v>
      </c>
      <c r="ED132" s="15" t="s">
        <v>117</v>
      </c>
      <c r="EE132" s="15" t="s">
        <v>74</v>
      </c>
    </row>
    <row r="133" spans="79:135" x14ac:dyDescent="0.25">
      <c r="CA133" s="2" t="str">
        <f t="shared" si="34"/>
        <v>Hộp-25x50x1.4</v>
      </c>
      <c r="CB133" s="19">
        <v>1.575</v>
      </c>
      <c r="CC133" s="19">
        <v>25</v>
      </c>
      <c r="CD133" s="19">
        <v>50</v>
      </c>
      <c r="CE133" s="20" t="s">
        <v>68</v>
      </c>
      <c r="CF133" s="5">
        <f t="shared" si="35"/>
        <v>150</v>
      </c>
      <c r="CG133" s="5">
        <f t="shared" si="36"/>
        <v>4.1999999999999993</v>
      </c>
      <c r="CH133" s="5">
        <f t="shared" si="37"/>
        <v>2.8</v>
      </c>
      <c r="CI133" s="5">
        <f t="shared" si="38"/>
        <v>1.5209187228406629</v>
      </c>
      <c r="CJ133" s="2">
        <f t="shared" si="39"/>
        <v>7850</v>
      </c>
      <c r="CK133" s="48"/>
      <c r="CZ133" s="2" t="str">
        <f t="shared" si="40"/>
        <v>Ống-60x1.5</v>
      </c>
      <c r="DA133" s="19">
        <v>2.202</v>
      </c>
      <c r="DB133" s="19">
        <v>60</v>
      </c>
      <c r="DC133" s="19">
        <v>1.5</v>
      </c>
      <c r="DD133" s="21">
        <f t="shared" si="41"/>
        <v>188.49555921538757</v>
      </c>
      <c r="DE133" s="44">
        <f t="shared" si="42"/>
        <v>2.1640468295171584</v>
      </c>
      <c r="DF133" s="19">
        <f t="shared" si="43"/>
        <v>7850</v>
      </c>
      <c r="DY133" t="str">
        <f t="shared" si="44"/>
        <v>C-300x65x22x2.5</v>
      </c>
      <c r="DZ133" s="15" t="s">
        <v>116</v>
      </c>
      <c r="EA133" s="16">
        <v>9.3019999999999996</v>
      </c>
      <c r="EB133" s="16">
        <v>300</v>
      </c>
      <c r="EC133" s="16">
        <v>65</v>
      </c>
      <c r="ED133" s="15" t="s">
        <v>117</v>
      </c>
      <c r="EE133" s="15" t="s">
        <v>79</v>
      </c>
    </row>
    <row r="134" spans="79:135" x14ac:dyDescent="0.25">
      <c r="CA134" s="2" t="str">
        <f t="shared" si="34"/>
        <v>Hộp-25x50x1.5</v>
      </c>
      <c r="CB134" s="19">
        <v>1.6833333333333333</v>
      </c>
      <c r="CC134" s="19">
        <v>25</v>
      </c>
      <c r="CD134" s="19">
        <v>50</v>
      </c>
      <c r="CE134" s="20" t="s">
        <v>69</v>
      </c>
      <c r="CF134" s="5">
        <f t="shared" si="35"/>
        <v>150</v>
      </c>
      <c r="CG134" s="5">
        <f t="shared" si="36"/>
        <v>4.5</v>
      </c>
      <c r="CH134" s="5">
        <f t="shared" si="37"/>
        <v>3</v>
      </c>
      <c r="CI134" s="5">
        <f t="shared" si="38"/>
        <v>1.6197919012201485</v>
      </c>
      <c r="CJ134" s="2">
        <f t="shared" si="39"/>
        <v>7850</v>
      </c>
      <c r="CK134" s="48"/>
      <c r="CZ134" s="2" t="str">
        <f t="shared" si="40"/>
        <v>Ống-60x1.7</v>
      </c>
      <c r="DA134" s="19">
        <v>2.4929999999999999</v>
      </c>
      <c r="DB134" s="19">
        <v>60</v>
      </c>
      <c r="DC134" s="19">
        <v>1.7</v>
      </c>
      <c r="DD134" s="21">
        <f t="shared" si="41"/>
        <v>188.49555921538757</v>
      </c>
      <c r="DE134" s="44">
        <f t="shared" si="42"/>
        <v>2.4442014959936835</v>
      </c>
      <c r="DF134" s="19">
        <f t="shared" si="43"/>
        <v>7850</v>
      </c>
      <c r="DY134" t="str">
        <f t="shared" si="44"/>
        <v>C-300x65x22x2.8</v>
      </c>
      <c r="DZ134" s="15" t="s">
        <v>116</v>
      </c>
      <c r="EA134" s="16">
        <v>10.419</v>
      </c>
      <c r="EB134" s="16">
        <v>300</v>
      </c>
      <c r="EC134" s="16">
        <v>65</v>
      </c>
      <c r="ED134" s="15" t="s">
        <v>117</v>
      </c>
      <c r="EE134" s="15" t="s">
        <v>81</v>
      </c>
    </row>
    <row r="135" spans="79:135" x14ac:dyDescent="0.25">
      <c r="CA135" s="2" t="str">
        <f t="shared" si="34"/>
        <v>Hộp-25x50x1.6</v>
      </c>
      <c r="CB135" s="19">
        <v>1.7833333333333332</v>
      </c>
      <c r="CC135" s="19">
        <v>25</v>
      </c>
      <c r="CD135" s="19">
        <v>50</v>
      </c>
      <c r="CE135" s="20" t="s">
        <v>70</v>
      </c>
      <c r="CF135" s="5">
        <f t="shared" si="35"/>
        <v>150</v>
      </c>
      <c r="CG135" s="5">
        <f t="shared" si="36"/>
        <v>4.8000000000000007</v>
      </c>
      <c r="CH135" s="5">
        <f t="shared" si="37"/>
        <v>3.2</v>
      </c>
      <c r="CI135" s="5">
        <f t="shared" si="38"/>
        <v>1.7173632298327024</v>
      </c>
      <c r="CJ135" s="2">
        <f t="shared" si="39"/>
        <v>7850</v>
      </c>
      <c r="CK135" s="48"/>
      <c r="CZ135" s="2" t="str">
        <f t="shared" si="40"/>
        <v>Ống-60x1.8</v>
      </c>
      <c r="DA135" s="19">
        <v>2.6379999999999999</v>
      </c>
      <c r="DB135" s="19">
        <v>60</v>
      </c>
      <c r="DC135" s="19">
        <v>1.8</v>
      </c>
      <c r="DD135" s="21">
        <f t="shared" si="41"/>
        <v>188.49555921538757</v>
      </c>
      <c r="DE135" s="44">
        <f t="shared" si="42"/>
        <v>2.5835389841620233</v>
      </c>
      <c r="DF135" s="19">
        <f t="shared" si="43"/>
        <v>7850</v>
      </c>
      <c r="DY135" t="str">
        <f t="shared" si="44"/>
        <v>C-300x65x22x3</v>
      </c>
      <c r="DZ135" s="15" t="s">
        <v>116</v>
      </c>
      <c r="EA135" s="16">
        <v>11.163</v>
      </c>
      <c r="EB135" s="16">
        <v>300</v>
      </c>
      <c r="EC135" s="16">
        <v>65</v>
      </c>
      <c r="ED135" s="15" t="s">
        <v>117</v>
      </c>
      <c r="EE135" s="15" t="s">
        <v>83</v>
      </c>
    </row>
    <row r="136" spans="79:135" x14ac:dyDescent="0.25">
      <c r="CA136" s="2" t="str">
        <f t="shared" si="34"/>
        <v>Hộp-25x50x1.7</v>
      </c>
      <c r="CB136" s="19">
        <v>1.9000000000000001</v>
      </c>
      <c r="CC136" s="19">
        <v>25</v>
      </c>
      <c r="CD136" s="19">
        <v>50</v>
      </c>
      <c r="CE136" s="20" t="s">
        <v>71</v>
      </c>
      <c r="CF136" s="5">
        <f t="shared" si="35"/>
        <v>150</v>
      </c>
      <c r="CG136" s="5">
        <f t="shared" si="36"/>
        <v>5.0999999999999996</v>
      </c>
      <c r="CH136" s="5">
        <f t="shared" si="37"/>
        <v>3.4</v>
      </c>
      <c r="CI136" s="5">
        <f t="shared" si="38"/>
        <v>1.8136327086783239</v>
      </c>
      <c r="CJ136" s="2">
        <f t="shared" si="39"/>
        <v>7850</v>
      </c>
      <c r="CK136" s="48"/>
      <c r="CZ136" s="2" t="str">
        <f t="shared" si="40"/>
        <v>Ống-60x2</v>
      </c>
      <c r="DA136" s="19">
        <v>2.9279999999999999</v>
      </c>
      <c r="DB136" s="19">
        <v>60</v>
      </c>
      <c r="DC136" s="19">
        <v>2</v>
      </c>
      <c r="DD136" s="21">
        <f t="shared" si="41"/>
        <v>188.49555921538757</v>
      </c>
      <c r="DE136" s="44">
        <f t="shared" si="42"/>
        <v>2.8607342703588667</v>
      </c>
      <c r="DF136" s="19">
        <f t="shared" si="43"/>
        <v>7850</v>
      </c>
      <c r="DY136" t="str">
        <f t="shared" si="44"/>
        <v>C-300x65x22x3.5</v>
      </c>
      <c r="DZ136" s="15" t="s">
        <v>116</v>
      </c>
      <c r="EA136" s="16">
        <v>13.023</v>
      </c>
      <c r="EB136" s="16">
        <v>300</v>
      </c>
      <c r="EC136" s="16">
        <v>65</v>
      </c>
      <c r="ED136" s="15" t="s">
        <v>117</v>
      </c>
      <c r="EE136" s="15" t="s">
        <v>88</v>
      </c>
    </row>
    <row r="137" spans="79:135" x14ac:dyDescent="0.25">
      <c r="CA137" s="2" t="str">
        <f t="shared" si="34"/>
        <v>Hộp-25x50x1.8</v>
      </c>
      <c r="CB137" s="19">
        <v>2</v>
      </c>
      <c r="CC137" s="19">
        <v>25</v>
      </c>
      <c r="CD137" s="19">
        <v>50</v>
      </c>
      <c r="CE137" s="20" t="s">
        <v>72</v>
      </c>
      <c r="CF137" s="5">
        <f t="shared" si="35"/>
        <v>150</v>
      </c>
      <c r="CG137" s="5">
        <f t="shared" si="36"/>
        <v>5.4</v>
      </c>
      <c r="CH137" s="5">
        <f t="shared" si="37"/>
        <v>3.6</v>
      </c>
      <c r="CI137" s="5">
        <f t="shared" si="38"/>
        <v>1.908600337757014</v>
      </c>
      <c r="CJ137" s="2">
        <f t="shared" si="39"/>
        <v>7850</v>
      </c>
      <c r="CK137" s="48"/>
      <c r="CZ137" s="2" t="str">
        <f t="shared" si="40"/>
        <v>Ống-60x2.3</v>
      </c>
      <c r="DA137" s="19">
        <v>3.3620000000000001</v>
      </c>
      <c r="DB137" s="19">
        <v>60</v>
      </c>
      <c r="DC137" s="19">
        <v>2.2999999999999998</v>
      </c>
      <c r="DD137" s="21">
        <f t="shared" si="41"/>
        <v>188.49555921538757</v>
      </c>
      <c r="DE137" s="44">
        <f t="shared" si="42"/>
        <v>3.2728279743045268</v>
      </c>
      <c r="DF137" s="19">
        <f t="shared" si="43"/>
        <v>7850</v>
      </c>
      <c r="DY137" t="str">
        <f t="shared" si="44"/>
        <v>C-300x65x22x4</v>
      </c>
      <c r="DZ137" s="15" t="s">
        <v>116</v>
      </c>
      <c r="EA137" s="16">
        <v>14.884</v>
      </c>
      <c r="EB137" s="16">
        <v>300</v>
      </c>
      <c r="EC137" s="16">
        <v>65</v>
      </c>
      <c r="ED137" s="15" t="s">
        <v>117</v>
      </c>
      <c r="EE137" s="15" t="s">
        <v>25</v>
      </c>
    </row>
    <row r="138" spans="79:135" x14ac:dyDescent="0.25">
      <c r="CA138" s="2" t="str">
        <f t="shared" si="34"/>
        <v>Hộp-25x50x1.9</v>
      </c>
      <c r="CB138" s="19">
        <v>2.1</v>
      </c>
      <c r="CC138" s="19">
        <v>25</v>
      </c>
      <c r="CD138" s="19">
        <v>50</v>
      </c>
      <c r="CE138" s="20" t="s">
        <v>73</v>
      </c>
      <c r="CF138" s="5">
        <f t="shared" si="35"/>
        <v>150</v>
      </c>
      <c r="CG138" s="5">
        <f t="shared" si="36"/>
        <v>5.6999999999999993</v>
      </c>
      <c r="CH138" s="5">
        <f t="shared" si="37"/>
        <v>3.8</v>
      </c>
      <c r="CI138" s="5">
        <f t="shared" si="38"/>
        <v>2.0022661170687717</v>
      </c>
      <c r="CJ138" s="2">
        <f t="shared" si="39"/>
        <v>7850</v>
      </c>
      <c r="CK138" s="48"/>
      <c r="CZ138" s="2" t="str">
        <f t="shared" si="40"/>
        <v>Ống-60x2.5</v>
      </c>
      <c r="DA138" s="19">
        <v>3.65</v>
      </c>
      <c r="DB138" s="19">
        <v>60</v>
      </c>
      <c r="DC138" s="19">
        <v>2.5</v>
      </c>
      <c r="DD138" s="21">
        <f t="shared" si="41"/>
        <v>188.49555921538757</v>
      </c>
      <c r="DE138" s="44">
        <f t="shared" si="42"/>
        <v>3.5450909600352301</v>
      </c>
      <c r="DF138" s="19">
        <f t="shared" si="43"/>
        <v>7850</v>
      </c>
      <c r="DY138" t="str">
        <f t="shared" si="44"/>
        <v>C-250x75x20x1.2</v>
      </c>
      <c r="DZ138" s="15" t="s">
        <v>116</v>
      </c>
      <c r="EA138" s="16">
        <v>4.1449999999999996</v>
      </c>
      <c r="EB138" s="16">
        <v>250</v>
      </c>
      <c r="EC138" s="16">
        <v>75</v>
      </c>
      <c r="ED138" s="15" t="s">
        <v>47</v>
      </c>
      <c r="EE138" s="15" t="s">
        <v>67</v>
      </c>
    </row>
    <row r="139" spans="79:135" x14ac:dyDescent="0.25">
      <c r="CA139" s="2" t="str">
        <f t="shared" si="34"/>
        <v>Hộp-25x50x2</v>
      </c>
      <c r="CB139" s="19">
        <v>2.1999999999999997</v>
      </c>
      <c r="CC139" s="19">
        <v>25</v>
      </c>
      <c r="CD139" s="19">
        <v>50</v>
      </c>
      <c r="CE139" s="20" t="s">
        <v>74</v>
      </c>
      <c r="CF139" s="5">
        <f t="shared" si="35"/>
        <v>150</v>
      </c>
      <c r="CG139" s="5">
        <f t="shared" si="36"/>
        <v>6</v>
      </c>
      <c r="CH139" s="5">
        <f t="shared" si="37"/>
        <v>4</v>
      </c>
      <c r="CI139" s="5">
        <f t="shared" si="38"/>
        <v>2.0946300466135974</v>
      </c>
      <c r="CJ139" s="2">
        <f t="shared" si="39"/>
        <v>7850</v>
      </c>
      <c r="CK139" s="48"/>
      <c r="CZ139" s="2" t="str">
        <f t="shared" si="40"/>
        <v>Ống-60x2.8</v>
      </c>
      <c r="DA139" s="19">
        <v>4.0819999999999999</v>
      </c>
      <c r="DB139" s="19">
        <v>60</v>
      </c>
      <c r="DC139" s="19">
        <v>2.8</v>
      </c>
      <c r="DD139" s="21">
        <f t="shared" si="41"/>
        <v>188.49555921538757</v>
      </c>
      <c r="DE139" s="44">
        <f t="shared" si="42"/>
        <v>3.9497862132816914</v>
      </c>
      <c r="DF139" s="19">
        <f t="shared" si="43"/>
        <v>7850</v>
      </c>
      <c r="DY139" t="str">
        <f t="shared" si="44"/>
        <v>C-250x75x20x1.5</v>
      </c>
      <c r="DZ139" s="15" t="s">
        <v>116</v>
      </c>
      <c r="EA139" s="16">
        <v>5.181</v>
      </c>
      <c r="EB139" s="16">
        <v>250</v>
      </c>
      <c r="EC139" s="16">
        <v>75</v>
      </c>
      <c r="ED139" s="15" t="s">
        <v>47</v>
      </c>
      <c r="EE139" s="15" t="s">
        <v>69</v>
      </c>
    </row>
    <row r="140" spans="79:135" x14ac:dyDescent="0.25">
      <c r="CA140" s="2" t="str">
        <f t="shared" si="34"/>
        <v>Hộp-25x50x2.1</v>
      </c>
      <c r="CB140" s="19">
        <v>2.3000000000000003</v>
      </c>
      <c r="CC140" s="19">
        <v>25</v>
      </c>
      <c r="CD140" s="19">
        <v>50</v>
      </c>
      <c r="CE140" s="20" t="s">
        <v>75</v>
      </c>
      <c r="CF140" s="5">
        <f t="shared" si="35"/>
        <v>150</v>
      </c>
      <c r="CG140" s="5">
        <f t="shared" si="36"/>
        <v>6.3000000000000007</v>
      </c>
      <c r="CH140" s="5">
        <f t="shared" si="37"/>
        <v>4.2</v>
      </c>
      <c r="CI140" s="5">
        <f t="shared" si="38"/>
        <v>2.185692126391491</v>
      </c>
      <c r="CJ140" s="2">
        <f t="shared" si="39"/>
        <v>7850</v>
      </c>
      <c r="CK140" s="48"/>
      <c r="CZ140" s="2" t="str">
        <f t="shared" si="40"/>
        <v>Ống-60x3</v>
      </c>
      <c r="DA140" s="19">
        <v>4.3680000000000003</v>
      </c>
      <c r="DB140" s="19">
        <v>60</v>
      </c>
      <c r="DC140" s="19">
        <v>3</v>
      </c>
      <c r="DD140" s="21">
        <f t="shared" si="41"/>
        <v>188.49555921538757</v>
      </c>
      <c r="DE140" s="44">
        <f t="shared" si="42"/>
        <v>4.2171168985462595</v>
      </c>
      <c r="DF140" s="19">
        <f t="shared" si="43"/>
        <v>7850</v>
      </c>
      <c r="DY140" t="str">
        <f t="shared" si="44"/>
        <v>C-250x75x20x1.8</v>
      </c>
      <c r="DZ140" s="15" t="s">
        <v>116</v>
      </c>
      <c r="EA140" s="16">
        <v>6.2169999999999996</v>
      </c>
      <c r="EB140" s="16">
        <v>250</v>
      </c>
      <c r="EC140" s="16">
        <v>75</v>
      </c>
      <c r="ED140" s="15" t="s">
        <v>47</v>
      </c>
      <c r="EE140" s="15" t="s">
        <v>72</v>
      </c>
    </row>
    <row r="141" spans="79:135" x14ac:dyDescent="0.25">
      <c r="CA141" s="2" t="str">
        <f t="shared" si="34"/>
        <v>Hộp-25x50x2.2</v>
      </c>
      <c r="CB141" s="19">
        <v>2.4166666666666665</v>
      </c>
      <c r="CC141" s="19">
        <v>25</v>
      </c>
      <c r="CD141" s="19">
        <v>50</v>
      </c>
      <c r="CE141" s="20" t="s">
        <v>76</v>
      </c>
      <c r="CF141" s="5">
        <f t="shared" si="35"/>
        <v>150</v>
      </c>
      <c r="CG141" s="5">
        <f t="shared" si="36"/>
        <v>6.6000000000000005</v>
      </c>
      <c r="CH141" s="5">
        <f t="shared" si="37"/>
        <v>4.4000000000000004</v>
      </c>
      <c r="CI141" s="5">
        <f t="shared" si="38"/>
        <v>2.2754523564024529</v>
      </c>
      <c r="CJ141" s="2">
        <f t="shared" si="39"/>
        <v>7850</v>
      </c>
      <c r="CK141" s="48"/>
      <c r="CZ141" s="2" t="str">
        <f t="shared" si="40"/>
        <v>Ống-76x1.1</v>
      </c>
      <c r="DA141" s="19">
        <v>2.052</v>
      </c>
      <c r="DB141" s="19">
        <v>76</v>
      </c>
      <c r="DC141" s="19">
        <v>1.1000000000000001</v>
      </c>
      <c r="DD141" s="21">
        <f t="shared" si="41"/>
        <v>238.76104167282426</v>
      </c>
      <c r="DE141" s="44">
        <f t="shared" si="42"/>
        <v>2.0318611770247172</v>
      </c>
      <c r="DF141" s="19">
        <f t="shared" si="43"/>
        <v>7850</v>
      </c>
      <c r="DY141" t="str">
        <f t="shared" si="44"/>
        <v>C-250x75x20x2</v>
      </c>
      <c r="DZ141" s="15" t="s">
        <v>116</v>
      </c>
      <c r="EA141" s="16">
        <v>6.9080000000000004</v>
      </c>
      <c r="EB141" s="16">
        <v>250</v>
      </c>
      <c r="EC141" s="16">
        <v>75</v>
      </c>
      <c r="ED141" s="15" t="s">
        <v>47</v>
      </c>
      <c r="EE141" s="15" t="s">
        <v>74</v>
      </c>
    </row>
    <row r="142" spans="79:135" x14ac:dyDescent="0.25">
      <c r="CA142" s="2" t="str">
        <f t="shared" si="34"/>
        <v>Hộp-25x50x2.3</v>
      </c>
      <c r="CB142" s="19">
        <v>2.5166666666666666</v>
      </c>
      <c r="CC142" s="19">
        <v>25</v>
      </c>
      <c r="CD142" s="19">
        <v>50</v>
      </c>
      <c r="CE142" s="20" t="s">
        <v>77</v>
      </c>
      <c r="CF142" s="5">
        <f t="shared" si="35"/>
        <v>150</v>
      </c>
      <c r="CG142" s="5">
        <f t="shared" si="36"/>
        <v>6.8999999999999995</v>
      </c>
      <c r="CH142" s="5">
        <f t="shared" si="37"/>
        <v>4.5999999999999996</v>
      </c>
      <c r="CI142" s="5">
        <f t="shared" si="38"/>
        <v>2.3639107366464822</v>
      </c>
      <c r="CJ142" s="2">
        <f t="shared" si="39"/>
        <v>7850</v>
      </c>
      <c r="CK142" s="48"/>
      <c r="CZ142" s="2" t="str">
        <f t="shared" si="40"/>
        <v>Ống-76x1.2</v>
      </c>
      <c r="DA142" s="19">
        <v>2.238</v>
      </c>
      <c r="DB142" s="19">
        <v>76</v>
      </c>
      <c r="DC142" s="19">
        <v>1.2</v>
      </c>
      <c r="DD142" s="21">
        <f t="shared" si="41"/>
        <v>238.76104167282426</v>
      </c>
      <c r="DE142" s="44">
        <f t="shared" si="42"/>
        <v>2.2136164492018295</v>
      </c>
      <c r="DF142" s="19">
        <f t="shared" si="43"/>
        <v>7850</v>
      </c>
      <c r="DY142" t="str">
        <f t="shared" si="44"/>
        <v>C-250x75x20x2.5</v>
      </c>
      <c r="DZ142" s="15" t="s">
        <v>116</v>
      </c>
      <c r="EA142" s="16">
        <v>8.6349999999999998</v>
      </c>
      <c r="EB142" s="16">
        <v>250</v>
      </c>
      <c r="EC142" s="16">
        <v>75</v>
      </c>
      <c r="ED142" s="15" t="s">
        <v>47</v>
      </c>
      <c r="EE142" s="15" t="s">
        <v>79</v>
      </c>
    </row>
    <row r="143" spans="79:135" x14ac:dyDescent="0.25">
      <c r="CA143" s="2" t="str">
        <f t="shared" si="34"/>
        <v>Hộp-25x50x2.4</v>
      </c>
      <c r="CB143" s="19">
        <v>2.6166666666666667</v>
      </c>
      <c r="CC143" s="19">
        <v>25</v>
      </c>
      <c r="CD143" s="19">
        <v>50</v>
      </c>
      <c r="CE143" s="20" t="s">
        <v>78</v>
      </c>
      <c r="CF143" s="5">
        <f t="shared" si="35"/>
        <v>150</v>
      </c>
      <c r="CG143" s="5">
        <f t="shared" si="36"/>
        <v>7.1999999999999993</v>
      </c>
      <c r="CH143" s="5">
        <f t="shared" si="37"/>
        <v>4.8</v>
      </c>
      <c r="CI143" s="5">
        <f t="shared" si="38"/>
        <v>2.4510672671235803</v>
      </c>
      <c r="CJ143" s="2">
        <f t="shared" si="39"/>
        <v>7850</v>
      </c>
      <c r="CK143" s="48"/>
      <c r="CZ143" s="2" t="str">
        <f t="shared" si="40"/>
        <v>Ống-76x1.4</v>
      </c>
      <c r="DA143" s="19">
        <v>2.609</v>
      </c>
      <c r="DB143" s="19">
        <v>76</v>
      </c>
      <c r="DC143" s="19">
        <v>1.4</v>
      </c>
      <c r="DD143" s="21">
        <f t="shared" si="41"/>
        <v>238.76104167282426</v>
      </c>
      <c r="DE143" s="44">
        <f t="shared" si="42"/>
        <v>2.5756473034162024</v>
      </c>
      <c r="DF143" s="19">
        <f t="shared" si="43"/>
        <v>7850</v>
      </c>
      <c r="DY143" t="str">
        <f t="shared" si="44"/>
        <v>C-250x75x20x2.8</v>
      </c>
      <c r="DZ143" s="15" t="s">
        <v>116</v>
      </c>
      <c r="EA143" s="16">
        <v>9.6709999999999994</v>
      </c>
      <c r="EB143" s="16">
        <v>250</v>
      </c>
      <c r="EC143" s="16">
        <v>75</v>
      </c>
      <c r="ED143" s="15" t="s">
        <v>47</v>
      </c>
      <c r="EE143" s="15" t="s">
        <v>81</v>
      </c>
    </row>
    <row r="144" spans="79:135" x14ac:dyDescent="0.25">
      <c r="CA144" s="2" t="str">
        <f t="shared" si="34"/>
        <v>Hộp-25x50x2.5</v>
      </c>
      <c r="CB144" s="19">
        <v>2.7166666666666668</v>
      </c>
      <c r="CC144" s="19">
        <v>25</v>
      </c>
      <c r="CD144" s="19">
        <v>50</v>
      </c>
      <c r="CE144" s="20" t="s">
        <v>79</v>
      </c>
      <c r="CF144" s="5">
        <f t="shared" si="35"/>
        <v>150</v>
      </c>
      <c r="CG144" s="5">
        <f t="shared" si="36"/>
        <v>7.5</v>
      </c>
      <c r="CH144" s="5">
        <f t="shared" si="37"/>
        <v>5</v>
      </c>
      <c r="CI144" s="5">
        <f t="shared" si="38"/>
        <v>2.5369219478337457</v>
      </c>
      <c r="CJ144" s="2">
        <f t="shared" si="39"/>
        <v>7850</v>
      </c>
      <c r="CK144" s="48"/>
      <c r="CZ144" s="2" t="str">
        <f t="shared" si="40"/>
        <v>Ống-76x1.5</v>
      </c>
      <c r="DA144" s="19">
        <v>2.794</v>
      </c>
      <c r="DB144" s="19">
        <v>76</v>
      </c>
      <c r="DC144" s="19">
        <v>1.5</v>
      </c>
      <c r="DD144" s="21">
        <f t="shared" si="41"/>
        <v>238.76104167282426</v>
      </c>
      <c r="DE144" s="44">
        <f t="shared" si="42"/>
        <v>2.7559228854534696</v>
      </c>
      <c r="DF144" s="19">
        <f t="shared" si="43"/>
        <v>7850</v>
      </c>
      <c r="DY144" t="str">
        <f t="shared" si="44"/>
        <v>C-250x75x20x3</v>
      </c>
      <c r="DZ144" s="15" t="s">
        <v>116</v>
      </c>
      <c r="EA144" s="16">
        <v>10.362</v>
      </c>
      <c r="EB144" s="16">
        <v>250</v>
      </c>
      <c r="EC144" s="16">
        <v>75</v>
      </c>
      <c r="ED144" s="15" t="s">
        <v>47</v>
      </c>
      <c r="EE144" s="15" t="s">
        <v>83</v>
      </c>
    </row>
    <row r="145" spans="79:135" x14ac:dyDescent="0.25">
      <c r="CA145" s="2" t="str">
        <f t="shared" si="34"/>
        <v>Hộp-25x50x2.7</v>
      </c>
      <c r="CB145" s="19">
        <v>2.9</v>
      </c>
      <c r="CC145" s="19">
        <v>25</v>
      </c>
      <c r="CD145" s="19">
        <v>50</v>
      </c>
      <c r="CE145" s="20" t="s">
        <v>80</v>
      </c>
      <c r="CF145" s="5">
        <f t="shared" si="35"/>
        <v>150</v>
      </c>
      <c r="CG145" s="5">
        <f t="shared" si="36"/>
        <v>8.1000000000000014</v>
      </c>
      <c r="CH145" s="5">
        <f t="shared" si="37"/>
        <v>5.4</v>
      </c>
      <c r="CI145" s="5">
        <f t="shared" si="38"/>
        <v>2.7047257599532815</v>
      </c>
      <c r="CJ145" s="2">
        <f t="shared" si="39"/>
        <v>7850</v>
      </c>
      <c r="CK145" s="48"/>
      <c r="CZ145" s="2" t="str">
        <f t="shared" si="40"/>
        <v>Ống-76x1.7</v>
      </c>
      <c r="DA145" s="19">
        <v>3.1640000000000001</v>
      </c>
      <c r="DB145" s="19">
        <v>76</v>
      </c>
      <c r="DC145" s="19">
        <v>1.7</v>
      </c>
      <c r="DD145" s="21">
        <f t="shared" si="41"/>
        <v>238.76104167282426</v>
      </c>
      <c r="DE145" s="44">
        <f t="shared" si="42"/>
        <v>3.1149943593881741</v>
      </c>
      <c r="DF145" s="19">
        <f t="shared" si="43"/>
        <v>7850</v>
      </c>
      <c r="DY145" t="str">
        <f t="shared" si="44"/>
        <v>C-250x75x20x3.5</v>
      </c>
      <c r="DZ145" s="15" t="s">
        <v>116</v>
      </c>
      <c r="EA145" s="16">
        <v>12.089</v>
      </c>
      <c r="EB145" s="16">
        <v>250</v>
      </c>
      <c r="EC145" s="16">
        <v>75</v>
      </c>
      <c r="ED145" s="15" t="s">
        <v>47</v>
      </c>
      <c r="EE145" s="15" t="s">
        <v>88</v>
      </c>
    </row>
    <row r="146" spans="79:135" x14ac:dyDescent="0.25">
      <c r="CA146" s="2" t="str">
        <f t="shared" si="34"/>
        <v>Hộp-25x50x2.8</v>
      </c>
      <c r="CB146" s="19">
        <v>3</v>
      </c>
      <c r="CC146" s="19">
        <v>25</v>
      </c>
      <c r="CD146" s="19">
        <v>50</v>
      </c>
      <c r="CE146" s="20" t="s">
        <v>81</v>
      </c>
      <c r="CF146" s="5">
        <f t="shared" si="35"/>
        <v>150</v>
      </c>
      <c r="CG146" s="5">
        <f t="shared" si="36"/>
        <v>8.3999999999999986</v>
      </c>
      <c r="CH146" s="5">
        <f t="shared" si="37"/>
        <v>5.6</v>
      </c>
      <c r="CI146" s="5">
        <f t="shared" si="38"/>
        <v>2.7866748913626509</v>
      </c>
      <c r="CJ146" s="2">
        <f t="shared" si="39"/>
        <v>7850</v>
      </c>
      <c r="CK146" s="48"/>
      <c r="CZ146" s="2" t="str">
        <f t="shared" si="40"/>
        <v>Ống-76x1.8</v>
      </c>
      <c r="DA146" s="19">
        <v>3.3479999999999999</v>
      </c>
      <c r="DB146" s="19">
        <v>76</v>
      </c>
      <c r="DC146" s="19">
        <v>1.8</v>
      </c>
      <c r="DD146" s="21">
        <f t="shared" si="41"/>
        <v>238.76104167282426</v>
      </c>
      <c r="DE146" s="44">
        <f t="shared" si="42"/>
        <v>3.2937902512855977</v>
      </c>
      <c r="DF146" s="19">
        <f t="shared" si="43"/>
        <v>7850</v>
      </c>
      <c r="DY146" t="str">
        <f t="shared" si="44"/>
        <v>C-250x75x20x4</v>
      </c>
      <c r="DZ146" s="15" t="s">
        <v>116</v>
      </c>
      <c r="EA146" s="16">
        <v>13.816000000000001</v>
      </c>
      <c r="EB146" s="16">
        <v>250</v>
      </c>
      <c r="EC146" s="16">
        <v>75</v>
      </c>
      <c r="ED146" s="15" t="s">
        <v>47</v>
      </c>
      <c r="EE146" s="15" t="s">
        <v>25</v>
      </c>
    </row>
    <row r="147" spans="79:135" x14ac:dyDescent="0.25">
      <c r="CA147" s="2" t="str">
        <f t="shared" si="34"/>
        <v>Hộp-25x50x2.9</v>
      </c>
      <c r="CB147" s="19">
        <v>3.1</v>
      </c>
      <c r="CC147" s="19">
        <v>25</v>
      </c>
      <c r="CD147" s="19">
        <v>50</v>
      </c>
      <c r="CE147" s="20" t="s">
        <v>82</v>
      </c>
      <c r="CF147" s="5">
        <f t="shared" si="35"/>
        <v>150</v>
      </c>
      <c r="CG147" s="5">
        <f t="shared" si="36"/>
        <v>8.6999999999999993</v>
      </c>
      <c r="CH147" s="5">
        <f t="shared" si="37"/>
        <v>5.8</v>
      </c>
      <c r="CI147" s="5">
        <f t="shared" si="38"/>
        <v>2.8673221730050891</v>
      </c>
      <c r="CJ147" s="2">
        <f t="shared" si="39"/>
        <v>7850</v>
      </c>
      <c r="CK147" s="48"/>
      <c r="CZ147" s="2" t="str">
        <f t="shared" si="40"/>
        <v>Ống-76x2</v>
      </c>
      <c r="DA147" s="19">
        <v>3.7170000000000001</v>
      </c>
      <c r="DB147" s="19">
        <v>76</v>
      </c>
      <c r="DC147" s="19">
        <v>2</v>
      </c>
      <c r="DD147" s="21">
        <f t="shared" si="41"/>
        <v>238.76104167282426</v>
      </c>
      <c r="DE147" s="44">
        <f t="shared" si="42"/>
        <v>3.64990234494062</v>
      </c>
      <c r="DF147" s="19">
        <f t="shared" si="43"/>
        <v>7850</v>
      </c>
      <c r="DY147" t="str">
        <f t="shared" si="44"/>
        <v>C-300x75x22x1.2</v>
      </c>
      <c r="DZ147" s="15" t="s">
        <v>116</v>
      </c>
      <c r="EA147" s="16">
        <v>4.6529999999999996</v>
      </c>
      <c r="EB147" s="16">
        <v>300</v>
      </c>
      <c r="EC147" s="16">
        <v>75</v>
      </c>
      <c r="ED147" s="15" t="s">
        <v>117</v>
      </c>
      <c r="EE147" s="15" t="s">
        <v>67</v>
      </c>
    </row>
    <row r="148" spans="79:135" x14ac:dyDescent="0.25">
      <c r="CA148" s="2" t="str">
        <f t="shared" si="34"/>
        <v>Hộp-25x50x3</v>
      </c>
      <c r="CB148" s="19">
        <v>3.1999999999999997</v>
      </c>
      <c r="CC148" s="19">
        <v>25</v>
      </c>
      <c r="CD148" s="19">
        <v>50</v>
      </c>
      <c r="CE148" s="20" t="s">
        <v>83</v>
      </c>
      <c r="CF148" s="5">
        <f t="shared" si="35"/>
        <v>150</v>
      </c>
      <c r="CG148" s="5">
        <f t="shared" si="36"/>
        <v>9</v>
      </c>
      <c r="CH148" s="5">
        <f t="shared" si="37"/>
        <v>6</v>
      </c>
      <c r="CI148" s="5">
        <f t="shared" si="38"/>
        <v>2.9466676048805942</v>
      </c>
      <c r="CJ148" s="2">
        <f t="shared" si="39"/>
        <v>7850</v>
      </c>
      <c r="CK148" s="48"/>
      <c r="CZ148" s="2" t="str">
        <f t="shared" si="40"/>
        <v>Ống-76x2.3</v>
      </c>
      <c r="DA148" s="19">
        <v>4.2690000000000001</v>
      </c>
      <c r="DB148" s="19">
        <v>76</v>
      </c>
      <c r="DC148" s="19">
        <v>2.2999999999999998</v>
      </c>
      <c r="DD148" s="21">
        <f t="shared" si="41"/>
        <v>238.76104167282426</v>
      </c>
      <c r="DE148" s="44">
        <f t="shared" si="42"/>
        <v>4.1803712600735388</v>
      </c>
      <c r="DF148" s="19">
        <f t="shared" si="43"/>
        <v>7850</v>
      </c>
      <c r="DY148" t="str">
        <f t="shared" si="44"/>
        <v>C-300x75x22x1.5</v>
      </c>
      <c r="DZ148" s="15" t="s">
        <v>116</v>
      </c>
      <c r="EA148" s="16">
        <v>5.8170000000000002</v>
      </c>
      <c r="EB148" s="16">
        <v>300</v>
      </c>
      <c r="EC148" s="16">
        <v>75</v>
      </c>
      <c r="ED148" s="15" t="s">
        <v>117</v>
      </c>
      <c r="EE148" s="15" t="s">
        <v>69</v>
      </c>
    </row>
    <row r="149" spans="79:135" x14ac:dyDescent="0.25">
      <c r="CA149" s="2" t="str">
        <f t="shared" si="34"/>
        <v>Hộp-30x60x0.8</v>
      </c>
      <c r="CB149" s="19">
        <v>1.1066666666666667</v>
      </c>
      <c r="CC149" s="19">
        <v>30</v>
      </c>
      <c r="CD149" s="19">
        <v>60</v>
      </c>
      <c r="CE149" s="20" t="s">
        <v>63</v>
      </c>
      <c r="CF149" s="5">
        <f t="shared" si="35"/>
        <v>180</v>
      </c>
      <c r="CG149" s="5">
        <f t="shared" si="36"/>
        <v>2.4000000000000004</v>
      </c>
      <c r="CH149" s="5">
        <f t="shared" si="37"/>
        <v>1.6</v>
      </c>
      <c r="CI149" s="5">
        <f t="shared" si="38"/>
        <v>1.0887408074581757</v>
      </c>
      <c r="CJ149" s="2">
        <f t="shared" si="39"/>
        <v>7850</v>
      </c>
      <c r="CK149" s="48"/>
      <c r="CZ149" s="2" t="str">
        <f t="shared" si="40"/>
        <v>Ống-76x2.5</v>
      </c>
      <c r="DA149" s="19">
        <v>4.6369999999999996</v>
      </c>
      <c r="DB149" s="19">
        <v>76</v>
      </c>
      <c r="DC149" s="19">
        <v>2.5</v>
      </c>
      <c r="DD149" s="21">
        <f t="shared" si="41"/>
        <v>238.76104167282426</v>
      </c>
      <c r="DE149" s="44">
        <f t="shared" si="42"/>
        <v>4.531551053262425</v>
      </c>
      <c r="DF149" s="19">
        <f t="shared" si="43"/>
        <v>7850</v>
      </c>
      <c r="DY149" t="str">
        <f t="shared" si="44"/>
        <v>C-300x75x22x1.8</v>
      </c>
      <c r="DZ149" s="15" t="s">
        <v>116</v>
      </c>
      <c r="EA149" s="16">
        <v>6.98</v>
      </c>
      <c r="EB149" s="16">
        <v>300</v>
      </c>
      <c r="EC149" s="16">
        <v>75</v>
      </c>
      <c r="ED149" s="15" t="s">
        <v>117</v>
      </c>
      <c r="EE149" s="15" t="s">
        <v>72</v>
      </c>
    </row>
    <row r="150" spans="79:135" x14ac:dyDescent="0.25">
      <c r="CA150" s="2" t="str">
        <f t="shared" si="34"/>
        <v>Hộp-30x60x0.9</v>
      </c>
      <c r="CB150" s="19">
        <v>1.2416666666666667</v>
      </c>
      <c r="CC150" s="19">
        <v>30</v>
      </c>
      <c r="CD150" s="19">
        <v>60</v>
      </c>
      <c r="CE150" s="20" t="s">
        <v>64</v>
      </c>
      <c r="CF150" s="5">
        <f t="shared" si="35"/>
        <v>180</v>
      </c>
      <c r="CG150" s="5">
        <f t="shared" si="36"/>
        <v>2.7</v>
      </c>
      <c r="CH150" s="5">
        <f t="shared" si="37"/>
        <v>1.8</v>
      </c>
      <c r="CI150" s="5">
        <f t="shared" si="38"/>
        <v>1.2189750844392535</v>
      </c>
      <c r="CJ150" s="2">
        <f t="shared" si="39"/>
        <v>7850</v>
      </c>
      <c r="CK150" s="48"/>
      <c r="CZ150" s="2" t="str">
        <f t="shared" si="40"/>
        <v>Ống-76x2.8</v>
      </c>
      <c r="DA150" s="19">
        <v>5.1859999999999999</v>
      </c>
      <c r="DB150" s="19">
        <v>76</v>
      </c>
      <c r="DC150" s="19">
        <v>2.8</v>
      </c>
      <c r="DD150" s="21">
        <f t="shared" si="41"/>
        <v>238.76104167282426</v>
      </c>
      <c r="DE150" s="44">
        <f t="shared" si="42"/>
        <v>5.0546215176961384</v>
      </c>
      <c r="DF150" s="19">
        <f t="shared" si="43"/>
        <v>7850</v>
      </c>
      <c r="DY150" t="str">
        <f t="shared" si="44"/>
        <v>C-300x75x22x2</v>
      </c>
      <c r="DZ150" s="15" t="s">
        <v>116</v>
      </c>
      <c r="EA150" s="16">
        <v>7.7560000000000002</v>
      </c>
      <c r="EB150" s="16">
        <v>300</v>
      </c>
      <c r="EC150" s="16">
        <v>75</v>
      </c>
      <c r="ED150" s="15" t="s">
        <v>117</v>
      </c>
      <c r="EE150" s="15" t="s">
        <v>74</v>
      </c>
    </row>
    <row r="151" spans="79:135" x14ac:dyDescent="0.25">
      <c r="CA151" s="2" t="str">
        <f t="shared" si="34"/>
        <v>Hộp-30x60x1</v>
      </c>
      <c r="CB151" s="19">
        <v>1.375</v>
      </c>
      <c r="CC151" s="19">
        <v>30</v>
      </c>
      <c r="CD151" s="19">
        <v>60</v>
      </c>
      <c r="CE151" s="20" t="s">
        <v>65</v>
      </c>
      <c r="CF151" s="5">
        <f t="shared" si="35"/>
        <v>180</v>
      </c>
      <c r="CG151" s="5">
        <f t="shared" si="36"/>
        <v>3</v>
      </c>
      <c r="CH151" s="5">
        <f t="shared" si="37"/>
        <v>2</v>
      </c>
      <c r="CI151" s="5">
        <f t="shared" si="38"/>
        <v>1.3479075116533994</v>
      </c>
      <c r="CJ151" s="2">
        <f t="shared" si="39"/>
        <v>7850</v>
      </c>
      <c r="CK151" s="48"/>
      <c r="CZ151" s="2" t="str">
        <f t="shared" si="40"/>
        <v>Ống-76x3</v>
      </c>
      <c r="DA151" s="19">
        <v>5.5519999999999996</v>
      </c>
      <c r="DB151" s="19">
        <v>76</v>
      </c>
      <c r="DC151" s="19">
        <v>3</v>
      </c>
      <c r="DD151" s="21">
        <f t="shared" si="41"/>
        <v>238.76104167282426</v>
      </c>
      <c r="DE151" s="44">
        <f t="shared" si="42"/>
        <v>5.4008690104188899</v>
      </c>
      <c r="DF151" s="19">
        <f t="shared" si="43"/>
        <v>7850</v>
      </c>
      <c r="DY151" t="str">
        <f t="shared" si="44"/>
        <v>C-300x75x22x2.5</v>
      </c>
      <c r="DZ151" s="15" t="s">
        <v>116</v>
      </c>
      <c r="EA151" s="16">
        <v>9.6950000000000003</v>
      </c>
      <c r="EB151" s="16">
        <v>300</v>
      </c>
      <c r="EC151" s="16">
        <v>75</v>
      </c>
      <c r="ED151" s="15" t="s">
        <v>117</v>
      </c>
      <c r="EE151" s="15" t="s">
        <v>79</v>
      </c>
    </row>
    <row r="152" spans="79:135" x14ac:dyDescent="0.25">
      <c r="CA152" s="2" t="str">
        <f t="shared" si="34"/>
        <v>Hộp-30x60x1.1</v>
      </c>
      <c r="CB152" s="19">
        <v>1.5083333333333335</v>
      </c>
      <c r="CC152" s="19">
        <v>30</v>
      </c>
      <c r="CD152" s="19">
        <v>60</v>
      </c>
      <c r="CE152" s="20" t="s">
        <v>66</v>
      </c>
      <c r="CF152" s="5">
        <f t="shared" si="35"/>
        <v>180</v>
      </c>
      <c r="CG152" s="5">
        <f t="shared" si="36"/>
        <v>3.3000000000000003</v>
      </c>
      <c r="CH152" s="5">
        <f t="shared" si="37"/>
        <v>2.2000000000000002</v>
      </c>
      <c r="CI152" s="5">
        <f t="shared" si="38"/>
        <v>1.4755380891006131</v>
      </c>
      <c r="CJ152" s="2">
        <f t="shared" si="39"/>
        <v>7850</v>
      </c>
      <c r="CK152" s="48"/>
      <c r="CZ152" s="2" t="str">
        <f t="shared" si="40"/>
        <v>Ống-90x1.2</v>
      </c>
      <c r="DA152" s="19">
        <v>2.6520000000000001</v>
      </c>
      <c r="DB152" s="19">
        <v>90</v>
      </c>
      <c r="DC152" s="19">
        <v>1.2</v>
      </c>
      <c r="DD152" s="21">
        <f t="shared" si="41"/>
        <v>282.74333882308139</v>
      </c>
      <c r="DE152" s="44">
        <f t="shared" si="42"/>
        <v>2.6279296883572489</v>
      </c>
      <c r="DF152" s="19">
        <f t="shared" si="43"/>
        <v>7850</v>
      </c>
      <c r="DY152" t="str">
        <f t="shared" si="44"/>
        <v>C-300x75x22x2.8</v>
      </c>
      <c r="DZ152" s="15" t="s">
        <v>116</v>
      </c>
      <c r="EA152" s="16">
        <v>10.858000000000001</v>
      </c>
      <c r="EB152" s="16">
        <v>300</v>
      </c>
      <c r="EC152" s="16">
        <v>75</v>
      </c>
      <c r="ED152" s="15" t="s">
        <v>117</v>
      </c>
      <c r="EE152" s="15" t="s">
        <v>81</v>
      </c>
    </row>
    <row r="153" spans="79:135" x14ac:dyDescent="0.25">
      <c r="CA153" s="2" t="str">
        <f t="shared" si="34"/>
        <v>Hộp-30x60x1.2</v>
      </c>
      <c r="CB153" s="19">
        <v>1.6416666666666666</v>
      </c>
      <c r="CC153" s="19">
        <v>30</v>
      </c>
      <c r="CD153" s="19">
        <v>60</v>
      </c>
      <c r="CE153" s="20" t="s">
        <v>67</v>
      </c>
      <c r="CF153" s="5">
        <f t="shared" si="35"/>
        <v>180</v>
      </c>
      <c r="CG153" s="5">
        <f t="shared" si="36"/>
        <v>3.5999999999999996</v>
      </c>
      <c r="CH153" s="5">
        <f t="shared" si="37"/>
        <v>2.4</v>
      </c>
      <c r="CI153" s="5">
        <f t="shared" si="38"/>
        <v>1.6018668167808949</v>
      </c>
      <c r="CJ153" s="2">
        <f t="shared" si="39"/>
        <v>7850</v>
      </c>
      <c r="CK153" s="48"/>
      <c r="CZ153" s="2" t="str">
        <f t="shared" si="40"/>
        <v>Ống-90x1.4</v>
      </c>
      <c r="DA153" s="19">
        <v>3.0920000000000001</v>
      </c>
      <c r="DB153" s="19">
        <v>90</v>
      </c>
      <c r="DC153" s="19">
        <v>1.4</v>
      </c>
      <c r="DD153" s="21">
        <f t="shared" si="41"/>
        <v>282.74333882308139</v>
      </c>
      <c r="DE153" s="44">
        <f t="shared" si="42"/>
        <v>3.0590127490975298</v>
      </c>
      <c r="DF153" s="19">
        <f t="shared" si="43"/>
        <v>7850</v>
      </c>
      <c r="DY153" t="str">
        <f t="shared" si="44"/>
        <v>C-300x75x22x3</v>
      </c>
      <c r="DZ153" s="15" t="s">
        <v>116</v>
      </c>
      <c r="EA153" s="16">
        <v>11.634</v>
      </c>
      <c r="EB153" s="16">
        <v>300</v>
      </c>
      <c r="EC153" s="16">
        <v>75</v>
      </c>
      <c r="ED153" s="15" t="s">
        <v>117</v>
      </c>
      <c r="EE153" s="15" t="s">
        <v>83</v>
      </c>
    </row>
    <row r="154" spans="79:135" x14ac:dyDescent="0.25">
      <c r="CA154" s="2" t="str">
        <f t="shared" si="34"/>
        <v>Hộp-30x60x1.4</v>
      </c>
      <c r="CB154" s="19">
        <v>1.9000000000000001</v>
      </c>
      <c r="CC154" s="19">
        <v>30</v>
      </c>
      <c r="CD154" s="19">
        <v>60</v>
      </c>
      <c r="CE154" s="20" t="s">
        <v>68</v>
      </c>
      <c r="CF154" s="5">
        <f t="shared" si="35"/>
        <v>180</v>
      </c>
      <c r="CG154" s="5">
        <f t="shared" si="36"/>
        <v>4.1999999999999993</v>
      </c>
      <c r="CH154" s="5">
        <f t="shared" si="37"/>
        <v>2.8</v>
      </c>
      <c r="CI154" s="5">
        <f t="shared" si="38"/>
        <v>1.850618722840663</v>
      </c>
      <c r="CJ154" s="2">
        <f t="shared" si="39"/>
        <v>7850</v>
      </c>
      <c r="CK154" s="48"/>
      <c r="CZ154" s="2" t="str">
        <f t="shared" si="40"/>
        <v>Ống-90x1.5</v>
      </c>
      <c r="DA154" s="19">
        <v>3.3119999999999998</v>
      </c>
      <c r="DB154" s="19">
        <v>90</v>
      </c>
      <c r="DC154" s="19">
        <v>1.5</v>
      </c>
      <c r="DD154" s="21">
        <f t="shared" si="41"/>
        <v>282.74333882308139</v>
      </c>
      <c r="DE154" s="44">
        <f t="shared" si="42"/>
        <v>3.2738144343977518</v>
      </c>
      <c r="DF154" s="19">
        <f t="shared" si="43"/>
        <v>7850</v>
      </c>
      <c r="DY154" t="str">
        <f t="shared" si="44"/>
        <v>C-300x75x22x3.5</v>
      </c>
      <c r="DZ154" s="15" t="s">
        <v>116</v>
      </c>
      <c r="EA154" s="16">
        <v>13.573</v>
      </c>
      <c r="EB154" s="16">
        <v>300</v>
      </c>
      <c r="EC154" s="16">
        <v>75</v>
      </c>
      <c r="ED154" s="15" t="s">
        <v>117</v>
      </c>
      <c r="EE154" s="15" t="s">
        <v>88</v>
      </c>
    </row>
    <row r="155" spans="79:135" x14ac:dyDescent="0.25">
      <c r="CA155" s="2" t="str">
        <f t="shared" si="34"/>
        <v>Hộp-30x60x1.5</v>
      </c>
      <c r="CB155" s="19">
        <v>2.0333333333333332</v>
      </c>
      <c r="CC155" s="19">
        <v>30</v>
      </c>
      <c r="CD155" s="19">
        <v>60</v>
      </c>
      <c r="CE155" s="20" t="s">
        <v>69</v>
      </c>
      <c r="CF155" s="5">
        <f t="shared" si="35"/>
        <v>180</v>
      </c>
      <c r="CG155" s="5">
        <f t="shared" si="36"/>
        <v>4.5</v>
      </c>
      <c r="CH155" s="5">
        <f t="shared" si="37"/>
        <v>3</v>
      </c>
      <c r="CI155" s="5">
        <f t="shared" si="38"/>
        <v>1.9730419012201486</v>
      </c>
      <c r="CJ155" s="2">
        <f t="shared" si="39"/>
        <v>7850</v>
      </c>
      <c r="CK155" s="48"/>
      <c r="CZ155" s="2" t="str">
        <f t="shared" si="40"/>
        <v>Ống-90x1.7</v>
      </c>
      <c r="DA155" s="19">
        <v>3.7509999999999999</v>
      </c>
      <c r="DB155" s="19">
        <v>90</v>
      </c>
      <c r="DC155" s="19">
        <v>1.7</v>
      </c>
      <c r="DD155" s="21">
        <f t="shared" si="41"/>
        <v>282.74333882308139</v>
      </c>
      <c r="DE155" s="44">
        <f t="shared" si="42"/>
        <v>3.7019381148583643</v>
      </c>
      <c r="DF155" s="19">
        <f t="shared" si="43"/>
        <v>7850</v>
      </c>
      <c r="DY155" t="str">
        <f t="shared" si="44"/>
        <v>C-300x75x22x4</v>
      </c>
      <c r="DZ155" s="15" t="s">
        <v>116</v>
      </c>
      <c r="EA155" s="16">
        <v>15.512</v>
      </c>
      <c r="EB155" s="16">
        <v>300</v>
      </c>
      <c r="EC155" s="16">
        <v>75</v>
      </c>
      <c r="ED155" s="15" t="s">
        <v>117</v>
      </c>
      <c r="EE155" s="15" t="s">
        <v>25</v>
      </c>
    </row>
    <row r="156" spans="79:135" x14ac:dyDescent="0.25">
      <c r="CA156" s="2" t="str">
        <f t="shared" si="34"/>
        <v>Hộp-30x60x1.6</v>
      </c>
      <c r="CB156" s="19">
        <v>2.1666666666666665</v>
      </c>
      <c r="CC156" s="19">
        <v>30</v>
      </c>
      <c r="CD156" s="19">
        <v>60</v>
      </c>
      <c r="CE156" s="20" t="s">
        <v>70</v>
      </c>
      <c r="CF156" s="5">
        <f t="shared" si="35"/>
        <v>180</v>
      </c>
      <c r="CG156" s="5">
        <f t="shared" si="36"/>
        <v>4.8000000000000007</v>
      </c>
      <c r="CH156" s="5">
        <f t="shared" si="37"/>
        <v>3.2</v>
      </c>
      <c r="CI156" s="5">
        <f t="shared" si="38"/>
        <v>2.0941632298327022</v>
      </c>
      <c r="CJ156" s="2">
        <f t="shared" si="39"/>
        <v>7850</v>
      </c>
      <c r="CK156" s="48"/>
      <c r="CZ156" s="2" t="str">
        <f t="shared" si="40"/>
        <v>Ống-90x1.8</v>
      </c>
      <c r="DA156" s="19">
        <v>3.97</v>
      </c>
      <c r="DB156" s="19">
        <v>90</v>
      </c>
      <c r="DC156" s="19">
        <v>1.8</v>
      </c>
      <c r="DD156" s="21">
        <f t="shared" si="41"/>
        <v>282.74333882308139</v>
      </c>
      <c r="DE156" s="44">
        <f t="shared" si="42"/>
        <v>3.915260110018727</v>
      </c>
      <c r="DF156" s="19">
        <f t="shared" si="43"/>
        <v>7850</v>
      </c>
      <c r="DY156" t="str">
        <f t="shared" si="44"/>
        <v>Z-80x40x16x1.5</v>
      </c>
      <c r="DZ156" s="15" t="s">
        <v>118</v>
      </c>
      <c r="EA156" s="16">
        <v>2.1</v>
      </c>
      <c r="EB156" s="16">
        <v>80</v>
      </c>
      <c r="EC156" s="16">
        <v>40</v>
      </c>
      <c r="ED156" s="15" t="s">
        <v>37</v>
      </c>
      <c r="EE156" s="15" t="s">
        <v>69</v>
      </c>
    </row>
    <row r="157" spans="79:135" x14ac:dyDescent="0.25">
      <c r="CA157" s="2" t="str">
        <f t="shared" si="34"/>
        <v>Hộp-30x60x1.7</v>
      </c>
      <c r="CB157" s="19">
        <v>2.3000000000000003</v>
      </c>
      <c r="CC157" s="19">
        <v>30</v>
      </c>
      <c r="CD157" s="19">
        <v>60</v>
      </c>
      <c r="CE157" s="20" t="s">
        <v>71</v>
      </c>
      <c r="CF157" s="5">
        <f t="shared" si="35"/>
        <v>180</v>
      </c>
      <c r="CG157" s="5">
        <f t="shared" si="36"/>
        <v>5.0999999999999996</v>
      </c>
      <c r="CH157" s="5">
        <f t="shared" si="37"/>
        <v>3.4</v>
      </c>
      <c r="CI157" s="5">
        <f t="shared" si="38"/>
        <v>2.2139827086783241</v>
      </c>
      <c r="CJ157" s="2">
        <f t="shared" si="39"/>
        <v>7850</v>
      </c>
      <c r="CK157" s="48"/>
      <c r="CZ157" s="2" t="str">
        <f t="shared" si="40"/>
        <v>Ống-90x2</v>
      </c>
      <c r="DA157" s="19">
        <v>4.4080000000000004</v>
      </c>
      <c r="DB157" s="19">
        <v>90</v>
      </c>
      <c r="DC157" s="19">
        <v>2</v>
      </c>
      <c r="DD157" s="21">
        <f t="shared" si="41"/>
        <v>282.74333882308139</v>
      </c>
      <c r="DE157" s="44">
        <f t="shared" si="42"/>
        <v>4.3404244101996579</v>
      </c>
      <c r="DF157" s="19">
        <f t="shared" si="43"/>
        <v>7850</v>
      </c>
      <c r="DY157" t="str">
        <f t="shared" si="44"/>
        <v>Z-80x40x16x1.8</v>
      </c>
      <c r="DZ157" s="15" t="s">
        <v>118</v>
      </c>
      <c r="EA157" s="16">
        <v>2.6</v>
      </c>
      <c r="EB157" s="16">
        <v>80</v>
      </c>
      <c r="EC157" s="16">
        <v>40</v>
      </c>
      <c r="ED157" s="15" t="s">
        <v>37</v>
      </c>
      <c r="EE157" s="15" t="s">
        <v>72</v>
      </c>
    </row>
    <row r="158" spans="79:135" x14ac:dyDescent="0.25">
      <c r="CA158" s="2" t="str">
        <f t="shared" si="34"/>
        <v>Hộp-30x60x1.8</v>
      </c>
      <c r="CB158" s="19">
        <v>2.4166666666666665</v>
      </c>
      <c r="CC158" s="19">
        <v>30</v>
      </c>
      <c r="CD158" s="19">
        <v>60</v>
      </c>
      <c r="CE158" s="20" t="s">
        <v>72</v>
      </c>
      <c r="CF158" s="5">
        <f t="shared" si="35"/>
        <v>180</v>
      </c>
      <c r="CG158" s="5">
        <f t="shared" si="36"/>
        <v>5.4</v>
      </c>
      <c r="CH158" s="5">
        <f t="shared" si="37"/>
        <v>3.6</v>
      </c>
      <c r="CI158" s="5">
        <f t="shared" si="38"/>
        <v>2.3325003377570144</v>
      </c>
      <c r="CJ158" s="2">
        <f t="shared" si="39"/>
        <v>7850</v>
      </c>
      <c r="CK158" s="48"/>
      <c r="CZ158" s="2" t="str">
        <f t="shared" si="40"/>
        <v>Ống-90x2.3</v>
      </c>
      <c r="DA158" s="19">
        <v>5.0629999999999997</v>
      </c>
      <c r="DB158" s="19">
        <v>90</v>
      </c>
      <c r="DC158" s="19">
        <v>2.2999999999999998</v>
      </c>
      <c r="DD158" s="21">
        <f t="shared" si="41"/>
        <v>282.74333882308139</v>
      </c>
      <c r="DE158" s="44">
        <f t="shared" si="42"/>
        <v>4.9744716351214313</v>
      </c>
      <c r="DF158" s="19">
        <f t="shared" si="43"/>
        <v>7850</v>
      </c>
      <c r="DY158" t="str">
        <f t="shared" si="44"/>
        <v>Z-80x40x16x2</v>
      </c>
      <c r="DZ158" s="15" t="s">
        <v>118</v>
      </c>
      <c r="EA158" s="16">
        <v>2.9</v>
      </c>
      <c r="EB158" s="16">
        <v>80</v>
      </c>
      <c r="EC158" s="16">
        <v>40</v>
      </c>
      <c r="ED158" s="15" t="s">
        <v>37</v>
      </c>
      <c r="EE158" s="15" t="s">
        <v>74</v>
      </c>
    </row>
    <row r="159" spans="79:135" x14ac:dyDescent="0.25">
      <c r="CA159" s="2" t="str">
        <f t="shared" si="34"/>
        <v>Hộp-30x60x1.9</v>
      </c>
      <c r="CB159" s="19">
        <v>2.5500000000000003</v>
      </c>
      <c r="CC159" s="19">
        <v>30</v>
      </c>
      <c r="CD159" s="19">
        <v>60</v>
      </c>
      <c r="CE159" s="20" t="s">
        <v>73</v>
      </c>
      <c r="CF159" s="5">
        <f t="shared" si="35"/>
        <v>180</v>
      </c>
      <c r="CG159" s="5">
        <f t="shared" si="36"/>
        <v>5.6999999999999993</v>
      </c>
      <c r="CH159" s="5">
        <f t="shared" si="37"/>
        <v>3.8</v>
      </c>
      <c r="CI159" s="5">
        <f t="shared" si="38"/>
        <v>2.4497161170687716</v>
      </c>
      <c r="CJ159" s="2">
        <f t="shared" si="39"/>
        <v>7850</v>
      </c>
      <c r="CK159" s="48"/>
      <c r="CZ159" s="2" t="str">
        <f t="shared" si="40"/>
        <v>Ống-90x2.5</v>
      </c>
      <c r="DA159" s="19">
        <v>5.5</v>
      </c>
      <c r="DB159" s="19">
        <v>90</v>
      </c>
      <c r="DC159" s="19">
        <v>2.5</v>
      </c>
      <c r="DD159" s="21">
        <f t="shared" si="41"/>
        <v>282.74333882308139</v>
      </c>
      <c r="DE159" s="44">
        <f t="shared" si="42"/>
        <v>5.3947036348362225</v>
      </c>
      <c r="DF159" s="19">
        <f t="shared" si="43"/>
        <v>7850</v>
      </c>
      <c r="DY159" t="str">
        <f t="shared" si="44"/>
        <v>Z-80x40x16x2.3</v>
      </c>
      <c r="DZ159" s="15" t="s">
        <v>118</v>
      </c>
      <c r="EA159" s="16">
        <v>3.3</v>
      </c>
      <c r="EB159" s="16">
        <v>80</v>
      </c>
      <c r="EC159" s="16">
        <v>40</v>
      </c>
      <c r="ED159" s="15" t="s">
        <v>37</v>
      </c>
      <c r="EE159" s="15" t="s">
        <v>77</v>
      </c>
    </row>
    <row r="160" spans="79:135" x14ac:dyDescent="0.25">
      <c r="CA160" s="2" t="str">
        <f t="shared" si="34"/>
        <v>Hộp-30x60x2</v>
      </c>
      <c r="CB160" s="19">
        <v>2.6833333333333336</v>
      </c>
      <c r="CC160" s="19">
        <v>30</v>
      </c>
      <c r="CD160" s="19">
        <v>60</v>
      </c>
      <c r="CE160" s="20" t="s">
        <v>74</v>
      </c>
      <c r="CF160" s="5">
        <f t="shared" si="35"/>
        <v>180</v>
      </c>
      <c r="CG160" s="5">
        <f t="shared" si="36"/>
        <v>6</v>
      </c>
      <c r="CH160" s="5">
        <f t="shared" si="37"/>
        <v>4</v>
      </c>
      <c r="CI160" s="5">
        <f t="shared" si="38"/>
        <v>2.5656300466135975</v>
      </c>
      <c r="CJ160" s="2">
        <f t="shared" si="39"/>
        <v>7850</v>
      </c>
      <c r="CK160" s="48"/>
      <c r="CZ160" s="2" t="str">
        <f t="shared" si="40"/>
        <v>Ống-90x2.8</v>
      </c>
      <c r="DA160" s="19">
        <v>6.1529999999999996</v>
      </c>
      <c r="DB160" s="19">
        <v>90</v>
      </c>
      <c r="DC160" s="19">
        <v>2.8</v>
      </c>
      <c r="DD160" s="21">
        <f t="shared" si="41"/>
        <v>282.74333882308139</v>
      </c>
      <c r="DE160" s="44">
        <f t="shared" si="42"/>
        <v>6.0213524090587942</v>
      </c>
      <c r="DF160" s="19">
        <f t="shared" si="43"/>
        <v>7850</v>
      </c>
      <c r="DY160" t="str">
        <f t="shared" si="44"/>
        <v>Z-80x40x16x2.4</v>
      </c>
      <c r="DZ160" s="15" t="s">
        <v>118</v>
      </c>
      <c r="EA160" s="16">
        <v>3.4</v>
      </c>
      <c r="EB160" s="16">
        <v>80</v>
      </c>
      <c r="EC160" s="16">
        <v>40</v>
      </c>
      <c r="ED160" s="15" t="s">
        <v>37</v>
      </c>
      <c r="EE160" s="15" t="s">
        <v>78</v>
      </c>
    </row>
    <row r="161" spans="79:135" x14ac:dyDescent="0.25">
      <c r="CA161" s="2" t="str">
        <f t="shared" si="34"/>
        <v>Hộp-30x60x2.1</v>
      </c>
      <c r="CB161" s="19">
        <v>2.8000000000000003</v>
      </c>
      <c r="CC161" s="19">
        <v>30</v>
      </c>
      <c r="CD161" s="19">
        <v>60</v>
      </c>
      <c r="CE161" s="20" t="s">
        <v>75</v>
      </c>
      <c r="CF161" s="5">
        <f t="shared" si="35"/>
        <v>180</v>
      </c>
      <c r="CG161" s="5">
        <f t="shared" si="36"/>
        <v>6.3000000000000007</v>
      </c>
      <c r="CH161" s="5">
        <f t="shared" si="37"/>
        <v>4.2</v>
      </c>
      <c r="CI161" s="5">
        <f t="shared" si="38"/>
        <v>2.6802421263914913</v>
      </c>
      <c r="CJ161" s="2">
        <f t="shared" si="39"/>
        <v>7850</v>
      </c>
      <c r="CK161" s="48"/>
      <c r="CZ161" s="2" t="str">
        <f t="shared" si="40"/>
        <v>Ống-90x3</v>
      </c>
      <c r="DA161" s="19">
        <v>6.5880000000000001</v>
      </c>
      <c r="DB161" s="19">
        <v>90</v>
      </c>
      <c r="DC161" s="19">
        <v>3</v>
      </c>
      <c r="DD161" s="21">
        <f t="shared" si="41"/>
        <v>282.74333882308139</v>
      </c>
      <c r="DE161" s="44">
        <f t="shared" si="42"/>
        <v>6.4366521083074462</v>
      </c>
      <c r="DF161" s="19">
        <f t="shared" si="43"/>
        <v>7850</v>
      </c>
      <c r="DY161" t="str">
        <f t="shared" si="44"/>
        <v>Z-80x40x16x2.5</v>
      </c>
      <c r="DZ161" s="15" t="s">
        <v>118</v>
      </c>
      <c r="EA161" s="16">
        <v>3.6</v>
      </c>
      <c r="EB161" s="16">
        <v>80</v>
      </c>
      <c r="EC161" s="16">
        <v>40</v>
      </c>
      <c r="ED161" s="15" t="s">
        <v>37</v>
      </c>
      <c r="EE161" s="15" t="s">
        <v>79</v>
      </c>
    </row>
    <row r="162" spans="79:135" x14ac:dyDescent="0.25">
      <c r="CA162" s="2" t="str">
        <f t="shared" si="34"/>
        <v>Hộp-30x60x2.2</v>
      </c>
      <c r="CB162" s="19">
        <v>2.9333333333333336</v>
      </c>
      <c r="CC162" s="19">
        <v>30</v>
      </c>
      <c r="CD162" s="19">
        <v>60</v>
      </c>
      <c r="CE162" s="20" t="s">
        <v>76</v>
      </c>
      <c r="CF162" s="5">
        <f t="shared" si="35"/>
        <v>180</v>
      </c>
      <c r="CG162" s="5">
        <f t="shared" si="36"/>
        <v>6.6000000000000005</v>
      </c>
      <c r="CH162" s="5">
        <f t="shared" si="37"/>
        <v>4.4000000000000004</v>
      </c>
      <c r="CI162" s="5">
        <f t="shared" si="38"/>
        <v>2.7935523564024525</v>
      </c>
      <c r="CJ162" s="2">
        <f t="shared" si="39"/>
        <v>7850</v>
      </c>
      <c r="CK162" s="48"/>
      <c r="CZ162" s="2" t="str">
        <f t="shared" si="40"/>
        <v>Ống-114x1.4</v>
      </c>
      <c r="DA162" s="19">
        <v>3.9209999999999998</v>
      </c>
      <c r="DB162" s="19">
        <v>114</v>
      </c>
      <c r="DC162" s="19">
        <v>1.4</v>
      </c>
      <c r="DD162" s="21">
        <f t="shared" si="41"/>
        <v>358.14156250923639</v>
      </c>
      <c r="DE162" s="44">
        <f t="shared" si="42"/>
        <v>3.8876392274083771</v>
      </c>
      <c r="DF162" s="19">
        <f t="shared" si="43"/>
        <v>7850</v>
      </c>
      <c r="DY162" t="str">
        <f t="shared" si="44"/>
        <v>Z-100x50x16x1.5</v>
      </c>
      <c r="DZ162" s="15" t="s">
        <v>118</v>
      </c>
      <c r="EA162" s="16">
        <v>2.4</v>
      </c>
      <c r="EB162" s="16">
        <v>100</v>
      </c>
      <c r="EC162" s="16">
        <v>50</v>
      </c>
      <c r="ED162" s="15" t="s">
        <v>37</v>
      </c>
      <c r="EE162" s="15" t="s">
        <v>69</v>
      </c>
    </row>
    <row r="163" spans="79:135" x14ac:dyDescent="0.25">
      <c r="CA163" s="2" t="str">
        <f t="shared" si="34"/>
        <v>Hộp-30x60x2.3</v>
      </c>
      <c r="CB163" s="19">
        <v>3.0500000000000003</v>
      </c>
      <c r="CC163" s="19">
        <v>30</v>
      </c>
      <c r="CD163" s="19">
        <v>60</v>
      </c>
      <c r="CE163" s="20" t="s">
        <v>77</v>
      </c>
      <c r="CF163" s="5">
        <f t="shared" si="35"/>
        <v>180</v>
      </c>
      <c r="CG163" s="5">
        <f t="shared" si="36"/>
        <v>6.8999999999999995</v>
      </c>
      <c r="CH163" s="5">
        <f t="shared" si="37"/>
        <v>4.5999999999999996</v>
      </c>
      <c r="CI163" s="5">
        <f t="shared" si="38"/>
        <v>2.9055607366464824</v>
      </c>
      <c r="CJ163" s="2">
        <f t="shared" si="39"/>
        <v>7850</v>
      </c>
      <c r="CK163" s="48"/>
      <c r="CZ163" s="2" t="str">
        <f t="shared" si="40"/>
        <v>Ống-114x1.5</v>
      </c>
      <c r="DA163" s="19">
        <v>4.1989999999999998</v>
      </c>
      <c r="DB163" s="19">
        <v>114</v>
      </c>
      <c r="DC163" s="19">
        <v>1.5</v>
      </c>
      <c r="DD163" s="21">
        <f t="shared" si="41"/>
        <v>358.14156250923639</v>
      </c>
      <c r="DE163" s="44">
        <f t="shared" si="42"/>
        <v>4.1616285183022343</v>
      </c>
      <c r="DF163" s="19">
        <f t="shared" si="43"/>
        <v>7850</v>
      </c>
      <c r="DY163" t="str">
        <f t="shared" si="44"/>
        <v>Z-100x50x16x1.8</v>
      </c>
      <c r="DZ163" s="15" t="s">
        <v>118</v>
      </c>
      <c r="EA163" s="16">
        <v>2.8</v>
      </c>
      <c r="EB163" s="16">
        <v>100</v>
      </c>
      <c r="EC163" s="16">
        <v>50</v>
      </c>
      <c r="ED163" s="15" t="s">
        <v>37</v>
      </c>
      <c r="EE163" s="15" t="s">
        <v>72</v>
      </c>
    </row>
    <row r="164" spans="79:135" x14ac:dyDescent="0.25">
      <c r="CA164" s="2" t="str">
        <f t="shared" si="34"/>
        <v>Hộp-30x60x2.4</v>
      </c>
      <c r="CB164" s="19">
        <v>3.1666666666666665</v>
      </c>
      <c r="CC164" s="19">
        <v>30</v>
      </c>
      <c r="CD164" s="19">
        <v>60</v>
      </c>
      <c r="CE164" s="20" t="s">
        <v>78</v>
      </c>
      <c r="CF164" s="5">
        <f t="shared" si="35"/>
        <v>180</v>
      </c>
      <c r="CG164" s="5">
        <f t="shared" si="36"/>
        <v>7.1999999999999993</v>
      </c>
      <c r="CH164" s="5">
        <f t="shared" si="37"/>
        <v>4.8</v>
      </c>
      <c r="CI164" s="5">
        <f t="shared" si="38"/>
        <v>3.0162672671235806</v>
      </c>
      <c r="CJ164" s="2">
        <f t="shared" si="39"/>
        <v>7850</v>
      </c>
      <c r="CK164" s="48"/>
      <c r="CZ164" s="2" t="str">
        <f t="shared" si="40"/>
        <v>Ống-114x1.7</v>
      </c>
      <c r="DA164" s="19">
        <v>4.7569999999999997</v>
      </c>
      <c r="DB164" s="19">
        <v>114</v>
      </c>
      <c r="DC164" s="19">
        <v>1.7</v>
      </c>
      <c r="DD164" s="21">
        <f t="shared" si="41"/>
        <v>358.14156250923639</v>
      </c>
      <c r="DE164" s="44">
        <f t="shared" si="42"/>
        <v>4.708127409950106</v>
      </c>
      <c r="DF164" s="19">
        <f t="shared" si="43"/>
        <v>7850</v>
      </c>
      <c r="DY164" t="str">
        <f t="shared" si="44"/>
        <v>Z-100x50x16x2</v>
      </c>
      <c r="DZ164" s="15" t="s">
        <v>118</v>
      </c>
      <c r="EA164" s="16">
        <v>3.2</v>
      </c>
      <c r="EB164" s="16">
        <v>100</v>
      </c>
      <c r="EC164" s="16">
        <v>50</v>
      </c>
      <c r="ED164" s="15" t="s">
        <v>37</v>
      </c>
      <c r="EE164" s="15" t="s">
        <v>74</v>
      </c>
    </row>
    <row r="165" spans="79:135" x14ac:dyDescent="0.25">
      <c r="CA165" s="2" t="str">
        <f t="shared" si="34"/>
        <v>Hộp-30x60x2.5</v>
      </c>
      <c r="CB165" s="19">
        <v>3.3000000000000003</v>
      </c>
      <c r="CC165" s="19">
        <v>30</v>
      </c>
      <c r="CD165" s="19">
        <v>60</v>
      </c>
      <c r="CE165" s="20" t="s">
        <v>79</v>
      </c>
      <c r="CF165" s="5">
        <f t="shared" si="35"/>
        <v>180</v>
      </c>
      <c r="CG165" s="5">
        <f t="shared" si="36"/>
        <v>7.5</v>
      </c>
      <c r="CH165" s="5">
        <f t="shared" si="37"/>
        <v>5</v>
      </c>
      <c r="CI165" s="5">
        <f t="shared" si="38"/>
        <v>3.1256719478337462</v>
      </c>
      <c r="CJ165" s="2">
        <f t="shared" si="39"/>
        <v>7850</v>
      </c>
      <c r="CK165" s="48"/>
      <c r="CZ165" s="2" t="str">
        <f t="shared" si="40"/>
        <v>Ống-114x1.8</v>
      </c>
      <c r="DA165" s="19">
        <v>5.0350000000000001</v>
      </c>
      <c r="DB165" s="19">
        <v>114</v>
      </c>
      <c r="DC165" s="19">
        <v>1.8</v>
      </c>
      <c r="DD165" s="21">
        <f t="shared" si="41"/>
        <v>358.14156250923639</v>
      </c>
      <c r="DE165" s="44">
        <f t="shared" si="42"/>
        <v>4.9806370107041058</v>
      </c>
      <c r="DF165" s="19">
        <f t="shared" si="43"/>
        <v>7850</v>
      </c>
      <c r="DY165" t="str">
        <f t="shared" si="44"/>
        <v>Z-100x50x16x2.3</v>
      </c>
      <c r="DZ165" s="15" t="s">
        <v>118</v>
      </c>
      <c r="EA165" s="16">
        <v>3.7</v>
      </c>
      <c r="EB165" s="16">
        <v>100</v>
      </c>
      <c r="EC165" s="16">
        <v>50</v>
      </c>
      <c r="ED165" s="15" t="s">
        <v>37</v>
      </c>
      <c r="EE165" s="15" t="s">
        <v>77</v>
      </c>
    </row>
    <row r="166" spans="79:135" x14ac:dyDescent="0.25">
      <c r="CA166" s="2" t="str">
        <f t="shared" si="34"/>
        <v>Hộp-30x60x2.7</v>
      </c>
      <c r="CB166" s="19">
        <v>3.5333333333333332</v>
      </c>
      <c r="CC166" s="19">
        <v>30</v>
      </c>
      <c r="CD166" s="19">
        <v>60</v>
      </c>
      <c r="CE166" s="20" t="s">
        <v>80</v>
      </c>
      <c r="CF166" s="5">
        <f t="shared" si="35"/>
        <v>180</v>
      </c>
      <c r="CG166" s="5">
        <f t="shared" si="36"/>
        <v>8.1000000000000014</v>
      </c>
      <c r="CH166" s="5">
        <f t="shared" si="37"/>
        <v>5.4</v>
      </c>
      <c r="CI166" s="5">
        <f t="shared" si="38"/>
        <v>3.340575759953281</v>
      </c>
      <c r="CJ166" s="2">
        <f t="shared" si="39"/>
        <v>7850</v>
      </c>
      <c r="CK166" s="48"/>
      <c r="CZ166" s="2" t="str">
        <f t="shared" si="40"/>
        <v>Ống-114x2</v>
      </c>
      <c r="DA166" s="19">
        <v>5.5910000000000002</v>
      </c>
      <c r="DB166" s="19">
        <v>114</v>
      </c>
      <c r="DC166" s="19">
        <v>2</v>
      </c>
      <c r="DD166" s="21">
        <f t="shared" si="41"/>
        <v>358.14156250923639</v>
      </c>
      <c r="DE166" s="44">
        <f t="shared" si="42"/>
        <v>5.5241765220722883</v>
      </c>
      <c r="DF166" s="19">
        <f t="shared" si="43"/>
        <v>7850</v>
      </c>
      <c r="DY166" t="str">
        <f t="shared" si="44"/>
        <v>Z-100x50x16x2.4</v>
      </c>
      <c r="DZ166" s="15" t="s">
        <v>118</v>
      </c>
      <c r="EA166" s="16">
        <v>3.8</v>
      </c>
      <c r="EB166" s="16">
        <v>100</v>
      </c>
      <c r="EC166" s="16">
        <v>50</v>
      </c>
      <c r="ED166" s="15" t="s">
        <v>37</v>
      </c>
      <c r="EE166" s="15" t="s">
        <v>78</v>
      </c>
    </row>
    <row r="167" spans="79:135" x14ac:dyDescent="0.25">
      <c r="CA167" s="2" t="str">
        <f t="shared" si="34"/>
        <v>Hộp-30x60x2.8</v>
      </c>
      <c r="CB167" s="19">
        <v>3.6666666666666665</v>
      </c>
      <c r="CC167" s="19">
        <v>30</v>
      </c>
      <c r="CD167" s="19">
        <v>60</v>
      </c>
      <c r="CE167" s="20" t="s">
        <v>81</v>
      </c>
      <c r="CF167" s="5">
        <f t="shared" si="35"/>
        <v>180</v>
      </c>
      <c r="CG167" s="5">
        <f t="shared" si="36"/>
        <v>8.3999999999999986</v>
      </c>
      <c r="CH167" s="5">
        <f t="shared" si="37"/>
        <v>5.6</v>
      </c>
      <c r="CI167" s="5">
        <f t="shared" si="38"/>
        <v>3.4460748913626511</v>
      </c>
      <c r="CJ167" s="2">
        <f t="shared" si="39"/>
        <v>7850</v>
      </c>
      <c r="CK167" s="48"/>
      <c r="CZ167" s="2" t="str">
        <f t="shared" si="40"/>
        <v>Ống-114x2.3</v>
      </c>
      <c r="DA167" s="19">
        <v>6.4249999999999998</v>
      </c>
      <c r="DB167" s="19">
        <v>114</v>
      </c>
      <c r="DC167" s="19">
        <v>2.2999999999999998</v>
      </c>
      <c r="DD167" s="21">
        <f t="shared" si="41"/>
        <v>358.14156250923639</v>
      </c>
      <c r="DE167" s="44">
        <f t="shared" si="42"/>
        <v>6.3357865637749633</v>
      </c>
      <c r="DF167" s="19">
        <f t="shared" si="43"/>
        <v>7850</v>
      </c>
      <c r="DY167" t="str">
        <f t="shared" si="44"/>
        <v>Z-100x50x16x2.5</v>
      </c>
      <c r="DZ167" s="15" t="s">
        <v>118</v>
      </c>
      <c r="EA167" s="16">
        <v>3.9</v>
      </c>
      <c r="EB167" s="16">
        <v>100</v>
      </c>
      <c r="EC167" s="16">
        <v>50</v>
      </c>
      <c r="ED167" s="15" t="s">
        <v>37</v>
      </c>
      <c r="EE167" s="15" t="s">
        <v>79</v>
      </c>
    </row>
    <row r="168" spans="79:135" x14ac:dyDescent="0.25">
      <c r="CA168" s="2" t="str">
        <f t="shared" si="34"/>
        <v>Hộp-30x60x2.9</v>
      </c>
      <c r="CB168" s="19">
        <v>3.7833333333333332</v>
      </c>
      <c r="CC168" s="19">
        <v>30</v>
      </c>
      <c r="CD168" s="19">
        <v>60</v>
      </c>
      <c r="CE168" s="20" t="s">
        <v>82</v>
      </c>
      <c r="CF168" s="5">
        <f t="shared" si="35"/>
        <v>180</v>
      </c>
      <c r="CG168" s="5">
        <f t="shared" si="36"/>
        <v>8.6999999999999993</v>
      </c>
      <c r="CH168" s="5">
        <f t="shared" si="37"/>
        <v>5.8</v>
      </c>
      <c r="CI168" s="5">
        <f t="shared" si="38"/>
        <v>3.550272173005089</v>
      </c>
      <c r="CJ168" s="2">
        <f t="shared" si="39"/>
        <v>7850</v>
      </c>
      <c r="CK168" s="48"/>
      <c r="CZ168" s="2" t="str">
        <f t="shared" si="40"/>
        <v>Ống-114x2.5</v>
      </c>
      <c r="DA168" s="19">
        <v>6.9790000000000001</v>
      </c>
      <c r="DB168" s="19">
        <v>114</v>
      </c>
      <c r="DC168" s="19">
        <v>2.5</v>
      </c>
      <c r="DD168" s="21">
        <f t="shared" si="41"/>
        <v>358.14156250923639</v>
      </c>
      <c r="DE168" s="44">
        <f t="shared" si="42"/>
        <v>6.8743937746770207</v>
      </c>
      <c r="DF168" s="19">
        <f t="shared" si="43"/>
        <v>7850</v>
      </c>
      <c r="DY168" t="str">
        <f t="shared" si="44"/>
        <v>Z-100x50x16x3</v>
      </c>
      <c r="DZ168" s="15" t="s">
        <v>118</v>
      </c>
      <c r="EA168" s="16">
        <v>4.8</v>
      </c>
      <c r="EB168" s="16">
        <v>100</v>
      </c>
      <c r="EC168" s="16">
        <v>50</v>
      </c>
      <c r="ED168" s="15" t="s">
        <v>37</v>
      </c>
      <c r="EE168" s="15" t="s">
        <v>83</v>
      </c>
    </row>
    <row r="169" spans="79:135" x14ac:dyDescent="0.25">
      <c r="CA169" s="2" t="str">
        <f t="shared" si="34"/>
        <v>Hộp-30x60x3</v>
      </c>
      <c r="CB169" s="19">
        <v>3.9</v>
      </c>
      <c r="CC169" s="19">
        <v>30</v>
      </c>
      <c r="CD169" s="19">
        <v>60</v>
      </c>
      <c r="CE169" s="20" t="s">
        <v>83</v>
      </c>
      <c r="CF169" s="5">
        <f t="shared" si="35"/>
        <v>180</v>
      </c>
      <c r="CG169" s="5">
        <f t="shared" si="36"/>
        <v>9</v>
      </c>
      <c r="CH169" s="5">
        <f t="shared" si="37"/>
        <v>6</v>
      </c>
      <c r="CI169" s="5">
        <f t="shared" si="38"/>
        <v>3.6531676048805939</v>
      </c>
      <c r="CJ169" s="2">
        <f t="shared" si="39"/>
        <v>7850</v>
      </c>
      <c r="CK169" s="48"/>
      <c r="CZ169" s="2" t="str">
        <f t="shared" si="40"/>
        <v>Ống-114x2.8</v>
      </c>
      <c r="DA169" s="19">
        <v>7.81</v>
      </c>
      <c r="DB169" s="19">
        <v>114</v>
      </c>
      <c r="DC169" s="19">
        <v>2.8</v>
      </c>
      <c r="DD169" s="21">
        <f t="shared" si="41"/>
        <v>358.14156250923639</v>
      </c>
      <c r="DE169" s="44">
        <f t="shared" si="42"/>
        <v>7.6786053656804727</v>
      </c>
      <c r="DF169" s="19">
        <f t="shared" si="43"/>
        <v>7850</v>
      </c>
      <c r="DY169" t="str">
        <f t="shared" si="44"/>
        <v>Z-125x50x16x1.8</v>
      </c>
      <c r="DZ169" s="15" t="s">
        <v>118</v>
      </c>
      <c r="EA169" s="16">
        <v>3.2</v>
      </c>
      <c r="EB169" s="16">
        <v>125</v>
      </c>
      <c r="EC169" s="16">
        <v>50</v>
      </c>
      <c r="ED169" s="15" t="s">
        <v>37</v>
      </c>
      <c r="EE169" s="15" t="s">
        <v>72</v>
      </c>
    </row>
    <row r="170" spans="79:135" x14ac:dyDescent="0.25">
      <c r="CA170" s="2" t="str">
        <f t="shared" si="34"/>
        <v>Hộp-30x60x3.1</v>
      </c>
      <c r="CB170" s="19">
        <v>4.0166666666666666</v>
      </c>
      <c r="CC170" s="19">
        <v>30</v>
      </c>
      <c r="CD170" s="19">
        <v>60</v>
      </c>
      <c r="CE170" s="20" t="s">
        <v>84</v>
      </c>
      <c r="CF170" s="5">
        <f t="shared" si="35"/>
        <v>180</v>
      </c>
      <c r="CG170" s="5">
        <f t="shared" si="36"/>
        <v>9.3000000000000007</v>
      </c>
      <c r="CH170" s="5">
        <f t="shared" si="37"/>
        <v>6.2</v>
      </c>
      <c r="CI170" s="5">
        <f t="shared" si="38"/>
        <v>3.7547611869891679</v>
      </c>
      <c r="CJ170" s="2">
        <f t="shared" si="39"/>
        <v>7850</v>
      </c>
      <c r="CK170" s="48"/>
      <c r="CZ170" s="2" t="str">
        <f t="shared" si="40"/>
        <v>Ống-114x3</v>
      </c>
      <c r="DA170" s="19">
        <v>8.3640000000000008</v>
      </c>
      <c r="DB170" s="19">
        <v>114</v>
      </c>
      <c r="DC170" s="19">
        <v>3</v>
      </c>
      <c r="DD170" s="21">
        <f t="shared" si="41"/>
        <v>358.14156250923639</v>
      </c>
      <c r="DE170" s="44">
        <f t="shared" si="42"/>
        <v>8.212280276116406</v>
      </c>
      <c r="DF170" s="19">
        <f t="shared" si="43"/>
        <v>7850</v>
      </c>
      <c r="DY170" t="str">
        <f t="shared" si="44"/>
        <v>Z-125x50x16x2</v>
      </c>
      <c r="DZ170" s="15" t="s">
        <v>118</v>
      </c>
      <c r="EA170" s="16">
        <v>3.6</v>
      </c>
      <c r="EB170" s="16">
        <v>125</v>
      </c>
      <c r="EC170" s="16">
        <v>50</v>
      </c>
      <c r="ED170" s="15" t="s">
        <v>37</v>
      </c>
      <c r="EE170" s="15" t="s">
        <v>74</v>
      </c>
    </row>
    <row r="171" spans="79:135" x14ac:dyDescent="0.25">
      <c r="CA171" s="2" t="str">
        <f t="shared" si="34"/>
        <v>Hộp-30x50x0.8</v>
      </c>
      <c r="CB171" s="19">
        <v>0.98</v>
      </c>
      <c r="CC171" s="19">
        <v>30</v>
      </c>
      <c r="CD171" s="19">
        <v>50</v>
      </c>
      <c r="CE171" s="20" t="s">
        <v>63</v>
      </c>
      <c r="CF171" s="5">
        <f t="shared" si="35"/>
        <v>160</v>
      </c>
      <c r="CG171" s="5">
        <f t="shared" si="36"/>
        <v>2.4000000000000004</v>
      </c>
      <c r="CH171" s="5">
        <f t="shared" si="37"/>
        <v>1.6</v>
      </c>
      <c r="CI171" s="5">
        <f t="shared" si="38"/>
        <v>0.96314080745817576</v>
      </c>
      <c r="CJ171" s="2">
        <f t="shared" si="39"/>
        <v>7850</v>
      </c>
      <c r="CK171" s="48"/>
      <c r="CZ171" s="2" t="str">
        <f t="shared" si="40"/>
        <v>Ống-140x1.5</v>
      </c>
      <c r="DA171" s="19">
        <v>5.1609999999999996</v>
      </c>
      <c r="DB171" s="19">
        <v>140</v>
      </c>
      <c r="DC171" s="19">
        <v>1.5</v>
      </c>
      <c r="DD171" s="21">
        <f t="shared" si="41"/>
        <v>439.82297150257102</v>
      </c>
      <c r="DE171" s="44">
        <f t="shared" si="42"/>
        <v>5.1234271091987509</v>
      </c>
      <c r="DF171" s="19">
        <f t="shared" si="43"/>
        <v>7850</v>
      </c>
      <c r="DY171" t="str">
        <f t="shared" si="44"/>
        <v>Z-125x50x16x2.3</v>
      </c>
      <c r="DZ171" s="15" t="s">
        <v>118</v>
      </c>
      <c r="EA171" s="16">
        <v>4.0999999999999996</v>
      </c>
      <c r="EB171" s="16">
        <v>125</v>
      </c>
      <c r="EC171" s="16">
        <v>50</v>
      </c>
      <c r="ED171" s="15" t="s">
        <v>37</v>
      </c>
      <c r="EE171" s="15" t="s">
        <v>77</v>
      </c>
    </row>
    <row r="172" spans="79:135" x14ac:dyDescent="0.25">
      <c r="CA172" s="2" t="str">
        <f t="shared" si="34"/>
        <v>Hộp-30x50x0.9</v>
      </c>
      <c r="CB172" s="19">
        <v>1.0999999999999999</v>
      </c>
      <c r="CC172" s="19">
        <v>30</v>
      </c>
      <c r="CD172" s="19">
        <v>50</v>
      </c>
      <c r="CE172" s="20" t="s">
        <v>64</v>
      </c>
      <c r="CF172" s="5">
        <f t="shared" si="35"/>
        <v>160</v>
      </c>
      <c r="CG172" s="5">
        <f t="shared" si="36"/>
        <v>2.7</v>
      </c>
      <c r="CH172" s="5">
        <f t="shared" si="37"/>
        <v>1.8</v>
      </c>
      <c r="CI172" s="5">
        <f t="shared" si="38"/>
        <v>1.0776750844392535</v>
      </c>
      <c r="CJ172" s="2">
        <f t="shared" si="39"/>
        <v>7850</v>
      </c>
      <c r="CK172" s="48"/>
      <c r="CZ172" s="2" t="str">
        <f t="shared" si="40"/>
        <v>Ống-140x1.7</v>
      </c>
      <c r="DA172" s="19">
        <v>5.8470000000000004</v>
      </c>
      <c r="DB172" s="19">
        <v>140</v>
      </c>
      <c r="DC172" s="19">
        <v>1.7</v>
      </c>
      <c r="DD172" s="21">
        <f t="shared" si="41"/>
        <v>439.82297150257102</v>
      </c>
      <c r="DE172" s="44">
        <f t="shared" si="42"/>
        <v>5.7981658129661602</v>
      </c>
      <c r="DF172" s="19">
        <f t="shared" si="43"/>
        <v>7850</v>
      </c>
      <c r="DY172" t="str">
        <f t="shared" si="44"/>
        <v>Z-125x50x16x2.4</v>
      </c>
      <c r="DZ172" s="15" t="s">
        <v>118</v>
      </c>
      <c r="EA172" s="16">
        <v>4.3</v>
      </c>
      <c r="EB172" s="16">
        <v>125</v>
      </c>
      <c r="EC172" s="16">
        <v>50</v>
      </c>
      <c r="ED172" s="15" t="s">
        <v>37</v>
      </c>
      <c r="EE172" s="15" t="s">
        <v>78</v>
      </c>
    </row>
    <row r="173" spans="79:135" x14ac:dyDescent="0.25">
      <c r="CA173" s="2" t="str">
        <f t="shared" si="34"/>
        <v>Hộp-30x50x1</v>
      </c>
      <c r="CB173" s="19">
        <v>1.2183333333333333</v>
      </c>
      <c r="CC173" s="19">
        <v>30</v>
      </c>
      <c r="CD173" s="19">
        <v>50</v>
      </c>
      <c r="CE173" s="20" t="s">
        <v>65</v>
      </c>
      <c r="CF173" s="5">
        <f t="shared" si="35"/>
        <v>160</v>
      </c>
      <c r="CG173" s="5">
        <f t="shared" si="36"/>
        <v>3</v>
      </c>
      <c r="CH173" s="5">
        <f t="shared" si="37"/>
        <v>2</v>
      </c>
      <c r="CI173" s="5">
        <f t="shared" si="38"/>
        <v>1.1909075116533994</v>
      </c>
      <c r="CJ173" s="2">
        <f t="shared" si="39"/>
        <v>7850</v>
      </c>
      <c r="CK173" s="48"/>
      <c r="CZ173" s="2" t="str">
        <f t="shared" si="40"/>
        <v>Ống-140x1.8</v>
      </c>
      <c r="DA173" s="19">
        <v>6.1890000000000001</v>
      </c>
      <c r="DB173" s="19">
        <v>140</v>
      </c>
      <c r="DC173" s="19">
        <v>1.8</v>
      </c>
      <c r="DD173" s="21">
        <f t="shared" si="41"/>
        <v>439.82297150257102</v>
      </c>
      <c r="DE173" s="44">
        <f t="shared" si="42"/>
        <v>6.1347953197799141</v>
      </c>
      <c r="DF173" s="19">
        <f t="shared" si="43"/>
        <v>7850</v>
      </c>
      <c r="DY173" t="str">
        <f t="shared" si="44"/>
        <v>Z-125x50x16x2.5</v>
      </c>
      <c r="DZ173" s="15" t="s">
        <v>118</v>
      </c>
      <c r="EA173" s="16">
        <v>4.5</v>
      </c>
      <c r="EB173" s="16">
        <v>125</v>
      </c>
      <c r="EC173" s="16">
        <v>50</v>
      </c>
      <c r="ED173" s="15" t="s">
        <v>37</v>
      </c>
      <c r="EE173" s="15" t="s">
        <v>79</v>
      </c>
    </row>
    <row r="174" spans="79:135" x14ac:dyDescent="0.25">
      <c r="CA174" s="2" t="str">
        <f t="shared" si="34"/>
        <v>Hộp-30x50x1.1</v>
      </c>
      <c r="CB174" s="19">
        <v>1.3366666666666667</v>
      </c>
      <c r="CC174" s="19">
        <v>30</v>
      </c>
      <c r="CD174" s="19">
        <v>50</v>
      </c>
      <c r="CE174" s="20" t="s">
        <v>66</v>
      </c>
      <c r="CF174" s="5">
        <f t="shared" si="35"/>
        <v>160</v>
      </c>
      <c r="CG174" s="5">
        <f t="shared" si="36"/>
        <v>3.3000000000000003</v>
      </c>
      <c r="CH174" s="5">
        <f t="shared" si="37"/>
        <v>2.2000000000000002</v>
      </c>
      <c r="CI174" s="5">
        <f t="shared" si="38"/>
        <v>1.3028380891006133</v>
      </c>
      <c r="CJ174" s="2">
        <f t="shared" si="39"/>
        <v>7850</v>
      </c>
      <c r="CK174" s="48"/>
      <c r="CZ174" s="2" t="str">
        <f t="shared" si="40"/>
        <v>Ống-140x2</v>
      </c>
      <c r="DA174" s="19">
        <v>6.8739999999999997</v>
      </c>
      <c r="DB174" s="19">
        <v>140</v>
      </c>
      <c r="DC174" s="19">
        <v>2</v>
      </c>
      <c r="DD174" s="21">
        <f t="shared" si="41"/>
        <v>439.82297150257102</v>
      </c>
      <c r="DE174" s="44">
        <f t="shared" si="42"/>
        <v>6.8065746432676484</v>
      </c>
      <c r="DF174" s="19">
        <f t="shared" si="43"/>
        <v>7850</v>
      </c>
      <c r="DY174" t="str">
        <f t="shared" si="44"/>
        <v>Z-125x50x16x3</v>
      </c>
      <c r="DZ174" s="15" t="s">
        <v>118</v>
      </c>
      <c r="EA174" s="16">
        <v>5.4</v>
      </c>
      <c r="EB174" s="16">
        <v>125</v>
      </c>
      <c r="EC174" s="16">
        <v>50</v>
      </c>
      <c r="ED174" s="15" t="s">
        <v>37</v>
      </c>
      <c r="EE174" s="15" t="s">
        <v>83</v>
      </c>
    </row>
    <row r="175" spans="79:135" x14ac:dyDescent="0.25">
      <c r="CA175" s="2" t="str">
        <f t="shared" si="34"/>
        <v>Hộp-30x50x1.2</v>
      </c>
      <c r="CB175" s="19">
        <v>1.4533333333333334</v>
      </c>
      <c r="CC175" s="19">
        <v>30</v>
      </c>
      <c r="CD175" s="19">
        <v>50</v>
      </c>
      <c r="CE175" s="20" t="s">
        <v>67</v>
      </c>
      <c r="CF175" s="5">
        <f t="shared" si="35"/>
        <v>160</v>
      </c>
      <c r="CG175" s="5">
        <f t="shared" si="36"/>
        <v>3.5999999999999996</v>
      </c>
      <c r="CH175" s="5">
        <f t="shared" si="37"/>
        <v>2.4</v>
      </c>
      <c r="CI175" s="5">
        <f t="shared" si="38"/>
        <v>1.413466816780895</v>
      </c>
      <c r="CJ175" s="2">
        <f t="shared" si="39"/>
        <v>7850</v>
      </c>
      <c r="CK175" s="48"/>
      <c r="CZ175" s="2" t="str">
        <f t="shared" si="40"/>
        <v>Ống-140x2.3</v>
      </c>
      <c r="DA175" s="19">
        <v>7.899</v>
      </c>
      <c r="DB175" s="19">
        <v>140</v>
      </c>
      <c r="DC175" s="19">
        <v>2.2999999999999998</v>
      </c>
      <c r="DD175" s="21">
        <f t="shared" si="41"/>
        <v>439.82297150257102</v>
      </c>
      <c r="DE175" s="44">
        <f t="shared" si="42"/>
        <v>7.8105444031496303</v>
      </c>
      <c r="DF175" s="19">
        <f t="shared" si="43"/>
        <v>7850</v>
      </c>
      <c r="DY175" t="str">
        <f t="shared" si="44"/>
        <v>Z-150x50x16x2</v>
      </c>
      <c r="DZ175" s="15" t="s">
        <v>118</v>
      </c>
      <c r="EA175" s="16">
        <v>4.0999999999999996</v>
      </c>
      <c r="EB175" s="16">
        <v>150</v>
      </c>
      <c r="EC175" s="16">
        <v>50</v>
      </c>
      <c r="ED175" s="15" t="s">
        <v>37</v>
      </c>
      <c r="EE175" s="15" t="s">
        <v>74</v>
      </c>
    </row>
    <row r="176" spans="79:135" x14ac:dyDescent="0.25">
      <c r="CA176" s="2" t="str">
        <f t="shared" si="34"/>
        <v>Hộp-30x50x1.4</v>
      </c>
      <c r="CB176" s="19">
        <v>1.6849999999999998</v>
      </c>
      <c r="CC176" s="19">
        <v>30</v>
      </c>
      <c r="CD176" s="19">
        <v>50</v>
      </c>
      <c r="CE176" s="20" t="s">
        <v>68</v>
      </c>
      <c r="CF176" s="5">
        <f t="shared" si="35"/>
        <v>160</v>
      </c>
      <c r="CG176" s="5">
        <f t="shared" si="36"/>
        <v>4.1999999999999993</v>
      </c>
      <c r="CH176" s="5">
        <f t="shared" si="37"/>
        <v>2.8</v>
      </c>
      <c r="CI176" s="5">
        <f t="shared" si="38"/>
        <v>1.630818722840663</v>
      </c>
      <c r="CJ176" s="2">
        <f t="shared" si="39"/>
        <v>7850</v>
      </c>
      <c r="CK176" s="48"/>
      <c r="CZ176" s="2" t="str">
        <f t="shared" si="40"/>
        <v>Ống-140x2.5</v>
      </c>
      <c r="DA176" s="19">
        <v>8.5820000000000007</v>
      </c>
      <c r="DB176" s="19">
        <v>140</v>
      </c>
      <c r="DC176" s="19">
        <v>2.5</v>
      </c>
      <c r="DD176" s="21">
        <f t="shared" si="41"/>
        <v>439.82297150257102</v>
      </c>
      <c r="DE176" s="44">
        <f t="shared" si="42"/>
        <v>8.4773914261712093</v>
      </c>
      <c r="DF176" s="19">
        <f t="shared" si="43"/>
        <v>7850</v>
      </c>
      <c r="DY176" t="str">
        <f t="shared" si="44"/>
        <v>Z-150x50x16x2.3</v>
      </c>
      <c r="DZ176" s="15" t="s">
        <v>118</v>
      </c>
      <c r="EA176" s="16">
        <v>4.7</v>
      </c>
      <c r="EB176" s="16">
        <v>150</v>
      </c>
      <c r="EC176" s="16">
        <v>50</v>
      </c>
      <c r="ED176" s="15" t="s">
        <v>37</v>
      </c>
      <c r="EE176" s="15" t="s">
        <v>77</v>
      </c>
    </row>
    <row r="177" spans="79:135" x14ac:dyDescent="0.25">
      <c r="CA177" s="2" t="str">
        <f t="shared" si="34"/>
        <v>Hộp-30x50x1.5</v>
      </c>
      <c r="CB177" s="19">
        <v>1.8</v>
      </c>
      <c r="CC177" s="19">
        <v>30</v>
      </c>
      <c r="CD177" s="19">
        <v>50</v>
      </c>
      <c r="CE177" s="20" t="s">
        <v>69</v>
      </c>
      <c r="CF177" s="5">
        <f t="shared" si="35"/>
        <v>160</v>
      </c>
      <c r="CG177" s="5">
        <f t="shared" si="36"/>
        <v>4.5</v>
      </c>
      <c r="CH177" s="5">
        <f t="shared" si="37"/>
        <v>3</v>
      </c>
      <c r="CI177" s="5">
        <f t="shared" si="38"/>
        <v>1.7375419012201485</v>
      </c>
      <c r="CJ177" s="2">
        <f t="shared" si="39"/>
        <v>7850</v>
      </c>
      <c r="CK177" s="48"/>
      <c r="CZ177" s="2" t="str">
        <f t="shared" si="40"/>
        <v>Ống-140x2.8</v>
      </c>
      <c r="DA177" s="19">
        <v>9.6059999999999999</v>
      </c>
      <c r="DB177" s="19">
        <v>140</v>
      </c>
      <c r="DC177" s="19">
        <v>2.8</v>
      </c>
      <c r="DD177" s="21">
        <f t="shared" si="41"/>
        <v>439.82297150257102</v>
      </c>
      <c r="DE177" s="44">
        <f t="shared" si="42"/>
        <v>9.4739627353539824</v>
      </c>
      <c r="DF177" s="19">
        <f t="shared" si="43"/>
        <v>7850</v>
      </c>
      <c r="DY177" t="str">
        <f t="shared" si="44"/>
        <v>Z-150x50x16x2.4</v>
      </c>
      <c r="DZ177" s="15" t="s">
        <v>118</v>
      </c>
      <c r="EA177" s="16">
        <v>4.9000000000000004</v>
      </c>
      <c r="EB177" s="16">
        <v>150</v>
      </c>
      <c r="EC177" s="16">
        <v>50</v>
      </c>
      <c r="ED177" s="15" t="s">
        <v>37</v>
      </c>
      <c r="EE177" s="15" t="s">
        <v>78</v>
      </c>
    </row>
    <row r="178" spans="79:135" x14ac:dyDescent="0.25">
      <c r="CA178" s="2" t="str">
        <f t="shared" si="34"/>
        <v>Hộp-30x50x1.6</v>
      </c>
      <c r="CB178" s="19">
        <v>1.9133333333333333</v>
      </c>
      <c r="CC178" s="19">
        <v>30</v>
      </c>
      <c r="CD178" s="19">
        <v>50</v>
      </c>
      <c r="CE178" s="20" t="s">
        <v>70</v>
      </c>
      <c r="CF178" s="5">
        <f t="shared" si="35"/>
        <v>160</v>
      </c>
      <c r="CG178" s="5">
        <f t="shared" si="36"/>
        <v>4.8000000000000007</v>
      </c>
      <c r="CH178" s="5">
        <f t="shared" si="37"/>
        <v>3.2</v>
      </c>
      <c r="CI178" s="5">
        <f t="shared" si="38"/>
        <v>1.8429632298327026</v>
      </c>
      <c r="CJ178" s="2">
        <f t="shared" si="39"/>
        <v>7850</v>
      </c>
      <c r="CK178" s="48"/>
      <c r="CZ178" s="2" t="str">
        <f t="shared" si="40"/>
        <v>Ống-140x3</v>
      </c>
      <c r="DA178" s="19">
        <v>10.287000000000001</v>
      </c>
      <c r="DB178" s="19">
        <v>140</v>
      </c>
      <c r="DC178" s="19">
        <v>3</v>
      </c>
      <c r="DD178" s="21">
        <f t="shared" si="41"/>
        <v>439.82297150257102</v>
      </c>
      <c r="DE178" s="44">
        <f t="shared" si="42"/>
        <v>10.135877457909425</v>
      </c>
      <c r="DF178" s="19">
        <f t="shared" si="43"/>
        <v>7850</v>
      </c>
      <c r="DY178" t="str">
        <f t="shared" si="44"/>
        <v>Z-150x50x16x2.5</v>
      </c>
      <c r="DZ178" s="15" t="s">
        <v>118</v>
      </c>
      <c r="EA178" s="16">
        <v>5.0999999999999996</v>
      </c>
      <c r="EB178" s="16">
        <v>150</v>
      </c>
      <c r="EC178" s="16">
        <v>50</v>
      </c>
      <c r="ED178" s="15" t="s">
        <v>37</v>
      </c>
      <c r="EE178" s="15" t="s">
        <v>79</v>
      </c>
    </row>
    <row r="179" spans="79:135" x14ac:dyDescent="0.25">
      <c r="CA179" s="2" t="str">
        <f t="shared" si="34"/>
        <v>Hộp-30x50x1.7</v>
      </c>
      <c r="CB179" s="19">
        <v>2.0266666666666668</v>
      </c>
      <c r="CC179" s="19">
        <v>30</v>
      </c>
      <c r="CD179" s="19">
        <v>50</v>
      </c>
      <c r="CE179" s="20" t="s">
        <v>71</v>
      </c>
      <c r="CF179" s="5">
        <f t="shared" si="35"/>
        <v>160</v>
      </c>
      <c r="CG179" s="5">
        <f t="shared" si="36"/>
        <v>5.0999999999999996</v>
      </c>
      <c r="CH179" s="5">
        <f t="shared" si="37"/>
        <v>3.4</v>
      </c>
      <c r="CI179" s="5">
        <f t="shared" si="38"/>
        <v>1.9470827086783242</v>
      </c>
      <c r="CJ179" s="2">
        <f t="shared" si="39"/>
        <v>7850</v>
      </c>
      <c r="CK179" s="48"/>
      <c r="CZ179" s="2" t="s">
        <v>587</v>
      </c>
      <c r="DA179" s="43">
        <v>0.19730961156429888</v>
      </c>
      <c r="DB179" s="19">
        <v>13.8</v>
      </c>
      <c r="DC179" s="19">
        <v>0.6</v>
      </c>
      <c r="DD179" s="21">
        <v>43.353978619539149</v>
      </c>
      <c r="DE179" s="44">
        <f t="shared" si="42"/>
        <v>0.19730961156429891</v>
      </c>
      <c r="DF179" s="19">
        <f t="shared" si="43"/>
        <v>7930</v>
      </c>
      <c r="DY179" t="str">
        <f t="shared" si="44"/>
        <v>Z-150x50x16x3</v>
      </c>
      <c r="DZ179" s="15" t="s">
        <v>118</v>
      </c>
      <c r="EA179" s="16">
        <v>6.1</v>
      </c>
      <c r="EB179" s="16">
        <v>150</v>
      </c>
      <c r="EC179" s="16">
        <v>50</v>
      </c>
      <c r="ED179" s="15" t="s">
        <v>37</v>
      </c>
      <c r="EE179" s="15" t="s">
        <v>83</v>
      </c>
    </row>
    <row r="180" spans="79:135" x14ac:dyDescent="0.25">
      <c r="CA180" s="2" t="str">
        <f t="shared" si="34"/>
        <v>Hộp-30x50x1.8</v>
      </c>
      <c r="CB180" s="19">
        <v>2.1383333333333332</v>
      </c>
      <c r="CC180" s="19">
        <v>30</v>
      </c>
      <c r="CD180" s="19">
        <v>50</v>
      </c>
      <c r="CE180" s="20" t="s">
        <v>72</v>
      </c>
      <c r="CF180" s="5">
        <f t="shared" si="35"/>
        <v>160</v>
      </c>
      <c r="CG180" s="5">
        <f t="shared" si="36"/>
        <v>5.4</v>
      </c>
      <c r="CH180" s="5">
        <f t="shared" si="37"/>
        <v>3.6</v>
      </c>
      <c r="CI180" s="5">
        <f t="shared" si="38"/>
        <v>2.0499003377570144</v>
      </c>
      <c r="CJ180" s="2">
        <f t="shared" si="39"/>
        <v>7850</v>
      </c>
      <c r="CK180" s="48"/>
      <c r="CZ180" s="2" t="s">
        <v>588</v>
      </c>
      <c r="DA180" s="43">
        <v>0.22845064874300783</v>
      </c>
      <c r="DB180" s="19">
        <v>13.8</v>
      </c>
      <c r="DC180" s="19">
        <v>0.7</v>
      </c>
      <c r="DD180" s="21">
        <v>43.353978619539149</v>
      </c>
      <c r="DE180" s="44">
        <f t="shared" si="42"/>
        <v>0.22845064874300786</v>
      </c>
      <c r="DF180" s="19">
        <f t="shared" si="43"/>
        <v>7930</v>
      </c>
      <c r="DY180" t="str">
        <f t="shared" si="44"/>
        <v>Z-180x50x16x2.3</v>
      </c>
      <c r="DZ180" s="15" t="s">
        <v>118</v>
      </c>
      <c r="EA180" s="16">
        <v>5.2</v>
      </c>
      <c r="EB180" s="16">
        <v>180</v>
      </c>
      <c r="EC180" s="16">
        <v>50</v>
      </c>
      <c r="ED180" s="15" t="s">
        <v>37</v>
      </c>
      <c r="EE180" s="15" t="s">
        <v>77</v>
      </c>
    </row>
    <row r="181" spans="79:135" x14ac:dyDescent="0.25">
      <c r="CA181" s="2" t="str">
        <f t="shared" si="34"/>
        <v>Hộp-30x50x1.9</v>
      </c>
      <c r="CB181" s="19">
        <v>2.25</v>
      </c>
      <c r="CC181" s="19">
        <v>30</v>
      </c>
      <c r="CD181" s="19">
        <v>50</v>
      </c>
      <c r="CE181" s="20" t="s">
        <v>73</v>
      </c>
      <c r="CF181" s="5">
        <f t="shared" si="35"/>
        <v>160</v>
      </c>
      <c r="CG181" s="5">
        <f t="shared" si="36"/>
        <v>5.6999999999999993</v>
      </c>
      <c r="CH181" s="5">
        <f t="shared" si="37"/>
        <v>3.8</v>
      </c>
      <c r="CI181" s="5">
        <f t="shared" si="38"/>
        <v>2.1514161170687713</v>
      </c>
      <c r="CJ181" s="2">
        <f t="shared" si="39"/>
        <v>7850</v>
      </c>
      <c r="CK181" s="48"/>
      <c r="CZ181" s="2" t="s">
        <v>589</v>
      </c>
      <c r="DA181" s="43">
        <v>0.25909342932685725</v>
      </c>
      <c r="DB181" s="19">
        <v>13.8</v>
      </c>
      <c r="DC181" s="19">
        <v>0.8</v>
      </c>
      <c r="DD181" s="21">
        <v>43.353978619539149</v>
      </c>
      <c r="DE181" s="44">
        <f t="shared" si="42"/>
        <v>0.25909342932685731</v>
      </c>
      <c r="DF181" s="19">
        <f t="shared" si="43"/>
        <v>7930</v>
      </c>
      <c r="DY181" t="str">
        <f t="shared" si="44"/>
        <v>Z-180x50x16x2.4</v>
      </c>
      <c r="DZ181" s="15" t="s">
        <v>118</v>
      </c>
      <c r="EA181" s="16">
        <v>5.4</v>
      </c>
      <c r="EB181" s="16">
        <v>180</v>
      </c>
      <c r="EC181" s="16">
        <v>50</v>
      </c>
      <c r="ED181" s="15" t="s">
        <v>37</v>
      </c>
      <c r="EE181" s="15" t="s">
        <v>78</v>
      </c>
    </row>
    <row r="182" spans="79:135" x14ac:dyDescent="0.25">
      <c r="CA182" s="2" t="str">
        <f t="shared" si="34"/>
        <v>Hộp-30x50x2</v>
      </c>
      <c r="CB182" s="19">
        <v>2.3616666666666668</v>
      </c>
      <c r="CC182" s="19">
        <v>30</v>
      </c>
      <c r="CD182" s="19">
        <v>50</v>
      </c>
      <c r="CE182" s="20" t="s">
        <v>74</v>
      </c>
      <c r="CF182" s="5">
        <f t="shared" si="35"/>
        <v>160</v>
      </c>
      <c r="CG182" s="5">
        <f t="shared" si="36"/>
        <v>6</v>
      </c>
      <c r="CH182" s="5">
        <f t="shared" si="37"/>
        <v>4</v>
      </c>
      <c r="CI182" s="5">
        <f t="shared" si="38"/>
        <v>2.2516300466135974</v>
      </c>
      <c r="CJ182" s="2">
        <f t="shared" si="39"/>
        <v>7850</v>
      </c>
      <c r="CK182" s="48"/>
      <c r="CZ182" s="2" t="s">
        <v>590</v>
      </c>
      <c r="DA182" s="43">
        <v>0.28923795331584762</v>
      </c>
      <c r="DB182" s="19">
        <v>13.8</v>
      </c>
      <c r="DC182" s="19">
        <v>0.9</v>
      </c>
      <c r="DD182" s="21">
        <v>43.353978619539149</v>
      </c>
      <c r="DE182" s="44">
        <f t="shared" si="42"/>
        <v>0.28923795331584762</v>
      </c>
      <c r="DF182" s="19">
        <f t="shared" si="43"/>
        <v>7930</v>
      </c>
      <c r="DY182" t="str">
        <f t="shared" si="44"/>
        <v>Z-180x50x16x2.5</v>
      </c>
      <c r="DZ182" s="15" t="s">
        <v>118</v>
      </c>
      <c r="EA182" s="16">
        <v>5.69</v>
      </c>
      <c r="EB182" s="16">
        <v>180</v>
      </c>
      <c r="EC182" s="16">
        <v>50</v>
      </c>
      <c r="ED182" s="15" t="s">
        <v>37</v>
      </c>
      <c r="EE182" s="15" t="s">
        <v>79</v>
      </c>
    </row>
    <row r="183" spans="79:135" x14ac:dyDescent="0.25">
      <c r="CA183" s="2" t="str">
        <f t="shared" si="34"/>
        <v>Hộp-30x50x2.1</v>
      </c>
      <c r="CB183" s="19">
        <v>2.4716666666666667</v>
      </c>
      <c r="CC183" s="19">
        <v>30</v>
      </c>
      <c r="CD183" s="19">
        <v>50</v>
      </c>
      <c r="CE183" s="20" t="s">
        <v>75</v>
      </c>
      <c r="CF183" s="5">
        <f t="shared" si="35"/>
        <v>160</v>
      </c>
      <c r="CG183" s="5">
        <f t="shared" si="36"/>
        <v>6.3000000000000007</v>
      </c>
      <c r="CH183" s="5">
        <f t="shared" si="37"/>
        <v>4.2</v>
      </c>
      <c r="CI183" s="5">
        <f t="shared" si="38"/>
        <v>2.3505421263914914</v>
      </c>
      <c r="CJ183" s="2">
        <f t="shared" si="39"/>
        <v>7850</v>
      </c>
      <c r="CK183" s="48"/>
      <c r="CZ183" s="2" t="s">
        <v>591</v>
      </c>
      <c r="DA183" s="43">
        <v>0.31888422070997835</v>
      </c>
      <c r="DB183" s="19">
        <v>13.8</v>
      </c>
      <c r="DC183" s="19">
        <v>1</v>
      </c>
      <c r="DD183" s="21">
        <v>43.353978619539149</v>
      </c>
      <c r="DE183" s="44">
        <f t="shared" si="42"/>
        <v>0.31888422070997835</v>
      </c>
      <c r="DF183" s="19">
        <f t="shared" si="43"/>
        <v>7930</v>
      </c>
      <c r="DY183" t="str">
        <f t="shared" si="44"/>
        <v>Z-180x50x16x3</v>
      </c>
      <c r="DZ183" s="15" t="s">
        <v>118</v>
      </c>
      <c r="EA183" s="16">
        <v>6.8</v>
      </c>
      <c r="EB183" s="16">
        <v>180</v>
      </c>
      <c r="EC183" s="16">
        <v>50</v>
      </c>
      <c r="ED183" s="15" t="s">
        <v>37</v>
      </c>
      <c r="EE183" s="15" t="s">
        <v>83</v>
      </c>
    </row>
    <row r="184" spans="79:135" x14ac:dyDescent="0.25">
      <c r="CA184" s="2" t="str">
        <f t="shared" si="34"/>
        <v>Hộp-30x50x2.2</v>
      </c>
      <c r="CB184" s="19">
        <v>2.58</v>
      </c>
      <c r="CC184" s="19">
        <v>30</v>
      </c>
      <c r="CD184" s="19">
        <v>50</v>
      </c>
      <c r="CE184" s="20" t="s">
        <v>76</v>
      </c>
      <c r="CF184" s="5">
        <f t="shared" si="35"/>
        <v>160</v>
      </c>
      <c r="CG184" s="5">
        <f t="shared" si="36"/>
        <v>6.6000000000000005</v>
      </c>
      <c r="CH184" s="5">
        <f t="shared" si="37"/>
        <v>4.4000000000000004</v>
      </c>
      <c r="CI184" s="5">
        <f t="shared" si="38"/>
        <v>2.4481523564024528</v>
      </c>
      <c r="CJ184" s="2">
        <f t="shared" si="39"/>
        <v>7850</v>
      </c>
      <c r="CK184" s="48"/>
      <c r="CZ184" s="2" t="s">
        <v>592</v>
      </c>
      <c r="DA184" s="43">
        <v>0.34803223150924972</v>
      </c>
      <c r="DB184" s="19">
        <v>13.8</v>
      </c>
      <c r="DC184" s="19">
        <v>1.1000000000000001</v>
      </c>
      <c r="DD184" s="21">
        <v>43.353978619539149</v>
      </c>
      <c r="DE184" s="44">
        <f t="shared" si="42"/>
        <v>0.34803223150924972</v>
      </c>
      <c r="DF184" s="19">
        <f t="shared" si="43"/>
        <v>7930</v>
      </c>
      <c r="DY184" t="str">
        <f t="shared" si="44"/>
        <v>Z-200x50x16x2.3</v>
      </c>
      <c r="DZ184" s="15" t="s">
        <v>118</v>
      </c>
      <c r="EA184" s="16">
        <v>5.7</v>
      </c>
      <c r="EB184" s="16">
        <v>200</v>
      </c>
      <c r="EC184" s="16">
        <v>50</v>
      </c>
      <c r="ED184" s="15" t="s">
        <v>37</v>
      </c>
      <c r="EE184" s="15" t="s">
        <v>77</v>
      </c>
    </row>
    <row r="185" spans="79:135" x14ac:dyDescent="0.25">
      <c r="CA185" s="2" t="str">
        <f t="shared" si="34"/>
        <v>Hộp-30x50x2.3</v>
      </c>
      <c r="CB185" s="19">
        <v>2.69</v>
      </c>
      <c r="CC185" s="19">
        <v>30</v>
      </c>
      <c r="CD185" s="19">
        <v>50</v>
      </c>
      <c r="CE185" s="20" t="s">
        <v>77</v>
      </c>
      <c r="CF185" s="5">
        <f t="shared" si="35"/>
        <v>160</v>
      </c>
      <c r="CG185" s="5">
        <f t="shared" si="36"/>
        <v>6.8999999999999995</v>
      </c>
      <c r="CH185" s="5">
        <f t="shared" si="37"/>
        <v>4.5999999999999996</v>
      </c>
      <c r="CI185" s="5">
        <f t="shared" si="38"/>
        <v>2.5444607366464824</v>
      </c>
      <c r="CJ185" s="2">
        <f t="shared" si="39"/>
        <v>7850</v>
      </c>
      <c r="CK185" s="48"/>
      <c r="CZ185" s="2" t="s">
        <v>593</v>
      </c>
      <c r="DA185" s="43">
        <v>0.37668198571366196</v>
      </c>
      <c r="DB185" s="19">
        <v>13.8</v>
      </c>
      <c r="DC185" s="19">
        <v>1.2</v>
      </c>
      <c r="DD185" s="21">
        <v>43.353978619539149</v>
      </c>
      <c r="DE185" s="44">
        <f t="shared" si="42"/>
        <v>0.37668198571366196</v>
      </c>
      <c r="DF185" s="19">
        <f t="shared" si="43"/>
        <v>7930</v>
      </c>
      <c r="DY185" t="str">
        <f t="shared" si="44"/>
        <v>Z-200x50x16x2.4</v>
      </c>
      <c r="DZ185" s="15" t="s">
        <v>118</v>
      </c>
      <c r="EA185" s="16">
        <v>5.9</v>
      </c>
      <c r="EB185" s="16">
        <v>200</v>
      </c>
      <c r="EC185" s="16">
        <v>50</v>
      </c>
      <c r="ED185" s="15" t="s">
        <v>37</v>
      </c>
      <c r="EE185" s="15" t="s">
        <v>78</v>
      </c>
    </row>
    <row r="186" spans="79:135" x14ac:dyDescent="0.25">
      <c r="CA186" s="2" t="str">
        <f t="shared" si="34"/>
        <v>Hộp-30x50x2.4</v>
      </c>
      <c r="CB186" s="19">
        <v>2.7966666666666669</v>
      </c>
      <c r="CC186" s="19">
        <v>30</v>
      </c>
      <c r="CD186" s="19">
        <v>50</v>
      </c>
      <c r="CE186" s="20" t="s">
        <v>78</v>
      </c>
      <c r="CF186" s="5">
        <f t="shared" si="35"/>
        <v>160</v>
      </c>
      <c r="CG186" s="5">
        <f t="shared" si="36"/>
        <v>7.1999999999999993</v>
      </c>
      <c r="CH186" s="5">
        <f t="shared" si="37"/>
        <v>4.8</v>
      </c>
      <c r="CI186" s="5">
        <f t="shared" si="38"/>
        <v>2.6394672671235804</v>
      </c>
      <c r="CJ186" s="2">
        <f t="shared" si="39"/>
        <v>7850</v>
      </c>
      <c r="CK186" s="48"/>
      <c r="CZ186" s="2" t="s">
        <v>594</v>
      </c>
      <c r="DA186" s="43">
        <v>0.22869977704043729</v>
      </c>
      <c r="DB186" s="19">
        <v>15.9</v>
      </c>
      <c r="DC186" s="19">
        <v>0.6</v>
      </c>
      <c r="DD186" s="21">
        <v>49.951323192077709</v>
      </c>
      <c r="DE186" s="44">
        <f t="shared" si="42"/>
        <v>0.22869977704043731</v>
      </c>
      <c r="DF186" s="19">
        <f t="shared" si="43"/>
        <v>7930</v>
      </c>
      <c r="DY186" t="str">
        <f t="shared" si="44"/>
        <v>Z-200x50x16x2.5</v>
      </c>
      <c r="DZ186" s="15" t="s">
        <v>118</v>
      </c>
      <c r="EA186" s="16">
        <v>6.2</v>
      </c>
      <c r="EB186" s="16">
        <v>200</v>
      </c>
      <c r="EC186" s="16">
        <v>50</v>
      </c>
      <c r="ED186" s="15" t="s">
        <v>37</v>
      </c>
      <c r="EE186" s="15" t="s">
        <v>79</v>
      </c>
    </row>
    <row r="187" spans="79:135" x14ac:dyDescent="0.25">
      <c r="CA187" s="2" t="str">
        <f t="shared" si="34"/>
        <v>Hộp-30x50x2.5</v>
      </c>
      <c r="CB187" s="19">
        <v>2.9049999999999998</v>
      </c>
      <c r="CC187" s="19">
        <v>30</v>
      </c>
      <c r="CD187" s="19">
        <v>50</v>
      </c>
      <c r="CE187" s="20" t="s">
        <v>79</v>
      </c>
      <c r="CF187" s="5">
        <f t="shared" si="35"/>
        <v>160</v>
      </c>
      <c r="CG187" s="5">
        <f t="shared" si="36"/>
        <v>7.5</v>
      </c>
      <c r="CH187" s="5">
        <f t="shared" si="37"/>
        <v>5</v>
      </c>
      <c r="CI187" s="5">
        <f t="shared" si="38"/>
        <v>2.7331719478337457</v>
      </c>
      <c r="CJ187" s="2">
        <f t="shared" si="39"/>
        <v>7850</v>
      </c>
      <c r="CK187" s="48"/>
      <c r="CZ187" s="2" t="s">
        <v>595</v>
      </c>
      <c r="DA187" s="43">
        <v>0.2650725084651695</v>
      </c>
      <c r="DB187" s="19">
        <v>15.9</v>
      </c>
      <c r="DC187" s="19">
        <v>0.7</v>
      </c>
      <c r="DD187" s="21">
        <v>49.951323192077709</v>
      </c>
      <c r="DE187" s="44">
        <f t="shared" si="42"/>
        <v>0.2650725084651695</v>
      </c>
      <c r="DF187" s="19">
        <f t="shared" si="43"/>
        <v>7930</v>
      </c>
      <c r="DY187" t="str">
        <f t="shared" si="44"/>
        <v>Z-200x50x16x3</v>
      </c>
      <c r="DZ187" s="15" t="s">
        <v>118</v>
      </c>
      <c r="EA187" s="16">
        <v>7.4</v>
      </c>
      <c r="EB187" s="16">
        <v>200</v>
      </c>
      <c r="EC187" s="16">
        <v>50</v>
      </c>
      <c r="ED187" s="15" t="s">
        <v>37</v>
      </c>
      <c r="EE187" s="15" t="s">
        <v>83</v>
      </c>
    </row>
    <row r="188" spans="79:135" x14ac:dyDescent="0.25">
      <c r="CA188" s="2" t="str">
        <f t="shared" si="34"/>
        <v>Hộp-30x50x2.7</v>
      </c>
      <c r="CB188" s="19">
        <v>3.1166666666666667</v>
      </c>
      <c r="CC188" s="19">
        <v>30</v>
      </c>
      <c r="CD188" s="19">
        <v>50</v>
      </c>
      <c r="CE188" s="20" t="s">
        <v>80</v>
      </c>
      <c r="CF188" s="5">
        <f t="shared" si="35"/>
        <v>160</v>
      </c>
      <c r="CG188" s="5">
        <f t="shared" si="36"/>
        <v>8.1000000000000014</v>
      </c>
      <c r="CH188" s="5">
        <f t="shared" si="37"/>
        <v>5.4</v>
      </c>
      <c r="CI188" s="5">
        <f t="shared" si="38"/>
        <v>2.9166757599532813</v>
      </c>
      <c r="CJ188" s="2">
        <f t="shared" si="39"/>
        <v>7850</v>
      </c>
      <c r="CK188" s="48"/>
      <c r="CZ188" s="2" t="s">
        <v>596</v>
      </c>
      <c r="DA188" s="43">
        <v>0.3009469832950421</v>
      </c>
      <c r="DB188" s="19">
        <v>15.9</v>
      </c>
      <c r="DC188" s="19">
        <v>0.8</v>
      </c>
      <c r="DD188" s="21">
        <v>49.951323192077709</v>
      </c>
      <c r="DE188" s="44">
        <f t="shared" si="42"/>
        <v>0.3009469832950421</v>
      </c>
      <c r="DF188" s="19">
        <f t="shared" si="43"/>
        <v>7930</v>
      </c>
      <c r="DY188" t="str">
        <f t="shared" si="44"/>
        <v>Z-200x65x16x2.3</v>
      </c>
      <c r="DZ188" s="15" t="s">
        <v>118</v>
      </c>
      <c r="EA188" s="16">
        <v>6.5</v>
      </c>
      <c r="EB188" s="16">
        <v>200</v>
      </c>
      <c r="EC188" s="16">
        <v>65</v>
      </c>
      <c r="ED188" s="15" t="s">
        <v>37</v>
      </c>
      <c r="EE188" s="15" t="s">
        <v>77</v>
      </c>
    </row>
    <row r="189" spans="79:135" x14ac:dyDescent="0.25">
      <c r="CA189" s="2" t="str">
        <f t="shared" si="34"/>
        <v>Hộp-30x50x2.8</v>
      </c>
      <c r="CB189" s="19">
        <v>3.2216666666666662</v>
      </c>
      <c r="CC189" s="19">
        <v>30</v>
      </c>
      <c r="CD189" s="19">
        <v>50</v>
      </c>
      <c r="CE189" s="20" t="s">
        <v>81</v>
      </c>
      <c r="CF189" s="5">
        <f t="shared" si="35"/>
        <v>160</v>
      </c>
      <c r="CG189" s="5">
        <f t="shared" si="36"/>
        <v>8.3999999999999986</v>
      </c>
      <c r="CH189" s="5">
        <f t="shared" si="37"/>
        <v>5.6</v>
      </c>
      <c r="CI189" s="5">
        <f t="shared" si="38"/>
        <v>3.0064748913626511</v>
      </c>
      <c r="CJ189" s="2">
        <f t="shared" si="39"/>
        <v>7850</v>
      </c>
      <c r="CK189" s="48"/>
      <c r="CZ189" s="2" t="s">
        <v>597</v>
      </c>
      <c r="DA189" s="43">
        <v>0.33632320153005524</v>
      </c>
      <c r="DB189" s="19">
        <v>15.9</v>
      </c>
      <c r="DC189" s="19">
        <v>0.9</v>
      </c>
      <c r="DD189" s="21">
        <v>49.951323192077709</v>
      </c>
      <c r="DE189" s="44">
        <f t="shared" si="42"/>
        <v>0.33632320153005529</v>
      </c>
      <c r="DF189" s="19">
        <f t="shared" si="43"/>
        <v>7930</v>
      </c>
      <c r="DY189" t="str">
        <f t="shared" si="44"/>
        <v>Z-200x65x16x2.4</v>
      </c>
      <c r="DZ189" s="15" t="s">
        <v>118</v>
      </c>
      <c r="EA189" s="16">
        <v>6.7</v>
      </c>
      <c r="EB189" s="16">
        <v>200</v>
      </c>
      <c r="EC189" s="16">
        <v>65</v>
      </c>
      <c r="ED189" s="15" t="s">
        <v>37</v>
      </c>
      <c r="EE189" s="15" t="s">
        <v>78</v>
      </c>
    </row>
    <row r="190" spans="79:135" x14ac:dyDescent="0.25">
      <c r="CA190" s="2" t="str">
        <f t="shared" si="34"/>
        <v>Hộp-30x50x2.9</v>
      </c>
      <c r="CB190" s="19">
        <v>3.3249999999999997</v>
      </c>
      <c r="CC190" s="19">
        <v>30</v>
      </c>
      <c r="CD190" s="19">
        <v>50</v>
      </c>
      <c r="CE190" s="20" t="s">
        <v>82</v>
      </c>
      <c r="CF190" s="5">
        <f t="shared" si="35"/>
        <v>160</v>
      </c>
      <c r="CG190" s="5">
        <f t="shared" si="36"/>
        <v>8.6999999999999993</v>
      </c>
      <c r="CH190" s="5">
        <f t="shared" si="37"/>
        <v>5.8</v>
      </c>
      <c r="CI190" s="5">
        <f t="shared" si="38"/>
        <v>3.0949721730050892</v>
      </c>
      <c r="CJ190" s="2">
        <f t="shared" si="39"/>
        <v>7850</v>
      </c>
      <c r="CK190" s="48"/>
      <c r="CZ190" s="2" t="s">
        <v>598</v>
      </c>
      <c r="DA190" s="43">
        <v>0.37120116317020913</v>
      </c>
      <c r="DB190" s="19">
        <v>15.9</v>
      </c>
      <c r="DC190" s="19">
        <v>1</v>
      </c>
      <c r="DD190" s="21">
        <v>49.951323192077709</v>
      </c>
      <c r="DE190" s="44">
        <f t="shared" si="42"/>
        <v>0.37120116317020913</v>
      </c>
      <c r="DF190" s="19">
        <f t="shared" si="43"/>
        <v>7930</v>
      </c>
      <c r="DY190" t="str">
        <f t="shared" si="44"/>
        <v>Z-200x65x16x2.5</v>
      </c>
      <c r="DZ190" s="15" t="s">
        <v>118</v>
      </c>
      <c r="EA190" s="16">
        <v>7.1</v>
      </c>
      <c r="EB190" s="16">
        <v>200</v>
      </c>
      <c r="EC190" s="16">
        <v>65</v>
      </c>
      <c r="ED190" s="15" t="s">
        <v>37</v>
      </c>
      <c r="EE190" s="15" t="s">
        <v>79</v>
      </c>
    </row>
    <row r="191" spans="79:135" x14ac:dyDescent="0.25">
      <c r="CA191" s="2" t="str">
        <f t="shared" si="34"/>
        <v>Hộp-30x50x3</v>
      </c>
      <c r="CB191" s="19">
        <v>3.4283333333333332</v>
      </c>
      <c r="CC191" s="19">
        <v>30</v>
      </c>
      <c r="CD191" s="19">
        <v>50</v>
      </c>
      <c r="CE191" s="20" t="s">
        <v>83</v>
      </c>
      <c r="CF191" s="5">
        <f t="shared" si="35"/>
        <v>160</v>
      </c>
      <c r="CG191" s="5">
        <f t="shared" si="36"/>
        <v>9</v>
      </c>
      <c r="CH191" s="5">
        <f t="shared" si="37"/>
        <v>6</v>
      </c>
      <c r="CI191" s="5">
        <f t="shared" si="38"/>
        <v>3.1821676048805942</v>
      </c>
      <c r="CJ191" s="2">
        <f t="shared" si="39"/>
        <v>7850</v>
      </c>
      <c r="CK191" s="48"/>
      <c r="CZ191" s="2" t="s">
        <v>599</v>
      </c>
      <c r="DA191" s="43">
        <v>0.40558086821550388</v>
      </c>
      <c r="DB191" s="19">
        <v>15.9</v>
      </c>
      <c r="DC191" s="19">
        <v>1.1000000000000001</v>
      </c>
      <c r="DD191" s="21">
        <v>49.951323192077709</v>
      </c>
      <c r="DE191" s="44">
        <f t="shared" si="42"/>
        <v>0.40558086821550388</v>
      </c>
      <c r="DF191" s="19">
        <f t="shared" si="43"/>
        <v>7930</v>
      </c>
      <c r="DY191" t="str">
        <f t="shared" si="44"/>
        <v>Z-200x65x16x3</v>
      </c>
      <c r="DZ191" s="15" t="s">
        <v>118</v>
      </c>
      <c r="EA191" s="16">
        <v>8.4</v>
      </c>
      <c r="EB191" s="16">
        <v>200</v>
      </c>
      <c r="EC191" s="16">
        <v>65</v>
      </c>
      <c r="ED191" s="15" t="s">
        <v>37</v>
      </c>
      <c r="EE191" s="15" t="s">
        <v>83</v>
      </c>
    </row>
    <row r="192" spans="79:135" x14ac:dyDescent="0.25">
      <c r="CA192" s="2" t="str">
        <f t="shared" si="34"/>
        <v>Hộp-30x50x3.1</v>
      </c>
      <c r="CB192" s="19">
        <v>3.5316666666666667</v>
      </c>
      <c r="CC192" s="19">
        <v>30</v>
      </c>
      <c r="CD192" s="19">
        <v>50</v>
      </c>
      <c r="CE192" s="20" t="s">
        <v>84</v>
      </c>
      <c r="CF192" s="5">
        <f t="shared" si="35"/>
        <v>160</v>
      </c>
      <c r="CG192" s="5">
        <f t="shared" si="36"/>
        <v>9.3000000000000007</v>
      </c>
      <c r="CH192" s="5">
        <f t="shared" si="37"/>
        <v>6.2</v>
      </c>
      <c r="CI192" s="5">
        <f t="shared" si="38"/>
        <v>3.268061186989168</v>
      </c>
      <c r="CJ192" s="2">
        <f t="shared" si="39"/>
        <v>7850</v>
      </c>
      <c r="CK192" s="48"/>
      <c r="CZ192" s="2" t="s">
        <v>600</v>
      </c>
      <c r="DA192" s="43">
        <v>0.43946231666593899</v>
      </c>
      <c r="DB192" s="19">
        <v>15.9</v>
      </c>
      <c r="DC192" s="19">
        <v>1.2</v>
      </c>
      <c r="DD192" s="21">
        <v>49.951323192077709</v>
      </c>
      <c r="DE192" s="44">
        <f t="shared" si="42"/>
        <v>0.43946231666593899</v>
      </c>
      <c r="DF192" s="19">
        <f t="shared" si="43"/>
        <v>7930</v>
      </c>
      <c r="DY192" t="str">
        <f t="shared" si="44"/>
        <v>Z-250x65x15x2.3</v>
      </c>
      <c r="DZ192" s="15" t="s">
        <v>118</v>
      </c>
      <c r="EA192" s="16">
        <v>7.4</v>
      </c>
      <c r="EB192" s="16">
        <v>250</v>
      </c>
      <c r="EC192" s="16">
        <v>65</v>
      </c>
      <c r="ED192" s="15" t="s">
        <v>45</v>
      </c>
      <c r="EE192" s="15" t="s">
        <v>77</v>
      </c>
    </row>
    <row r="193" spans="79:135" x14ac:dyDescent="0.25">
      <c r="CA193" s="2" t="str">
        <f t="shared" si="34"/>
        <v>Hộp-40x0.8</v>
      </c>
      <c r="CB193" s="19">
        <v>0.98</v>
      </c>
      <c r="CC193" s="19">
        <v>40</v>
      </c>
      <c r="CD193" s="19">
        <v>40</v>
      </c>
      <c r="CE193" s="20" t="s">
        <v>63</v>
      </c>
      <c r="CF193" s="5">
        <f t="shared" si="35"/>
        <v>160</v>
      </c>
      <c r="CG193" s="5">
        <f t="shared" si="36"/>
        <v>2.4000000000000004</v>
      </c>
      <c r="CH193" s="5">
        <f t="shared" si="37"/>
        <v>1.6</v>
      </c>
      <c r="CI193" s="5">
        <f t="shared" si="38"/>
        <v>0.96314080745817576</v>
      </c>
      <c r="CJ193" s="2">
        <f t="shared" si="39"/>
        <v>7850</v>
      </c>
      <c r="CK193" s="48"/>
      <c r="CZ193" s="2" t="s">
        <v>601</v>
      </c>
      <c r="DA193" s="43">
        <v>0.50573044378223109</v>
      </c>
      <c r="DB193" s="19">
        <v>15.9</v>
      </c>
      <c r="DC193" s="19">
        <v>1.4</v>
      </c>
      <c r="DD193" s="21">
        <v>49.951323192077709</v>
      </c>
      <c r="DE193" s="44">
        <f t="shared" si="42"/>
        <v>0.50573044378223109</v>
      </c>
      <c r="DF193" s="19">
        <f t="shared" si="43"/>
        <v>7930</v>
      </c>
      <c r="DY193" t="str">
        <f t="shared" si="44"/>
        <v>Z-250x65x15x2.4</v>
      </c>
      <c r="DZ193" s="15" t="s">
        <v>118</v>
      </c>
      <c r="EA193" s="16">
        <v>7.7</v>
      </c>
      <c r="EB193" s="16">
        <v>250</v>
      </c>
      <c r="EC193" s="16">
        <v>65</v>
      </c>
      <c r="ED193" s="15" t="s">
        <v>45</v>
      </c>
      <c r="EE193" s="15" t="s">
        <v>78</v>
      </c>
    </row>
    <row r="194" spans="79:135" x14ac:dyDescent="0.25">
      <c r="CA194" s="2" t="str">
        <f t="shared" si="34"/>
        <v>Hộp-40x0.9</v>
      </c>
      <c r="CB194" s="19">
        <v>1.0999999999999999</v>
      </c>
      <c r="CC194" s="19">
        <v>40</v>
      </c>
      <c r="CD194" s="19">
        <v>40</v>
      </c>
      <c r="CE194" s="20" t="s">
        <v>64</v>
      </c>
      <c r="CF194" s="5">
        <f t="shared" si="35"/>
        <v>160</v>
      </c>
      <c r="CG194" s="5">
        <f t="shared" si="36"/>
        <v>2.7</v>
      </c>
      <c r="CH194" s="5">
        <f t="shared" si="37"/>
        <v>1.8</v>
      </c>
      <c r="CI194" s="5">
        <f t="shared" si="38"/>
        <v>1.0776750844392535</v>
      </c>
      <c r="CJ194" s="2">
        <f t="shared" si="39"/>
        <v>7850</v>
      </c>
      <c r="CK194" s="48"/>
      <c r="CZ194" s="2" t="s">
        <v>602</v>
      </c>
      <c r="DA194" s="43">
        <v>0.5381171224480884</v>
      </c>
      <c r="DB194" s="19">
        <v>15.9</v>
      </c>
      <c r="DC194" s="19">
        <v>1.5</v>
      </c>
      <c r="DD194" s="21">
        <v>49.951323192077709</v>
      </c>
      <c r="DE194" s="44">
        <f t="shared" si="42"/>
        <v>0.5381171224480884</v>
      </c>
      <c r="DF194" s="19">
        <f t="shared" si="43"/>
        <v>7930</v>
      </c>
      <c r="DY194" t="str">
        <f t="shared" si="44"/>
        <v>Z-250x65x15x2.5</v>
      </c>
      <c r="DZ194" s="15" t="s">
        <v>118</v>
      </c>
      <c r="EA194" s="16">
        <v>8.1</v>
      </c>
      <c r="EB194" s="16">
        <v>250</v>
      </c>
      <c r="EC194" s="16">
        <v>65</v>
      </c>
      <c r="ED194" s="15" t="s">
        <v>45</v>
      </c>
      <c r="EE194" s="15" t="s">
        <v>79</v>
      </c>
    </row>
    <row r="195" spans="79:135" x14ac:dyDescent="0.25">
      <c r="CA195" s="2" t="str">
        <f t="shared" si="34"/>
        <v>Hộp-40x1</v>
      </c>
      <c r="CB195" s="19">
        <v>1.2183333333333333</v>
      </c>
      <c r="CC195" s="19">
        <v>40</v>
      </c>
      <c r="CD195" s="19">
        <v>40</v>
      </c>
      <c r="CE195" s="20" t="s">
        <v>65</v>
      </c>
      <c r="CF195" s="5">
        <f t="shared" si="35"/>
        <v>160</v>
      </c>
      <c r="CG195" s="5">
        <f t="shared" si="36"/>
        <v>3</v>
      </c>
      <c r="CH195" s="5">
        <f t="shared" si="37"/>
        <v>2</v>
      </c>
      <c r="CI195" s="5">
        <f t="shared" si="38"/>
        <v>1.1909075116533994</v>
      </c>
      <c r="CJ195" s="2">
        <f t="shared" si="39"/>
        <v>7850</v>
      </c>
      <c r="CK195" s="48"/>
      <c r="CZ195" s="2" t="s">
        <v>603</v>
      </c>
      <c r="DA195" s="43">
        <v>0.27653241014693442</v>
      </c>
      <c r="DB195" s="19">
        <v>19.100000000000001</v>
      </c>
      <c r="DC195" s="19">
        <v>0.6</v>
      </c>
      <c r="DD195" s="21">
        <v>60.004419683565054</v>
      </c>
      <c r="DE195" s="44">
        <f t="shared" si="42"/>
        <v>0.27653241014693447</v>
      </c>
      <c r="DF195" s="19">
        <f t="shared" si="43"/>
        <v>7930</v>
      </c>
      <c r="DY195" t="str">
        <f t="shared" si="44"/>
        <v>Z-250x65x15x3</v>
      </c>
      <c r="DZ195" s="15" t="s">
        <v>118</v>
      </c>
      <c r="EA195" s="16">
        <v>9.6999999999999993</v>
      </c>
      <c r="EB195" s="16">
        <v>250</v>
      </c>
      <c r="EC195" s="16">
        <v>65</v>
      </c>
      <c r="ED195" s="15" t="s">
        <v>45</v>
      </c>
      <c r="EE195" s="15" t="s">
        <v>83</v>
      </c>
    </row>
    <row r="196" spans="79:135" x14ac:dyDescent="0.25">
      <c r="CA196" s="2" t="str">
        <f t="shared" ref="CA196:CA259" si="45">$CA$2&amp;"-"&amp;IF(CC196=CD196,CD196&amp;"x"&amp;CE196,CC196&amp;"x"&amp;CD196&amp;"x"&amp;CE196)</f>
        <v>Hộp-40x1.1</v>
      </c>
      <c r="CB196" s="19">
        <v>1.3366666666666667</v>
      </c>
      <c r="CC196" s="19">
        <v>40</v>
      </c>
      <c r="CD196" s="19">
        <v>40</v>
      </c>
      <c r="CE196" s="20" t="s">
        <v>66</v>
      </c>
      <c r="CF196" s="5">
        <f t="shared" ref="CF196:CF259" si="46">2*(CC196+CD196)</f>
        <v>160</v>
      </c>
      <c r="CG196" s="5">
        <f t="shared" ref="CG196:CG259" si="47">IF(CE196&lt;=6,2,IF(CE196&lt;=10,2.5,3))*CE196</f>
        <v>3.3000000000000003</v>
      </c>
      <c r="CH196" s="5">
        <f t="shared" ref="CH196:CH259" si="48">IF(CE196&lt;=6,1,IF(CE196&lt;=10,1.5,2))*CE196</f>
        <v>2.2000000000000002</v>
      </c>
      <c r="CI196" s="5">
        <f t="shared" ref="CI196:CI259" si="49">(2*CE196*(CC196+CD196-2*CE196)-(4-PI())*(CG196^2-CH196^2))/1000000*CJ196</f>
        <v>1.3028380891006133</v>
      </c>
      <c r="CJ196" s="2">
        <f t="shared" ref="CJ196:CJ259" si="50">IF(LEFT(CA196,4)="Inox",7930,7850)</f>
        <v>7850</v>
      </c>
      <c r="CK196" s="48"/>
      <c r="CZ196" s="2" t="s">
        <v>604</v>
      </c>
      <c r="DA196" s="43">
        <v>0.32087724708941578</v>
      </c>
      <c r="DB196" s="19">
        <v>19.100000000000001</v>
      </c>
      <c r="DC196" s="19">
        <v>0.7</v>
      </c>
      <c r="DD196" s="21">
        <v>60.004419683565054</v>
      </c>
      <c r="DE196" s="44">
        <f t="shared" ref="DE196:DE259" si="51">(PI()*DB196^2/4-PI()*(DB196-2*DC196)^2/4)/1000000*DF196</f>
        <v>0.32087724708941584</v>
      </c>
      <c r="DF196" s="19">
        <f t="shared" ref="DF196:DF259" si="52">IF(LEFT(CZ196,4)="Inox",7930,7850)</f>
        <v>7930</v>
      </c>
      <c r="DY196" t="str">
        <f t="shared" ref="DY196:DY199" si="53">IF(DZ196=$DZ$3,"C-","Z-")&amp;EB196&amp;"x"&amp;EC196&amp;"x"&amp;ED196&amp;"x"&amp;EE196</f>
        <v>Z-300x65x16x2.3</v>
      </c>
      <c r="DZ196" s="15" t="s">
        <v>118</v>
      </c>
      <c r="EA196" s="16">
        <v>8.3000000000000007</v>
      </c>
      <c r="EB196" s="16">
        <v>300</v>
      </c>
      <c r="EC196" s="16">
        <v>65</v>
      </c>
      <c r="ED196" s="15" t="s">
        <v>37</v>
      </c>
      <c r="EE196" s="15" t="s">
        <v>77</v>
      </c>
    </row>
    <row r="197" spans="79:135" x14ac:dyDescent="0.25">
      <c r="CA197" s="2" t="str">
        <f t="shared" si="45"/>
        <v>Hộp-40x1.2</v>
      </c>
      <c r="CB197" s="19">
        <v>1.4533333333333334</v>
      </c>
      <c r="CC197" s="19">
        <v>40</v>
      </c>
      <c r="CD197" s="19">
        <v>40</v>
      </c>
      <c r="CE197" s="20" t="s">
        <v>67</v>
      </c>
      <c r="CF197" s="5">
        <f t="shared" si="46"/>
        <v>160</v>
      </c>
      <c r="CG197" s="5">
        <f t="shared" si="47"/>
        <v>3.5999999999999996</v>
      </c>
      <c r="CH197" s="5">
        <f t="shared" si="48"/>
        <v>2.4</v>
      </c>
      <c r="CI197" s="5">
        <f t="shared" si="49"/>
        <v>1.413466816780895</v>
      </c>
      <c r="CJ197" s="2">
        <f t="shared" si="50"/>
        <v>7850</v>
      </c>
      <c r="CK197" s="48"/>
      <c r="CZ197" s="2" t="s">
        <v>605</v>
      </c>
      <c r="DA197" s="43">
        <v>0.36472382743703824</v>
      </c>
      <c r="DB197" s="19">
        <v>19.100000000000001</v>
      </c>
      <c r="DC197" s="19">
        <v>0.8</v>
      </c>
      <c r="DD197" s="21">
        <v>60.004419683565054</v>
      </c>
      <c r="DE197" s="44">
        <f t="shared" si="51"/>
        <v>0.36472382743703829</v>
      </c>
      <c r="DF197" s="19">
        <f t="shared" si="52"/>
        <v>7930</v>
      </c>
      <c r="DY197" t="str">
        <f t="shared" si="53"/>
        <v>Z-300x65x16x2.4</v>
      </c>
      <c r="DZ197" s="15" t="s">
        <v>118</v>
      </c>
      <c r="EA197" s="16">
        <v>8.6999999999999993</v>
      </c>
      <c r="EB197" s="16">
        <v>300</v>
      </c>
      <c r="EC197" s="16">
        <v>65</v>
      </c>
      <c r="ED197" s="15" t="s">
        <v>37</v>
      </c>
      <c r="EE197" s="15" t="s">
        <v>78</v>
      </c>
    </row>
    <row r="198" spans="79:135" x14ac:dyDescent="0.25">
      <c r="CA198" s="2" t="str">
        <f t="shared" si="45"/>
        <v>Hộp-40x1.4</v>
      </c>
      <c r="CB198" s="19">
        <v>1.6849999999999998</v>
      </c>
      <c r="CC198" s="19">
        <v>40</v>
      </c>
      <c r="CD198" s="19">
        <v>40</v>
      </c>
      <c r="CE198" s="20" t="s">
        <v>68</v>
      </c>
      <c r="CF198" s="5">
        <f t="shared" si="46"/>
        <v>160</v>
      </c>
      <c r="CG198" s="5">
        <f t="shared" si="47"/>
        <v>4.1999999999999993</v>
      </c>
      <c r="CH198" s="5">
        <f t="shared" si="48"/>
        <v>2.8</v>
      </c>
      <c r="CI198" s="5">
        <f t="shared" si="49"/>
        <v>1.630818722840663</v>
      </c>
      <c r="CJ198" s="2">
        <f t="shared" si="50"/>
        <v>7850</v>
      </c>
      <c r="CK198" s="48"/>
      <c r="CZ198" s="2" t="s">
        <v>606</v>
      </c>
      <c r="DA198" s="43">
        <v>0.40807215118980089</v>
      </c>
      <c r="DB198" s="19">
        <v>19.100000000000001</v>
      </c>
      <c r="DC198" s="19">
        <v>0.9</v>
      </c>
      <c r="DD198" s="21">
        <v>60.004419683565054</v>
      </c>
      <c r="DE198" s="44">
        <f t="shared" si="51"/>
        <v>0.40807215118980089</v>
      </c>
      <c r="DF198" s="19">
        <f t="shared" si="52"/>
        <v>7930</v>
      </c>
      <c r="DY198" t="str">
        <f t="shared" si="53"/>
        <v>Z-300x65x16x2.5</v>
      </c>
      <c r="DZ198" s="15" t="s">
        <v>118</v>
      </c>
      <c r="EA198" s="16">
        <v>9.1</v>
      </c>
      <c r="EB198" s="16">
        <v>300</v>
      </c>
      <c r="EC198" s="16">
        <v>65</v>
      </c>
      <c r="ED198" s="15" t="s">
        <v>37</v>
      </c>
      <c r="EE198" s="15" t="s">
        <v>79</v>
      </c>
    </row>
    <row r="199" spans="79:135" x14ac:dyDescent="0.25">
      <c r="CA199" s="2" t="str">
        <f t="shared" si="45"/>
        <v>Hộp-40x1.5</v>
      </c>
      <c r="CB199" s="19">
        <v>1.8</v>
      </c>
      <c r="CC199" s="19">
        <v>40</v>
      </c>
      <c r="CD199" s="19">
        <v>40</v>
      </c>
      <c r="CE199" s="20" t="s">
        <v>69</v>
      </c>
      <c r="CF199" s="5">
        <f t="shared" si="46"/>
        <v>160</v>
      </c>
      <c r="CG199" s="5">
        <f t="shared" si="47"/>
        <v>4.5</v>
      </c>
      <c r="CH199" s="5">
        <f t="shared" si="48"/>
        <v>3</v>
      </c>
      <c r="CI199" s="5">
        <f t="shared" si="49"/>
        <v>1.7375419012201485</v>
      </c>
      <c r="CJ199" s="2">
        <f t="shared" si="50"/>
        <v>7850</v>
      </c>
      <c r="CK199" s="48"/>
      <c r="CZ199" s="2" t="s">
        <v>607</v>
      </c>
      <c r="DA199" s="43">
        <v>0.45092221834770418</v>
      </c>
      <c r="DB199" s="19">
        <v>19.100000000000001</v>
      </c>
      <c r="DC199" s="19">
        <v>1</v>
      </c>
      <c r="DD199" s="21">
        <v>60.004419683565054</v>
      </c>
      <c r="DE199" s="44">
        <f t="shared" si="51"/>
        <v>0.45092221834770418</v>
      </c>
      <c r="DF199" s="19">
        <f t="shared" si="52"/>
        <v>7930</v>
      </c>
      <c r="DY199" t="str">
        <f t="shared" si="53"/>
        <v>Z-300x65x16x3</v>
      </c>
      <c r="DZ199" s="15" t="s">
        <v>118</v>
      </c>
      <c r="EA199" s="16">
        <v>10.9</v>
      </c>
      <c r="EB199" s="16">
        <v>300</v>
      </c>
      <c r="EC199" s="16">
        <v>65</v>
      </c>
      <c r="ED199" s="15" t="s">
        <v>37</v>
      </c>
      <c r="EE199" s="15" t="s">
        <v>83</v>
      </c>
    </row>
    <row r="200" spans="79:135" x14ac:dyDescent="0.25">
      <c r="CA200" s="2" t="str">
        <f t="shared" si="45"/>
        <v>Hộp-40x1.6</v>
      </c>
      <c r="CB200" s="19">
        <v>1.9133333333333333</v>
      </c>
      <c r="CC200" s="19">
        <v>40</v>
      </c>
      <c r="CD200" s="19">
        <v>40</v>
      </c>
      <c r="CE200" s="20" t="s">
        <v>70</v>
      </c>
      <c r="CF200" s="5">
        <f t="shared" si="46"/>
        <v>160</v>
      </c>
      <c r="CG200" s="5">
        <f t="shared" si="47"/>
        <v>4.8000000000000007</v>
      </c>
      <c r="CH200" s="5">
        <f t="shared" si="48"/>
        <v>3.2</v>
      </c>
      <c r="CI200" s="5">
        <f t="shared" si="49"/>
        <v>1.8429632298327026</v>
      </c>
      <c r="CJ200" s="2">
        <f t="shared" si="50"/>
        <v>7850</v>
      </c>
      <c r="CK200" s="48"/>
      <c r="CZ200" s="2" t="s">
        <v>608</v>
      </c>
      <c r="DA200" s="43">
        <v>0.49327402891074779</v>
      </c>
      <c r="DB200" s="19">
        <v>19.100000000000001</v>
      </c>
      <c r="DC200" s="19">
        <v>1.1000000000000001</v>
      </c>
      <c r="DD200" s="21">
        <v>60.004419683565054</v>
      </c>
      <c r="DE200" s="44">
        <f t="shared" si="51"/>
        <v>0.4932740289107479</v>
      </c>
      <c r="DF200" s="19">
        <f t="shared" si="52"/>
        <v>7930</v>
      </c>
    </row>
    <row r="201" spans="79:135" x14ac:dyDescent="0.25">
      <c r="CA201" s="2" t="str">
        <f t="shared" si="45"/>
        <v>Hộp-40x1.7</v>
      </c>
      <c r="CB201" s="19">
        <v>2.0266666666666668</v>
      </c>
      <c r="CC201" s="19">
        <v>40</v>
      </c>
      <c r="CD201" s="19">
        <v>40</v>
      </c>
      <c r="CE201" s="20" t="s">
        <v>71</v>
      </c>
      <c r="CF201" s="5">
        <f t="shared" si="46"/>
        <v>160</v>
      </c>
      <c r="CG201" s="5">
        <f t="shared" si="47"/>
        <v>5.0999999999999996</v>
      </c>
      <c r="CH201" s="5">
        <f t="shared" si="48"/>
        <v>3.4</v>
      </c>
      <c r="CI201" s="5">
        <f t="shared" si="49"/>
        <v>1.9470827086783242</v>
      </c>
      <c r="CJ201" s="2">
        <f t="shared" si="50"/>
        <v>7850</v>
      </c>
      <c r="CK201" s="48"/>
      <c r="CZ201" s="2" t="s">
        <v>609</v>
      </c>
      <c r="DA201" s="43">
        <v>0.53512758287893236</v>
      </c>
      <c r="DB201" s="19">
        <v>19.100000000000001</v>
      </c>
      <c r="DC201" s="19">
        <v>1.2</v>
      </c>
      <c r="DD201" s="21">
        <v>60.004419683565054</v>
      </c>
      <c r="DE201" s="44">
        <f t="shared" si="51"/>
        <v>0.53512758287893247</v>
      </c>
      <c r="DF201" s="19">
        <f t="shared" si="52"/>
        <v>7930</v>
      </c>
    </row>
    <row r="202" spans="79:135" x14ac:dyDescent="0.25">
      <c r="CA202" s="2" t="str">
        <f t="shared" si="45"/>
        <v>Hộp-40x1.8</v>
      </c>
      <c r="CB202" s="19">
        <v>2.1383333333333332</v>
      </c>
      <c r="CC202" s="19">
        <v>40</v>
      </c>
      <c r="CD202" s="19">
        <v>40</v>
      </c>
      <c r="CE202" s="20" t="s">
        <v>72</v>
      </c>
      <c r="CF202" s="5">
        <f t="shared" si="46"/>
        <v>160</v>
      </c>
      <c r="CG202" s="5">
        <f t="shared" si="47"/>
        <v>5.4</v>
      </c>
      <c r="CH202" s="5">
        <f t="shared" si="48"/>
        <v>3.6</v>
      </c>
      <c r="CI202" s="5">
        <f t="shared" si="49"/>
        <v>2.0499003377570144</v>
      </c>
      <c r="CJ202" s="2">
        <f t="shared" si="50"/>
        <v>7850</v>
      </c>
      <c r="CK202" s="48"/>
      <c r="CZ202" s="2" t="s">
        <v>610</v>
      </c>
      <c r="DA202" s="43">
        <v>0.61733992103072421</v>
      </c>
      <c r="DB202" s="19">
        <v>19.100000000000001</v>
      </c>
      <c r="DC202" s="19">
        <v>1.4</v>
      </c>
      <c r="DD202" s="21">
        <v>60.004419683565054</v>
      </c>
      <c r="DE202" s="44">
        <f t="shared" si="51"/>
        <v>0.61733992103072421</v>
      </c>
      <c r="DF202" s="19">
        <f t="shared" si="52"/>
        <v>7930</v>
      </c>
    </row>
    <row r="203" spans="79:135" x14ac:dyDescent="0.25">
      <c r="CA203" s="2" t="str">
        <f t="shared" si="45"/>
        <v>Hộp-40x1.9</v>
      </c>
      <c r="CB203" s="19">
        <v>2.25</v>
      </c>
      <c r="CC203" s="19">
        <v>40</v>
      </c>
      <c r="CD203" s="19">
        <v>40</v>
      </c>
      <c r="CE203" s="20" t="s">
        <v>73</v>
      </c>
      <c r="CF203" s="5">
        <f t="shared" si="46"/>
        <v>160</v>
      </c>
      <c r="CG203" s="5">
        <f t="shared" si="47"/>
        <v>5.6999999999999993</v>
      </c>
      <c r="CH203" s="5">
        <f t="shared" si="48"/>
        <v>3.8</v>
      </c>
      <c r="CI203" s="5">
        <f t="shared" si="49"/>
        <v>2.1514161170687713</v>
      </c>
      <c r="CJ203" s="2">
        <f t="shared" si="50"/>
        <v>7850</v>
      </c>
      <c r="CK203" s="48"/>
      <c r="CZ203" s="2" t="s">
        <v>611</v>
      </c>
      <c r="DA203" s="43">
        <v>0.65769870521433071</v>
      </c>
      <c r="DB203" s="19">
        <v>19.100000000000001</v>
      </c>
      <c r="DC203" s="19">
        <v>1.5</v>
      </c>
      <c r="DD203" s="21">
        <v>60.004419683565054</v>
      </c>
      <c r="DE203" s="44">
        <f t="shared" si="51"/>
        <v>0.65769870521433071</v>
      </c>
      <c r="DF203" s="19">
        <f t="shared" si="52"/>
        <v>7930</v>
      </c>
    </row>
    <row r="204" spans="79:135" x14ac:dyDescent="0.25">
      <c r="CA204" s="2" t="str">
        <f t="shared" si="45"/>
        <v>Hộp-40x2</v>
      </c>
      <c r="CB204" s="19">
        <v>2.3616666666666668</v>
      </c>
      <c r="CC204" s="19">
        <v>40</v>
      </c>
      <c r="CD204" s="19">
        <v>40</v>
      </c>
      <c r="CE204" s="20" t="s">
        <v>74</v>
      </c>
      <c r="CF204" s="5">
        <f t="shared" si="46"/>
        <v>160</v>
      </c>
      <c r="CG204" s="5">
        <f t="shared" si="47"/>
        <v>6</v>
      </c>
      <c r="CH204" s="5">
        <f t="shared" si="48"/>
        <v>4</v>
      </c>
      <c r="CI204" s="5">
        <f t="shared" si="49"/>
        <v>2.2516300466135974</v>
      </c>
      <c r="CJ204" s="2">
        <f t="shared" si="50"/>
        <v>7850</v>
      </c>
      <c r="CK204" s="48"/>
      <c r="CZ204" s="2" t="s">
        <v>612</v>
      </c>
      <c r="DA204" s="43">
        <v>0.45067309005027389</v>
      </c>
      <c r="DB204" s="19">
        <v>21</v>
      </c>
      <c r="DC204" s="19">
        <v>0.9</v>
      </c>
      <c r="DD204" s="21">
        <v>65.973445725385659</v>
      </c>
      <c r="DE204" s="44">
        <f t="shared" si="51"/>
        <v>0.45067309005027389</v>
      </c>
      <c r="DF204" s="19">
        <f t="shared" si="52"/>
        <v>7930</v>
      </c>
    </row>
    <row r="205" spans="79:135" x14ac:dyDescent="0.25">
      <c r="CA205" s="2" t="str">
        <f t="shared" si="45"/>
        <v>Hộp-40x2.1</v>
      </c>
      <c r="CB205" s="19">
        <v>2.4716666666666667</v>
      </c>
      <c r="CC205" s="19">
        <v>40</v>
      </c>
      <c r="CD205" s="19">
        <v>40</v>
      </c>
      <c r="CE205" s="20" t="s">
        <v>75</v>
      </c>
      <c r="CF205" s="5">
        <f t="shared" si="46"/>
        <v>160</v>
      </c>
      <c r="CG205" s="5">
        <f t="shared" si="47"/>
        <v>6.3000000000000007</v>
      </c>
      <c r="CH205" s="5">
        <f t="shared" si="48"/>
        <v>4.2</v>
      </c>
      <c r="CI205" s="5">
        <f t="shared" si="49"/>
        <v>2.3505421263914914</v>
      </c>
      <c r="CJ205" s="2">
        <f t="shared" si="50"/>
        <v>7850</v>
      </c>
      <c r="CK205" s="48"/>
      <c r="CZ205" s="2" t="s">
        <v>613</v>
      </c>
      <c r="DA205" s="43">
        <v>0.49825659485934126</v>
      </c>
      <c r="DB205" s="19">
        <v>21</v>
      </c>
      <c r="DC205" s="19">
        <v>1</v>
      </c>
      <c r="DD205" s="21">
        <v>65.973445725385659</v>
      </c>
      <c r="DE205" s="44">
        <f t="shared" si="51"/>
        <v>0.49825659485934126</v>
      </c>
      <c r="DF205" s="19">
        <f t="shared" si="52"/>
        <v>7930</v>
      </c>
    </row>
    <row r="206" spans="79:135" x14ac:dyDescent="0.25">
      <c r="CA206" s="2" t="str">
        <f t="shared" si="45"/>
        <v>Hộp-40x2.2</v>
      </c>
      <c r="CB206" s="19">
        <v>2.58</v>
      </c>
      <c r="CC206" s="19">
        <v>40</v>
      </c>
      <c r="CD206" s="19">
        <v>40</v>
      </c>
      <c r="CE206" s="20" t="s">
        <v>76</v>
      </c>
      <c r="CF206" s="5">
        <f t="shared" si="46"/>
        <v>160</v>
      </c>
      <c r="CG206" s="5">
        <f t="shared" si="47"/>
        <v>6.6000000000000005</v>
      </c>
      <c r="CH206" s="5">
        <f t="shared" si="48"/>
        <v>4.4000000000000004</v>
      </c>
      <c r="CI206" s="5">
        <f t="shared" si="49"/>
        <v>2.4481523564024528</v>
      </c>
      <c r="CJ206" s="2">
        <f t="shared" si="50"/>
        <v>7850</v>
      </c>
      <c r="CK206" s="48"/>
      <c r="CZ206" s="2" t="s">
        <v>614</v>
      </c>
      <c r="DA206" s="43">
        <v>0.5453418430735486</v>
      </c>
      <c r="DB206" s="19">
        <v>21</v>
      </c>
      <c r="DC206" s="19">
        <v>1.1000000000000001</v>
      </c>
      <c r="DD206" s="21">
        <v>65.973445725385659</v>
      </c>
      <c r="DE206" s="44">
        <f t="shared" si="51"/>
        <v>0.5453418430735486</v>
      </c>
      <c r="DF206" s="19">
        <f t="shared" si="52"/>
        <v>7930</v>
      </c>
    </row>
    <row r="207" spans="79:135" x14ac:dyDescent="0.25">
      <c r="CA207" s="2" t="str">
        <f t="shared" si="45"/>
        <v>Hộp-40x2.3</v>
      </c>
      <c r="CB207" s="19">
        <v>2.69</v>
      </c>
      <c r="CC207" s="19">
        <v>40</v>
      </c>
      <c r="CD207" s="19">
        <v>40</v>
      </c>
      <c r="CE207" s="20" t="s">
        <v>77</v>
      </c>
      <c r="CF207" s="5">
        <f t="shared" si="46"/>
        <v>160</v>
      </c>
      <c r="CG207" s="5">
        <f t="shared" si="47"/>
        <v>6.8999999999999995</v>
      </c>
      <c r="CH207" s="5">
        <f t="shared" si="48"/>
        <v>4.5999999999999996</v>
      </c>
      <c r="CI207" s="5">
        <f t="shared" si="49"/>
        <v>2.5444607366464824</v>
      </c>
      <c r="CJ207" s="2">
        <f t="shared" si="50"/>
        <v>7850</v>
      </c>
      <c r="CK207" s="48"/>
      <c r="CZ207" s="2" t="s">
        <v>615</v>
      </c>
      <c r="DA207" s="43">
        <v>0.59192883469289725</v>
      </c>
      <c r="DB207" s="19">
        <v>21</v>
      </c>
      <c r="DC207" s="19">
        <v>1.2</v>
      </c>
      <c r="DD207" s="21">
        <v>65.973445725385659</v>
      </c>
      <c r="DE207" s="44">
        <f t="shared" si="51"/>
        <v>0.59192883469289725</v>
      </c>
      <c r="DF207" s="19">
        <f t="shared" si="52"/>
        <v>7930</v>
      </c>
    </row>
    <row r="208" spans="79:135" x14ac:dyDescent="0.25">
      <c r="CA208" s="2" t="str">
        <f t="shared" si="45"/>
        <v>Hộp-40x2.4</v>
      </c>
      <c r="CB208" s="19">
        <v>2.7966666666666669</v>
      </c>
      <c r="CC208" s="19">
        <v>40</v>
      </c>
      <c r="CD208" s="19">
        <v>40</v>
      </c>
      <c r="CE208" s="20" t="s">
        <v>78</v>
      </c>
      <c r="CF208" s="5">
        <f t="shared" si="46"/>
        <v>160</v>
      </c>
      <c r="CG208" s="5">
        <f t="shared" si="47"/>
        <v>7.1999999999999993</v>
      </c>
      <c r="CH208" s="5">
        <f t="shared" si="48"/>
        <v>4.8</v>
      </c>
      <c r="CI208" s="5">
        <f t="shared" si="49"/>
        <v>2.6394672671235804</v>
      </c>
      <c r="CJ208" s="2">
        <f t="shared" si="50"/>
        <v>7850</v>
      </c>
      <c r="CK208" s="48"/>
      <c r="CZ208" s="2" t="s">
        <v>616</v>
      </c>
      <c r="DA208" s="43">
        <v>0.68360804814701615</v>
      </c>
      <c r="DB208" s="19">
        <v>21</v>
      </c>
      <c r="DC208" s="19">
        <v>1.4</v>
      </c>
      <c r="DD208" s="21">
        <v>65.973445725385659</v>
      </c>
      <c r="DE208" s="44">
        <f t="shared" si="51"/>
        <v>0.68360804814701626</v>
      </c>
      <c r="DF208" s="19">
        <f t="shared" si="52"/>
        <v>7930</v>
      </c>
    </row>
    <row r="209" spans="79:110" x14ac:dyDescent="0.25">
      <c r="CA209" s="2" t="str">
        <f t="shared" si="45"/>
        <v>Hộp-40x2.5</v>
      </c>
      <c r="CB209" s="19">
        <v>2.9049999999999998</v>
      </c>
      <c r="CC209" s="19">
        <v>40</v>
      </c>
      <c r="CD209" s="19">
        <v>40</v>
      </c>
      <c r="CE209" s="20" t="s">
        <v>79</v>
      </c>
      <c r="CF209" s="5">
        <f t="shared" si="46"/>
        <v>160</v>
      </c>
      <c r="CG209" s="5">
        <f t="shared" si="47"/>
        <v>7.5</v>
      </c>
      <c r="CH209" s="5">
        <f t="shared" si="48"/>
        <v>5</v>
      </c>
      <c r="CI209" s="5">
        <f t="shared" si="49"/>
        <v>2.7331719478337457</v>
      </c>
      <c r="CJ209" s="2">
        <f t="shared" si="50"/>
        <v>7850</v>
      </c>
      <c r="CK209" s="48"/>
      <c r="CZ209" s="2" t="s">
        <v>617</v>
      </c>
      <c r="DA209" s="43">
        <v>0.72870026998178639</v>
      </c>
      <c r="DB209" s="19">
        <v>21</v>
      </c>
      <c r="DC209" s="19">
        <v>1.5</v>
      </c>
      <c r="DD209" s="21">
        <v>65.973445725385659</v>
      </c>
      <c r="DE209" s="44">
        <f t="shared" si="51"/>
        <v>0.7287002699817865</v>
      </c>
      <c r="DF209" s="19">
        <f t="shared" si="52"/>
        <v>7930</v>
      </c>
    </row>
    <row r="210" spans="79:110" x14ac:dyDescent="0.25">
      <c r="CA210" s="2" t="str">
        <f t="shared" si="45"/>
        <v>Hộp-40x2.7</v>
      </c>
      <c r="CB210" s="19">
        <v>3.1166666666666667</v>
      </c>
      <c r="CC210" s="19">
        <v>40</v>
      </c>
      <c r="CD210" s="19">
        <v>40</v>
      </c>
      <c r="CE210" s="20" t="s">
        <v>80</v>
      </c>
      <c r="CF210" s="5">
        <f t="shared" si="46"/>
        <v>160</v>
      </c>
      <c r="CG210" s="5">
        <f t="shared" si="47"/>
        <v>8.1000000000000014</v>
      </c>
      <c r="CH210" s="5">
        <f t="shared" si="48"/>
        <v>5.4</v>
      </c>
      <c r="CI210" s="5">
        <f t="shared" si="49"/>
        <v>2.9166757599532813</v>
      </c>
      <c r="CJ210" s="2">
        <f t="shared" si="50"/>
        <v>7850</v>
      </c>
      <c r="CK210" s="48"/>
      <c r="CZ210" s="2" t="s">
        <v>618</v>
      </c>
      <c r="DA210" s="43">
        <v>0.81738994386674868</v>
      </c>
      <c r="DB210" s="19">
        <v>21</v>
      </c>
      <c r="DC210" s="19">
        <v>1.7</v>
      </c>
      <c r="DD210" s="21">
        <v>65.973445725385659</v>
      </c>
      <c r="DE210" s="44">
        <f t="shared" si="51"/>
        <v>0.81738994386674868</v>
      </c>
      <c r="DF210" s="19">
        <f t="shared" si="52"/>
        <v>7930</v>
      </c>
    </row>
    <row r="211" spans="79:110" x14ac:dyDescent="0.25">
      <c r="CA211" s="2" t="str">
        <f t="shared" si="45"/>
        <v>Hộp-40x2.8</v>
      </c>
      <c r="CB211" s="19">
        <v>3.2216666666666662</v>
      </c>
      <c r="CC211" s="19">
        <v>40</v>
      </c>
      <c r="CD211" s="19">
        <v>40</v>
      </c>
      <c r="CE211" s="20" t="s">
        <v>81</v>
      </c>
      <c r="CF211" s="5">
        <f t="shared" si="46"/>
        <v>160</v>
      </c>
      <c r="CG211" s="5">
        <f t="shared" si="47"/>
        <v>8.3999999999999986</v>
      </c>
      <c r="CH211" s="5">
        <f t="shared" si="48"/>
        <v>5.6</v>
      </c>
      <c r="CI211" s="5">
        <f t="shared" si="49"/>
        <v>3.0064748913626511</v>
      </c>
      <c r="CJ211" s="2">
        <f t="shared" si="50"/>
        <v>7850</v>
      </c>
      <c r="CK211" s="48"/>
      <c r="CZ211" s="2" t="s">
        <v>619</v>
      </c>
      <c r="DA211" s="43">
        <v>0.86098739591694184</v>
      </c>
      <c r="DB211" s="19">
        <v>21</v>
      </c>
      <c r="DC211" s="19">
        <v>1.8</v>
      </c>
      <c r="DD211" s="21">
        <v>65.973445725385659</v>
      </c>
      <c r="DE211" s="44">
        <f t="shared" si="51"/>
        <v>0.86098739591694184</v>
      </c>
      <c r="DF211" s="19">
        <f t="shared" si="52"/>
        <v>7930</v>
      </c>
    </row>
    <row r="212" spans="79:110" x14ac:dyDescent="0.25">
      <c r="CA212" s="2" t="str">
        <f t="shared" si="45"/>
        <v>Hộp-40x2.9</v>
      </c>
      <c r="CB212" s="19">
        <v>3.3249999999999997</v>
      </c>
      <c r="CC212" s="19">
        <v>40</v>
      </c>
      <c r="CD212" s="19">
        <v>40</v>
      </c>
      <c r="CE212" s="20" t="s">
        <v>82</v>
      </c>
      <c r="CF212" s="5">
        <f t="shared" si="46"/>
        <v>160</v>
      </c>
      <c r="CG212" s="5">
        <f t="shared" si="47"/>
        <v>8.6999999999999993</v>
      </c>
      <c r="CH212" s="5">
        <f t="shared" si="48"/>
        <v>5.8</v>
      </c>
      <c r="CI212" s="5">
        <f t="shared" si="49"/>
        <v>3.0949721730050892</v>
      </c>
      <c r="CJ212" s="2">
        <f t="shared" si="50"/>
        <v>7850</v>
      </c>
      <c r="CK212" s="48"/>
      <c r="CZ212" s="2" t="s">
        <v>620</v>
      </c>
      <c r="DA212" s="43">
        <v>0.9466875302327481</v>
      </c>
      <c r="DB212" s="19">
        <v>21</v>
      </c>
      <c r="DC212" s="19">
        <v>2</v>
      </c>
      <c r="DD212" s="21">
        <v>65.973445725385659</v>
      </c>
      <c r="DE212" s="44">
        <f t="shared" si="51"/>
        <v>0.94668753023274821</v>
      </c>
      <c r="DF212" s="19">
        <f t="shared" si="52"/>
        <v>7930</v>
      </c>
    </row>
    <row r="213" spans="79:110" x14ac:dyDescent="0.25">
      <c r="CA213" s="2" t="str">
        <f t="shared" si="45"/>
        <v>Hộp-40x3</v>
      </c>
      <c r="CB213" s="19">
        <v>3.4283333333333332</v>
      </c>
      <c r="CC213" s="19">
        <v>40</v>
      </c>
      <c r="CD213" s="19">
        <v>40</v>
      </c>
      <c r="CE213" s="20" t="s">
        <v>83</v>
      </c>
      <c r="CF213" s="5">
        <f t="shared" si="46"/>
        <v>160</v>
      </c>
      <c r="CG213" s="5">
        <f t="shared" si="47"/>
        <v>9</v>
      </c>
      <c r="CH213" s="5">
        <f t="shared" si="48"/>
        <v>6</v>
      </c>
      <c r="CI213" s="5">
        <f t="shared" si="49"/>
        <v>3.1821676048805942</v>
      </c>
      <c r="CJ213" s="2">
        <f t="shared" si="50"/>
        <v>7850</v>
      </c>
      <c r="CK213" s="48"/>
      <c r="CZ213" s="2" t="s">
        <v>621</v>
      </c>
      <c r="DA213" s="43">
        <v>0.32287027346885283</v>
      </c>
      <c r="DB213" s="19">
        <v>22.2</v>
      </c>
      <c r="DC213" s="19">
        <v>0.6</v>
      </c>
      <c r="DD213" s="21">
        <v>69.743356909693404</v>
      </c>
      <c r="DE213" s="44">
        <f t="shared" si="51"/>
        <v>0.32287027346885283</v>
      </c>
      <c r="DF213" s="19">
        <f t="shared" si="52"/>
        <v>7930</v>
      </c>
    </row>
    <row r="214" spans="79:110" x14ac:dyDescent="0.25">
      <c r="CA214" s="2" t="str">
        <f t="shared" si="45"/>
        <v>Hộp-40x3.1</v>
      </c>
      <c r="CB214" s="19">
        <v>3.5316666666666667</v>
      </c>
      <c r="CC214" s="19">
        <v>40</v>
      </c>
      <c r="CD214" s="19">
        <v>40</v>
      </c>
      <c r="CE214" s="20" t="s">
        <v>84</v>
      </c>
      <c r="CF214" s="5">
        <f t="shared" si="46"/>
        <v>160</v>
      </c>
      <c r="CG214" s="5">
        <f t="shared" si="47"/>
        <v>9.3000000000000007</v>
      </c>
      <c r="CH214" s="5">
        <f t="shared" si="48"/>
        <v>6.2</v>
      </c>
      <c r="CI214" s="5">
        <f t="shared" si="49"/>
        <v>3.268061186989168</v>
      </c>
      <c r="CJ214" s="2">
        <f t="shared" si="50"/>
        <v>7850</v>
      </c>
      <c r="CK214" s="48"/>
      <c r="CZ214" s="2" t="s">
        <v>622</v>
      </c>
      <c r="DA214" s="43">
        <v>0.37493808763165382</v>
      </c>
      <c r="DB214" s="19">
        <v>22.2</v>
      </c>
      <c r="DC214" s="19">
        <v>0.7</v>
      </c>
      <c r="DD214" s="21">
        <v>69.743356909693404</v>
      </c>
      <c r="DE214" s="44">
        <f t="shared" si="51"/>
        <v>0.37493808763165387</v>
      </c>
      <c r="DF214" s="19">
        <f t="shared" si="52"/>
        <v>7930</v>
      </c>
    </row>
    <row r="215" spans="79:110" x14ac:dyDescent="0.25">
      <c r="CA215" s="2" t="str">
        <f t="shared" si="45"/>
        <v>Hộp-40x60x1</v>
      </c>
      <c r="CB215" s="19">
        <v>1.5316666666666665</v>
      </c>
      <c r="CC215" s="19">
        <v>40</v>
      </c>
      <c r="CD215" s="19">
        <v>60</v>
      </c>
      <c r="CE215" s="20" t="s">
        <v>65</v>
      </c>
      <c r="CF215" s="5">
        <f t="shared" si="46"/>
        <v>200</v>
      </c>
      <c r="CG215" s="5">
        <f t="shared" si="47"/>
        <v>3</v>
      </c>
      <c r="CH215" s="5">
        <f t="shared" si="48"/>
        <v>2</v>
      </c>
      <c r="CI215" s="5">
        <f t="shared" si="49"/>
        <v>1.5049075116533994</v>
      </c>
      <c r="CJ215" s="2">
        <f t="shared" si="50"/>
        <v>7850</v>
      </c>
      <c r="CK215" s="48"/>
      <c r="CZ215" s="2" t="s">
        <v>623</v>
      </c>
      <c r="DA215" s="43">
        <v>0.42650764519959655</v>
      </c>
      <c r="DB215" s="19">
        <v>22.2</v>
      </c>
      <c r="DC215" s="19">
        <v>0.8</v>
      </c>
      <c r="DD215" s="21">
        <v>69.743356909693404</v>
      </c>
      <c r="DE215" s="44">
        <f t="shared" si="51"/>
        <v>0.42650764519959655</v>
      </c>
      <c r="DF215" s="19">
        <f t="shared" si="52"/>
        <v>7930</v>
      </c>
    </row>
    <row r="216" spans="79:110" x14ac:dyDescent="0.25">
      <c r="CA216" s="2" t="str">
        <f t="shared" si="45"/>
        <v>Hộp-40x60x1.1</v>
      </c>
      <c r="CB216" s="19">
        <v>1.6816666666666666</v>
      </c>
      <c r="CC216" s="19">
        <v>40</v>
      </c>
      <c r="CD216" s="19">
        <v>60</v>
      </c>
      <c r="CE216" s="20" t="s">
        <v>66</v>
      </c>
      <c r="CF216" s="5">
        <f t="shared" si="46"/>
        <v>200</v>
      </c>
      <c r="CG216" s="5">
        <f t="shared" si="47"/>
        <v>3.3000000000000003</v>
      </c>
      <c r="CH216" s="5">
        <f t="shared" si="48"/>
        <v>2.2000000000000002</v>
      </c>
      <c r="CI216" s="5">
        <f t="shared" si="49"/>
        <v>1.6482380891006134</v>
      </c>
      <c r="CJ216" s="2">
        <f t="shared" si="50"/>
        <v>7850</v>
      </c>
      <c r="CK216" s="48"/>
      <c r="CZ216" s="2" t="s">
        <v>624</v>
      </c>
      <c r="DA216" s="43">
        <v>0.47757894617267838</v>
      </c>
      <c r="DB216" s="19">
        <v>22.2</v>
      </c>
      <c r="DC216" s="19">
        <v>0.9</v>
      </c>
      <c r="DD216" s="21">
        <v>69.743356909693404</v>
      </c>
      <c r="DE216" s="44">
        <f t="shared" si="51"/>
        <v>0.47757894617267838</v>
      </c>
      <c r="DF216" s="19">
        <f t="shared" si="52"/>
        <v>7930</v>
      </c>
    </row>
    <row r="217" spans="79:110" x14ac:dyDescent="0.25">
      <c r="CA217" s="2" t="str">
        <f t="shared" si="45"/>
        <v>Hộp-40x60x1.2</v>
      </c>
      <c r="CB217" s="19">
        <v>1.83</v>
      </c>
      <c r="CC217" s="19">
        <v>40</v>
      </c>
      <c r="CD217" s="19">
        <v>60</v>
      </c>
      <c r="CE217" s="20" t="s">
        <v>67</v>
      </c>
      <c r="CF217" s="5">
        <f t="shared" si="46"/>
        <v>200</v>
      </c>
      <c r="CG217" s="5">
        <f t="shared" si="47"/>
        <v>3.5999999999999996</v>
      </c>
      <c r="CH217" s="5">
        <f t="shared" si="48"/>
        <v>2.4</v>
      </c>
      <c r="CI217" s="5">
        <f t="shared" si="49"/>
        <v>1.7902668167808948</v>
      </c>
      <c r="CJ217" s="2">
        <f t="shared" si="50"/>
        <v>7850</v>
      </c>
      <c r="CK217" s="48"/>
      <c r="CZ217" s="2" t="s">
        <v>625</v>
      </c>
      <c r="DA217" s="43">
        <v>0.52815199055090145</v>
      </c>
      <c r="DB217" s="19">
        <v>22.2</v>
      </c>
      <c r="DC217" s="19">
        <v>1</v>
      </c>
      <c r="DD217" s="21">
        <v>69.743356909693404</v>
      </c>
      <c r="DE217" s="44">
        <f t="shared" si="51"/>
        <v>0.52815199055090145</v>
      </c>
      <c r="DF217" s="19">
        <f t="shared" si="52"/>
        <v>7930</v>
      </c>
    </row>
    <row r="218" spans="79:110" x14ac:dyDescent="0.25">
      <c r="CA218" s="2" t="str">
        <f t="shared" si="45"/>
        <v>Hộp-40x60x1.4</v>
      </c>
      <c r="CB218" s="19">
        <v>2.1233333333333335</v>
      </c>
      <c r="CC218" s="19">
        <v>40</v>
      </c>
      <c r="CD218" s="19">
        <v>60</v>
      </c>
      <c r="CE218" s="20" t="s">
        <v>68</v>
      </c>
      <c r="CF218" s="5">
        <f t="shared" si="46"/>
        <v>200</v>
      </c>
      <c r="CG218" s="5">
        <f t="shared" si="47"/>
        <v>4.1999999999999993</v>
      </c>
      <c r="CH218" s="5">
        <f t="shared" si="48"/>
        <v>2.8</v>
      </c>
      <c r="CI218" s="5">
        <f t="shared" si="49"/>
        <v>2.0704187228406625</v>
      </c>
      <c r="CJ218" s="2">
        <f t="shared" si="50"/>
        <v>7850</v>
      </c>
      <c r="CK218" s="48"/>
      <c r="CZ218" s="2" t="s">
        <v>626</v>
      </c>
      <c r="DA218" s="43">
        <v>0.57822677833426495</v>
      </c>
      <c r="DB218" s="19">
        <v>22.2</v>
      </c>
      <c r="DC218" s="19">
        <v>1.1000000000000001</v>
      </c>
      <c r="DD218" s="21">
        <v>69.743356909693404</v>
      </c>
      <c r="DE218" s="44">
        <f t="shared" si="51"/>
        <v>0.57822677833426495</v>
      </c>
      <c r="DF218" s="19">
        <f t="shared" si="52"/>
        <v>7930</v>
      </c>
    </row>
    <row r="219" spans="79:110" x14ac:dyDescent="0.25">
      <c r="CA219" s="2" t="str">
        <f t="shared" si="45"/>
        <v>Hộp-40x60x1.5</v>
      </c>
      <c r="CB219" s="19">
        <v>2.27</v>
      </c>
      <c r="CC219" s="19">
        <v>40</v>
      </c>
      <c r="CD219" s="19">
        <v>60</v>
      </c>
      <c r="CE219" s="20" t="s">
        <v>69</v>
      </c>
      <c r="CF219" s="5">
        <f t="shared" si="46"/>
        <v>200</v>
      </c>
      <c r="CG219" s="5">
        <f t="shared" si="47"/>
        <v>4.5</v>
      </c>
      <c r="CH219" s="5">
        <f t="shared" si="48"/>
        <v>3</v>
      </c>
      <c r="CI219" s="5">
        <f t="shared" si="49"/>
        <v>2.2085419012201486</v>
      </c>
      <c r="CJ219" s="2">
        <f t="shared" si="50"/>
        <v>7850</v>
      </c>
      <c r="CK219" s="48"/>
      <c r="CZ219" s="2" t="s">
        <v>627</v>
      </c>
      <c r="DA219" s="43">
        <v>0.62780330952276941</v>
      </c>
      <c r="DB219" s="19">
        <v>22.2</v>
      </c>
      <c r="DC219" s="19">
        <v>1.2</v>
      </c>
      <c r="DD219" s="21">
        <v>69.743356909693404</v>
      </c>
      <c r="DE219" s="44">
        <f t="shared" si="51"/>
        <v>0.62780330952276941</v>
      </c>
      <c r="DF219" s="19">
        <f t="shared" si="52"/>
        <v>7930</v>
      </c>
    </row>
    <row r="220" spans="79:110" x14ac:dyDescent="0.25">
      <c r="CA220" s="2" t="str">
        <f t="shared" si="45"/>
        <v>Hộp-40x60x1.6</v>
      </c>
      <c r="CB220" s="19">
        <v>2.415</v>
      </c>
      <c r="CC220" s="19">
        <v>40</v>
      </c>
      <c r="CD220" s="19">
        <v>60</v>
      </c>
      <c r="CE220" s="20" t="s">
        <v>70</v>
      </c>
      <c r="CF220" s="5">
        <f t="shared" si="46"/>
        <v>200</v>
      </c>
      <c r="CG220" s="5">
        <f t="shared" si="47"/>
        <v>4.8000000000000007</v>
      </c>
      <c r="CH220" s="5">
        <f t="shared" si="48"/>
        <v>3.2</v>
      </c>
      <c r="CI220" s="5">
        <f t="shared" si="49"/>
        <v>2.3453632298327025</v>
      </c>
      <c r="CJ220" s="2">
        <f t="shared" si="50"/>
        <v>7850</v>
      </c>
      <c r="CK220" s="48"/>
      <c r="CZ220" s="2" t="s">
        <v>628</v>
      </c>
      <c r="DA220" s="43">
        <v>0.72546160211520072</v>
      </c>
      <c r="DB220" s="19">
        <v>22.2</v>
      </c>
      <c r="DC220" s="19">
        <v>1.4</v>
      </c>
      <c r="DD220" s="21">
        <v>69.743356909693404</v>
      </c>
      <c r="DE220" s="44">
        <f t="shared" si="51"/>
        <v>0.72546160211520072</v>
      </c>
      <c r="DF220" s="19">
        <f t="shared" si="52"/>
        <v>7930</v>
      </c>
    </row>
    <row r="221" spans="79:110" x14ac:dyDescent="0.25">
      <c r="CA221" s="2" t="str">
        <f t="shared" si="45"/>
        <v>Hộp-40x60x1.7</v>
      </c>
      <c r="CB221" s="19">
        <v>2.56</v>
      </c>
      <c r="CC221" s="19">
        <v>40</v>
      </c>
      <c r="CD221" s="19">
        <v>60</v>
      </c>
      <c r="CE221" s="20" t="s">
        <v>71</v>
      </c>
      <c r="CF221" s="5">
        <f t="shared" si="46"/>
        <v>200</v>
      </c>
      <c r="CG221" s="5">
        <f t="shared" si="47"/>
        <v>5.0999999999999996</v>
      </c>
      <c r="CH221" s="5">
        <f t="shared" si="48"/>
        <v>3.4</v>
      </c>
      <c r="CI221" s="5">
        <f t="shared" si="49"/>
        <v>2.4808827086783243</v>
      </c>
      <c r="CJ221" s="2">
        <f t="shared" si="50"/>
        <v>7850</v>
      </c>
      <c r="CK221" s="48"/>
      <c r="CZ221" s="2" t="s">
        <v>629</v>
      </c>
      <c r="DA221" s="43">
        <v>0.77354336351912678</v>
      </c>
      <c r="DB221" s="19">
        <v>22.2</v>
      </c>
      <c r="DC221" s="19">
        <v>1.5</v>
      </c>
      <c r="DD221" s="21">
        <v>69.743356909693404</v>
      </c>
      <c r="DE221" s="44">
        <f t="shared" si="51"/>
        <v>0.77354336351912678</v>
      </c>
      <c r="DF221" s="19">
        <f t="shared" si="52"/>
        <v>7930</v>
      </c>
    </row>
    <row r="222" spans="79:110" x14ac:dyDescent="0.25">
      <c r="CA222" s="2" t="str">
        <f t="shared" si="45"/>
        <v>Hộp-40x60x1.8</v>
      </c>
      <c r="CB222" s="19">
        <v>2.7033333333333331</v>
      </c>
      <c r="CC222" s="19">
        <v>40</v>
      </c>
      <c r="CD222" s="19">
        <v>60</v>
      </c>
      <c r="CE222" s="20" t="s">
        <v>72</v>
      </c>
      <c r="CF222" s="5">
        <f t="shared" si="46"/>
        <v>200</v>
      </c>
      <c r="CG222" s="5">
        <f t="shared" si="47"/>
        <v>5.4</v>
      </c>
      <c r="CH222" s="5">
        <f t="shared" si="48"/>
        <v>3.6</v>
      </c>
      <c r="CI222" s="5">
        <f t="shared" si="49"/>
        <v>2.6151003377570143</v>
      </c>
      <c r="CJ222" s="2">
        <f t="shared" si="50"/>
        <v>7850</v>
      </c>
      <c r="CK222" s="48"/>
      <c r="CZ222" s="2" t="s">
        <v>630</v>
      </c>
      <c r="DA222" s="43">
        <v>0.37070290657534977</v>
      </c>
      <c r="DB222" s="19">
        <v>25.4</v>
      </c>
      <c r="DC222" s="19">
        <v>0.6</v>
      </c>
      <c r="DD222" s="21">
        <v>79.796453401180742</v>
      </c>
      <c r="DE222" s="44">
        <f t="shared" si="51"/>
        <v>0.37070290657534977</v>
      </c>
      <c r="DF222" s="19">
        <f t="shared" si="52"/>
        <v>7930</v>
      </c>
    </row>
    <row r="223" spans="79:110" x14ac:dyDescent="0.25">
      <c r="CA223" s="2" t="str">
        <f t="shared" si="45"/>
        <v>Hộp-40x60x1.9</v>
      </c>
      <c r="CB223" s="19">
        <v>2.8466666666666662</v>
      </c>
      <c r="CC223" s="19">
        <v>40</v>
      </c>
      <c r="CD223" s="19">
        <v>60</v>
      </c>
      <c r="CE223" s="20" t="s">
        <v>73</v>
      </c>
      <c r="CF223" s="5">
        <f t="shared" si="46"/>
        <v>200</v>
      </c>
      <c r="CG223" s="5">
        <f t="shared" si="47"/>
        <v>5.6999999999999993</v>
      </c>
      <c r="CH223" s="5">
        <f t="shared" si="48"/>
        <v>3.8</v>
      </c>
      <c r="CI223" s="5">
        <f t="shared" si="49"/>
        <v>2.7480161170687714</v>
      </c>
      <c r="CJ223" s="2">
        <f t="shared" si="50"/>
        <v>7850</v>
      </c>
      <c r="CK223" s="48"/>
      <c r="CZ223" s="2" t="s">
        <v>631</v>
      </c>
      <c r="DA223" s="43">
        <v>0.43074282625590016</v>
      </c>
      <c r="DB223" s="19">
        <v>25.4</v>
      </c>
      <c r="DC223" s="19">
        <v>0.7</v>
      </c>
      <c r="DD223" s="21">
        <v>79.796453401180742</v>
      </c>
      <c r="DE223" s="44">
        <f t="shared" si="51"/>
        <v>0.43074282625590021</v>
      </c>
      <c r="DF223" s="19">
        <f t="shared" si="52"/>
        <v>7930</v>
      </c>
    </row>
    <row r="224" spans="79:110" x14ac:dyDescent="0.25">
      <c r="CA224" s="2" t="str">
        <f t="shared" si="45"/>
        <v>Hộp-40x60x2</v>
      </c>
      <c r="CB224" s="19">
        <v>2.99</v>
      </c>
      <c r="CC224" s="19">
        <v>40</v>
      </c>
      <c r="CD224" s="19">
        <v>60</v>
      </c>
      <c r="CE224" s="20" t="s">
        <v>74</v>
      </c>
      <c r="CF224" s="5">
        <f t="shared" si="46"/>
        <v>200</v>
      </c>
      <c r="CG224" s="5">
        <f t="shared" si="47"/>
        <v>6</v>
      </c>
      <c r="CH224" s="5">
        <f t="shared" si="48"/>
        <v>4</v>
      </c>
      <c r="CI224" s="5">
        <f t="shared" si="49"/>
        <v>2.879630046613598</v>
      </c>
      <c r="CJ224" s="2">
        <f t="shared" si="50"/>
        <v>7850</v>
      </c>
      <c r="CK224" s="48"/>
      <c r="CZ224" s="2" t="s">
        <v>632</v>
      </c>
      <c r="DA224" s="43">
        <v>0.4902844893415923</v>
      </c>
      <c r="DB224" s="19">
        <v>25.4</v>
      </c>
      <c r="DC224" s="19">
        <v>0.8</v>
      </c>
      <c r="DD224" s="21">
        <v>79.796453401180742</v>
      </c>
      <c r="DE224" s="44">
        <f t="shared" si="51"/>
        <v>0.4902844893415923</v>
      </c>
      <c r="DF224" s="19">
        <f t="shared" si="52"/>
        <v>7930</v>
      </c>
    </row>
    <row r="225" spans="79:110" x14ac:dyDescent="0.25">
      <c r="CA225" s="2" t="str">
        <f t="shared" si="45"/>
        <v>Hộp-40x60x2.1</v>
      </c>
      <c r="CB225" s="19">
        <v>3.1300000000000003</v>
      </c>
      <c r="CC225" s="19">
        <v>40</v>
      </c>
      <c r="CD225" s="19">
        <v>60</v>
      </c>
      <c r="CE225" s="20" t="s">
        <v>75</v>
      </c>
      <c r="CF225" s="5">
        <f t="shared" si="46"/>
        <v>200</v>
      </c>
      <c r="CG225" s="5">
        <f t="shared" si="47"/>
        <v>6.3000000000000007</v>
      </c>
      <c r="CH225" s="5">
        <f t="shared" si="48"/>
        <v>4.2</v>
      </c>
      <c r="CI225" s="5">
        <f t="shared" si="49"/>
        <v>3.0099421263914912</v>
      </c>
      <c r="CJ225" s="2">
        <f t="shared" si="50"/>
        <v>7850</v>
      </c>
      <c r="CK225" s="48"/>
      <c r="CZ225" s="2" t="s">
        <v>633</v>
      </c>
      <c r="DA225" s="43">
        <v>0.54932789583242403</v>
      </c>
      <c r="DB225" s="19">
        <v>25.4</v>
      </c>
      <c r="DC225" s="19">
        <v>0.9</v>
      </c>
      <c r="DD225" s="21">
        <v>79.796453401180742</v>
      </c>
      <c r="DE225" s="44">
        <f t="shared" si="51"/>
        <v>0.54932789583242403</v>
      </c>
      <c r="DF225" s="19">
        <f t="shared" si="52"/>
        <v>7930</v>
      </c>
    </row>
    <row r="226" spans="79:110" x14ac:dyDescent="0.25">
      <c r="CA226" s="2" t="str">
        <f t="shared" si="45"/>
        <v>Hộp-40x60x2.2</v>
      </c>
      <c r="CB226" s="19">
        <v>3.2716666666666665</v>
      </c>
      <c r="CC226" s="19">
        <v>40</v>
      </c>
      <c r="CD226" s="19">
        <v>60</v>
      </c>
      <c r="CE226" s="20" t="s">
        <v>76</v>
      </c>
      <c r="CF226" s="5">
        <f t="shared" si="46"/>
        <v>200</v>
      </c>
      <c r="CG226" s="5">
        <f t="shared" si="47"/>
        <v>6.6000000000000005</v>
      </c>
      <c r="CH226" s="5">
        <f t="shared" si="48"/>
        <v>4.4000000000000004</v>
      </c>
      <c r="CI226" s="5">
        <f t="shared" si="49"/>
        <v>3.1389523564024531</v>
      </c>
      <c r="CJ226" s="2">
        <f t="shared" si="50"/>
        <v>7850</v>
      </c>
      <c r="CK226" s="48"/>
      <c r="CZ226" s="2" t="s">
        <v>634</v>
      </c>
      <c r="DA226" s="43">
        <v>0.60787304572839651</v>
      </c>
      <c r="DB226" s="19">
        <v>25.4</v>
      </c>
      <c r="DC226" s="19">
        <v>1</v>
      </c>
      <c r="DD226" s="21">
        <v>79.796453401180742</v>
      </c>
      <c r="DE226" s="44">
        <f t="shared" si="51"/>
        <v>0.60787304572839651</v>
      </c>
      <c r="DF226" s="19">
        <f t="shared" si="52"/>
        <v>7930</v>
      </c>
    </row>
    <row r="227" spans="79:110" x14ac:dyDescent="0.25">
      <c r="CA227" s="2" t="str">
        <f t="shared" si="45"/>
        <v>Hộp-40x60x2.3</v>
      </c>
      <c r="CB227" s="19">
        <v>3.4116666666666666</v>
      </c>
      <c r="CC227" s="19">
        <v>40</v>
      </c>
      <c r="CD227" s="19">
        <v>60</v>
      </c>
      <c r="CE227" s="20" t="s">
        <v>77</v>
      </c>
      <c r="CF227" s="5">
        <f t="shared" si="46"/>
        <v>200</v>
      </c>
      <c r="CG227" s="5">
        <f t="shared" si="47"/>
        <v>6.8999999999999995</v>
      </c>
      <c r="CH227" s="5">
        <f t="shared" si="48"/>
        <v>4.5999999999999996</v>
      </c>
      <c r="CI227" s="5">
        <f t="shared" si="49"/>
        <v>3.2666607366464828</v>
      </c>
      <c r="CJ227" s="2">
        <f t="shared" si="50"/>
        <v>7850</v>
      </c>
      <c r="CK227" s="48"/>
      <c r="CZ227" s="2" t="s">
        <v>635</v>
      </c>
      <c r="DA227" s="43">
        <v>0.66591993902950897</v>
      </c>
      <c r="DB227" s="19">
        <v>25.4</v>
      </c>
      <c r="DC227" s="19">
        <v>1.1000000000000001</v>
      </c>
      <c r="DD227" s="21">
        <v>79.796453401180742</v>
      </c>
      <c r="DE227" s="44">
        <f t="shared" si="51"/>
        <v>0.66591993902950897</v>
      </c>
      <c r="DF227" s="19">
        <f t="shared" si="52"/>
        <v>7930</v>
      </c>
    </row>
    <row r="228" spans="79:110" x14ac:dyDescent="0.25">
      <c r="CA228" s="2" t="str">
        <f t="shared" si="45"/>
        <v>Hộp-40x60x2.4</v>
      </c>
      <c r="CB228" s="19">
        <v>3.5516666666666663</v>
      </c>
      <c r="CC228" s="19">
        <v>40</v>
      </c>
      <c r="CD228" s="19">
        <v>60</v>
      </c>
      <c r="CE228" s="20" t="s">
        <v>78</v>
      </c>
      <c r="CF228" s="5">
        <f t="shared" si="46"/>
        <v>200</v>
      </c>
      <c r="CG228" s="5">
        <f t="shared" si="47"/>
        <v>7.1999999999999993</v>
      </c>
      <c r="CH228" s="5">
        <f t="shared" si="48"/>
        <v>4.8</v>
      </c>
      <c r="CI228" s="5">
        <f t="shared" si="49"/>
        <v>3.3930672671235804</v>
      </c>
      <c r="CJ228" s="2">
        <f t="shared" si="50"/>
        <v>7850</v>
      </c>
      <c r="CK228" s="48"/>
      <c r="CZ228" s="2" t="s">
        <v>636</v>
      </c>
      <c r="DA228" s="43">
        <v>0.72346857573576329</v>
      </c>
      <c r="DB228" s="19">
        <v>25.4</v>
      </c>
      <c r="DC228" s="19">
        <v>1.2</v>
      </c>
      <c r="DD228" s="21">
        <v>79.796453401180742</v>
      </c>
      <c r="DE228" s="44">
        <f t="shared" si="51"/>
        <v>0.72346857573576329</v>
      </c>
      <c r="DF228" s="19">
        <f t="shared" si="52"/>
        <v>7930</v>
      </c>
    </row>
    <row r="229" spans="79:110" x14ac:dyDescent="0.25">
      <c r="CA229" s="2" t="str">
        <f t="shared" si="45"/>
        <v>Hộp-40x60x2.5</v>
      </c>
      <c r="CB229" s="19">
        <v>3.69</v>
      </c>
      <c r="CC229" s="19">
        <v>40</v>
      </c>
      <c r="CD229" s="19">
        <v>60</v>
      </c>
      <c r="CE229" s="20" t="s">
        <v>79</v>
      </c>
      <c r="CF229" s="5">
        <f t="shared" si="46"/>
        <v>200</v>
      </c>
      <c r="CG229" s="5">
        <f t="shared" si="47"/>
        <v>7.5</v>
      </c>
      <c r="CH229" s="5">
        <f t="shared" si="48"/>
        <v>5</v>
      </c>
      <c r="CI229" s="5">
        <f t="shared" si="49"/>
        <v>3.5181719478337459</v>
      </c>
      <c r="CJ229" s="2">
        <f t="shared" si="50"/>
        <v>7850</v>
      </c>
      <c r="CK229" s="48"/>
      <c r="CZ229" s="2" t="s">
        <v>637</v>
      </c>
      <c r="DA229" s="43">
        <v>0.83707107936369385</v>
      </c>
      <c r="DB229" s="19">
        <v>25.4</v>
      </c>
      <c r="DC229" s="19">
        <v>1.4</v>
      </c>
      <c r="DD229" s="21">
        <v>79.796453401180742</v>
      </c>
      <c r="DE229" s="44">
        <f t="shared" si="51"/>
        <v>0.83707107936369385</v>
      </c>
      <c r="DF229" s="19">
        <f t="shared" si="52"/>
        <v>7930</v>
      </c>
    </row>
    <row r="230" spans="79:110" x14ac:dyDescent="0.25">
      <c r="CA230" s="2" t="str">
        <f t="shared" si="45"/>
        <v>Hộp-40x60x2.7</v>
      </c>
      <c r="CB230" s="19">
        <v>3.9649999999999999</v>
      </c>
      <c r="CC230" s="19">
        <v>40</v>
      </c>
      <c r="CD230" s="19">
        <v>60</v>
      </c>
      <c r="CE230" s="20" t="s">
        <v>80</v>
      </c>
      <c r="CF230" s="5">
        <f t="shared" si="46"/>
        <v>200</v>
      </c>
      <c r="CG230" s="5">
        <f t="shared" si="47"/>
        <v>8.1000000000000014</v>
      </c>
      <c r="CH230" s="5">
        <f t="shared" si="48"/>
        <v>5.4</v>
      </c>
      <c r="CI230" s="5">
        <f t="shared" si="49"/>
        <v>3.7644757599532812</v>
      </c>
      <c r="CJ230" s="2">
        <f t="shared" si="50"/>
        <v>7850</v>
      </c>
      <c r="CK230" s="48"/>
      <c r="CZ230" s="2" t="s">
        <v>638</v>
      </c>
      <c r="DA230" s="43">
        <v>0.89312494628536931</v>
      </c>
      <c r="DB230" s="19">
        <v>25.4</v>
      </c>
      <c r="DC230" s="19">
        <v>1.5</v>
      </c>
      <c r="DD230" s="21">
        <v>79.796453401180742</v>
      </c>
      <c r="DE230" s="44">
        <f t="shared" si="51"/>
        <v>0.89312494628536931</v>
      </c>
      <c r="DF230" s="19">
        <f t="shared" si="52"/>
        <v>7930</v>
      </c>
    </row>
    <row r="231" spans="79:110" x14ac:dyDescent="0.25">
      <c r="CA231" s="2" t="str">
        <f t="shared" si="45"/>
        <v>Hộp-40x60x2.8</v>
      </c>
      <c r="CB231" s="19">
        <v>4.1000000000000005</v>
      </c>
      <c r="CC231" s="19">
        <v>40</v>
      </c>
      <c r="CD231" s="19">
        <v>60</v>
      </c>
      <c r="CE231" s="20" t="s">
        <v>81</v>
      </c>
      <c r="CF231" s="5">
        <f t="shared" si="46"/>
        <v>200</v>
      </c>
      <c r="CG231" s="5">
        <f t="shared" si="47"/>
        <v>8.3999999999999986</v>
      </c>
      <c r="CH231" s="5">
        <f t="shared" si="48"/>
        <v>5.6</v>
      </c>
      <c r="CI231" s="5">
        <f t="shared" si="49"/>
        <v>3.8856748913626515</v>
      </c>
      <c r="CJ231" s="2">
        <f t="shared" si="50"/>
        <v>7850</v>
      </c>
      <c r="CK231" s="48"/>
      <c r="CZ231" s="2" t="s">
        <v>639</v>
      </c>
      <c r="DA231" s="43">
        <v>0.58520237066229608</v>
      </c>
      <c r="DB231" s="19">
        <v>27</v>
      </c>
      <c r="DC231" s="19">
        <v>0.9</v>
      </c>
      <c r="DD231" s="21">
        <v>84.823001646924411</v>
      </c>
      <c r="DE231" s="44">
        <f t="shared" si="51"/>
        <v>0.58520237066229619</v>
      </c>
      <c r="DF231" s="19">
        <f t="shared" si="52"/>
        <v>7930</v>
      </c>
    </row>
    <row r="232" spans="79:110" x14ac:dyDescent="0.25">
      <c r="CA232" s="2" t="str">
        <f t="shared" si="45"/>
        <v>Hộp-40x60x2.9</v>
      </c>
      <c r="CB232" s="19">
        <v>4.2366666666666672</v>
      </c>
      <c r="CC232" s="19">
        <v>40</v>
      </c>
      <c r="CD232" s="19">
        <v>60</v>
      </c>
      <c r="CE232" s="20" t="s">
        <v>82</v>
      </c>
      <c r="CF232" s="5">
        <f t="shared" si="46"/>
        <v>200</v>
      </c>
      <c r="CG232" s="5">
        <f t="shared" si="47"/>
        <v>8.6999999999999993</v>
      </c>
      <c r="CH232" s="5">
        <f t="shared" si="48"/>
        <v>5.8</v>
      </c>
      <c r="CI232" s="5">
        <f t="shared" si="49"/>
        <v>4.0055721730050884</v>
      </c>
      <c r="CJ232" s="2">
        <f t="shared" si="50"/>
        <v>7850</v>
      </c>
      <c r="CK232" s="48"/>
      <c r="CZ232" s="2" t="s">
        <v>640</v>
      </c>
      <c r="DA232" s="43">
        <v>0.6477335733171431</v>
      </c>
      <c r="DB232" s="19">
        <v>27</v>
      </c>
      <c r="DC232" s="19">
        <v>1</v>
      </c>
      <c r="DD232" s="21">
        <v>84.823001646924411</v>
      </c>
      <c r="DE232" s="44">
        <f t="shared" si="51"/>
        <v>0.6477335733171431</v>
      </c>
      <c r="DF232" s="19">
        <f t="shared" si="52"/>
        <v>7930</v>
      </c>
    </row>
    <row r="233" spans="79:110" x14ac:dyDescent="0.25">
      <c r="CA233" s="2" t="str">
        <f t="shared" si="45"/>
        <v>Hộp-40x60x3</v>
      </c>
      <c r="CB233" s="19">
        <v>4.371666666666667</v>
      </c>
      <c r="CC233" s="19">
        <v>40</v>
      </c>
      <c r="CD233" s="19">
        <v>60</v>
      </c>
      <c r="CE233" s="20" t="s">
        <v>83</v>
      </c>
      <c r="CF233" s="5">
        <f t="shared" si="46"/>
        <v>200</v>
      </c>
      <c r="CG233" s="5">
        <f t="shared" si="47"/>
        <v>9</v>
      </c>
      <c r="CH233" s="5">
        <f t="shared" si="48"/>
        <v>6</v>
      </c>
      <c r="CI233" s="5">
        <f t="shared" si="49"/>
        <v>4.1241676048805944</v>
      </c>
      <c r="CJ233" s="2">
        <f t="shared" si="50"/>
        <v>7850</v>
      </c>
      <c r="CK233" s="48"/>
      <c r="CZ233" s="2" t="s">
        <v>641</v>
      </c>
      <c r="DA233" s="43">
        <v>0.70976651937713053</v>
      </c>
      <c r="DB233" s="19">
        <v>27</v>
      </c>
      <c r="DC233" s="19">
        <v>1.1000000000000001</v>
      </c>
      <c r="DD233" s="21">
        <v>84.823001646924411</v>
      </c>
      <c r="DE233" s="44">
        <f t="shared" si="51"/>
        <v>0.70976651937713053</v>
      </c>
      <c r="DF233" s="19">
        <f t="shared" si="52"/>
        <v>7930</v>
      </c>
    </row>
    <row r="234" spans="79:110" x14ac:dyDescent="0.25">
      <c r="CA234" s="2" t="str">
        <f t="shared" si="45"/>
        <v>Hộp-40x60x3.1</v>
      </c>
      <c r="CB234" s="19">
        <v>4.5049999999999999</v>
      </c>
      <c r="CC234" s="19">
        <v>40</v>
      </c>
      <c r="CD234" s="19">
        <v>60</v>
      </c>
      <c r="CE234" s="20" t="s">
        <v>84</v>
      </c>
      <c r="CF234" s="5">
        <f t="shared" si="46"/>
        <v>200</v>
      </c>
      <c r="CG234" s="5">
        <f t="shared" si="47"/>
        <v>9.3000000000000007</v>
      </c>
      <c r="CH234" s="5">
        <f t="shared" si="48"/>
        <v>6.2</v>
      </c>
      <c r="CI234" s="5">
        <f t="shared" si="49"/>
        <v>4.2414611869891674</v>
      </c>
      <c r="CJ234" s="2">
        <f t="shared" si="50"/>
        <v>7850</v>
      </c>
      <c r="CK234" s="48"/>
      <c r="CZ234" s="2" t="s">
        <v>642</v>
      </c>
      <c r="DA234" s="43">
        <v>0.77130120884225917</v>
      </c>
      <c r="DB234" s="19">
        <v>27</v>
      </c>
      <c r="DC234" s="19">
        <v>1.2</v>
      </c>
      <c r="DD234" s="21">
        <v>84.823001646924411</v>
      </c>
      <c r="DE234" s="44">
        <f t="shared" si="51"/>
        <v>0.77130120884225928</v>
      </c>
      <c r="DF234" s="19">
        <f t="shared" si="52"/>
        <v>7930</v>
      </c>
    </row>
    <row r="235" spans="79:110" x14ac:dyDescent="0.25">
      <c r="CA235" s="2" t="str">
        <f t="shared" si="45"/>
        <v>Hộp-40x60x3.2</v>
      </c>
      <c r="CB235" s="19">
        <v>4.6383333333333328</v>
      </c>
      <c r="CC235" s="19">
        <v>40</v>
      </c>
      <c r="CD235" s="19">
        <v>60</v>
      </c>
      <c r="CE235" s="20" t="s">
        <v>85</v>
      </c>
      <c r="CF235" s="5">
        <f t="shared" si="46"/>
        <v>200</v>
      </c>
      <c r="CG235" s="5">
        <f t="shared" si="47"/>
        <v>9.6000000000000014</v>
      </c>
      <c r="CH235" s="5">
        <f t="shared" si="48"/>
        <v>6.4</v>
      </c>
      <c r="CI235" s="5">
        <f t="shared" si="49"/>
        <v>4.35745291933081</v>
      </c>
      <c r="CJ235" s="2">
        <f t="shared" si="50"/>
        <v>7850</v>
      </c>
      <c r="CK235" s="48"/>
      <c r="CZ235" s="2" t="s">
        <v>643</v>
      </c>
      <c r="DA235" s="43">
        <v>0.89287581798793925</v>
      </c>
      <c r="DB235" s="19">
        <v>27</v>
      </c>
      <c r="DC235" s="19">
        <v>1.4</v>
      </c>
      <c r="DD235" s="21">
        <v>84.823001646924411</v>
      </c>
      <c r="DE235" s="44">
        <f t="shared" si="51"/>
        <v>0.89287581798793925</v>
      </c>
      <c r="DF235" s="19">
        <f t="shared" si="52"/>
        <v>7930</v>
      </c>
    </row>
    <row r="236" spans="79:110" x14ac:dyDescent="0.25">
      <c r="CA236" s="2" t="str">
        <f t="shared" si="45"/>
        <v>Hộp-40x60x3.3</v>
      </c>
      <c r="CB236" s="19">
        <v>4.9016666666666664</v>
      </c>
      <c r="CC236" s="19">
        <v>40</v>
      </c>
      <c r="CD236" s="19">
        <v>60</v>
      </c>
      <c r="CE236" s="20" t="s">
        <v>86</v>
      </c>
      <c r="CF236" s="5">
        <f t="shared" si="46"/>
        <v>200</v>
      </c>
      <c r="CG236" s="5">
        <f t="shared" si="47"/>
        <v>9.8999999999999986</v>
      </c>
      <c r="CH236" s="5">
        <f t="shared" si="48"/>
        <v>6.6</v>
      </c>
      <c r="CI236" s="5">
        <f t="shared" si="49"/>
        <v>4.4721428019055187</v>
      </c>
      <c r="CJ236" s="2">
        <f t="shared" si="50"/>
        <v>7850</v>
      </c>
      <c r="CK236" s="48"/>
      <c r="CZ236" s="2" t="s">
        <v>644</v>
      </c>
      <c r="DA236" s="43">
        <v>0.95291573766848969</v>
      </c>
      <c r="DB236" s="19">
        <v>27</v>
      </c>
      <c r="DC236" s="19">
        <v>1.5</v>
      </c>
      <c r="DD236" s="21">
        <v>84.823001646924411</v>
      </c>
      <c r="DE236" s="44">
        <f t="shared" si="51"/>
        <v>0.95291573766848969</v>
      </c>
      <c r="DF236" s="19">
        <f t="shared" si="52"/>
        <v>7930</v>
      </c>
    </row>
    <row r="237" spans="79:110" x14ac:dyDescent="0.25">
      <c r="CA237" s="2" t="str">
        <f t="shared" si="45"/>
        <v>Hộp-40x60x3.4</v>
      </c>
      <c r="CB237" s="19">
        <v>5.0333333333333332</v>
      </c>
      <c r="CC237" s="19">
        <v>40</v>
      </c>
      <c r="CD237" s="19">
        <v>60</v>
      </c>
      <c r="CE237" s="20" t="s">
        <v>87</v>
      </c>
      <c r="CF237" s="5">
        <f t="shared" si="46"/>
        <v>200</v>
      </c>
      <c r="CG237" s="5">
        <f t="shared" si="47"/>
        <v>10.199999999999999</v>
      </c>
      <c r="CH237" s="5">
        <f t="shared" si="48"/>
        <v>6.8</v>
      </c>
      <c r="CI237" s="5">
        <f t="shared" si="49"/>
        <v>4.585530834713297</v>
      </c>
      <c r="CJ237" s="2">
        <f t="shared" si="50"/>
        <v>7850</v>
      </c>
      <c r="CK237" s="48"/>
      <c r="CZ237" s="2" t="s">
        <v>645</v>
      </c>
      <c r="DA237" s="43">
        <v>1.0715008072450127</v>
      </c>
      <c r="DB237" s="19">
        <v>27</v>
      </c>
      <c r="DC237" s="19">
        <v>1.7</v>
      </c>
      <c r="DD237" s="21">
        <v>84.823001646924411</v>
      </c>
      <c r="DE237" s="44">
        <f t="shared" si="51"/>
        <v>1.0715008072450127</v>
      </c>
      <c r="DF237" s="19">
        <f t="shared" si="52"/>
        <v>7930</v>
      </c>
    </row>
    <row r="238" spans="79:110" x14ac:dyDescent="0.25">
      <c r="CA238" s="2" t="str">
        <f t="shared" si="45"/>
        <v>Hộp-50x1</v>
      </c>
      <c r="CB238" s="19">
        <v>1.5316666666666665</v>
      </c>
      <c r="CC238" s="19">
        <v>50</v>
      </c>
      <c r="CD238" s="19">
        <v>50</v>
      </c>
      <c r="CE238" s="20" t="s">
        <v>65</v>
      </c>
      <c r="CF238" s="5">
        <f t="shared" si="46"/>
        <v>200</v>
      </c>
      <c r="CG238" s="5">
        <f t="shared" si="47"/>
        <v>3</v>
      </c>
      <c r="CH238" s="5">
        <f t="shared" si="48"/>
        <v>2</v>
      </c>
      <c r="CI238" s="5">
        <f t="shared" si="49"/>
        <v>1.5049075116533994</v>
      </c>
      <c r="CJ238" s="2">
        <f t="shared" si="50"/>
        <v>7850</v>
      </c>
      <c r="CK238" s="48"/>
      <c r="CZ238" s="2" t="s">
        <v>646</v>
      </c>
      <c r="DA238" s="43">
        <v>1.130045957140986</v>
      </c>
      <c r="DB238" s="19">
        <v>27</v>
      </c>
      <c r="DC238" s="19">
        <v>1.8</v>
      </c>
      <c r="DD238" s="21">
        <v>84.823001646924411</v>
      </c>
      <c r="DE238" s="44">
        <f t="shared" si="51"/>
        <v>1.1300459571409862</v>
      </c>
      <c r="DF238" s="19">
        <f t="shared" si="52"/>
        <v>7930</v>
      </c>
    </row>
    <row r="239" spans="79:110" x14ac:dyDescent="0.25">
      <c r="CA239" s="2" t="str">
        <f t="shared" si="45"/>
        <v>Hộp-50x1.1</v>
      </c>
      <c r="CB239" s="19">
        <v>1.6816666666666666</v>
      </c>
      <c r="CC239" s="19">
        <v>50</v>
      </c>
      <c r="CD239" s="19">
        <v>50</v>
      </c>
      <c r="CE239" s="20" t="s">
        <v>66</v>
      </c>
      <c r="CF239" s="5">
        <f t="shared" si="46"/>
        <v>200</v>
      </c>
      <c r="CG239" s="5">
        <f t="shared" si="47"/>
        <v>3.3000000000000003</v>
      </c>
      <c r="CH239" s="5">
        <f t="shared" si="48"/>
        <v>2.2000000000000002</v>
      </c>
      <c r="CI239" s="5">
        <f t="shared" si="49"/>
        <v>1.6482380891006134</v>
      </c>
      <c r="CJ239" s="2">
        <f t="shared" si="50"/>
        <v>7850</v>
      </c>
      <c r="CK239" s="48"/>
      <c r="CZ239" s="2" t="s">
        <v>647</v>
      </c>
      <c r="DA239" s="43">
        <v>1.2456414871483528</v>
      </c>
      <c r="DB239" s="19">
        <v>27</v>
      </c>
      <c r="DC239" s="19">
        <v>2</v>
      </c>
      <c r="DD239" s="21">
        <v>84.823001646924411</v>
      </c>
      <c r="DE239" s="44">
        <f t="shared" si="51"/>
        <v>1.2456414871483528</v>
      </c>
      <c r="DF239" s="19">
        <f t="shared" si="52"/>
        <v>7930</v>
      </c>
    </row>
    <row r="240" spans="79:110" x14ac:dyDescent="0.25">
      <c r="CA240" s="2" t="str">
        <f t="shared" si="45"/>
        <v>Hộp-50x1.2</v>
      </c>
      <c r="CB240" s="19">
        <v>1.83</v>
      </c>
      <c r="CC240" s="19">
        <v>50</v>
      </c>
      <c r="CD240" s="19">
        <v>50</v>
      </c>
      <c r="CE240" s="20" t="s">
        <v>67</v>
      </c>
      <c r="CF240" s="5">
        <f t="shared" si="46"/>
        <v>200</v>
      </c>
      <c r="CG240" s="5">
        <f t="shared" si="47"/>
        <v>3.5999999999999996</v>
      </c>
      <c r="CH240" s="5">
        <f t="shared" si="48"/>
        <v>2.4</v>
      </c>
      <c r="CI240" s="5">
        <f t="shared" si="49"/>
        <v>1.7902668167808948</v>
      </c>
      <c r="CJ240" s="2">
        <f t="shared" si="50"/>
        <v>7850</v>
      </c>
      <c r="CK240" s="48"/>
      <c r="CZ240" s="2" t="s">
        <v>648</v>
      </c>
      <c r="DA240" s="43">
        <v>0.61783817762558291</v>
      </c>
      <c r="DB240" s="19">
        <v>31.8</v>
      </c>
      <c r="DC240" s="19">
        <v>0.8</v>
      </c>
      <c r="DD240" s="21">
        <v>99.902646384155418</v>
      </c>
      <c r="DE240" s="44">
        <f t="shared" si="51"/>
        <v>0.61783817762558291</v>
      </c>
      <c r="DF240" s="19">
        <f t="shared" si="52"/>
        <v>7930</v>
      </c>
    </row>
    <row r="241" spans="79:110" x14ac:dyDescent="0.25">
      <c r="CA241" s="2" t="str">
        <f t="shared" si="45"/>
        <v>Hộp-50x1.4</v>
      </c>
      <c r="CB241" s="19">
        <v>2.1233333333333335</v>
      </c>
      <c r="CC241" s="19">
        <v>50</v>
      </c>
      <c r="CD241" s="19">
        <v>50</v>
      </c>
      <c r="CE241" s="20" t="s">
        <v>68</v>
      </c>
      <c r="CF241" s="5">
        <f t="shared" si="46"/>
        <v>200</v>
      </c>
      <c r="CG241" s="5">
        <f t="shared" si="47"/>
        <v>4.1999999999999993</v>
      </c>
      <c r="CH241" s="5">
        <f t="shared" si="48"/>
        <v>2.8</v>
      </c>
      <c r="CI241" s="5">
        <f t="shared" si="49"/>
        <v>2.0704187228406625</v>
      </c>
      <c r="CJ241" s="2">
        <f t="shared" si="50"/>
        <v>7850</v>
      </c>
      <c r="CK241" s="48"/>
      <c r="CZ241" s="2" t="s">
        <v>649</v>
      </c>
      <c r="DA241" s="43">
        <v>0.69282579515191378</v>
      </c>
      <c r="DB241" s="19">
        <v>31.8</v>
      </c>
      <c r="DC241" s="19">
        <v>0.9</v>
      </c>
      <c r="DD241" s="21">
        <v>99.902646384155418</v>
      </c>
      <c r="DE241" s="44">
        <f t="shared" si="51"/>
        <v>0.69282579515191389</v>
      </c>
      <c r="DF241" s="19">
        <f t="shared" si="52"/>
        <v>7930</v>
      </c>
    </row>
    <row r="242" spans="79:110" x14ac:dyDescent="0.25">
      <c r="CA242" s="2" t="str">
        <f t="shared" si="45"/>
        <v>Hộp-50x1.5</v>
      </c>
      <c r="CB242" s="19">
        <v>2.27</v>
      </c>
      <c r="CC242" s="19">
        <v>50</v>
      </c>
      <c r="CD242" s="19">
        <v>50</v>
      </c>
      <c r="CE242" s="20" t="s">
        <v>69</v>
      </c>
      <c r="CF242" s="5">
        <f t="shared" si="46"/>
        <v>200</v>
      </c>
      <c r="CG242" s="5">
        <f t="shared" si="47"/>
        <v>4.5</v>
      </c>
      <c r="CH242" s="5">
        <f t="shared" si="48"/>
        <v>3</v>
      </c>
      <c r="CI242" s="5">
        <f t="shared" si="49"/>
        <v>2.2085419012201486</v>
      </c>
      <c r="CJ242" s="2">
        <f t="shared" si="50"/>
        <v>7850</v>
      </c>
      <c r="CK242" s="48"/>
      <c r="CZ242" s="2" t="s">
        <v>650</v>
      </c>
      <c r="DA242" s="43">
        <v>0.76731515608338474</v>
      </c>
      <c r="DB242" s="19">
        <v>31.8</v>
      </c>
      <c r="DC242" s="19">
        <v>1</v>
      </c>
      <c r="DD242" s="21">
        <v>99.902646384155418</v>
      </c>
      <c r="DE242" s="44">
        <f t="shared" si="51"/>
        <v>0.76731515608338474</v>
      </c>
      <c r="DF242" s="19">
        <f t="shared" si="52"/>
        <v>7930</v>
      </c>
    </row>
    <row r="243" spans="79:110" x14ac:dyDescent="0.25">
      <c r="CA243" s="2" t="str">
        <f t="shared" si="45"/>
        <v>Hộp-50x1.6</v>
      </c>
      <c r="CB243" s="19">
        <v>2.415</v>
      </c>
      <c r="CC243" s="19">
        <v>50</v>
      </c>
      <c r="CD243" s="19">
        <v>50</v>
      </c>
      <c r="CE243" s="20" t="s">
        <v>70</v>
      </c>
      <c r="CF243" s="5">
        <f t="shared" si="46"/>
        <v>200</v>
      </c>
      <c r="CG243" s="5">
        <f t="shared" si="47"/>
        <v>4.8000000000000007</v>
      </c>
      <c r="CH243" s="5">
        <f t="shared" si="48"/>
        <v>3.2</v>
      </c>
      <c r="CI243" s="5">
        <f t="shared" si="49"/>
        <v>2.3453632298327025</v>
      </c>
      <c r="CJ243" s="2">
        <f t="shared" si="50"/>
        <v>7850</v>
      </c>
      <c r="CK243" s="48"/>
      <c r="CZ243" s="2" t="s">
        <v>651</v>
      </c>
      <c r="DA243" s="43">
        <v>0.84130626041999657</v>
      </c>
      <c r="DB243" s="19">
        <v>31.8</v>
      </c>
      <c r="DC243" s="19">
        <v>1.1000000000000001</v>
      </c>
      <c r="DD243" s="21">
        <v>99.902646384155418</v>
      </c>
      <c r="DE243" s="44">
        <f t="shared" si="51"/>
        <v>0.84130626041999657</v>
      </c>
      <c r="DF243" s="19">
        <f t="shared" si="52"/>
        <v>7930</v>
      </c>
    </row>
    <row r="244" spans="79:110" x14ac:dyDescent="0.25">
      <c r="CA244" s="2" t="str">
        <f t="shared" si="45"/>
        <v>Hộp-50x1.7</v>
      </c>
      <c r="CB244" s="19">
        <v>2.56</v>
      </c>
      <c r="CC244" s="19">
        <v>50</v>
      </c>
      <c r="CD244" s="19">
        <v>50</v>
      </c>
      <c r="CE244" s="20" t="s">
        <v>71</v>
      </c>
      <c r="CF244" s="5">
        <f t="shared" si="46"/>
        <v>200</v>
      </c>
      <c r="CG244" s="5">
        <f t="shared" si="47"/>
        <v>5.0999999999999996</v>
      </c>
      <c r="CH244" s="5">
        <f t="shared" si="48"/>
        <v>3.4</v>
      </c>
      <c r="CI244" s="5">
        <f t="shared" si="49"/>
        <v>2.4808827086783243</v>
      </c>
      <c r="CJ244" s="2">
        <f t="shared" si="50"/>
        <v>7850</v>
      </c>
      <c r="CK244" s="48"/>
      <c r="CZ244" s="2" t="s">
        <v>652</v>
      </c>
      <c r="DA244" s="43">
        <v>0.91479910816174914</v>
      </c>
      <c r="DB244" s="19">
        <v>31.8</v>
      </c>
      <c r="DC244" s="19">
        <v>1.2</v>
      </c>
      <c r="DD244" s="21">
        <v>99.902646384155418</v>
      </c>
      <c r="DE244" s="44">
        <f t="shared" si="51"/>
        <v>0.91479910816174925</v>
      </c>
      <c r="DF244" s="19">
        <f t="shared" si="52"/>
        <v>7930</v>
      </c>
    </row>
    <row r="245" spans="79:110" x14ac:dyDescent="0.25">
      <c r="CA245" s="2" t="str">
        <f t="shared" si="45"/>
        <v>Hộp-50x1.8</v>
      </c>
      <c r="CB245" s="19">
        <v>2.7033333333333331</v>
      </c>
      <c r="CC245" s="19">
        <v>50</v>
      </c>
      <c r="CD245" s="19">
        <v>50</v>
      </c>
      <c r="CE245" s="20" t="s">
        <v>72</v>
      </c>
      <c r="CF245" s="5">
        <f t="shared" si="46"/>
        <v>200</v>
      </c>
      <c r="CG245" s="5">
        <f t="shared" si="47"/>
        <v>5.4</v>
      </c>
      <c r="CH245" s="5">
        <f t="shared" si="48"/>
        <v>3.6</v>
      </c>
      <c r="CI245" s="5">
        <f t="shared" si="49"/>
        <v>2.6151003377570143</v>
      </c>
      <c r="CJ245" s="2">
        <f t="shared" si="50"/>
        <v>7850</v>
      </c>
      <c r="CK245" s="48"/>
      <c r="CZ245" s="2" t="s">
        <v>653</v>
      </c>
      <c r="DA245" s="43">
        <v>1.060290033860678</v>
      </c>
      <c r="DB245" s="19">
        <v>31.8</v>
      </c>
      <c r="DC245" s="19">
        <v>1.4</v>
      </c>
      <c r="DD245" s="21">
        <v>99.902646384155418</v>
      </c>
      <c r="DE245" s="44">
        <f t="shared" si="51"/>
        <v>1.060290033860678</v>
      </c>
      <c r="DF245" s="19">
        <f t="shared" si="52"/>
        <v>7930</v>
      </c>
    </row>
    <row r="246" spans="79:110" x14ac:dyDescent="0.25">
      <c r="CA246" s="2" t="str">
        <f t="shared" si="45"/>
        <v>Hộp-50x1.9</v>
      </c>
      <c r="CB246" s="19">
        <v>2.8466666666666662</v>
      </c>
      <c r="CC246" s="19">
        <v>50</v>
      </c>
      <c r="CD246" s="19">
        <v>50</v>
      </c>
      <c r="CE246" s="20" t="s">
        <v>73</v>
      </c>
      <c r="CF246" s="5">
        <f t="shared" si="46"/>
        <v>200</v>
      </c>
      <c r="CG246" s="5">
        <f t="shared" si="47"/>
        <v>5.6999999999999993</v>
      </c>
      <c r="CH246" s="5">
        <f t="shared" si="48"/>
        <v>3.8</v>
      </c>
      <c r="CI246" s="5">
        <f t="shared" si="49"/>
        <v>2.7480161170687714</v>
      </c>
      <c r="CJ246" s="2">
        <f t="shared" si="50"/>
        <v>7850</v>
      </c>
      <c r="CK246" s="48"/>
      <c r="CZ246" s="2" t="s">
        <v>654</v>
      </c>
      <c r="DA246" s="43">
        <v>1.132288111817852</v>
      </c>
      <c r="DB246" s="19">
        <v>31.8</v>
      </c>
      <c r="DC246" s="19">
        <v>1.5</v>
      </c>
      <c r="DD246" s="21">
        <v>99.902646384155418</v>
      </c>
      <c r="DE246" s="44">
        <f t="shared" si="51"/>
        <v>1.1322881118178523</v>
      </c>
      <c r="DF246" s="19">
        <f t="shared" si="52"/>
        <v>7930</v>
      </c>
    </row>
    <row r="247" spans="79:110" x14ac:dyDescent="0.25">
      <c r="CA247" s="2" t="str">
        <f t="shared" si="45"/>
        <v>Hộp-50x2</v>
      </c>
      <c r="CB247" s="19">
        <v>2.99</v>
      </c>
      <c r="CC247" s="19">
        <v>50</v>
      </c>
      <c r="CD247" s="19">
        <v>50</v>
      </c>
      <c r="CE247" s="20" t="s">
        <v>74</v>
      </c>
      <c r="CF247" s="5">
        <f t="shared" si="46"/>
        <v>200</v>
      </c>
      <c r="CG247" s="5">
        <f t="shared" si="47"/>
        <v>6</v>
      </c>
      <c r="CH247" s="5">
        <f t="shared" si="48"/>
        <v>4</v>
      </c>
      <c r="CI247" s="5">
        <f t="shared" si="49"/>
        <v>2.879630046613598</v>
      </c>
      <c r="CJ247" s="2">
        <f t="shared" si="50"/>
        <v>7850</v>
      </c>
      <c r="CK247" s="48"/>
      <c r="CZ247" s="2" t="s">
        <v>655</v>
      </c>
      <c r="DA247" s="43">
        <v>1.2747894979476233</v>
      </c>
      <c r="DB247" s="19">
        <v>31.8</v>
      </c>
      <c r="DC247" s="19">
        <v>1.7</v>
      </c>
      <c r="DD247" s="21">
        <v>99.902646384155418</v>
      </c>
      <c r="DE247" s="44">
        <f t="shared" si="51"/>
        <v>1.2747894979476233</v>
      </c>
      <c r="DF247" s="19">
        <f t="shared" si="52"/>
        <v>7930</v>
      </c>
    </row>
    <row r="248" spans="79:110" x14ac:dyDescent="0.25">
      <c r="CA248" s="2" t="str">
        <f t="shared" si="45"/>
        <v>Hộp-50x2.1</v>
      </c>
      <c r="CB248" s="19">
        <v>3.1300000000000003</v>
      </c>
      <c r="CC248" s="19">
        <v>50</v>
      </c>
      <c r="CD248" s="19">
        <v>50</v>
      </c>
      <c r="CE248" s="20" t="s">
        <v>75</v>
      </c>
      <c r="CF248" s="5">
        <f t="shared" si="46"/>
        <v>200</v>
      </c>
      <c r="CG248" s="5">
        <f t="shared" si="47"/>
        <v>6.3000000000000007</v>
      </c>
      <c r="CH248" s="5">
        <f t="shared" si="48"/>
        <v>4.2</v>
      </c>
      <c r="CI248" s="5">
        <f t="shared" si="49"/>
        <v>3.0099421263914912</v>
      </c>
      <c r="CJ248" s="2">
        <f t="shared" si="50"/>
        <v>7850</v>
      </c>
      <c r="CK248" s="48"/>
      <c r="CZ248" s="2" t="s">
        <v>656</v>
      </c>
      <c r="DA248" s="43">
        <v>1.345292806120221</v>
      </c>
      <c r="DB248" s="19">
        <v>31.8</v>
      </c>
      <c r="DC248" s="19">
        <v>1.8</v>
      </c>
      <c r="DD248" s="21">
        <v>99.902646384155418</v>
      </c>
      <c r="DE248" s="44">
        <f t="shared" si="51"/>
        <v>1.3452928061202212</v>
      </c>
      <c r="DF248" s="19">
        <f t="shared" si="52"/>
        <v>7930</v>
      </c>
    </row>
    <row r="249" spans="79:110" x14ac:dyDescent="0.25">
      <c r="CA249" s="2" t="str">
        <f t="shared" si="45"/>
        <v>Hộp-50x2.2</v>
      </c>
      <c r="CB249" s="19">
        <v>3.2716666666666665</v>
      </c>
      <c r="CC249" s="19">
        <v>50</v>
      </c>
      <c r="CD249" s="19">
        <v>50</v>
      </c>
      <c r="CE249" s="20" t="s">
        <v>76</v>
      </c>
      <c r="CF249" s="5">
        <f t="shared" si="46"/>
        <v>200</v>
      </c>
      <c r="CG249" s="5">
        <f t="shared" si="47"/>
        <v>6.6000000000000005</v>
      </c>
      <c r="CH249" s="5">
        <f t="shared" si="48"/>
        <v>4.4000000000000004</v>
      </c>
      <c r="CI249" s="5">
        <f t="shared" si="49"/>
        <v>3.1389523564024531</v>
      </c>
      <c r="CJ249" s="2">
        <f t="shared" si="50"/>
        <v>7850</v>
      </c>
      <c r="CK249" s="48"/>
      <c r="CZ249" s="2" t="s">
        <v>657</v>
      </c>
      <c r="DA249" s="43">
        <v>1.4848046526808365</v>
      </c>
      <c r="DB249" s="19">
        <v>31.8</v>
      </c>
      <c r="DC249" s="19">
        <v>2</v>
      </c>
      <c r="DD249" s="21">
        <v>99.902646384155418</v>
      </c>
      <c r="DE249" s="44">
        <f t="shared" si="51"/>
        <v>1.4848046526808365</v>
      </c>
      <c r="DF249" s="19">
        <f t="shared" si="52"/>
        <v>7930</v>
      </c>
    </row>
    <row r="250" spans="79:110" x14ac:dyDescent="0.25">
      <c r="CA250" s="2" t="str">
        <f t="shared" si="45"/>
        <v>Hộp-50x2.3</v>
      </c>
      <c r="CB250" s="19">
        <v>3.4116666666666666</v>
      </c>
      <c r="CC250" s="19">
        <v>50</v>
      </c>
      <c r="CD250" s="19">
        <v>50</v>
      </c>
      <c r="CE250" s="20" t="s">
        <v>77</v>
      </c>
      <c r="CF250" s="5">
        <f t="shared" si="46"/>
        <v>200</v>
      </c>
      <c r="CG250" s="5">
        <f t="shared" si="47"/>
        <v>6.8999999999999995</v>
      </c>
      <c r="CH250" s="5">
        <f t="shared" si="48"/>
        <v>4.5999999999999996</v>
      </c>
      <c r="CI250" s="5">
        <f t="shared" si="49"/>
        <v>3.2666607366464828</v>
      </c>
      <c r="CJ250" s="2">
        <f t="shared" si="50"/>
        <v>7850</v>
      </c>
      <c r="CK250" s="48"/>
      <c r="CZ250" s="2" t="s">
        <v>658</v>
      </c>
      <c r="DA250" s="43">
        <v>0.74215319804298785</v>
      </c>
      <c r="DB250" s="19">
        <v>34</v>
      </c>
      <c r="DC250" s="19">
        <v>0.9</v>
      </c>
      <c r="DD250" s="21">
        <v>106.81415022205297</v>
      </c>
      <c r="DE250" s="44">
        <f t="shared" si="51"/>
        <v>0.74215319804298785</v>
      </c>
      <c r="DF250" s="19">
        <f t="shared" si="52"/>
        <v>7930</v>
      </c>
    </row>
    <row r="251" spans="79:110" x14ac:dyDescent="0.25">
      <c r="CA251" s="2" t="str">
        <f t="shared" si="45"/>
        <v>Hộp-50x2.4</v>
      </c>
      <c r="CB251" s="19">
        <v>3.5516666666666663</v>
      </c>
      <c r="CC251" s="19">
        <v>50</v>
      </c>
      <c r="CD251" s="19">
        <v>50</v>
      </c>
      <c r="CE251" s="20" t="s">
        <v>78</v>
      </c>
      <c r="CF251" s="5">
        <f t="shared" si="46"/>
        <v>200</v>
      </c>
      <c r="CG251" s="5">
        <f t="shared" si="47"/>
        <v>7.1999999999999993</v>
      </c>
      <c r="CH251" s="5">
        <f t="shared" si="48"/>
        <v>4.8</v>
      </c>
      <c r="CI251" s="5">
        <f t="shared" si="49"/>
        <v>3.3930672671235804</v>
      </c>
      <c r="CJ251" s="2">
        <f t="shared" si="50"/>
        <v>7850</v>
      </c>
      <c r="CK251" s="48"/>
      <c r="CZ251" s="2" t="s">
        <v>659</v>
      </c>
      <c r="DA251" s="43">
        <v>0.82212338151791275</v>
      </c>
      <c r="DB251" s="19">
        <v>34</v>
      </c>
      <c r="DC251" s="19">
        <v>1</v>
      </c>
      <c r="DD251" s="21">
        <v>106.81415022205297</v>
      </c>
      <c r="DE251" s="44">
        <f t="shared" si="51"/>
        <v>0.82212338151791287</v>
      </c>
      <c r="DF251" s="19">
        <f t="shared" si="52"/>
        <v>7930</v>
      </c>
    </row>
    <row r="252" spans="79:110" x14ac:dyDescent="0.25">
      <c r="CA252" s="2" t="str">
        <f t="shared" si="45"/>
        <v>Hộp-50x2.5</v>
      </c>
      <c r="CB252" s="19">
        <v>3.69</v>
      </c>
      <c r="CC252" s="19">
        <v>50</v>
      </c>
      <c r="CD252" s="19">
        <v>50</v>
      </c>
      <c r="CE252" s="20" t="s">
        <v>79</v>
      </c>
      <c r="CF252" s="5">
        <f t="shared" si="46"/>
        <v>200</v>
      </c>
      <c r="CG252" s="5">
        <f t="shared" si="47"/>
        <v>7.5</v>
      </c>
      <c r="CH252" s="5">
        <f t="shared" si="48"/>
        <v>5</v>
      </c>
      <c r="CI252" s="5">
        <f t="shared" si="49"/>
        <v>3.5181719478337459</v>
      </c>
      <c r="CJ252" s="2">
        <f t="shared" si="50"/>
        <v>7850</v>
      </c>
      <c r="CK252" s="48"/>
      <c r="CZ252" s="2" t="s">
        <v>660</v>
      </c>
      <c r="DA252" s="43">
        <v>0.90159530839797786</v>
      </c>
      <c r="DB252" s="19">
        <v>34</v>
      </c>
      <c r="DC252" s="19">
        <v>1.1000000000000001</v>
      </c>
      <c r="DD252" s="21">
        <v>106.81415022205297</v>
      </c>
      <c r="DE252" s="44">
        <f t="shared" si="51"/>
        <v>0.90159530839797786</v>
      </c>
      <c r="DF252" s="19">
        <f t="shared" si="52"/>
        <v>7930</v>
      </c>
    </row>
    <row r="253" spans="79:110" x14ac:dyDescent="0.25">
      <c r="CA253" s="2" t="str">
        <f t="shared" si="45"/>
        <v>Hộp-50x2.7</v>
      </c>
      <c r="CB253" s="19">
        <v>3.9649999999999999</v>
      </c>
      <c r="CC253" s="19">
        <v>50</v>
      </c>
      <c r="CD253" s="19">
        <v>50</v>
      </c>
      <c r="CE253" s="20" t="s">
        <v>80</v>
      </c>
      <c r="CF253" s="5">
        <f t="shared" si="46"/>
        <v>200</v>
      </c>
      <c r="CG253" s="5">
        <f t="shared" si="47"/>
        <v>8.1000000000000014</v>
      </c>
      <c r="CH253" s="5">
        <f t="shared" si="48"/>
        <v>5.4</v>
      </c>
      <c r="CI253" s="5">
        <f t="shared" si="49"/>
        <v>3.7644757599532812</v>
      </c>
      <c r="CJ253" s="2">
        <f t="shared" si="50"/>
        <v>7850</v>
      </c>
      <c r="CK253" s="48"/>
      <c r="CZ253" s="2" t="s">
        <v>661</v>
      </c>
      <c r="DA253" s="43">
        <v>0.98056897868318282</v>
      </c>
      <c r="DB253" s="19">
        <v>34</v>
      </c>
      <c r="DC253" s="19">
        <v>1.2</v>
      </c>
      <c r="DD253" s="21">
        <v>106.81415022205297</v>
      </c>
      <c r="DE253" s="44">
        <f t="shared" si="51"/>
        <v>0.98056897868318282</v>
      </c>
      <c r="DF253" s="19">
        <f t="shared" si="52"/>
        <v>7930</v>
      </c>
    </row>
    <row r="254" spans="79:110" x14ac:dyDescent="0.25">
      <c r="CA254" s="2" t="str">
        <f t="shared" si="45"/>
        <v>Hộp-50x2.8</v>
      </c>
      <c r="CB254" s="19">
        <v>4.1000000000000005</v>
      </c>
      <c r="CC254" s="19">
        <v>50</v>
      </c>
      <c r="CD254" s="19">
        <v>50</v>
      </c>
      <c r="CE254" s="20" t="s">
        <v>81</v>
      </c>
      <c r="CF254" s="5">
        <f t="shared" si="46"/>
        <v>200</v>
      </c>
      <c r="CG254" s="5">
        <f t="shared" si="47"/>
        <v>8.3999999999999986</v>
      </c>
      <c r="CH254" s="5">
        <f t="shared" si="48"/>
        <v>5.6</v>
      </c>
      <c r="CI254" s="5">
        <f t="shared" si="49"/>
        <v>3.8856748913626515</v>
      </c>
      <c r="CJ254" s="2">
        <f t="shared" si="50"/>
        <v>7850</v>
      </c>
      <c r="CK254" s="48"/>
      <c r="CZ254" s="2" t="s">
        <v>662</v>
      </c>
      <c r="DA254" s="43">
        <v>1.1370215494690172</v>
      </c>
      <c r="DB254" s="19">
        <v>34</v>
      </c>
      <c r="DC254" s="19">
        <v>1.4</v>
      </c>
      <c r="DD254" s="21">
        <v>106.81415022205297</v>
      </c>
      <c r="DE254" s="44">
        <f t="shared" si="51"/>
        <v>1.1370215494690172</v>
      </c>
      <c r="DF254" s="19">
        <f t="shared" si="52"/>
        <v>7930</v>
      </c>
    </row>
    <row r="255" spans="79:110" x14ac:dyDescent="0.25">
      <c r="CA255" s="2" t="str">
        <f t="shared" si="45"/>
        <v>Hộp-50x2.9</v>
      </c>
      <c r="CB255" s="19">
        <v>4.2366666666666672</v>
      </c>
      <c r="CC255" s="19">
        <v>50</v>
      </c>
      <c r="CD255" s="19">
        <v>50</v>
      </c>
      <c r="CE255" s="20" t="s">
        <v>82</v>
      </c>
      <c r="CF255" s="5">
        <f t="shared" si="46"/>
        <v>200</v>
      </c>
      <c r="CG255" s="5">
        <f t="shared" si="47"/>
        <v>8.6999999999999993</v>
      </c>
      <c r="CH255" s="5">
        <f t="shared" si="48"/>
        <v>5.8</v>
      </c>
      <c r="CI255" s="5">
        <f t="shared" si="49"/>
        <v>4.0055721730050884</v>
      </c>
      <c r="CJ255" s="2">
        <f t="shared" si="50"/>
        <v>7850</v>
      </c>
      <c r="CK255" s="48"/>
      <c r="CZ255" s="2" t="s">
        <v>663</v>
      </c>
      <c r="DA255" s="43">
        <v>1.2145004499696439</v>
      </c>
      <c r="DB255" s="19">
        <v>34</v>
      </c>
      <c r="DC255" s="19">
        <v>1.5</v>
      </c>
      <c r="DD255" s="21">
        <v>106.81415022205297</v>
      </c>
      <c r="DE255" s="44">
        <f t="shared" si="51"/>
        <v>1.2145004499696439</v>
      </c>
      <c r="DF255" s="19">
        <f t="shared" si="52"/>
        <v>7930</v>
      </c>
    </row>
    <row r="256" spans="79:110" x14ac:dyDescent="0.25">
      <c r="CA256" s="2" t="str">
        <f t="shared" si="45"/>
        <v>Hộp-50x3</v>
      </c>
      <c r="CB256" s="19">
        <v>4.371666666666667</v>
      </c>
      <c r="CC256" s="19">
        <v>50</v>
      </c>
      <c r="CD256" s="19">
        <v>50</v>
      </c>
      <c r="CE256" s="20" t="s">
        <v>83</v>
      </c>
      <c r="CF256" s="5">
        <f t="shared" si="46"/>
        <v>200</v>
      </c>
      <c r="CG256" s="5">
        <f t="shared" si="47"/>
        <v>9</v>
      </c>
      <c r="CH256" s="5">
        <f t="shared" si="48"/>
        <v>6</v>
      </c>
      <c r="CI256" s="5">
        <f t="shared" si="49"/>
        <v>4.1241676048805944</v>
      </c>
      <c r="CJ256" s="2">
        <f t="shared" si="50"/>
        <v>7850</v>
      </c>
      <c r="CK256" s="48"/>
      <c r="CZ256" s="2" t="s">
        <v>664</v>
      </c>
      <c r="DA256" s="43">
        <v>1.3679634811863206</v>
      </c>
      <c r="DB256" s="19">
        <v>34</v>
      </c>
      <c r="DC256" s="19">
        <v>1.7</v>
      </c>
      <c r="DD256" s="21">
        <v>106.81415022205297</v>
      </c>
      <c r="DE256" s="44">
        <f t="shared" si="51"/>
        <v>1.3679634811863206</v>
      </c>
      <c r="DF256" s="19">
        <f t="shared" si="52"/>
        <v>7930</v>
      </c>
    </row>
    <row r="257" spans="79:110" x14ac:dyDescent="0.25">
      <c r="CA257" s="2" t="str">
        <f t="shared" si="45"/>
        <v>Hộp-50x3.1</v>
      </c>
      <c r="CB257" s="19">
        <v>4.5049999999999999</v>
      </c>
      <c r="CC257" s="19">
        <v>50</v>
      </c>
      <c r="CD257" s="19">
        <v>50</v>
      </c>
      <c r="CE257" s="20" t="s">
        <v>84</v>
      </c>
      <c r="CF257" s="5">
        <f t="shared" si="46"/>
        <v>200</v>
      </c>
      <c r="CG257" s="5">
        <f t="shared" si="47"/>
        <v>9.3000000000000007</v>
      </c>
      <c r="CH257" s="5">
        <f t="shared" si="48"/>
        <v>6.2</v>
      </c>
      <c r="CI257" s="5">
        <f t="shared" si="49"/>
        <v>4.2414611869891674</v>
      </c>
      <c r="CJ257" s="2">
        <f t="shared" si="50"/>
        <v>7850</v>
      </c>
      <c r="CK257" s="48"/>
      <c r="CZ257" s="2" t="s">
        <v>665</v>
      </c>
      <c r="DA257" s="43">
        <v>1.4439476119023706</v>
      </c>
      <c r="DB257" s="19">
        <v>34</v>
      </c>
      <c r="DC257" s="19">
        <v>1.8</v>
      </c>
      <c r="DD257" s="21">
        <v>106.81415022205297</v>
      </c>
      <c r="DE257" s="44">
        <f t="shared" si="51"/>
        <v>1.4439476119023706</v>
      </c>
      <c r="DF257" s="19">
        <f t="shared" si="52"/>
        <v>7930</v>
      </c>
    </row>
    <row r="258" spans="79:110" x14ac:dyDescent="0.25">
      <c r="CA258" s="2" t="str">
        <f t="shared" si="45"/>
        <v>Hộp-50x3.2</v>
      </c>
      <c r="CB258" s="19">
        <v>4.6383333333333328</v>
      </c>
      <c r="CC258" s="19">
        <v>50</v>
      </c>
      <c r="CD258" s="19">
        <v>50</v>
      </c>
      <c r="CE258" s="20" t="s">
        <v>85</v>
      </c>
      <c r="CF258" s="5">
        <f t="shared" si="46"/>
        <v>200</v>
      </c>
      <c r="CG258" s="5">
        <f t="shared" si="47"/>
        <v>9.6000000000000014</v>
      </c>
      <c r="CH258" s="5">
        <f t="shared" si="48"/>
        <v>6.4</v>
      </c>
      <c r="CI258" s="5">
        <f t="shared" si="49"/>
        <v>4.35745291933081</v>
      </c>
      <c r="CJ258" s="2">
        <f t="shared" si="50"/>
        <v>7850</v>
      </c>
      <c r="CK258" s="48"/>
      <c r="CZ258" s="2" t="s">
        <v>666</v>
      </c>
      <c r="DA258" s="43">
        <v>1.5944211035498916</v>
      </c>
      <c r="DB258" s="19">
        <v>34</v>
      </c>
      <c r="DC258" s="19">
        <v>2</v>
      </c>
      <c r="DD258" s="21">
        <v>106.81415022205297</v>
      </c>
      <c r="DE258" s="44">
        <f t="shared" si="51"/>
        <v>1.5944211035498919</v>
      </c>
      <c r="DF258" s="19">
        <f t="shared" si="52"/>
        <v>7930</v>
      </c>
    </row>
    <row r="259" spans="79:110" x14ac:dyDescent="0.25">
      <c r="CA259" s="2" t="str">
        <f t="shared" si="45"/>
        <v>Hộp-50x3.3</v>
      </c>
      <c r="CB259" s="19">
        <v>4.9016666666666664</v>
      </c>
      <c r="CC259" s="19">
        <v>50</v>
      </c>
      <c r="CD259" s="19">
        <v>50</v>
      </c>
      <c r="CE259" s="20" t="s">
        <v>86</v>
      </c>
      <c r="CF259" s="5">
        <f t="shared" si="46"/>
        <v>200</v>
      </c>
      <c r="CG259" s="5">
        <f t="shared" si="47"/>
        <v>9.8999999999999986</v>
      </c>
      <c r="CH259" s="5">
        <f t="shared" si="48"/>
        <v>6.6</v>
      </c>
      <c r="CI259" s="5">
        <f t="shared" si="49"/>
        <v>4.4721428019055187</v>
      </c>
      <c r="CJ259" s="2">
        <f t="shared" si="50"/>
        <v>7850</v>
      </c>
      <c r="CK259" s="48"/>
      <c r="CZ259" s="2" t="s">
        <v>667</v>
      </c>
      <c r="DA259" s="43">
        <v>1.8163944165597288</v>
      </c>
      <c r="DB259" s="19">
        <v>34</v>
      </c>
      <c r="DC259" s="19">
        <v>2.2999999999999998</v>
      </c>
      <c r="DD259" s="21">
        <v>106.81415022205297</v>
      </c>
      <c r="DE259" s="44">
        <f t="shared" si="51"/>
        <v>1.816394416559729</v>
      </c>
      <c r="DF259" s="19">
        <f t="shared" si="52"/>
        <v>7930</v>
      </c>
    </row>
    <row r="260" spans="79:110" x14ac:dyDescent="0.25">
      <c r="CA260" s="2" t="str">
        <f t="shared" ref="CA260:CA323" si="54">$CA$2&amp;"-"&amp;IF(CC260=CD260,CD260&amp;"x"&amp;CE260,CC260&amp;"x"&amp;CD260&amp;"x"&amp;CE260)</f>
        <v>Hộp-50x3.4</v>
      </c>
      <c r="CB260" s="19">
        <v>5.0333333333333332</v>
      </c>
      <c r="CC260" s="19">
        <v>50</v>
      </c>
      <c r="CD260" s="19">
        <v>50</v>
      </c>
      <c r="CE260" s="20" t="s">
        <v>87</v>
      </c>
      <c r="CF260" s="5">
        <f t="shared" ref="CF260:CF323" si="55">2*(CC260+CD260)</f>
        <v>200</v>
      </c>
      <c r="CG260" s="5">
        <f t="shared" ref="CG260:CG323" si="56">IF(CE260&lt;=6,2,IF(CE260&lt;=10,2.5,3))*CE260</f>
        <v>10.199999999999999</v>
      </c>
      <c r="CH260" s="5">
        <f t="shared" ref="CH260:CH323" si="57">IF(CE260&lt;=6,1,IF(CE260&lt;=10,1.5,2))*CE260</f>
        <v>6.8</v>
      </c>
      <c r="CI260" s="5">
        <f t="shared" ref="CI260:CI323" si="58">(2*CE260*(CC260+CD260-2*CE260)-(4-PI())*(CG260^2-CH260^2))/1000000*CJ260</f>
        <v>4.585530834713297</v>
      </c>
      <c r="CJ260" s="2">
        <f t="shared" ref="CJ260:CJ323" si="59">IF(LEFT(CA260,4)="Inox",7930,7850)</f>
        <v>7850</v>
      </c>
      <c r="CK260" s="48"/>
      <c r="CZ260" s="2" t="s">
        <v>668</v>
      </c>
      <c r="DA260" s="43">
        <v>1.9618853422586557</v>
      </c>
      <c r="DB260" s="19">
        <v>34</v>
      </c>
      <c r="DC260" s="19">
        <v>2.5</v>
      </c>
      <c r="DD260" s="21">
        <v>106.81415022205297</v>
      </c>
      <c r="DE260" s="44">
        <f t="shared" ref="DE260:DE323" si="60">(PI()*DB260^2/4-PI()*(DB260-2*DC260)^2/4)/1000000*DF260</f>
        <v>1.9618853422586557</v>
      </c>
      <c r="DF260" s="19">
        <f t="shared" ref="DF260:DF323" si="61">IF(LEFT(CZ260,4)="Inox",7930,7850)</f>
        <v>7930</v>
      </c>
    </row>
    <row r="261" spans="79:110" x14ac:dyDescent="0.25">
      <c r="CA261" s="2" t="str">
        <f t="shared" si="54"/>
        <v>Hộp-40x80x1</v>
      </c>
      <c r="CB261" s="19">
        <v>1.8466666666666667</v>
      </c>
      <c r="CC261" s="19">
        <v>40</v>
      </c>
      <c r="CD261" s="19">
        <v>80</v>
      </c>
      <c r="CE261" s="20" t="s">
        <v>65</v>
      </c>
      <c r="CF261" s="5">
        <f t="shared" si="55"/>
        <v>240</v>
      </c>
      <c r="CG261" s="5">
        <f t="shared" si="56"/>
        <v>3</v>
      </c>
      <c r="CH261" s="5">
        <f t="shared" si="57"/>
        <v>2</v>
      </c>
      <c r="CI261" s="5">
        <f t="shared" si="58"/>
        <v>1.8189075116533993</v>
      </c>
      <c r="CJ261" s="2">
        <f t="shared" si="59"/>
        <v>7850</v>
      </c>
      <c r="CK261" s="48"/>
      <c r="CZ261" s="2" t="s">
        <v>669</v>
      </c>
      <c r="DA261" s="43">
        <v>2.1763848063456019</v>
      </c>
      <c r="DB261" s="19">
        <v>34</v>
      </c>
      <c r="DC261" s="19">
        <v>2.8</v>
      </c>
      <c r="DD261" s="21">
        <v>106.81415022205297</v>
      </c>
      <c r="DE261" s="44">
        <f t="shared" si="60"/>
        <v>2.1763848063456019</v>
      </c>
      <c r="DF261" s="19">
        <f t="shared" si="61"/>
        <v>7930</v>
      </c>
    </row>
    <row r="262" spans="79:110" x14ac:dyDescent="0.25">
      <c r="CA262" s="2" t="str">
        <f t="shared" si="54"/>
        <v>Hộp-40x80x1.1</v>
      </c>
      <c r="CB262" s="19">
        <v>2.0266666666666668</v>
      </c>
      <c r="CC262" s="19">
        <v>40</v>
      </c>
      <c r="CD262" s="19">
        <v>80</v>
      </c>
      <c r="CE262" s="20" t="s">
        <v>66</v>
      </c>
      <c r="CF262" s="5">
        <f t="shared" si="55"/>
        <v>240</v>
      </c>
      <c r="CG262" s="5">
        <f t="shared" si="56"/>
        <v>3.3000000000000003</v>
      </c>
      <c r="CH262" s="5">
        <f t="shared" si="57"/>
        <v>2.2000000000000002</v>
      </c>
      <c r="CI262" s="5">
        <f t="shared" si="58"/>
        <v>1.9936380891006134</v>
      </c>
      <c r="CJ262" s="2">
        <f t="shared" si="59"/>
        <v>7850</v>
      </c>
      <c r="CK262" s="48"/>
      <c r="CZ262" s="2" t="s">
        <v>670</v>
      </c>
      <c r="DA262" s="43">
        <v>2.3168931660959369</v>
      </c>
      <c r="DB262" s="19">
        <v>34</v>
      </c>
      <c r="DC262" s="19">
        <v>3</v>
      </c>
      <c r="DD262" s="21">
        <v>106.81415022205297</v>
      </c>
      <c r="DE262" s="44">
        <f t="shared" si="60"/>
        <v>2.3168931660959369</v>
      </c>
      <c r="DF262" s="19">
        <f t="shared" si="61"/>
        <v>7930</v>
      </c>
    </row>
    <row r="263" spans="79:110" x14ac:dyDescent="0.25">
      <c r="CA263" s="2" t="str">
        <f t="shared" si="54"/>
        <v>Hộp-40x80x1.2</v>
      </c>
      <c r="CB263" s="19">
        <v>2.2066666666666666</v>
      </c>
      <c r="CC263" s="19">
        <v>40</v>
      </c>
      <c r="CD263" s="19">
        <v>80</v>
      </c>
      <c r="CE263" s="20" t="s">
        <v>67</v>
      </c>
      <c r="CF263" s="5">
        <f t="shared" si="55"/>
        <v>240</v>
      </c>
      <c r="CG263" s="5">
        <f t="shared" si="56"/>
        <v>3.5999999999999996</v>
      </c>
      <c r="CH263" s="5">
        <f t="shared" si="57"/>
        <v>2.4</v>
      </c>
      <c r="CI263" s="5">
        <f t="shared" si="58"/>
        <v>2.1670668167808946</v>
      </c>
      <c r="CJ263" s="2">
        <f t="shared" si="59"/>
        <v>7850</v>
      </c>
      <c r="CK263" s="48"/>
      <c r="CZ263" s="2" t="s">
        <v>671</v>
      </c>
      <c r="DA263" s="43">
        <v>0.74339883953013608</v>
      </c>
      <c r="DB263" s="19">
        <v>38.1</v>
      </c>
      <c r="DC263" s="19">
        <v>0.8</v>
      </c>
      <c r="DD263" s="21">
        <v>119.69468010177113</v>
      </c>
      <c r="DE263" s="44">
        <f t="shared" si="60"/>
        <v>0.74339883953013608</v>
      </c>
      <c r="DF263" s="19">
        <f t="shared" si="61"/>
        <v>7930</v>
      </c>
    </row>
    <row r="264" spans="79:110" x14ac:dyDescent="0.25">
      <c r="CA264" s="2" t="str">
        <f t="shared" si="54"/>
        <v>Hộp-40x80x1.4</v>
      </c>
      <c r="CB264" s="19">
        <v>2.5633333333333335</v>
      </c>
      <c r="CC264" s="19">
        <v>40</v>
      </c>
      <c r="CD264" s="19">
        <v>80</v>
      </c>
      <c r="CE264" s="20" t="s">
        <v>68</v>
      </c>
      <c r="CF264" s="5">
        <f t="shared" si="55"/>
        <v>240</v>
      </c>
      <c r="CG264" s="5">
        <f t="shared" si="56"/>
        <v>4.1999999999999993</v>
      </c>
      <c r="CH264" s="5">
        <f t="shared" si="57"/>
        <v>2.8</v>
      </c>
      <c r="CI264" s="5">
        <f t="shared" si="58"/>
        <v>2.5100187228406625</v>
      </c>
      <c r="CJ264" s="2">
        <f t="shared" si="59"/>
        <v>7850</v>
      </c>
      <c r="CK264" s="48"/>
      <c r="CZ264" s="2" t="s">
        <v>672</v>
      </c>
      <c r="DA264" s="43">
        <v>0.83408153979453581</v>
      </c>
      <c r="DB264" s="19">
        <v>38.1</v>
      </c>
      <c r="DC264" s="19">
        <v>0.9</v>
      </c>
      <c r="DD264" s="21">
        <v>119.69468010177113</v>
      </c>
      <c r="DE264" s="44">
        <f t="shared" si="60"/>
        <v>0.83408153979453581</v>
      </c>
      <c r="DF264" s="19">
        <f t="shared" si="61"/>
        <v>7930</v>
      </c>
    </row>
    <row r="265" spans="79:110" x14ac:dyDescent="0.25">
      <c r="CA265" s="2" t="str">
        <f t="shared" si="54"/>
        <v>Hộp-40x80x1.5</v>
      </c>
      <c r="CB265" s="19">
        <v>2.7416666666666667</v>
      </c>
      <c r="CC265" s="19">
        <v>40</v>
      </c>
      <c r="CD265" s="19">
        <v>80</v>
      </c>
      <c r="CE265" s="20" t="s">
        <v>69</v>
      </c>
      <c r="CF265" s="5">
        <f t="shared" si="55"/>
        <v>240</v>
      </c>
      <c r="CG265" s="5">
        <f t="shared" si="56"/>
        <v>4.5</v>
      </c>
      <c r="CH265" s="5">
        <f t="shared" si="57"/>
        <v>3</v>
      </c>
      <c r="CI265" s="5">
        <f t="shared" si="58"/>
        <v>2.6795419012201487</v>
      </c>
      <c r="CJ265" s="2">
        <f t="shared" si="59"/>
        <v>7850</v>
      </c>
      <c r="CK265" s="48"/>
      <c r="CZ265" s="2" t="s">
        <v>673</v>
      </c>
      <c r="DA265" s="43">
        <v>0.9242659834640774</v>
      </c>
      <c r="DB265" s="19">
        <v>38.1</v>
      </c>
      <c r="DC265" s="19">
        <v>1</v>
      </c>
      <c r="DD265" s="21">
        <v>119.69468010177113</v>
      </c>
      <c r="DE265" s="44">
        <f t="shared" si="60"/>
        <v>0.9242659834640774</v>
      </c>
      <c r="DF265" s="19">
        <f t="shared" si="61"/>
        <v>7930</v>
      </c>
    </row>
    <row r="266" spans="79:110" x14ac:dyDescent="0.25">
      <c r="CA266" s="2" t="str">
        <f t="shared" si="54"/>
        <v>Hộp-40x80x1.6</v>
      </c>
      <c r="CB266" s="19">
        <v>2.9183333333333334</v>
      </c>
      <c r="CC266" s="19">
        <v>40</v>
      </c>
      <c r="CD266" s="19">
        <v>80</v>
      </c>
      <c r="CE266" s="20" t="s">
        <v>70</v>
      </c>
      <c r="CF266" s="5">
        <f t="shared" si="55"/>
        <v>240</v>
      </c>
      <c r="CG266" s="5">
        <f t="shared" si="56"/>
        <v>4.8000000000000007</v>
      </c>
      <c r="CH266" s="5">
        <f t="shared" si="57"/>
        <v>3.2</v>
      </c>
      <c r="CI266" s="5">
        <f t="shared" si="58"/>
        <v>2.8477632298327022</v>
      </c>
      <c r="CJ266" s="2">
        <f t="shared" si="59"/>
        <v>7850</v>
      </c>
      <c r="CK266" s="48"/>
      <c r="CZ266" s="2" t="s">
        <v>674</v>
      </c>
      <c r="DA266" s="43">
        <v>1.0139521705387597</v>
      </c>
      <c r="DB266" s="19">
        <v>38.1</v>
      </c>
      <c r="DC266" s="19">
        <v>1.1000000000000001</v>
      </c>
      <c r="DD266" s="21">
        <v>119.69468010177113</v>
      </c>
      <c r="DE266" s="44">
        <f t="shared" si="60"/>
        <v>1.0139521705387597</v>
      </c>
      <c r="DF266" s="19">
        <f t="shared" si="61"/>
        <v>7930</v>
      </c>
    </row>
    <row r="267" spans="79:110" x14ac:dyDescent="0.25">
      <c r="CA267" s="2" t="str">
        <f t="shared" si="54"/>
        <v>Hộp-40x80x1.7</v>
      </c>
      <c r="CB267" s="19">
        <v>3.0933333333333333</v>
      </c>
      <c r="CC267" s="19">
        <v>40</v>
      </c>
      <c r="CD267" s="19">
        <v>80</v>
      </c>
      <c r="CE267" s="20" t="s">
        <v>71</v>
      </c>
      <c r="CF267" s="5">
        <f t="shared" si="55"/>
        <v>240</v>
      </c>
      <c r="CG267" s="5">
        <f t="shared" si="56"/>
        <v>5.0999999999999996</v>
      </c>
      <c r="CH267" s="5">
        <f t="shared" si="57"/>
        <v>3.4</v>
      </c>
      <c r="CI267" s="5">
        <f t="shared" si="58"/>
        <v>3.0146827086783241</v>
      </c>
      <c r="CJ267" s="2">
        <f t="shared" si="59"/>
        <v>7850</v>
      </c>
      <c r="CK267" s="48"/>
      <c r="CZ267" s="2" t="s">
        <v>675</v>
      </c>
      <c r="DA267" s="43">
        <v>1.1031401010185802</v>
      </c>
      <c r="DB267" s="19">
        <v>38.1</v>
      </c>
      <c r="DC267" s="19">
        <v>1.2</v>
      </c>
      <c r="DD267" s="21">
        <v>119.69468010177113</v>
      </c>
      <c r="DE267" s="44">
        <f t="shared" si="60"/>
        <v>1.1031401010185804</v>
      </c>
      <c r="DF267" s="19">
        <f t="shared" si="61"/>
        <v>7930</v>
      </c>
    </row>
    <row r="268" spans="79:110" x14ac:dyDescent="0.25">
      <c r="CA268" s="2" t="str">
        <f t="shared" si="54"/>
        <v>Hộp-40x80x1.8</v>
      </c>
      <c r="CB268" s="19">
        <v>3.2683333333333331</v>
      </c>
      <c r="CC268" s="19">
        <v>40</v>
      </c>
      <c r="CD268" s="19">
        <v>80</v>
      </c>
      <c r="CE268" s="20" t="s">
        <v>72</v>
      </c>
      <c r="CF268" s="5">
        <f t="shared" si="55"/>
        <v>240</v>
      </c>
      <c r="CG268" s="5">
        <f t="shared" si="56"/>
        <v>5.4</v>
      </c>
      <c r="CH268" s="5">
        <f t="shared" si="57"/>
        <v>3.6</v>
      </c>
      <c r="CI268" s="5">
        <f t="shared" si="58"/>
        <v>3.1803003377570143</v>
      </c>
      <c r="CJ268" s="2">
        <f t="shared" si="59"/>
        <v>7850</v>
      </c>
      <c r="CK268" s="48"/>
      <c r="CZ268" s="2" t="s">
        <v>676</v>
      </c>
      <c r="DA268" s="43">
        <v>1.2800211921936446</v>
      </c>
      <c r="DB268" s="19">
        <v>38.1</v>
      </c>
      <c r="DC268" s="19">
        <v>1.4</v>
      </c>
      <c r="DD268" s="21">
        <v>119.69468010177113</v>
      </c>
      <c r="DE268" s="44">
        <f t="shared" si="60"/>
        <v>1.2800211921936446</v>
      </c>
      <c r="DF268" s="19">
        <f t="shared" si="61"/>
        <v>7930</v>
      </c>
    </row>
    <row r="269" spans="79:110" x14ac:dyDescent="0.25">
      <c r="CA269" s="2" t="str">
        <f t="shared" si="54"/>
        <v>Hộp-40x80x1.9</v>
      </c>
      <c r="CB269" s="19">
        <v>3.4433333333333334</v>
      </c>
      <c r="CC269" s="19">
        <v>40</v>
      </c>
      <c r="CD269" s="19">
        <v>80</v>
      </c>
      <c r="CE269" s="20" t="s">
        <v>73</v>
      </c>
      <c r="CF269" s="5">
        <f t="shared" si="55"/>
        <v>240</v>
      </c>
      <c r="CG269" s="5">
        <f t="shared" si="56"/>
        <v>5.6999999999999993</v>
      </c>
      <c r="CH269" s="5">
        <f t="shared" si="57"/>
        <v>3.8</v>
      </c>
      <c r="CI269" s="5">
        <f t="shared" si="58"/>
        <v>3.3446161170687714</v>
      </c>
      <c r="CJ269" s="2">
        <f t="shared" si="59"/>
        <v>7850</v>
      </c>
      <c r="CK269" s="48"/>
      <c r="CZ269" s="2" t="s">
        <v>677</v>
      </c>
      <c r="DA269" s="43">
        <v>1.3677143528888915</v>
      </c>
      <c r="DB269" s="19">
        <v>38.1</v>
      </c>
      <c r="DC269" s="19">
        <v>1.5</v>
      </c>
      <c r="DD269" s="21">
        <v>119.69468010177113</v>
      </c>
      <c r="DE269" s="44">
        <f t="shared" si="60"/>
        <v>1.3677143528888915</v>
      </c>
      <c r="DF269" s="19">
        <f t="shared" si="61"/>
        <v>7930</v>
      </c>
    </row>
    <row r="270" spans="79:110" x14ac:dyDescent="0.25">
      <c r="CA270" s="2" t="str">
        <f t="shared" si="54"/>
        <v>Hộp-40x80x2</v>
      </c>
      <c r="CB270" s="19">
        <v>3.6166666666666667</v>
      </c>
      <c r="CC270" s="19">
        <v>40</v>
      </c>
      <c r="CD270" s="19">
        <v>80</v>
      </c>
      <c r="CE270" s="20" t="s">
        <v>74</v>
      </c>
      <c r="CF270" s="5">
        <f t="shared" si="55"/>
        <v>240</v>
      </c>
      <c r="CG270" s="5">
        <f t="shared" si="56"/>
        <v>6</v>
      </c>
      <c r="CH270" s="5">
        <f t="shared" si="57"/>
        <v>4</v>
      </c>
      <c r="CI270" s="5">
        <f t="shared" si="58"/>
        <v>3.5076300466135977</v>
      </c>
      <c r="CJ270" s="2">
        <f t="shared" si="59"/>
        <v>7850</v>
      </c>
      <c r="CK270" s="48"/>
      <c r="CZ270" s="2" t="s">
        <v>678</v>
      </c>
      <c r="DA270" s="43">
        <v>1.5416059044948003</v>
      </c>
      <c r="DB270" s="19">
        <v>38.1</v>
      </c>
      <c r="DC270" s="19">
        <v>1.7</v>
      </c>
      <c r="DD270" s="21">
        <v>119.69468010177113</v>
      </c>
      <c r="DE270" s="44">
        <f t="shared" si="60"/>
        <v>1.5416059044948003</v>
      </c>
      <c r="DF270" s="19">
        <f t="shared" si="61"/>
        <v>7930</v>
      </c>
    </row>
    <row r="271" spans="79:110" x14ac:dyDescent="0.25">
      <c r="CA271" s="2" t="str">
        <f t="shared" si="54"/>
        <v>Hộp-40x80x2.1</v>
      </c>
      <c r="CB271" s="19">
        <v>3.7899999999999996</v>
      </c>
      <c r="CC271" s="19">
        <v>40</v>
      </c>
      <c r="CD271" s="19">
        <v>80</v>
      </c>
      <c r="CE271" s="20" t="s">
        <v>75</v>
      </c>
      <c r="CF271" s="5">
        <f t="shared" si="55"/>
        <v>240</v>
      </c>
      <c r="CG271" s="5">
        <f t="shared" si="56"/>
        <v>6.3000000000000007</v>
      </c>
      <c r="CH271" s="5">
        <f t="shared" si="57"/>
        <v>4.2</v>
      </c>
      <c r="CI271" s="5">
        <f t="shared" si="58"/>
        <v>3.6693421263914914</v>
      </c>
      <c r="CJ271" s="2">
        <f t="shared" si="59"/>
        <v>7850</v>
      </c>
      <c r="CK271" s="48"/>
      <c r="CZ271" s="2" t="s">
        <v>679</v>
      </c>
      <c r="DA271" s="43">
        <v>1.6278042954054677</v>
      </c>
      <c r="DB271" s="19">
        <v>38.1</v>
      </c>
      <c r="DC271" s="19">
        <v>1.8</v>
      </c>
      <c r="DD271" s="21">
        <v>119.69468010177113</v>
      </c>
      <c r="DE271" s="44">
        <f t="shared" si="60"/>
        <v>1.6278042954054679</v>
      </c>
      <c r="DF271" s="19">
        <f t="shared" si="61"/>
        <v>7930</v>
      </c>
    </row>
    <row r="272" spans="79:110" x14ac:dyDescent="0.25">
      <c r="CA272" s="2" t="str">
        <f t="shared" si="54"/>
        <v>Hộp-40x80x2.2</v>
      </c>
      <c r="CB272" s="19">
        <v>3.9616666666666664</v>
      </c>
      <c r="CC272" s="19">
        <v>40</v>
      </c>
      <c r="CD272" s="19">
        <v>80</v>
      </c>
      <c r="CE272" s="20" t="s">
        <v>76</v>
      </c>
      <c r="CF272" s="5">
        <f t="shared" si="55"/>
        <v>240</v>
      </c>
      <c r="CG272" s="5">
        <f t="shared" si="56"/>
        <v>6.6000000000000005</v>
      </c>
      <c r="CH272" s="5">
        <f t="shared" si="57"/>
        <v>4.4000000000000004</v>
      </c>
      <c r="CI272" s="5">
        <f t="shared" si="58"/>
        <v>3.8297523564024529</v>
      </c>
      <c r="CJ272" s="2">
        <f t="shared" si="59"/>
        <v>7850</v>
      </c>
      <c r="CK272" s="48"/>
      <c r="CZ272" s="2" t="s">
        <v>680</v>
      </c>
      <c r="DA272" s="43">
        <v>1.7987063074422209</v>
      </c>
      <c r="DB272" s="19">
        <v>38.1</v>
      </c>
      <c r="DC272" s="19">
        <v>2</v>
      </c>
      <c r="DD272" s="21">
        <v>119.69468010177113</v>
      </c>
      <c r="DE272" s="44">
        <f t="shared" si="60"/>
        <v>1.7987063074422209</v>
      </c>
      <c r="DF272" s="19">
        <f t="shared" si="61"/>
        <v>7930</v>
      </c>
    </row>
    <row r="273" spans="79:110" x14ac:dyDescent="0.25">
      <c r="CA273" s="2" t="str">
        <f t="shared" si="54"/>
        <v>Hộp-40x80x2.3</v>
      </c>
      <c r="CB273" s="19">
        <v>4.1333333333333337</v>
      </c>
      <c r="CC273" s="19">
        <v>40</v>
      </c>
      <c r="CD273" s="19">
        <v>80</v>
      </c>
      <c r="CE273" s="20" t="s">
        <v>77</v>
      </c>
      <c r="CF273" s="5">
        <f t="shared" si="55"/>
        <v>240</v>
      </c>
      <c r="CG273" s="5">
        <f t="shared" si="56"/>
        <v>6.8999999999999995</v>
      </c>
      <c r="CH273" s="5">
        <f t="shared" si="57"/>
        <v>4.5999999999999996</v>
      </c>
      <c r="CI273" s="5">
        <f t="shared" si="58"/>
        <v>3.9888607366464832</v>
      </c>
      <c r="CJ273" s="2">
        <f t="shared" si="59"/>
        <v>7850</v>
      </c>
      <c r="CK273" s="48"/>
      <c r="CZ273" s="2" t="s">
        <v>681</v>
      </c>
      <c r="DA273" s="43">
        <v>2.051322401035907</v>
      </c>
      <c r="DB273" s="19">
        <v>38.1</v>
      </c>
      <c r="DC273" s="19">
        <v>2.2999999999999998</v>
      </c>
      <c r="DD273" s="21">
        <v>119.69468010177113</v>
      </c>
      <c r="DE273" s="44">
        <f t="shared" si="60"/>
        <v>2.051322401035907</v>
      </c>
      <c r="DF273" s="19">
        <f t="shared" si="61"/>
        <v>7930</v>
      </c>
    </row>
    <row r="274" spans="79:110" x14ac:dyDescent="0.25">
      <c r="CA274" s="2" t="str">
        <f t="shared" si="54"/>
        <v>Hộp-40x80x2.4</v>
      </c>
      <c r="CB274" s="19">
        <v>4.3049999999999997</v>
      </c>
      <c r="CC274" s="19">
        <v>40</v>
      </c>
      <c r="CD274" s="19">
        <v>80</v>
      </c>
      <c r="CE274" s="20" t="s">
        <v>78</v>
      </c>
      <c r="CF274" s="5">
        <f t="shared" si="55"/>
        <v>240</v>
      </c>
      <c r="CG274" s="5">
        <f t="shared" si="56"/>
        <v>7.1999999999999993</v>
      </c>
      <c r="CH274" s="5">
        <f t="shared" si="57"/>
        <v>4.8</v>
      </c>
      <c r="CI274" s="5">
        <f t="shared" si="58"/>
        <v>4.1466672671235809</v>
      </c>
      <c r="CJ274" s="2">
        <f t="shared" si="59"/>
        <v>7850</v>
      </c>
      <c r="CK274" s="48"/>
      <c r="CZ274" s="2" t="s">
        <v>682</v>
      </c>
      <c r="DA274" s="43">
        <v>2.2172418471240669</v>
      </c>
      <c r="DB274" s="19">
        <v>38.1</v>
      </c>
      <c r="DC274" s="19">
        <v>2.5</v>
      </c>
      <c r="DD274" s="21">
        <v>119.69468010177113</v>
      </c>
      <c r="DE274" s="44">
        <f t="shared" si="60"/>
        <v>2.2172418471240669</v>
      </c>
      <c r="DF274" s="19">
        <f t="shared" si="61"/>
        <v>7930</v>
      </c>
    </row>
    <row r="275" spans="79:110" x14ac:dyDescent="0.25">
      <c r="CA275" s="2" t="str">
        <f t="shared" si="54"/>
        <v>Hộp-40x80x2.5</v>
      </c>
      <c r="CB275" s="19">
        <v>4.4750000000000005</v>
      </c>
      <c r="CC275" s="19">
        <v>40</v>
      </c>
      <c r="CD275" s="19">
        <v>80</v>
      </c>
      <c r="CE275" s="20" t="s">
        <v>79</v>
      </c>
      <c r="CF275" s="5">
        <f t="shared" si="55"/>
        <v>240</v>
      </c>
      <c r="CG275" s="5">
        <f t="shared" si="56"/>
        <v>7.5</v>
      </c>
      <c r="CH275" s="5">
        <f t="shared" si="57"/>
        <v>5</v>
      </c>
      <c r="CI275" s="5">
        <f t="shared" si="58"/>
        <v>4.3031719478337456</v>
      </c>
      <c r="CJ275" s="2">
        <f t="shared" si="59"/>
        <v>7850</v>
      </c>
      <c r="CK275" s="48"/>
      <c r="CZ275" s="2" t="s">
        <v>683</v>
      </c>
      <c r="DA275" s="43">
        <v>2.4623840917948634</v>
      </c>
      <c r="DB275" s="19">
        <v>38.1</v>
      </c>
      <c r="DC275" s="19">
        <v>2.8</v>
      </c>
      <c r="DD275" s="21">
        <v>119.69468010177113</v>
      </c>
      <c r="DE275" s="44">
        <f t="shared" si="60"/>
        <v>2.4623840917948634</v>
      </c>
      <c r="DF275" s="19">
        <f t="shared" si="61"/>
        <v>7930</v>
      </c>
    </row>
    <row r="276" spans="79:110" x14ac:dyDescent="0.25">
      <c r="CA276" s="2" t="str">
        <f t="shared" si="54"/>
        <v>Hộp-40x80x2.7</v>
      </c>
      <c r="CB276" s="19">
        <v>4.8116666666666665</v>
      </c>
      <c r="CC276" s="19">
        <v>40</v>
      </c>
      <c r="CD276" s="19">
        <v>80</v>
      </c>
      <c r="CE276" s="20" t="s">
        <v>80</v>
      </c>
      <c r="CF276" s="5">
        <f t="shared" si="55"/>
        <v>240</v>
      </c>
      <c r="CG276" s="5">
        <f t="shared" si="56"/>
        <v>8.1000000000000014</v>
      </c>
      <c r="CH276" s="5">
        <f t="shared" si="57"/>
        <v>5.4</v>
      </c>
      <c r="CI276" s="5">
        <f t="shared" si="58"/>
        <v>4.6122757599532811</v>
      </c>
      <c r="CJ276" s="2">
        <f t="shared" si="59"/>
        <v>7850</v>
      </c>
      <c r="CK276" s="48"/>
      <c r="CZ276" s="2" t="s">
        <v>684</v>
      </c>
      <c r="DA276" s="43">
        <v>2.6233209719344308</v>
      </c>
      <c r="DB276" s="19">
        <v>38.1</v>
      </c>
      <c r="DC276" s="19">
        <v>3</v>
      </c>
      <c r="DD276" s="21">
        <v>119.69468010177113</v>
      </c>
      <c r="DE276" s="44">
        <f t="shared" si="60"/>
        <v>2.6233209719344313</v>
      </c>
      <c r="DF276" s="19">
        <f t="shared" si="61"/>
        <v>7930</v>
      </c>
    </row>
    <row r="277" spans="79:110" x14ac:dyDescent="0.25">
      <c r="CA277" s="2" t="str">
        <f t="shared" si="54"/>
        <v>Hộp-40x80x2.8</v>
      </c>
      <c r="CB277" s="19">
        <v>4.9799999999999995</v>
      </c>
      <c r="CC277" s="19">
        <v>40</v>
      </c>
      <c r="CD277" s="19">
        <v>80</v>
      </c>
      <c r="CE277" s="20" t="s">
        <v>81</v>
      </c>
      <c r="CF277" s="5">
        <f t="shared" si="55"/>
        <v>240</v>
      </c>
      <c r="CG277" s="5">
        <f t="shared" si="56"/>
        <v>8.3999999999999986</v>
      </c>
      <c r="CH277" s="5">
        <f t="shared" si="57"/>
        <v>5.6</v>
      </c>
      <c r="CI277" s="5">
        <f t="shared" si="58"/>
        <v>4.764874891362652</v>
      </c>
      <c r="CJ277" s="2">
        <f t="shared" si="59"/>
        <v>7850</v>
      </c>
      <c r="CK277" s="48"/>
      <c r="CZ277" s="2" t="s">
        <v>685</v>
      </c>
      <c r="DA277" s="43">
        <v>0.82112686832819448</v>
      </c>
      <c r="DB277" s="19">
        <v>42</v>
      </c>
      <c r="DC277" s="19">
        <v>0.8</v>
      </c>
      <c r="DD277" s="21">
        <v>131.94689145077132</v>
      </c>
      <c r="DE277" s="44">
        <f t="shared" si="60"/>
        <v>0.82112686832819459</v>
      </c>
      <c r="DF277" s="19">
        <f t="shared" si="61"/>
        <v>7930</v>
      </c>
    </row>
    <row r="278" spans="79:110" x14ac:dyDescent="0.25">
      <c r="CA278" s="2" t="str">
        <f t="shared" si="54"/>
        <v>Hộp-40x80x2.9</v>
      </c>
      <c r="CB278" s="19">
        <v>5.1466666666666665</v>
      </c>
      <c r="CC278" s="19">
        <v>40</v>
      </c>
      <c r="CD278" s="19">
        <v>80</v>
      </c>
      <c r="CE278" s="20" t="s">
        <v>82</v>
      </c>
      <c r="CF278" s="5">
        <f t="shared" si="55"/>
        <v>240</v>
      </c>
      <c r="CG278" s="5">
        <f t="shared" si="56"/>
        <v>8.6999999999999993</v>
      </c>
      <c r="CH278" s="5">
        <f t="shared" si="57"/>
        <v>5.8</v>
      </c>
      <c r="CI278" s="5">
        <f t="shared" si="58"/>
        <v>4.9161721730050889</v>
      </c>
      <c r="CJ278" s="2">
        <f t="shared" si="59"/>
        <v>7850</v>
      </c>
      <c r="CK278" s="48"/>
      <c r="CZ278" s="2" t="s">
        <v>686</v>
      </c>
      <c r="DA278" s="43">
        <v>0.92152557219234976</v>
      </c>
      <c r="DB278" s="19">
        <v>42</v>
      </c>
      <c r="DC278" s="19">
        <v>0.9</v>
      </c>
      <c r="DD278" s="21">
        <v>131.94689145077132</v>
      </c>
      <c r="DE278" s="44">
        <f t="shared" si="60"/>
        <v>0.92152557219234987</v>
      </c>
      <c r="DF278" s="19">
        <f t="shared" si="61"/>
        <v>7930</v>
      </c>
    </row>
    <row r="279" spans="79:110" x14ac:dyDescent="0.25">
      <c r="CA279" s="2" t="str">
        <f t="shared" si="54"/>
        <v>Hộp-40x80x3</v>
      </c>
      <c r="CB279" s="19">
        <v>5.3133333333333335</v>
      </c>
      <c r="CC279" s="19">
        <v>40</v>
      </c>
      <c r="CD279" s="19">
        <v>80</v>
      </c>
      <c r="CE279" s="20" t="s">
        <v>83</v>
      </c>
      <c r="CF279" s="5">
        <f t="shared" si="55"/>
        <v>240</v>
      </c>
      <c r="CG279" s="5">
        <f t="shared" si="56"/>
        <v>9</v>
      </c>
      <c r="CH279" s="5">
        <f t="shared" si="57"/>
        <v>6</v>
      </c>
      <c r="CI279" s="5">
        <f t="shared" si="58"/>
        <v>5.0661676048805946</v>
      </c>
      <c r="CJ279" s="2">
        <f t="shared" si="59"/>
        <v>7850</v>
      </c>
      <c r="CK279" s="48"/>
      <c r="CZ279" s="2" t="s">
        <v>687</v>
      </c>
      <c r="DA279" s="43">
        <v>1.0214260194616487</v>
      </c>
      <c r="DB279" s="19">
        <v>42</v>
      </c>
      <c r="DC279" s="19">
        <v>1</v>
      </c>
      <c r="DD279" s="21">
        <v>131.94689145077132</v>
      </c>
      <c r="DE279" s="44">
        <f t="shared" si="60"/>
        <v>1.0214260194616487</v>
      </c>
      <c r="DF279" s="19">
        <f t="shared" si="61"/>
        <v>7930</v>
      </c>
    </row>
    <row r="280" spans="79:110" x14ac:dyDescent="0.25">
      <c r="CA280" s="2" t="str">
        <f t="shared" si="54"/>
        <v>Hộp-40x80x3.1</v>
      </c>
      <c r="CB280" s="19">
        <v>5.4783333333333326</v>
      </c>
      <c r="CC280" s="19">
        <v>40</v>
      </c>
      <c r="CD280" s="19">
        <v>80</v>
      </c>
      <c r="CE280" s="20" t="s">
        <v>84</v>
      </c>
      <c r="CF280" s="5">
        <f t="shared" si="55"/>
        <v>240</v>
      </c>
      <c r="CG280" s="5">
        <f t="shared" si="56"/>
        <v>9.3000000000000007</v>
      </c>
      <c r="CH280" s="5">
        <f t="shared" si="57"/>
        <v>6.2</v>
      </c>
      <c r="CI280" s="5">
        <f t="shared" si="58"/>
        <v>5.2148611869891681</v>
      </c>
      <c r="CJ280" s="2">
        <f t="shared" si="59"/>
        <v>7850</v>
      </c>
      <c r="CK280" s="48"/>
      <c r="CZ280" s="2" t="s">
        <v>688</v>
      </c>
      <c r="DA280" s="43">
        <v>1.1208282101360894</v>
      </c>
      <c r="DB280" s="19">
        <v>42</v>
      </c>
      <c r="DC280" s="19">
        <v>1.1000000000000001</v>
      </c>
      <c r="DD280" s="21">
        <v>131.94689145077132</v>
      </c>
      <c r="DE280" s="44">
        <f t="shared" si="60"/>
        <v>1.1208282101360894</v>
      </c>
      <c r="DF280" s="19">
        <f t="shared" si="61"/>
        <v>7930</v>
      </c>
    </row>
    <row r="281" spans="79:110" x14ac:dyDescent="0.25">
      <c r="CA281" s="2" t="str">
        <f t="shared" si="54"/>
        <v>Hộp-40x80x3.2</v>
      </c>
      <c r="CB281" s="19">
        <v>5.6433333333333335</v>
      </c>
      <c r="CC281" s="19">
        <v>40</v>
      </c>
      <c r="CD281" s="19">
        <v>80</v>
      </c>
      <c r="CE281" s="20" t="s">
        <v>85</v>
      </c>
      <c r="CF281" s="5">
        <f t="shared" si="55"/>
        <v>240</v>
      </c>
      <c r="CG281" s="5">
        <f t="shared" si="56"/>
        <v>9.6000000000000014</v>
      </c>
      <c r="CH281" s="5">
        <f t="shared" si="57"/>
        <v>6.4</v>
      </c>
      <c r="CI281" s="5">
        <f t="shared" si="58"/>
        <v>5.3622529193308095</v>
      </c>
      <c r="CJ281" s="2">
        <f t="shared" si="59"/>
        <v>7850</v>
      </c>
      <c r="CK281" s="48"/>
      <c r="CZ281" s="2" t="s">
        <v>689</v>
      </c>
      <c r="DA281" s="43">
        <v>1.2197321442156661</v>
      </c>
      <c r="DB281" s="19">
        <v>42</v>
      </c>
      <c r="DC281" s="19">
        <v>1.2</v>
      </c>
      <c r="DD281" s="21">
        <v>131.94689145077132</v>
      </c>
      <c r="DE281" s="44">
        <f t="shared" si="60"/>
        <v>1.2197321442156661</v>
      </c>
      <c r="DF281" s="19">
        <f t="shared" si="61"/>
        <v>7930</v>
      </c>
    </row>
    <row r="282" spans="79:110" x14ac:dyDescent="0.25">
      <c r="CA282" s="2" t="str">
        <f t="shared" si="54"/>
        <v>Hộp-40x80x3.4</v>
      </c>
      <c r="CB282" s="19">
        <v>5.97</v>
      </c>
      <c r="CC282" s="19">
        <v>40</v>
      </c>
      <c r="CD282" s="19">
        <v>80</v>
      </c>
      <c r="CE282" s="20" t="s">
        <v>87</v>
      </c>
      <c r="CF282" s="5">
        <f t="shared" si="55"/>
        <v>240</v>
      </c>
      <c r="CG282" s="5">
        <f t="shared" si="56"/>
        <v>10.199999999999999</v>
      </c>
      <c r="CH282" s="5">
        <f t="shared" si="57"/>
        <v>6.8</v>
      </c>
      <c r="CI282" s="5">
        <f t="shared" si="58"/>
        <v>5.6531308347132967</v>
      </c>
      <c r="CJ282" s="2">
        <f t="shared" si="59"/>
        <v>7850</v>
      </c>
      <c r="CK282" s="48"/>
      <c r="CZ282" s="2" t="s">
        <v>690</v>
      </c>
      <c r="DA282" s="43">
        <v>1.4160452425902452</v>
      </c>
      <c r="DB282" s="19">
        <v>42</v>
      </c>
      <c r="DC282" s="19">
        <v>1.4</v>
      </c>
      <c r="DD282" s="21">
        <v>131.94689145077132</v>
      </c>
      <c r="DE282" s="44">
        <f t="shared" si="60"/>
        <v>1.4160452425902454</v>
      </c>
      <c r="DF282" s="19">
        <f t="shared" si="61"/>
        <v>7930</v>
      </c>
    </row>
    <row r="283" spans="79:110" x14ac:dyDescent="0.25">
      <c r="CA283" s="2" t="str">
        <f t="shared" si="54"/>
        <v>Hộp-40x80x3.5</v>
      </c>
      <c r="CB283" s="19">
        <v>6.1316666666666668</v>
      </c>
      <c r="CC283" s="19">
        <v>40</v>
      </c>
      <c r="CD283" s="19">
        <v>80</v>
      </c>
      <c r="CE283" s="20" t="s">
        <v>88</v>
      </c>
      <c r="CF283" s="5">
        <f t="shared" si="55"/>
        <v>240</v>
      </c>
      <c r="CG283" s="5">
        <f t="shared" si="56"/>
        <v>10.5</v>
      </c>
      <c r="CH283" s="5">
        <f t="shared" si="57"/>
        <v>7</v>
      </c>
      <c r="CI283" s="5">
        <f t="shared" si="58"/>
        <v>5.7966170177541425</v>
      </c>
      <c r="CJ283" s="2">
        <f t="shared" si="59"/>
        <v>7850</v>
      </c>
      <c r="CK283" s="48"/>
      <c r="CZ283" s="2" t="s">
        <v>691</v>
      </c>
      <c r="DA283" s="43">
        <v>1.5134544068852493</v>
      </c>
      <c r="DB283" s="19">
        <v>42</v>
      </c>
      <c r="DC283" s="19">
        <v>1.5</v>
      </c>
      <c r="DD283" s="21">
        <v>131.94689145077132</v>
      </c>
      <c r="DE283" s="44">
        <f t="shared" si="60"/>
        <v>1.5134544068852493</v>
      </c>
      <c r="DF283" s="19">
        <f t="shared" si="61"/>
        <v>7930</v>
      </c>
    </row>
    <row r="284" spans="79:110" x14ac:dyDescent="0.25">
      <c r="CA284" s="2" t="str">
        <f t="shared" si="54"/>
        <v>Hộp-60x1</v>
      </c>
      <c r="CB284" s="19">
        <v>1.8466666666666667</v>
      </c>
      <c r="CC284" s="19">
        <v>60</v>
      </c>
      <c r="CD284" s="19">
        <v>60</v>
      </c>
      <c r="CE284" s="20" t="s">
        <v>65</v>
      </c>
      <c r="CF284" s="5">
        <f t="shared" si="55"/>
        <v>240</v>
      </c>
      <c r="CG284" s="5">
        <f t="shared" si="56"/>
        <v>3</v>
      </c>
      <c r="CH284" s="5">
        <f t="shared" si="57"/>
        <v>2</v>
      </c>
      <c r="CI284" s="5">
        <f t="shared" si="58"/>
        <v>1.8189075116533993</v>
      </c>
      <c r="CJ284" s="2">
        <f t="shared" si="59"/>
        <v>7850</v>
      </c>
      <c r="CK284" s="48"/>
      <c r="CZ284" s="2" t="s">
        <v>692</v>
      </c>
      <c r="DA284" s="43">
        <v>1.7067779656906719</v>
      </c>
      <c r="DB284" s="19">
        <v>42</v>
      </c>
      <c r="DC284" s="19">
        <v>1.7</v>
      </c>
      <c r="DD284" s="21">
        <v>131.94689145077132</v>
      </c>
      <c r="DE284" s="44">
        <f t="shared" si="60"/>
        <v>1.7067779656906719</v>
      </c>
      <c r="DF284" s="19">
        <f t="shared" si="61"/>
        <v>7930</v>
      </c>
    </row>
    <row r="285" spans="79:110" x14ac:dyDescent="0.25">
      <c r="CA285" s="2" t="str">
        <f t="shared" si="54"/>
        <v>Hộp-60x1.1</v>
      </c>
      <c r="CB285" s="19">
        <v>2.0266666666666668</v>
      </c>
      <c r="CC285" s="19">
        <v>60</v>
      </c>
      <c r="CD285" s="19">
        <v>60</v>
      </c>
      <c r="CE285" s="20" t="s">
        <v>66</v>
      </c>
      <c r="CF285" s="5">
        <f t="shared" si="55"/>
        <v>240</v>
      </c>
      <c r="CG285" s="5">
        <f t="shared" si="56"/>
        <v>3.3000000000000003</v>
      </c>
      <c r="CH285" s="5">
        <f t="shared" si="57"/>
        <v>2.2000000000000002</v>
      </c>
      <c r="CI285" s="5">
        <f t="shared" si="58"/>
        <v>1.9936380891006134</v>
      </c>
      <c r="CJ285" s="2">
        <f t="shared" si="59"/>
        <v>7850</v>
      </c>
      <c r="CK285" s="48"/>
      <c r="CZ285" s="2" t="s">
        <v>693</v>
      </c>
      <c r="DA285" s="43">
        <v>1.8026923602010956</v>
      </c>
      <c r="DB285" s="19">
        <v>42</v>
      </c>
      <c r="DC285" s="19">
        <v>1.8</v>
      </c>
      <c r="DD285" s="21">
        <v>131.94689145077132</v>
      </c>
      <c r="DE285" s="44">
        <f t="shared" si="60"/>
        <v>1.8026923602010956</v>
      </c>
      <c r="DF285" s="19">
        <f t="shared" si="61"/>
        <v>7930</v>
      </c>
    </row>
    <row r="286" spans="79:110" x14ac:dyDescent="0.25">
      <c r="CA286" s="2" t="str">
        <f t="shared" si="54"/>
        <v>Hộp-60x1.2</v>
      </c>
      <c r="CB286" s="19">
        <v>2.2066666666666666</v>
      </c>
      <c r="CC286" s="19">
        <v>60</v>
      </c>
      <c r="CD286" s="19">
        <v>60</v>
      </c>
      <c r="CE286" s="20" t="s">
        <v>67</v>
      </c>
      <c r="CF286" s="5">
        <f t="shared" si="55"/>
        <v>240</v>
      </c>
      <c r="CG286" s="5">
        <f t="shared" si="56"/>
        <v>3.5999999999999996</v>
      </c>
      <c r="CH286" s="5">
        <f t="shared" si="57"/>
        <v>2.4</v>
      </c>
      <c r="CI286" s="5">
        <f t="shared" si="58"/>
        <v>2.1670668167808946</v>
      </c>
      <c r="CJ286" s="2">
        <f t="shared" si="59"/>
        <v>7850</v>
      </c>
      <c r="CK286" s="48"/>
      <c r="CZ286" s="2" t="s">
        <v>694</v>
      </c>
      <c r="DA286" s="43">
        <v>1.993026379437365</v>
      </c>
      <c r="DB286" s="19">
        <v>42</v>
      </c>
      <c r="DC286" s="19">
        <v>2</v>
      </c>
      <c r="DD286" s="21">
        <v>131.94689145077132</v>
      </c>
      <c r="DE286" s="44">
        <f t="shared" si="60"/>
        <v>1.993026379437365</v>
      </c>
      <c r="DF286" s="19">
        <f t="shared" si="61"/>
        <v>7930</v>
      </c>
    </row>
    <row r="287" spans="79:110" x14ac:dyDescent="0.25">
      <c r="CA287" s="2" t="str">
        <f t="shared" si="54"/>
        <v>Hộp-60x1.4</v>
      </c>
      <c r="CB287" s="19">
        <v>2.5633333333333335</v>
      </c>
      <c r="CC287" s="19">
        <v>60</v>
      </c>
      <c r="CD287" s="19">
        <v>60</v>
      </c>
      <c r="CE287" s="20" t="s">
        <v>68</v>
      </c>
      <c r="CF287" s="5">
        <f t="shared" si="55"/>
        <v>240</v>
      </c>
      <c r="CG287" s="5">
        <f t="shared" si="56"/>
        <v>4.1999999999999993</v>
      </c>
      <c r="CH287" s="5">
        <f t="shared" si="57"/>
        <v>2.8</v>
      </c>
      <c r="CI287" s="5">
        <f t="shared" si="58"/>
        <v>2.5100187228406625</v>
      </c>
      <c r="CJ287" s="2">
        <f t="shared" si="59"/>
        <v>7850</v>
      </c>
      <c r="CK287" s="48"/>
      <c r="CZ287" s="2" t="s">
        <v>695</v>
      </c>
      <c r="DA287" s="43">
        <v>2.2747904838303215</v>
      </c>
      <c r="DB287" s="19">
        <v>42</v>
      </c>
      <c r="DC287" s="19">
        <v>2.2999999999999998</v>
      </c>
      <c r="DD287" s="21">
        <v>131.94689145077132</v>
      </c>
      <c r="DE287" s="44">
        <f t="shared" si="60"/>
        <v>2.2747904838303219</v>
      </c>
      <c r="DF287" s="19">
        <f t="shared" si="61"/>
        <v>7930</v>
      </c>
    </row>
    <row r="288" spans="79:110" x14ac:dyDescent="0.25">
      <c r="CA288" s="2" t="str">
        <f t="shared" si="54"/>
        <v>Hộp-60x1.5</v>
      </c>
      <c r="CB288" s="19">
        <v>2.7416666666666667</v>
      </c>
      <c r="CC288" s="19">
        <v>60</v>
      </c>
      <c r="CD288" s="19">
        <v>60</v>
      </c>
      <c r="CE288" s="20" t="s">
        <v>69</v>
      </c>
      <c r="CF288" s="5">
        <f t="shared" si="55"/>
        <v>240</v>
      </c>
      <c r="CG288" s="5">
        <f t="shared" si="56"/>
        <v>4.5</v>
      </c>
      <c r="CH288" s="5">
        <f t="shared" si="57"/>
        <v>3</v>
      </c>
      <c r="CI288" s="5">
        <f t="shared" si="58"/>
        <v>2.6795419012201487</v>
      </c>
      <c r="CJ288" s="2">
        <f t="shared" si="59"/>
        <v>7850</v>
      </c>
      <c r="CK288" s="48"/>
      <c r="CZ288" s="2" t="s">
        <v>696</v>
      </c>
      <c r="DA288" s="43">
        <v>2.4601419371179958</v>
      </c>
      <c r="DB288" s="19">
        <v>42</v>
      </c>
      <c r="DC288" s="19">
        <v>2.5</v>
      </c>
      <c r="DD288" s="21">
        <v>131.94689145077132</v>
      </c>
      <c r="DE288" s="44">
        <f t="shared" si="60"/>
        <v>2.4601419371179962</v>
      </c>
      <c r="DF288" s="19">
        <f t="shared" si="61"/>
        <v>7930</v>
      </c>
    </row>
    <row r="289" spans="79:110" x14ac:dyDescent="0.25">
      <c r="CA289" s="2" t="str">
        <f t="shared" si="54"/>
        <v>Hộp-60x1.6</v>
      </c>
      <c r="CB289" s="19">
        <v>2.9183333333333334</v>
      </c>
      <c r="CC289" s="19">
        <v>60</v>
      </c>
      <c r="CD289" s="19">
        <v>60</v>
      </c>
      <c r="CE289" s="20" t="s">
        <v>70</v>
      </c>
      <c r="CF289" s="5">
        <f t="shared" si="55"/>
        <v>240</v>
      </c>
      <c r="CG289" s="5">
        <f t="shared" si="56"/>
        <v>4.8000000000000007</v>
      </c>
      <c r="CH289" s="5">
        <f t="shared" si="57"/>
        <v>3.2</v>
      </c>
      <c r="CI289" s="5">
        <f t="shared" si="58"/>
        <v>2.8477632298327022</v>
      </c>
      <c r="CJ289" s="2">
        <f t="shared" si="59"/>
        <v>7850</v>
      </c>
      <c r="CK289" s="48"/>
      <c r="CZ289" s="2" t="s">
        <v>697</v>
      </c>
      <c r="DA289" s="43">
        <v>2.7344321925880646</v>
      </c>
      <c r="DB289" s="19">
        <v>42</v>
      </c>
      <c r="DC289" s="19">
        <v>2.8</v>
      </c>
      <c r="DD289" s="21">
        <v>131.94689145077132</v>
      </c>
      <c r="DE289" s="44">
        <f t="shared" si="60"/>
        <v>2.734432192588065</v>
      </c>
      <c r="DF289" s="19">
        <f t="shared" si="61"/>
        <v>7930</v>
      </c>
    </row>
    <row r="290" spans="79:110" x14ac:dyDescent="0.25">
      <c r="CA290" s="2" t="str">
        <f t="shared" si="54"/>
        <v>Hộp-60x1.7</v>
      </c>
      <c r="CB290" s="19">
        <v>3.0933333333333333</v>
      </c>
      <c r="CC290" s="19">
        <v>60</v>
      </c>
      <c r="CD290" s="19">
        <v>60</v>
      </c>
      <c r="CE290" s="20" t="s">
        <v>71</v>
      </c>
      <c r="CF290" s="5">
        <f t="shared" si="55"/>
        <v>240</v>
      </c>
      <c r="CG290" s="5">
        <f t="shared" si="56"/>
        <v>5.0999999999999996</v>
      </c>
      <c r="CH290" s="5">
        <f t="shared" si="57"/>
        <v>3.4</v>
      </c>
      <c r="CI290" s="5">
        <f t="shared" si="58"/>
        <v>3.0146827086783241</v>
      </c>
      <c r="CJ290" s="2">
        <f t="shared" si="59"/>
        <v>7850</v>
      </c>
      <c r="CK290" s="48"/>
      <c r="CZ290" s="2" t="s">
        <v>698</v>
      </c>
      <c r="DA290" s="43">
        <v>2.9148010799271455</v>
      </c>
      <c r="DB290" s="19">
        <v>42</v>
      </c>
      <c r="DC290" s="19">
        <v>3</v>
      </c>
      <c r="DD290" s="21">
        <v>131.94689145077132</v>
      </c>
      <c r="DE290" s="44">
        <f t="shared" si="60"/>
        <v>2.914801079927146</v>
      </c>
      <c r="DF290" s="19">
        <f t="shared" si="61"/>
        <v>7930</v>
      </c>
    </row>
    <row r="291" spans="79:110" x14ac:dyDescent="0.25">
      <c r="CA291" s="2" t="str">
        <f t="shared" si="54"/>
        <v>Hộp-60x1.8</v>
      </c>
      <c r="CB291" s="19">
        <v>3.2683333333333331</v>
      </c>
      <c r="CC291" s="19">
        <v>60</v>
      </c>
      <c r="CD291" s="19">
        <v>60</v>
      </c>
      <c r="CE291" s="20" t="s">
        <v>72</v>
      </c>
      <c r="CF291" s="5">
        <f t="shared" si="55"/>
        <v>240</v>
      </c>
      <c r="CG291" s="5">
        <f t="shared" si="56"/>
        <v>5.4</v>
      </c>
      <c r="CH291" s="5">
        <f t="shared" si="57"/>
        <v>3.6</v>
      </c>
      <c r="CI291" s="5">
        <f t="shared" si="58"/>
        <v>3.1803003377570143</v>
      </c>
      <c r="CJ291" s="2">
        <f t="shared" si="59"/>
        <v>7850</v>
      </c>
      <c r="CK291" s="48"/>
      <c r="CZ291" s="2" t="s">
        <v>699</v>
      </c>
      <c r="DA291" s="43">
        <v>0.9606387148888117</v>
      </c>
      <c r="DB291" s="19">
        <v>49</v>
      </c>
      <c r="DC291" s="19">
        <v>0.8</v>
      </c>
      <c r="DD291" s="21">
        <v>153.93804002589985</v>
      </c>
      <c r="DE291" s="44">
        <f t="shared" si="60"/>
        <v>0.96063871488881181</v>
      </c>
      <c r="DF291" s="19">
        <f t="shared" si="61"/>
        <v>7930</v>
      </c>
    </row>
    <row r="292" spans="79:110" x14ac:dyDescent="0.25">
      <c r="CA292" s="2" t="str">
        <f t="shared" si="54"/>
        <v>Hộp-60x1.9</v>
      </c>
      <c r="CB292" s="19">
        <v>3.4433333333333334</v>
      </c>
      <c r="CC292" s="19">
        <v>60</v>
      </c>
      <c r="CD292" s="19">
        <v>60</v>
      </c>
      <c r="CE292" s="20" t="s">
        <v>73</v>
      </c>
      <c r="CF292" s="5">
        <f t="shared" si="55"/>
        <v>240</v>
      </c>
      <c r="CG292" s="5">
        <f t="shared" si="56"/>
        <v>5.6999999999999993</v>
      </c>
      <c r="CH292" s="5">
        <f t="shared" si="57"/>
        <v>3.8</v>
      </c>
      <c r="CI292" s="5">
        <f t="shared" si="58"/>
        <v>3.3446161170687714</v>
      </c>
      <c r="CJ292" s="2">
        <f t="shared" si="59"/>
        <v>7850</v>
      </c>
      <c r="CK292" s="48"/>
      <c r="CZ292" s="2" t="s">
        <v>700</v>
      </c>
      <c r="DA292" s="43">
        <v>1.0784763995730433</v>
      </c>
      <c r="DB292" s="19">
        <v>49</v>
      </c>
      <c r="DC292" s="19">
        <v>0.9</v>
      </c>
      <c r="DD292" s="21">
        <v>153.93804002589985</v>
      </c>
      <c r="DE292" s="44">
        <f t="shared" si="60"/>
        <v>1.0784763995730433</v>
      </c>
      <c r="DF292" s="19">
        <f t="shared" si="61"/>
        <v>7930</v>
      </c>
    </row>
    <row r="293" spans="79:110" x14ac:dyDescent="0.25">
      <c r="CA293" s="2" t="str">
        <f t="shared" si="54"/>
        <v>Hộp-60x2</v>
      </c>
      <c r="CB293" s="19">
        <v>3.6166666666666667</v>
      </c>
      <c r="CC293" s="19">
        <v>60</v>
      </c>
      <c r="CD293" s="19">
        <v>60</v>
      </c>
      <c r="CE293" s="20" t="s">
        <v>74</v>
      </c>
      <c r="CF293" s="5">
        <f t="shared" si="55"/>
        <v>240</v>
      </c>
      <c r="CG293" s="5">
        <f t="shared" si="56"/>
        <v>6</v>
      </c>
      <c r="CH293" s="5">
        <f t="shared" si="57"/>
        <v>4</v>
      </c>
      <c r="CI293" s="5">
        <f t="shared" si="58"/>
        <v>3.5076300466135977</v>
      </c>
      <c r="CJ293" s="2">
        <f t="shared" si="59"/>
        <v>7850</v>
      </c>
      <c r="CK293" s="48"/>
      <c r="CZ293" s="2" t="s">
        <v>701</v>
      </c>
      <c r="DA293" s="43">
        <v>1.1958158276624185</v>
      </c>
      <c r="DB293" s="19">
        <v>49</v>
      </c>
      <c r="DC293" s="19">
        <v>1</v>
      </c>
      <c r="DD293" s="21">
        <v>153.93804002589985</v>
      </c>
      <c r="DE293" s="44">
        <f t="shared" si="60"/>
        <v>1.1958158276624185</v>
      </c>
      <c r="DF293" s="19">
        <f t="shared" si="61"/>
        <v>7930</v>
      </c>
    </row>
    <row r="294" spans="79:110" x14ac:dyDescent="0.25">
      <c r="CA294" s="2" t="str">
        <f t="shared" si="54"/>
        <v>Hộp-60x2.1</v>
      </c>
      <c r="CB294" s="19">
        <v>3.7899999999999996</v>
      </c>
      <c r="CC294" s="19">
        <v>60</v>
      </c>
      <c r="CD294" s="19">
        <v>60</v>
      </c>
      <c r="CE294" s="20" t="s">
        <v>75</v>
      </c>
      <c r="CF294" s="5">
        <f t="shared" si="55"/>
        <v>240</v>
      </c>
      <c r="CG294" s="5">
        <f t="shared" si="56"/>
        <v>6.3000000000000007</v>
      </c>
      <c r="CH294" s="5">
        <f t="shared" si="57"/>
        <v>4.2</v>
      </c>
      <c r="CI294" s="5">
        <f t="shared" si="58"/>
        <v>3.6693421263914914</v>
      </c>
      <c r="CJ294" s="2">
        <f t="shared" si="59"/>
        <v>7850</v>
      </c>
      <c r="CK294" s="48"/>
      <c r="CZ294" s="2" t="s">
        <v>702</v>
      </c>
      <c r="DA294" s="43">
        <v>1.312656999156937</v>
      </c>
      <c r="DB294" s="19">
        <v>49</v>
      </c>
      <c r="DC294" s="19">
        <v>1.1000000000000001</v>
      </c>
      <c r="DD294" s="21">
        <v>153.93804002589985</v>
      </c>
      <c r="DE294" s="44">
        <f t="shared" si="60"/>
        <v>1.312656999156937</v>
      </c>
      <c r="DF294" s="19">
        <f t="shared" si="61"/>
        <v>7930</v>
      </c>
    </row>
    <row r="295" spans="79:110" x14ac:dyDescent="0.25">
      <c r="CA295" s="2" t="str">
        <f t="shared" si="54"/>
        <v>Hộp-60x2.2</v>
      </c>
      <c r="CB295" s="19">
        <v>3.9616666666666664</v>
      </c>
      <c r="CC295" s="19">
        <v>60</v>
      </c>
      <c r="CD295" s="19">
        <v>60</v>
      </c>
      <c r="CE295" s="20" t="s">
        <v>76</v>
      </c>
      <c r="CF295" s="5">
        <f t="shared" si="55"/>
        <v>240</v>
      </c>
      <c r="CG295" s="5">
        <f t="shared" si="56"/>
        <v>6.6000000000000005</v>
      </c>
      <c r="CH295" s="5">
        <f t="shared" si="57"/>
        <v>4.4000000000000004</v>
      </c>
      <c r="CI295" s="5">
        <f t="shared" si="58"/>
        <v>3.8297523564024529</v>
      </c>
      <c r="CJ295" s="2">
        <f t="shared" si="59"/>
        <v>7850</v>
      </c>
      <c r="CK295" s="48"/>
      <c r="CZ295" s="2" t="s">
        <v>703</v>
      </c>
      <c r="DA295" s="43">
        <v>1.4289999140565921</v>
      </c>
      <c r="DB295" s="19">
        <v>49</v>
      </c>
      <c r="DC295" s="19">
        <v>1.2</v>
      </c>
      <c r="DD295" s="21">
        <v>153.93804002589985</v>
      </c>
      <c r="DE295" s="44">
        <f t="shared" si="60"/>
        <v>1.4289999140565921</v>
      </c>
      <c r="DF295" s="19">
        <f t="shared" si="61"/>
        <v>7930</v>
      </c>
    </row>
    <row r="296" spans="79:110" x14ac:dyDescent="0.25">
      <c r="CA296" s="2" t="str">
        <f t="shared" si="54"/>
        <v>Hộp-60x2.3</v>
      </c>
      <c r="CB296" s="19">
        <v>4.1333333333333337</v>
      </c>
      <c r="CC296" s="19">
        <v>60</v>
      </c>
      <c r="CD296" s="19">
        <v>60</v>
      </c>
      <c r="CE296" s="20" t="s">
        <v>77</v>
      </c>
      <c r="CF296" s="5">
        <f t="shared" si="55"/>
        <v>240</v>
      </c>
      <c r="CG296" s="5">
        <f t="shared" si="56"/>
        <v>6.8999999999999995</v>
      </c>
      <c r="CH296" s="5">
        <f t="shared" si="57"/>
        <v>4.5999999999999996</v>
      </c>
      <c r="CI296" s="5">
        <f t="shared" si="58"/>
        <v>3.9888607366464832</v>
      </c>
      <c r="CJ296" s="2">
        <f t="shared" si="59"/>
        <v>7850</v>
      </c>
      <c r="CK296" s="48"/>
      <c r="CZ296" s="2" t="s">
        <v>704</v>
      </c>
      <c r="DA296" s="43">
        <v>1.6601909740713254</v>
      </c>
      <c r="DB296" s="19">
        <v>49</v>
      </c>
      <c r="DC296" s="19">
        <v>1.4</v>
      </c>
      <c r="DD296" s="21">
        <v>153.93804002589985</v>
      </c>
      <c r="DE296" s="44">
        <f t="shared" si="60"/>
        <v>1.6601909740713254</v>
      </c>
      <c r="DF296" s="19">
        <f t="shared" si="61"/>
        <v>7930</v>
      </c>
    </row>
    <row r="297" spans="79:110" x14ac:dyDescent="0.25">
      <c r="CA297" s="2" t="str">
        <f t="shared" si="54"/>
        <v>Hộp-60x2.4</v>
      </c>
      <c r="CB297" s="19">
        <v>4.3049999999999997</v>
      </c>
      <c r="CC297" s="19">
        <v>60</v>
      </c>
      <c r="CD297" s="19">
        <v>60</v>
      </c>
      <c r="CE297" s="20" t="s">
        <v>78</v>
      </c>
      <c r="CF297" s="5">
        <f t="shared" si="55"/>
        <v>240</v>
      </c>
      <c r="CG297" s="5">
        <f t="shared" si="56"/>
        <v>7.1999999999999993</v>
      </c>
      <c r="CH297" s="5">
        <f t="shared" si="57"/>
        <v>4.8</v>
      </c>
      <c r="CI297" s="5">
        <f t="shared" si="58"/>
        <v>4.1466672671235809</v>
      </c>
      <c r="CJ297" s="2">
        <f t="shared" si="59"/>
        <v>7850</v>
      </c>
      <c r="CK297" s="48"/>
      <c r="CZ297" s="2" t="s">
        <v>705</v>
      </c>
      <c r="DA297" s="43">
        <v>1.7750391191864039</v>
      </c>
      <c r="DB297" s="19">
        <v>49</v>
      </c>
      <c r="DC297" s="19">
        <v>1.5</v>
      </c>
      <c r="DD297" s="21">
        <v>153.93804002589985</v>
      </c>
      <c r="DE297" s="44">
        <f t="shared" si="60"/>
        <v>1.7750391191864039</v>
      </c>
      <c r="DF297" s="19">
        <f t="shared" si="61"/>
        <v>7930</v>
      </c>
    </row>
    <row r="298" spans="79:110" x14ac:dyDescent="0.25">
      <c r="CA298" s="2" t="str">
        <f t="shared" si="54"/>
        <v>Hộp-60x2.5</v>
      </c>
      <c r="CB298" s="19">
        <v>4.4750000000000005</v>
      </c>
      <c r="CC298" s="19">
        <v>60</v>
      </c>
      <c r="CD298" s="19">
        <v>60</v>
      </c>
      <c r="CE298" s="20" t="s">
        <v>79</v>
      </c>
      <c r="CF298" s="5">
        <f t="shared" si="55"/>
        <v>240</v>
      </c>
      <c r="CG298" s="5">
        <f t="shared" si="56"/>
        <v>7.5</v>
      </c>
      <c r="CH298" s="5">
        <f t="shared" si="57"/>
        <v>5</v>
      </c>
      <c r="CI298" s="5">
        <f t="shared" si="58"/>
        <v>4.3031719478337456</v>
      </c>
      <c r="CJ298" s="2">
        <f t="shared" si="59"/>
        <v>7850</v>
      </c>
      <c r="CK298" s="48"/>
      <c r="CZ298" s="2" t="s">
        <v>706</v>
      </c>
      <c r="DA298" s="43">
        <v>2.0032406396319806</v>
      </c>
      <c r="DB298" s="19">
        <v>49</v>
      </c>
      <c r="DC298" s="19">
        <v>1.7</v>
      </c>
      <c r="DD298" s="21">
        <v>153.93804002589985</v>
      </c>
      <c r="DE298" s="44">
        <f t="shared" si="60"/>
        <v>2.0032406396319806</v>
      </c>
      <c r="DF298" s="19">
        <f t="shared" si="61"/>
        <v>7930</v>
      </c>
    </row>
    <row r="299" spans="79:110" x14ac:dyDescent="0.25">
      <c r="CA299" s="2" t="str">
        <f t="shared" si="54"/>
        <v>Hộp-60x2.7</v>
      </c>
      <c r="CB299" s="19">
        <v>4.8116666666666665</v>
      </c>
      <c r="CC299" s="19">
        <v>60</v>
      </c>
      <c r="CD299" s="19">
        <v>60</v>
      </c>
      <c r="CE299" s="20" t="s">
        <v>80</v>
      </c>
      <c r="CF299" s="5">
        <f t="shared" si="55"/>
        <v>240</v>
      </c>
      <c r="CG299" s="5">
        <f t="shared" si="56"/>
        <v>8.1000000000000014</v>
      </c>
      <c r="CH299" s="5">
        <f t="shared" si="57"/>
        <v>5.4</v>
      </c>
      <c r="CI299" s="5">
        <f t="shared" si="58"/>
        <v>4.6122757599532811</v>
      </c>
      <c r="CJ299" s="2">
        <f t="shared" si="59"/>
        <v>7850</v>
      </c>
      <c r="CK299" s="48"/>
      <c r="CZ299" s="2" t="s">
        <v>707</v>
      </c>
      <c r="DA299" s="43">
        <v>2.1165940149624829</v>
      </c>
      <c r="DB299" s="19">
        <v>49</v>
      </c>
      <c r="DC299" s="19">
        <v>1.8</v>
      </c>
      <c r="DD299" s="21">
        <v>153.93804002589985</v>
      </c>
      <c r="DE299" s="44">
        <f t="shared" si="60"/>
        <v>2.1165940149624829</v>
      </c>
      <c r="DF299" s="19">
        <f t="shared" si="61"/>
        <v>7930</v>
      </c>
    </row>
    <row r="300" spans="79:110" x14ac:dyDescent="0.25">
      <c r="CA300" s="2" t="str">
        <f t="shared" si="54"/>
        <v>Hộp-60x2.8</v>
      </c>
      <c r="CB300" s="19">
        <v>4.9799999999999995</v>
      </c>
      <c r="CC300" s="19">
        <v>60</v>
      </c>
      <c r="CD300" s="19">
        <v>60</v>
      </c>
      <c r="CE300" s="20" t="s">
        <v>81</v>
      </c>
      <c r="CF300" s="5">
        <f t="shared" si="55"/>
        <v>240</v>
      </c>
      <c r="CG300" s="5">
        <f t="shared" si="56"/>
        <v>8.3999999999999986</v>
      </c>
      <c r="CH300" s="5">
        <f t="shared" si="57"/>
        <v>5.6</v>
      </c>
      <c r="CI300" s="5">
        <f t="shared" si="58"/>
        <v>4.764874891362652</v>
      </c>
      <c r="CJ300" s="2">
        <f t="shared" si="59"/>
        <v>7850</v>
      </c>
      <c r="CK300" s="48"/>
      <c r="CZ300" s="2" t="s">
        <v>708</v>
      </c>
      <c r="DA300" s="43">
        <v>2.3418059958389046</v>
      </c>
      <c r="DB300" s="19">
        <v>49</v>
      </c>
      <c r="DC300" s="19">
        <v>2</v>
      </c>
      <c r="DD300" s="21">
        <v>153.93804002589985</v>
      </c>
      <c r="DE300" s="44">
        <f t="shared" si="60"/>
        <v>2.3418059958389046</v>
      </c>
      <c r="DF300" s="19">
        <f t="shared" si="61"/>
        <v>7930</v>
      </c>
    </row>
    <row r="301" spans="79:110" x14ac:dyDescent="0.25">
      <c r="CA301" s="2" t="str">
        <f t="shared" si="54"/>
        <v>Hộp-60x2.9</v>
      </c>
      <c r="CB301" s="19">
        <v>5.1466666666666665</v>
      </c>
      <c r="CC301" s="19">
        <v>60</v>
      </c>
      <c r="CD301" s="19">
        <v>60</v>
      </c>
      <c r="CE301" s="20" t="s">
        <v>82</v>
      </c>
      <c r="CF301" s="5">
        <f t="shared" si="55"/>
        <v>240</v>
      </c>
      <c r="CG301" s="5">
        <f t="shared" si="56"/>
        <v>8.6999999999999993</v>
      </c>
      <c r="CH301" s="5">
        <f t="shared" si="57"/>
        <v>5.8</v>
      </c>
      <c r="CI301" s="5">
        <f t="shared" si="58"/>
        <v>4.9161721730050889</v>
      </c>
      <c r="CJ301" s="2">
        <f t="shared" si="59"/>
        <v>7850</v>
      </c>
      <c r="CK301" s="48"/>
      <c r="CZ301" s="2" t="s">
        <v>709</v>
      </c>
      <c r="DA301" s="43">
        <v>2.6758870426920938</v>
      </c>
      <c r="DB301" s="19">
        <v>49</v>
      </c>
      <c r="DC301" s="19">
        <v>2.2999999999999998</v>
      </c>
      <c r="DD301" s="21">
        <v>153.93804002589985</v>
      </c>
      <c r="DE301" s="44">
        <f t="shared" si="60"/>
        <v>2.6758870426920938</v>
      </c>
      <c r="DF301" s="19">
        <f t="shared" si="61"/>
        <v>7930</v>
      </c>
    </row>
    <row r="302" spans="79:110" x14ac:dyDescent="0.25">
      <c r="CA302" s="2" t="str">
        <f t="shared" si="54"/>
        <v>Hộp-60x3</v>
      </c>
      <c r="CB302" s="19">
        <v>5.3133333333333335</v>
      </c>
      <c r="CC302" s="19">
        <v>60</v>
      </c>
      <c r="CD302" s="19">
        <v>60</v>
      </c>
      <c r="CE302" s="20" t="s">
        <v>83</v>
      </c>
      <c r="CF302" s="5">
        <f t="shared" si="55"/>
        <v>240</v>
      </c>
      <c r="CG302" s="5">
        <f t="shared" si="56"/>
        <v>9</v>
      </c>
      <c r="CH302" s="5">
        <f t="shared" si="57"/>
        <v>6</v>
      </c>
      <c r="CI302" s="5">
        <f t="shared" si="58"/>
        <v>5.0661676048805946</v>
      </c>
      <c r="CJ302" s="2">
        <f t="shared" si="59"/>
        <v>7850</v>
      </c>
      <c r="CK302" s="48"/>
      <c r="CZ302" s="2" t="s">
        <v>710</v>
      </c>
      <c r="DA302" s="43">
        <v>2.8961164576199203</v>
      </c>
      <c r="DB302" s="19">
        <v>49</v>
      </c>
      <c r="DC302" s="19">
        <v>2.5</v>
      </c>
      <c r="DD302" s="21">
        <v>153.93804002589985</v>
      </c>
      <c r="DE302" s="44">
        <f t="shared" si="60"/>
        <v>2.8961164576199208</v>
      </c>
      <c r="DF302" s="19">
        <f t="shared" si="61"/>
        <v>7930</v>
      </c>
    </row>
    <row r="303" spans="79:110" x14ac:dyDescent="0.25">
      <c r="CA303" s="2" t="str">
        <f t="shared" si="54"/>
        <v>Hộp-60x3.1</v>
      </c>
      <c r="CB303" s="19">
        <v>5.4783333333333326</v>
      </c>
      <c r="CC303" s="19">
        <v>60</v>
      </c>
      <c r="CD303" s="19">
        <v>60</v>
      </c>
      <c r="CE303" s="20" t="s">
        <v>84</v>
      </c>
      <c r="CF303" s="5">
        <f t="shared" si="55"/>
        <v>240</v>
      </c>
      <c r="CG303" s="5">
        <f t="shared" si="56"/>
        <v>9.3000000000000007</v>
      </c>
      <c r="CH303" s="5">
        <f t="shared" si="57"/>
        <v>6.2</v>
      </c>
      <c r="CI303" s="5">
        <f t="shared" si="58"/>
        <v>5.2148611869891681</v>
      </c>
      <c r="CJ303" s="2">
        <f t="shared" si="59"/>
        <v>7850</v>
      </c>
      <c r="CK303" s="48"/>
      <c r="CZ303" s="2" t="s">
        <v>711</v>
      </c>
      <c r="DA303" s="43">
        <v>3.2227236555502192</v>
      </c>
      <c r="DB303" s="19">
        <v>49</v>
      </c>
      <c r="DC303" s="19">
        <v>2.8</v>
      </c>
      <c r="DD303" s="21">
        <v>153.93804002589985</v>
      </c>
      <c r="DE303" s="44">
        <f t="shared" si="60"/>
        <v>3.2227236555502197</v>
      </c>
      <c r="DF303" s="19">
        <f t="shared" si="61"/>
        <v>7930</v>
      </c>
    </row>
    <row r="304" spans="79:110" x14ac:dyDescent="0.25">
      <c r="CA304" s="2" t="str">
        <f t="shared" si="54"/>
        <v>Hộp-60x3.2</v>
      </c>
      <c r="CB304" s="19">
        <v>5.6433333333333335</v>
      </c>
      <c r="CC304" s="19">
        <v>60</v>
      </c>
      <c r="CD304" s="19">
        <v>60</v>
      </c>
      <c r="CE304" s="20" t="s">
        <v>85</v>
      </c>
      <c r="CF304" s="5">
        <f t="shared" si="55"/>
        <v>240</v>
      </c>
      <c r="CG304" s="5">
        <f t="shared" si="56"/>
        <v>9.6000000000000014</v>
      </c>
      <c r="CH304" s="5">
        <f t="shared" si="57"/>
        <v>6.4</v>
      </c>
      <c r="CI304" s="5">
        <f t="shared" si="58"/>
        <v>5.3622529193308095</v>
      </c>
      <c r="CJ304" s="2">
        <f t="shared" si="59"/>
        <v>7850</v>
      </c>
      <c r="CK304" s="48"/>
      <c r="CZ304" s="2" t="s">
        <v>712</v>
      </c>
      <c r="DA304" s="43">
        <v>3.4379705045294551</v>
      </c>
      <c r="DB304" s="19">
        <v>49</v>
      </c>
      <c r="DC304" s="19">
        <v>3</v>
      </c>
      <c r="DD304" s="21">
        <v>153.93804002589985</v>
      </c>
      <c r="DE304" s="44">
        <f t="shared" si="60"/>
        <v>3.4379705045294555</v>
      </c>
      <c r="DF304" s="19">
        <f t="shared" si="61"/>
        <v>7930</v>
      </c>
    </row>
    <row r="305" spans="79:110" x14ac:dyDescent="0.25">
      <c r="CA305" s="2" t="str">
        <f t="shared" si="54"/>
        <v>Hộp-60x3.4</v>
      </c>
      <c r="CB305" s="19">
        <v>5.97</v>
      </c>
      <c r="CC305" s="19">
        <v>60</v>
      </c>
      <c r="CD305" s="19">
        <v>60</v>
      </c>
      <c r="CE305" s="20" t="s">
        <v>87</v>
      </c>
      <c r="CF305" s="5">
        <f t="shared" si="55"/>
        <v>240</v>
      </c>
      <c r="CG305" s="5">
        <f t="shared" si="56"/>
        <v>10.199999999999999</v>
      </c>
      <c r="CH305" s="5">
        <f t="shared" si="57"/>
        <v>6.8</v>
      </c>
      <c r="CI305" s="5">
        <f t="shared" si="58"/>
        <v>5.6531308347132967</v>
      </c>
      <c r="CJ305" s="2">
        <f t="shared" si="59"/>
        <v>7850</v>
      </c>
      <c r="CK305" s="48"/>
      <c r="CZ305" s="2" t="s">
        <v>713</v>
      </c>
      <c r="DA305" s="43">
        <v>1.469856954835056</v>
      </c>
      <c r="DB305" s="19">
        <v>60</v>
      </c>
      <c r="DC305" s="19">
        <v>1</v>
      </c>
      <c r="DD305" s="21">
        <v>188.49555921538757</v>
      </c>
      <c r="DE305" s="44">
        <f t="shared" si="60"/>
        <v>1.469856954835056</v>
      </c>
      <c r="DF305" s="19">
        <f t="shared" si="61"/>
        <v>7930</v>
      </c>
    </row>
    <row r="306" spans="79:110" x14ac:dyDescent="0.25">
      <c r="CA306" s="2" t="str">
        <f t="shared" si="54"/>
        <v>Hộp-60x3.5</v>
      </c>
      <c r="CB306" s="19">
        <v>6.1316666666666668</v>
      </c>
      <c r="CC306" s="19">
        <v>60</v>
      </c>
      <c r="CD306" s="19">
        <v>60</v>
      </c>
      <c r="CE306" s="20" t="s">
        <v>88</v>
      </c>
      <c r="CF306" s="5">
        <f t="shared" si="55"/>
        <v>240</v>
      </c>
      <c r="CG306" s="5">
        <f t="shared" si="56"/>
        <v>10.5</v>
      </c>
      <c r="CH306" s="5">
        <f t="shared" si="57"/>
        <v>7</v>
      </c>
      <c r="CI306" s="5">
        <f t="shared" si="58"/>
        <v>5.7966170177541425</v>
      </c>
      <c r="CJ306" s="2">
        <f t="shared" si="59"/>
        <v>7850</v>
      </c>
      <c r="CK306" s="48"/>
      <c r="CZ306" s="2" t="s">
        <v>714</v>
      </c>
      <c r="DA306" s="43">
        <v>1.6141022390468371</v>
      </c>
      <c r="DB306" s="19">
        <v>60</v>
      </c>
      <c r="DC306" s="19">
        <v>1.1000000000000001</v>
      </c>
      <c r="DD306" s="21">
        <v>188.49555921538757</v>
      </c>
      <c r="DE306" s="44">
        <f t="shared" si="60"/>
        <v>1.6141022390468374</v>
      </c>
      <c r="DF306" s="19">
        <f t="shared" si="61"/>
        <v>7930</v>
      </c>
    </row>
    <row r="307" spans="79:110" x14ac:dyDescent="0.25">
      <c r="CA307" s="2" t="str">
        <f t="shared" si="54"/>
        <v>Hộp-40x100x1.4</v>
      </c>
      <c r="CB307" s="19">
        <v>3</v>
      </c>
      <c r="CC307" s="19">
        <v>40</v>
      </c>
      <c r="CD307" s="19">
        <v>100</v>
      </c>
      <c r="CE307" s="20" t="s">
        <v>68</v>
      </c>
      <c r="CF307" s="5">
        <f t="shared" si="55"/>
        <v>280</v>
      </c>
      <c r="CG307" s="5">
        <f t="shared" si="56"/>
        <v>4.1999999999999993</v>
      </c>
      <c r="CH307" s="5">
        <f t="shared" si="57"/>
        <v>2.8</v>
      </c>
      <c r="CI307" s="5">
        <f t="shared" si="58"/>
        <v>2.9496187228406621</v>
      </c>
      <c r="CJ307" s="2">
        <f t="shared" si="59"/>
        <v>7850</v>
      </c>
      <c r="CK307" s="48"/>
      <c r="CZ307" s="2" t="s">
        <v>715</v>
      </c>
      <c r="DA307" s="43">
        <v>1.7578492666637531</v>
      </c>
      <c r="DB307" s="19">
        <v>60</v>
      </c>
      <c r="DC307" s="19">
        <v>1.2</v>
      </c>
      <c r="DD307" s="21">
        <v>188.49555921538757</v>
      </c>
      <c r="DE307" s="44">
        <f t="shared" si="60"/>
        <v>1.7578492666637533</v>
      </c>
      <c r="DF307" s="19">
        <f t="shared" si="61"/>
        <v>7930</v>
      </c>
    </row>
    <row r="308" spans="79:110" x14ac:dyDescent="0.25">
      <c r="CA308" s="2" t="str">
        <f t="shared" si="54"/>
        <v>Hộp-40x100x1.5</v>
      </c>
      <c r="CB308" s="19">
        <v>3.2166666666666668</v>
      </c>
      <c r="CC308" s="19">
        <v>40</v>
      </c>
      <c r="CD308" s="19">
        <v>100</v>
      </c>
      <c r="CE308" s="20" t="s">
        <v>69</v>
      </c>
      <c r="CF308" s="5">
        <f t="shared" si="55"/>
        <v>280</v>
      </c>
      <c r="CG308" s="5">
        <f t="shared" si="56"/>
        <v>4.5</v>
      </c>
      <c r="CH308" s="5">
        <f t="shared" si="57"/>
        <v>3</v>
      </c>
      <c r="CI308" s="5">
        <f t="shared" si="58"/>
        <v>3.1505419012201488</v>
      </c>
      <c r="CJ308" s="2">
        <f t="shared" si="59"/>
        <v>7850</v>
      </c>
      <c r="CK308" s="48"/>
      <c r="CZ308" s="2" t="s">
        <v>716</v>
      </c>
      <c r="DA308" s="43">
        <v>2.0438485521130176</v>
      </c>
      <c r="DB308" s="19">
        <v>60</v>
      </c>
      <c r="DC308" s="19">
        <v>1.4</v>
      </c>
      <c r="DD308" s="21">
        <v>188.49555921538757</v>
      </c>
      <c r="DE308" s="44">
        <f t="shared" si="60"/>
        <v>2.0438485521130176</v>
      </c>
      <c r="DF308" s="19">
        <f t="shared" si="61"/>
        <v>7930</v>
      </c>
    </row>
    <row r="309" spans="79:110" x14ac:dyDescent="0.25">
      <c r="CA309" s="2" t="str">
        <f t="shared" si="54"/>
        <v>Hộp-40x100x1.6</v>
      </c>
      <c r="CB309" s="19">
        <v>3.4166666666666665</v>
      </c>
      <c r="CC309" s="19">
        <v>40</v>
      </c>
      <c r="CD309" s="19">
        <v>100</v>
      </c>
      <c r="CE309" s="20" t="s">
        <v>70</v>
      </c>
      <c r="CF309" s="5">
        <f t="shared" si="55"/>
        <v>280</v>
      </c>
      <c r="CG309" s="5">
        <f t="shared" si="56"/>
        <v>4.8000000000000007</v>
      </c>
      <c r="CH309" s="5">
        <f t="shared" si="57"/>
        <v>3.2</v>
      </c>
      <c r="CI309" s="5">
        <f t="shared" si="58"/>
        <v>3.3501632298327029</v>
      </c>
      <c r="CJ309" s="2">
        <f t="shared" si="59"/>
        <v>7850</v>
      </c>
      <c r="CK309" s="48"/>
      <c r="CZ309" s="2" t="s">
        <v>717</v>
      </c>
      <c r="DA309" s="43">
        <v>2.1861008099453585</v>
      </c>
      <c r="DB309" s="19">
        <v>60</v>
      </c>
      <c r="DC309" s="19">
        <v>1.5</v>
      </c>
      <c r="DD309" s="21">
        <v>188.49555921538757</v>
      </c>
      <c r="DE309" s="44">
        <f t="shared" si="60"/>
        <v>2.1861008099453585</v>
      </c>
      <c r="DF309" s="19">
        <f t="shared" si="61"/>
        <v>7930</v>
      </c>
    </row>
    <row r="310" spans="79:110" x14ac:dyDescent="0.25">
      <c r="CA310" s="2" t="str">
        <f t="shared" si="54"/>
        <v>Hộp-40x100x1.7</v>
      </c>
      <c r="CB310" s="19">
        <v>3.6333333333333333</v>
      </c>
      <c r="CC310" s="19">
        <v>40</v>
      </c>
      <c r="CD310" s="19">
        <v>100</v>
      </c>
      <c r="CE310" s="20" t="s">
        <v>71</v>
      </c>
      <c r="CF310" s="5">
        <f t="shared" si="55"/>
        <v>280</v>
      </c>
      <c r="CG310" s="5">
        <f t="shared" si="56"/>
        <v>5.0999999999999996</v>
      </c>
      <c r="CH310" s="5">
        <f t="shared" si="57"/>
        <v>3.4</v>
      </c>
      <c r="CI310" s="5">
        <f t="shared" si="58"/>
        <v>3.5484827086783239</v>
      </c>
      <c r="CJ310" s="2">
        <f t="shared" si="59"/>
        <v>7850</v>
      </c>
      <c r="CK310" s="48"/>
      <c r="CZ310" s="2" t="s">
        <v>718</v>
      </c>
      <c r="DA310" s="43">
        <v>2.4691105558254662</v>
      </c>
      <c r="DB310" s="19">
        <v>60</v>
      </c>
      <c r="DC310" s="19">
        <v>1.7</v>
      </c>
      <c r="DD310" s="21">
        <v>188.49555921538757</v>
      </c>
      <c r="DE310" s="44">
        <f t="shared" si="60"/>
        <v>2.4691105558254662</v>
      </c>
      <c r="DF310" s="19">
        <f t="shared" si="61"/>
        <v>7930</v>
      </c>
    </row>
    <row r="311" spans="79:110" x14ac:dyDescent="0.25">
      <c r="CA311" s="2" t="str">
        <f t="shared" si="54"/>
        <v>Hộp-40x100x1.8</v>
      </c>
      <c r="CB311" s="19">
        <v>3.8333333333333335</v>
      </c>
      <c r="CC311" s="19">
        <v>40</v>
      </c>
      <c r="CD311" s="19">
        <v>100</v>
      </c>
      <c r="CE311" s="20" t="s">
        <v>72</v>
      </c>
      <c r="CF311" s="5">
        <f t="shared" si="55"/>
        <v>280</v>
      </c>
      <c r="CG311" s="5">
        <f t="shared" si="56"/>
        <v>5.4</v>
      </c>
      <c r="CH311" s="5">
        <f t="shared" si="57"/>
        <v>3.6</v>
      </c>
      <c r="CI311" s="5">
        <f t="shared" si="58"/>
        <v>3.7455003377570142</v>
      </c>
      <c r="CJ311" s="2">
        <f t="shared" si="59"/>
        <v>7850</v>
      </c>
      <c r="CK311" s="48"/>
      <c r="CZ311" s="2" t="s">
        <v>719</v>
      </c>
      <c r="DA311" s="43">
        <v>2.6098680438732287</v>
      </c>
      <c r="DB311" s="19">
        <v>60</v>
      </c>
      <c r="DC311" s="19">
        <v>1.8</v>
      </c>
      <c r="DD311" s="21">
        <v>188.49555921538757</v>
      </c>
      <c r="DE311" s="44">
        <f t="shared" si="60"/>
        <v>2.6098680438732287</v>
      </c>
      <c r="DF311" s="19">
        <f t="shared" si="61"/>
        <v>7930</v>
      </c>
    </row>
    <row r="312" spans="79:110" x14ac:dyDescent="0.25">
      <c r="CA312" s="2" t="str">
        <f t="shared" si="54"/>
        <v>Hộp-40x100x1.9</v>
      </c>
      <c r="CB312" s="19">
        <v>4.0333333333333332</v>
      </c>
      <c r="CC312" s="19">
        <v>40</v>
      </c>
      <c r="CD312" s="19">
        <v>100</v>
      </c>
      <c r="CE312" s="20" t="s">
        <v>73</v>
      </c>
      <c r="CF312" s="5">
        <f t="shared" si="55"/>
        <v>280</v>
      </c>
      <c r="CG312" s="5">
        <f t="shared" si="56"/>
        <v>5.6999999999999993</v>
      </c>
      <c r="CH312" s="5">
        <f t="shared" si="57"/>
        <v>3.8</v>
      </c>
      <c r="CI312" s="5">
        <f t="shared" si="58"/>
        <v>3.9412161170687714</v>
      </c>
      <c r="CJ312" s="2">
        <f t="shared" si="59"/>
        <v>7850</v>
      </c>
      <c r="CK312" s="48"/>
      <c r="CZ312" s="2" t="s">
        <v>720</v>
      </c>
      <c r="DA312" s="43">
        <v>2.8898882501841801</v>
      </c>
      <c r="DB312" s="19">
        <v>60</v>
      </c>
      <c r="DC312" s="19">
        <v>2</v>
      </c>
      <c r="DD312" s="21">
        <v>188.49555921538757</v>
      </c>
      <c r="DE312" s="44">
        <f t="shared" si="60"/>
        <v>2.8898882501841801</v>
      </c>
      <c r="DF312" s="19">
        <f t="shared" si="61"/>
        <v>7930</v>
      </c>
    </row>
    <row r="313" spans="79:110" x14ac:dyDescent="0.25">
      <c r="CA313" s="2" t="str">
        <f t="shared" si="54"/>
        <v>Hộp-40x100x2</v>
      </c>
      <c r="CB313" s="19">
        <v>4.25</v>
      </c>
      <c r="CC313" s="19">
        <v>40</v>
      </c>
      <c r="CD313" s="19">
        <v>100</v>
      </c>
      <c r="CE313" s="20" t="s">
        <v>74</v>
      </c>
      <c r="CF313" s="5">
        <f t="shared" si="55"/>
        <v>280</v>
      </c>
      <c r="CG313" s="5">
        <f t="shared" si="56"/>
        <v>6</v>
      </c>
      <c r="CH313" s="5">
        <f t="shared" si="57"/>
        <v>4</v>
      </c>
      <c r="CI313" s="5">
        <f t="shared" si="58"/>
        <v>4.1356300466135973</v>
      </c>
      <c r="CJ313" s="2">
        <f t="shared" si="59"/>
        <v>7850</v>
      </c>
      <c r="CK313" s="48"/>
      <c r="CZ313" s="2" t="s">
        <v>721</v>
      </c>
      <c r="DA313" s="43">
        <v>3.3061816351891586</v>
      </c>
      <c r="DB313" s="19">
        <v>60</v>
      </c>
      <c r="DC313" s="19">
        <v>2.2999999999999998</v>
      </c>
      <c r="DD313" s="21">
        <v>188.49555921538757</v>
      </c>
      <c r="DE313" s="44">
        <f t="shared" si="60"/>
        <v>3.3061816351891586</v>
      </c>
      <c r="DF313" s="19">
        <f t="shared" si="61"/>
        <v>7930</v>
      </c>
    </row>
    <row r="314" spans="79:110" x14ac:dyDescent="0.25">
      <c r="CA314" s="2" t="str">
        <f t="shared" si="54"/>
        <v>Hộp-40x100x2.1</v>
      </c>
      <c r="CB314" s="19">
        <v>4.45</v>
      </c>
      <c r="CC314" s="19">
        <v>40</v>
      </c>
      <c r="CD314" s="19">
        <v>100</v>
      </c>
      <c r="CE314" s="20" t="s">
        <v>75</v>
      </c>
      <c r="CF314" s="5">
        <f t="shared" si="55"/>
        <v>280</v>
      </c>
      <c r="CG314" s="5">
        <f t="shared" si="56"/>
        <v>6.3000000000000007</v>
      </c>
      <c r="CH314" s="5">
        <f t="shared" si="57"/>
        <v>4.2</v>
      </c>
      <c r="CI314" s="5">
        <f t="shared" si="58"/>
        <v>4.328742126391492</v>
      </c>
      <c r="CJ314" s="2">
        <f t="shared" si="59"/>
        <v>7850</v>
      </c>
      <c r="CK314" s="48"/>
      <c r="CZ314" s="2" t="s">
        <v>722</v>
      </c>
      <c r="DA314" s="43">
        <v>3.5812192755515126</v>
      </c>
      <c r="DB314" s="19">
        <v>60</v>
      </c>
      <c r="DC314" s="19">
        <v>2.5</v>
      </c>
      <c r="DD314" s="21">
        <v>188.49555921538757</v>
      </c>
      <c r="DE314" s="44">
        <f t="shared" si="60"/>
        <v>3.5812192755515126</v>
      </c>
      <c r="DF314" s="19">
        <f t="shared" si="61"/>
        <v>7930</v>
      </c>
    </row>
    <row r="315" spans="79:110" x14ac:dyDescent="0.25">
      <c r="CA315" s="2" t="str">
        <f t="shared" si="54"/>
        <v>Hộp-40x100x2.2</v>
      </c>
      <c r="CB315" s="19">
        <v>4.6499999999999995</v>
      </c>
      <c r="CC315" s="19">
        <v>40</v>
      </c>
      <c r="CD315" s="19">
        <v>100</v>
      </c>
      <c r="CE315" s="20" t="s">
        <v>76</v>
      </c>
      <c r="CF315" s="5">
        <f t="shared" si="55"/>
        <v>280</v>
      </c>
      <c r="CG315" s="5">
        <f t="shared" si="56"/>
        <v>6.6000000000000005</v>
      </c>
      <c r="CH315" s="5">
        <f t="shared" si="57"/>
        <v>4.4000000000000004</v>
      </c>
      <c r="CI315" s="5">
        <f t="shared" si="58"/>
        <v>4.5205523564024528</v>
      </c>
      <c r="CJ315" s="2">
        <f t="shared" si="59"/>
        <v>7850</v>
      </c>
      <c r="CK315" s="48"/>
      <c r="CZ315" s="2" t="s">
        <v>723</v>
      </c>
      <c r="DA315" s="43">
        <v>3.9900388116336072</v>
      </c>
      <c r="DB315" s="19">
        <v>60</v>
      </c>
      <c r="DC315" s="19">
        <v>2.8</v>
      </c>
      <c r="DD315" s="21">
        <v>188.49555921538757</v>
      </c>
      <c r="DE315" s="44">
        <f t="shared" si="60"/>
        <v>3.9900388116336072</v>
      </c>
      <c r="DF315" s="19">
        <f t="shared" si="61"/>
        <v>7930</v>
      </c>
    </row>
    <row r="316" spans="79:110" x14ac:dyDescent="0.25">
      <c r="CA316" s="2" t="str">
        <f t="shared" si="54"/>
        <v>Hộp-40x100x2.3</v>
      </c>
      <c r="CB316" s="19">
        <v>4.8500000000000005</v>
      </c>
      <c r="CC316" s="19">
        <v>40</v>
      </c>
      <c r="CD316" s="19">
        <v>100</v>
      </c>
      <c r="CE316" s="20" t="s">
        <v>77</v>
      </c>
      <c r="CF316" s="5">
        <f t="shared" si="55"/>
        <v>280</v>
      </c>
      <c r="CG316" s="5">
        <f t="shared" si="56"/>
        <v>6.8999999999999995</v>
      </c>
      <c r="CH316" s="5">
        <f t="shared" si="57"/>
        <v>4.5999999999999996</v>
      </c>
      <c r="CI316" s="5">
        <f t="shared" si="58"/>
        <v>4.7110607366464841</v>
      </c>
      <c r="CJ316" s="2">
        <f t="shared" si="59"/>
        <v>7850</v>
      </c>
      <c r="CK316" s="48"/>
      <c r="CZ316" s="2" t="s">
        <v>724</v>
      </c>
      <c r="DA316" s="43">
        <v>4.2600938860473683</v>
      </c>
      <c r="DB316" s="19">
        <v>60</v>
      </c>
      <c r="DC316" s="19">
        <v>3</v>
      </c>
      <c r="DD316" s="21">
        <v>188.49555921538757</v>
      </c>
      <c r="DE316" s="44">
        <f t="shared" si="60"/>
        <v>4.2600938860473683</v>
      </c>
      <c r="DF316" s="19">
        <f t="shared" si="61"/>
        <v>7930</v>
      </c>
    </row>
    <row r="317" spans="79:110" x14ac:dyDescent="0.25">
      <c r="CA317" s="2" t="str">
        <f t="shared" si="54"/>
        <v>Hộp-40x100x2.4</v>
      </c>
      <c r="CB317" s="19">
        <v>5.0666666666666664</v>
      </c>
      <c r="CC317" s="19">
        <v>40</v>
      </c>
      <c r="CD317" s="19">
        <v>100</v>
      </c>
      <c r="CE317" s="20" t="s">
        <v>78</v>
      </c>
      <c r="CF317" s="5">
        <f t="shared" si="55"/>
        <v>280</v>
      </c>
      <c r="CG317" s="5">
        <f t="shared" si="56"/>
        <v>7.1999999999999993</v>
      </c>
      <c r="CH317" s="5">
        <f t="shared" si="57"/>
        <v>4.8</v>
      </c>
      <c r="CI317" s="5">
        <f t="shared" si="58"/>
        <v>4.9002672671235796</v>
      </c>
      <c r="CJ317" s="2">
        <f t="shared" si="59"/>
        <v>7850</v>
      </c>
      <c r="CK317" s="48"/>
      <c r="CZ317" s="2" t="s">
        <v>725</v>
      </c>
      <c r="DA317" s="43">
        <v>2.0525680425230584</v>
      </c>
      <c r="DB317" s="19">
        <v>76</v>
      </c>
      <c r="DC317" s="19">
        <v>1.1000000000000001</v>
      </c>
      <c r="DD317" s="21">
        <v>238.76104167282426</v>
      </c>
      <c r="DE317" s="44">
        <f t="shared" si="60"/>
        <v>2.0525680425230584</v>
      </c>
      <c r="DF317" s="19">
        <f t="shared" si="61"/>
        <v>7930</v>
      </c>
    </row>
    <row r="318" spans="79:110" x14ac:dyDescent="0.25">
      <c r="CA318" s="2" t="str">
        <f t="shared" si="54"/>
        <v>Hộp-40x100x2.5</v>
      </c>
      <c r="CB318" s="19">
        <v>5.2666666666666666</v>
      </c>
      <c r="CC318" s="19">
        <v>40</v>
      </c>
      <c r="CD318" s="19">
        <v>100</v>
      </c>
      <c r="CE318" s="20" t="s">
        <v>79</v>
      </c>
      <c r="CF318" s="5">
        <f t="shared" si="55"/>
        <v>280</v>
      </c>
      <c r="CG318" s="5">
        <f t="shared" si="56"/>
        <v>7.5</v>
      </c>
      <c r="CH318" s="5">
        <f t="shared" si="57"/>
        <v>5</v>
      </c>
      <c r="CI318" s="5">
        <f t="shared" si="58"/>
        <v>5.0881719478337457</v>
      </c>
      <c r="CJ318" s="2">
        <f t="shared" si="59"/>
        <v>7850</v>
      </c>
      <c r="CK318" s="48"/>
      <c r="CZ318" s="2" t="s">
        <v>726</v>
      </c>
      <c r="DA318" s="43">
        <v>2.2361755977287272</v>
      </c>
      <c r="DB318" s="19">
        <v>76</v>
      </c>
      <c r="DC318" s="19">
        <v>1.2</v>
      </c>
      <c r="DD318" s="21">
        <v>238.76104167282426</v>
      </c>
      <c r="DE318" s="44">
        <f t="shared" si="60"/>
        <v>2.2361755977287272</v>
      </c>
      <c r="DF318" s="19">
        <f t="shared" si="61"/>
        <v>7930</v>
      </c>
    </row>
    <row r="319" spans="79:110" x14ac:dyDescent="0.25">
      <c r="CA319" s="2" t="str">
        <f t="shared" si="54"/>
        <v>Hộp-40x100x2.7</v>
      </c>
      <c r="CB319" s="19">
        <v>5.666666666666667</v>
      </c>
      <c r="CC319" s="19">
        <v>40</v>
      </c>
      <c r="CD319" s="19">
        <v>100</v>
      </c>
      <c r="CE319" s="20" t="s">
        <v>80</v>
      </c>
      <c r="CF319" s="5">
        <f t="shared" si="55"/>
        <v>280</v>
      </c>
      <c r="CG319" s="5">
        <f t="shared" si="56"/>
        <v>8.1000000000000014</v>
      </c>
      <c r="CH319" s="5">
        <f t="shared" si="57"/>
        <v>5.4</v>
      </c>
      <c r="CI319" s="5">
        <f t="shared" si="58"/>
        <v>5.4600757599532814</v>
      </c>
      <c r="CJ319" s="2">
        <f t="shared" si="59"/>
        <v>7850</v>
      </c>
      <c r="CK319" s="48"/>
      <c r="CZ319" s="2" t="s">
        <v>727</v>
      </c>
      <c r="DA319" s="43">
        <v>2.6018959383554754</v>
      </c>
      <c r="DB319" s="19">
        <v>76</v>
      </c>
      <c r="DC319" s="19">
        <v>1.4</v>
      </c>
      <c r="DD319" s="21">
        <v>238.76104167282426</v>
      </c>
      <c r="DE319" s="44">
        <f t="shared" si="60"/>
        <v>2.6018959383554758</v>
      </c>
      <c r="DF319" s="19">
        <f t="shared" si="61"/>
        <v>7930</v>
      </c>
    </row>
    <row r="320" spans="79:110" x14ac:dyDescent="0.25">
      <c r="CA320" s="2" t="str">
        <f t="shared" si="54"/>
        <v>Hộp-40x100x2.8</v>
      </c>
      <c r="CB320" s="19">
        <v>5.8666666666666671</v>
      </c>
      <c r="CC320" s="19">
        <v>40</v>
      </c>
      <c r="CD320" s="19">
        <v>100</v>
      </c>
      <c r="CE320" s="20" t="s">
        <v>81</v>
      </c>
      <c r="CF320" s="5">
        <f t="shared" si="55"/>
        <v>280</v>
      </c>
      <c r="CG320" s="5">
        <f t="shared" si="56"/>
        <v>8.3999999999999986</v>
      </c>
      <c r="CH320" s="5">
        <f t="shared" si="57"/>
        <v>5.6</v>
      </c>
      <c r="CI320" s="5">
        <f t="shared" si="58"/>
        <v>5.6440748913626519</v>
      </c>
      <c r="CJ320" s="2">
        <f t="shared" si="59"/>
        <v>7850</v>
      </c>
      <c r="CK320" s="48"/>
      <c r="CZ320" s="2" t="s">
        <v>728</v>
      </c>
      <c r="DA320" s="43">
        <v>2.7840087237765623</v>
      </c>
      <c r="DB320" s="19">
        <v>76</v>
      </c>
      <c r="DC320" s="19">
        <v>1.5</v>
      </c>
      <c r="DD320" s="21">
        <v>238.76104167282426</v>
      </c>
      <c r="DE320" s="44">
        <f t="shared" si="60"/>
        <v>2.7840087237765623</v>
      </c>
      <c r="DF320" s="19">
        <f t="shared" si="61"/>
        <v>7930</v>
      </c>
    </row>
    <row r="321" spans="79:110" x14ac:dyDescent="0.25">
      <c r="CA321" s="2" t="str">
        <f t="shared" si="54"/>
        <v>Hộp-40x100x2.9</v>
      </c>
      <c r="CB321" s="19">
        <v>6.05</v>
      </c>
      <c r="CC321" s="19">
        <v>40</v>
      </c>
      <c r="CD321" s="19">
        <v>100</v>
      </c>
      <c r="CE321" s="20" t="s">
        <v>82</v>
      </c>
      <c r="CF321" s="5">
        <f t="shared" si="55"/>
        <v>280</v>
      </c>
      <c r="CG321" s="5">
        <f t="shared" si="56"/>
        <v>8.6999999999999993</v>
      </c>
      <c r="CH321" s="5">
        <f t="shared" si="57"/>
        <v>5.8</v>
      </c>
      <c r="CI321" s="5">
        <f t="shared" si="58"/>
        <v>5.8267721730050885</v>
      </c>
      <c r="CJ321" s="2">
        <f t="shared" si="59"/>
        <v>7850</v>
      </c>
      <c r="CK321" s="48"/>
      <c r="CZ321" s="2" t="s">
        <v>729</v>
      </c>
      <c r="DA321" s="43">
        <v>3.1467395248341683</v>
      </c>
      <c r="DB321" s="19">
        <v>76</v>
      </c>
      <c r="DC321" s="19">
        <v>1.7</v>
      </c>
      <c r="DD321" s="21">
        <v>238.76104167282426</v>
      </c>
      <c r="DE321" s="44">
        <f t="shared" si="60"/>
        <v>3.1467395248341683</v>
      </c>
      <c r="DF321" s="19">
        <f t="shared" si="61"/>
        <v>7930</v>
      </c>
    </row>
    <row r="322" spans="79:110" x14ac:dyDescent="0.25">
      <c r="CA322" s="2" t="str">
        <f t="shared" si="54"/>
        <v>Hộp-40x100x3</v>
      </c>
      <c r="CB322" s="19">
        <v>6.25</v>
      </c>
      <c r="CC322" s="19">
        <v>40</v>
      </c>
      <c r="CD322" s="19">
        <v>100</v>
      </c>
      <c r="CE322" s="20" t="s">
        <v>83</v>
      </c>
      <c r="CF322" s="5">
        <f t="shared" si="55"/>
        <v>280</v>
      </c>
      <c r="CG322" s="5">
        <f t="shared" si="56"/>
        <v>9</v>
      </c>
      <c r="CH322" s="5">
        <f t="shared" si="57"/>
        <v>6</v>
      </c>
      <c r="CI322" s="5">
        <f t="shared" si="58"/>
        <v>6.0081676048805939</v>
      </c>
      <c r="CJ322" s="2">
        <f t="shared" si="59"/>
        <v>7850</v>
      </c>
      <c r="CK322" s="48"/>
      <c r="CZ322" s="2" t="s">
        <v>730</v>
      </c>
      <c r="DA322" s="43">
        <v>3.3273575404706732</v>
      </c>
      <c r="DB322" s="19">
        <v>76</v>
      </c>
      <c r="DC322" s="19">
        <v>1.8</v>
      </c>
      <c r="DD322" s="21">
        <v>238.76104167282426</v>
      </c>
      <c r="DE322" s="44">
        <f t="shared" si="60"/>
        <v>3.3273575404706737</v>
      </c>
      <c r="DF322" s="19">
        <f t="shared" si="61"/>
        <v>7930</v>
      </c>
    </row>
    <row r="323" spans="79:110" x14ac:dyDescent="0.25">
      <c r="CA323" s="2" t="str">
        <f t="shared" si="54"/>
        <v>Hộp-40x100x3.1</v>
      </c>
      <c r="CB323" s="19">
        <v>6.45</v>
      </c>
      <c r="CC323" s="19">
        <v>40</v>
      </c>
      <c r="CD323" s="19">
        <v>100</v>
      </c>
      <c r="CE323" s="20" t="s">
        <v>84</v>
      </c>
      <c r="CF323" s="5">
        <f t="shared" si="55"/>
        <v>280</v>
      </c>
      <c r="CG323" s="5">
        <f t="shared" si="56"/>
        <v>9.3000000000000007</v>
      </c>
      <c r="CH323" s="5">
        <f t="shared" si="57"/>
        <v>6.2</v>
      </c>
      <c r="CI323" s="5">
        <f t="shared" si="58"/>
        <v>6.1882611869891679</v>
      </c>
      <c r="CJ323" s="2">
        <f t="shared" si="59"/>
        <v>7850</v>
      </c>
      <c r="CK323" s="48"/>
      <c r="CZ323" s="2" t="s">
        <v>731</v>
      </c>
      <c r="DA323" s="43">
        <v>3.6870988019591229</v>
      </c>
      <c r="DB323" s="19">
        <v>76</v>
      </c>
      <c r="DC323" s="19">
        <v>2</v>
      </c>
      <c r="DD323" s="21">
        <v>238.76104167282426</v>
      </c>
      <c r="DE323" s="44">
        <f t="shared" si="60"/>
        <v>3.6870988019591229</v>
      </c>
      <c r="DF323" s="19">
        <f t="shared" si="61"/>
        <v>7930</v>
      </c>
    </row>
    <row r="324" spans="79:110" x14ac:dyDescent="0.25">
      <c r="CA324" s="2" t="str">
        <f t="shared" ref="CA324:CA387" si="62">$CA$2&amp;"-"&amp;IF(CC324=CD324,CD324&amp;"x"&amp;CE324,CC324&amp;"x"&amp;CD324&amp;"x"&amp;CE324)</f>
        <v>Hộp-40x100x3.2</v>
      </c>
      <c r="CB324" s="19">
        <v>6.6499999999999995</v>
      </c>
      <c r="CC324" s="19">
        <v>40</v>
      </c>
      <c r="CD324" s="19">
        <v>100</v>
      </c>
      <c r="CE324" s="20" t="s">
        <v>85</v>
      </c>
      <c r="CF324" s="5">
        <f t="shared" ref="CF324:CF387" si="63">2*(CC324+CD324)</f>
        <v>280</v>
      </c>
      <c r="CG324" s="5">
        <f t="shared" ref="CG324:CG387" si="64">IF(CE324&lt;=6,2,IF(CE324&lt;=10,2.5,3))*CE324</f>
        <v>9.6000000000000014</v>
      </c>
      <c r="CH324" s="5">
        <f t="shared" ref="CH324:CH387" si="65">IF(CE324&lt;=6,1,IF(CE324&lt;=10,1.5,2))*CE324</f>
        <v>6.4</v>
      </c>
      <c r="CI324" s="5">
        <f t="shared" ref="CI324:CI387" si="66">(2*CE324*(CC324+CD324-2*CE324)-(4-PI())*(CG324^2-CH324^2))/1000000*CJ324</f>
        <v>6.3670529193308099</v>
      </c>
      <c r="CJ324" s="2">
        <f t="shared" ref="CJ324:CJ387" si="67">IF(LEFT(CA324,4)="Inox",7930,7850)</f>
        <v>7850</v>
      </c>
      <c r="CK324" s="48"/>
      <c r="CZ324" s="2" t="s">
        <v>732</v>
      </c>
      <c r="DA324" s="43">
        <v>4.2229737697303396</v>
      </c>
      <c r="DB324" s="19">
        <v>76</v>
      </c>
      <c r="DC324" s="19">
        <v>2.2999999999999998</v>
      </c>
      <c r="DD324" s="21">
        <v>238.76104167282426</v>
      </c>
      <c r="DE324" s="44">
        <f t="shared" ref="DE324:DE354" si="68">(PI()*DB324^2/4-PI()*(DB324-2*DC324)^2/4)/1000000*DF324</f>
        <v>4.2229737697303396</v>
      </c>
      <c r="DF324" s="19">
        <f t="shared" ref="DF324:DF354" si="69">IF(LEFT(CZ324,4)="Inox",7930,7850)</f>
        <v>7930</v>
      </c>
    </row>
    <row r="325" spans="79:110" x14ac:dyDescent="0.25">
      <c r="CA325" s="2" t="str">
        <f t="shared" si="62"/>
        <v>Hộp-40x100x3.4</v>
      </c>
      <c r="CB325" s="19">
        <v>7.0333333333333341</v>
      </c>
      <c r="CC325" s="19">
        <v>40</v>
      </c>
      <c r="CD325" s="19">
        <v>100</v>
      </c>
      <c r="CE325" s="20" t="s">
        <v>87</v>
      </c>
      <c r="CF325" s="5">
        <f t="shared" si="63"/>
        <v>280</v>
      </c>
      <c r="CG325" s="5">
        <f t="shared" si="64"/>
        <v>10.199999999999999</v>
      </c>
      <c r="CH325" s="5">
        <f t="shared" si="65"/>
        <v>6.8</v>
      </c>
      <c r="CI325" s="5">
        <f t="shared" si="66"/>
        <v>6.7207308347132964</v>
      </c>
      <c r="CJ325" s="2">
        <f t="shared" si="67"/>
        <v>7850</v>
      </c>
      <c r="CK325" s="48"/>
      <c r="CZ325" s="2" t="s">
        <v>733</v>
      </c>
      <c r="DA325" s="43">
        <v>4.577732465270195</v>
      </c>
      <c r="DB325" s="19">
        <v>76</v>
      </c>
      <c r="DC325" s="19">
        <v>2.5</v>
      </c>
      <c r="DD325" s="21">
        <v>238.76104167282426</v>
      </c>
      <c r="DE325" s="44">
        <f t="shared" si="68"/>
        <v>4.577732465270195</v>
      </c>
      <c r="DF325" s="19">
        <f t="shared" si="69"/>
        <v>7930</v>
      </c>
    </row>
    <row r="326" spans="79:110" x14ac:dyDescent="0.25">
      <c r="CA326" s="2" t="str">
        <f t="shared" si="62"/>
        <v>Hộp-40x100x3.5</v>
      </c>
      <c r="CB326" s="19">
        <v>7.2333333333333334</v>
      </c>
      <c r="CC326" s="19">
        <v>40</v>
      </c>
      <c r="CD326" s="19">
        <v>100</v>
      </c>
      <c r="CE326" s="20" t="s">
        <v>88</v>
      </c>
      <c r="CF326" s="5">
        <f t="shared" si="63"/>
        <v>280</v>
      </c>
      <c r="CG326" s="5">
        <f t="shared" si="64"/>
        <v>10.5</v>
      </c>
      <c r="CH326" s="5">
        <f t="shared" si="65"/>
        <v>7</v>
      </c>
      <c r="CI326" s="5">
        <f t="shared" si="66"/>
        <v>6.8956170177541418</v>
      </c>
      <c r="CJ326" s="2">
        <f t="shared" si="67"/>
        <v>7850</v>
      </c>
      <c r="CK326" s="48"/>
      <c r="CZ326" s="2" t="s">
        <v>734</v>
      </c>
      <c r="DA326" s="43">
        <v>5.1061335841185196</v>
      </c>
      <c r="DB326" s="19">
        <v>76</v>
      </c>
      <c r="DC326" s="19">
        <v>2.8</v>
      </c>
      <c r="DD326" s="21">
        <v>238.76104167282426</v>
      </c>
      <c r="DE326" s="44">
        <f t="shared" si="68"/>
        <v>5.1061335841185196</v>
      </c>
      <c r="DF326" s="19">
        <f t="shared" si="69"/>
        <v>7930</v>
      </c>
    </row>
    <row r="327" spans="79:110" x14ac:dyDescent="0.25">
      <c r="CA327" s="2" t="str">
        <f t="shared" si="62"/>
        <v>Hộp-40x100x3.7</v>
      </c>
      <c r="CB327" s="19">
        <v>7.6166666666666671</v>
      </c>
      <c r="CC327" s="19">
        <v>40</v>
      </c>
      <c r="CD327" s="19">
        <v>100</v>
      </c>
      <c r="CE327" s="20" t="s">
        <v>89</v>
      </c>
      <c r="CF327" s="5">
        <f t="shared" si="63"/>
        <v>280</v>
      </c>
      <c r="CG327" s="5">
        <f t="shared" si="64"/>
        <v>11.100000000000001</v>
      </c>
      <c r="CH327" s="5">
        <f t="shared" si="65"/>
        <v>7.4</v>
      </c>
      <c r="CI327" s="5">
        <f t="shared" si="66"/>
        <v>7.2414838345350372</v>
      </c>
      <c r="CJ327" s="2">
        <f t="shared" si="67"/>
        <v>7850</v>
      </c>
      <c r="CK327" s="48"/>
      <c r="CZ327" s="2" t="s">
        <v>735</v>
      </c>
      <c r="DA327" s="43">
        <v>5.4559097137097821</v>
      </c>
      <c r="DB327" s="19">
        <v>76</v>
      </c>
      <c r="DC327" s="19">
        <v>3</v>
      </c>
      <c r="DD327" s="21">
        <v>238.76104167282426</v>
      </c>
      <c r="DE327" s="44">
        <f t="shared" si="68"/>
        <v>5.4559097137097829</v>
      </c>
      <c r="DF327" s="19">
        <f t="shared" si="69"/>
        <v>7930</v>
      </c>
    </row>
    <row r="328" spans="79:110" x14ac:dyDescent="0.25">
      <c r="CA328" s="2" t="str">
        <f t="shared" si="62"/>
        <v>Hộp-40x100x3.8</v>
      </c>
      <c r="CB328" s="19">
        <v>7.8166666666666664</v>
      </c>
      <c r="CC328" s="19">
        <v>40</v>
      </c>
      <c r="CD328" s="19">
        <v>100</v>
      </c>
      <c r="CE328" s="20" t="s">
        <v>90</v>
      </c>
      <c r="CF328" s="5">
        <f t="shared" si="63"/>
        <v>280</v>
      </c>
      <c r="CG328" s="5">
        <f t="shared" si="64"/>
        <v>11.399999999999999</v>
      </c>
      <c r="CH328" s="5">
        <f t="shared" si="65"/>
        <v>7.6</v>
      </c>
      <c r="CI328" s="5">
        <f t="shared" si="66"/>
        <v>7.412464468275088</v>
      </c>
      <c r="CJ328" s="2">
        <f t="shared" si="67"/>
        <v>7850</v>
      </c>
      <c r="CK328" s="48"/>
      <c r="CZ328" s="2" t="s">
        <v>736</v>
      </c>
      <c r="DA328" s="43">
        <v>2.6547111374105712</v>
      </c>
      <c r="DB328" s="19">
        <v>90</v>
      </c>
      <c r="DC328" s="19">
        <v>1.2</v>
      </c>
      <c r="DD328" s="21">
        <v>282.74333882308139</v>
      </c>
      <c r="DE328" s="44">
        <f t="shared" si="68"/>
        <v>2.6547111374105712</v>
      </c>
      <c r="DF328" s="19">
        <f t="shared" si="69"/>
        <v>7930</v>
      </c>
    </row>
    <row r="329" spans="79:110" x14ac:dyDescent="0.25">
      <c r="CA329" s="2" t="str">
        <f t="shared" si="62"/>
        <v>Hộp-40x100x3.9</v>
      </c>
      <c r="CB329" s="19">
        <v>8</v>
      </c>
      <c r="CC329" s="19">
        <v>40</v>
      </c>
      <c r="CD329" s="19">
        <v>100</v>
      </c>
      <c r="CE329" s="20" t="s">
        <v>91</v>
      </c>
      <c r="CF329" s="5">
        <f t="shared" si="63"/>
        <v>280</v>
      </c>
      <c r="CG329" s="5">
        <f t="shared" si="64"/>
        <v>11.7</v>
      </c>
      <c r="CH329" s="5">
        <f t="shared" si="65"/>
        <v>7.8</v>
      </c>
      <c r="CI329" s="5">
        <f t="shared" si="66"/>
        <v>7.582143252248204</v>
      </c>
      <c r="CJ329" s="2">
        <f t="shared" si="67"/>
        <v>7850</v>
      </c>
      <c r="CK329" s="48"/>
      <c r="CZ329" s="2" t="s">
        <v>737</v>
      </c>
      <c r="DA329" s="43">
        <v>3.0901874013176323</v>
      </c>
      <c r="DB329" s="19">
        <v>90</v>
      </c>
      <c r="DC329" s="19">
        <v>1.4</v>
      </c>
      <c r="DD329" s="21">
        <v>282.74333882308139</v>
      </c>
      <c r="DE329" s="44">
        <f t="shared" si="68"/>
        <v>3.0901874013176323</v>
      </c>
      <c r="DF329" s="19">
        <f t="shared" si="69"/>
        <v>7930</v>
      </c>
    </row>
    <row r="330" spans="79:110" x14ac:dyDescent="0.25">
      <c r="CA330" s="2" t="str">
        <f t="shared" si="62"/>
        <v>Hộp-40x100x4</v>
      </c>
      <c r="CB330" s="19">
        <v>8.1833333333333336</v>
      </c>
      <c r="CC330" s="19">
        <v>40</v>
      </c>
      <c r="CD330" s="19">
        <v>100</v>
      </c>
      <c r="CE330" s="20" t="s">
        <v>25</v>
      </c>
      <c r="CF330" s="5">
        <f t="shared" si="63"/>
        <v>280</v>
      </c>
      <c r="CG330" s="5">
        <f t="shared" si="64"/>
        <v>12</v>
      </c>
      <c r="CH330" s="5">
        <f t="shared" si="65"/>
        <v>8</v>
      </c>
      <c r="CI330" s="5">
        <f t="shared" si="66"/>
        <v>7.7505201864543896</v>
      </c>
      <c r="CJ330" s="2">
        <f t="shared" si="67"/>
        <v>7850</v>
      </c>
      <c r="CK330" s="48"/>
      <c r="CZ330" s="2" t="s">
        <v>738</v>
      </c>
      <c r="DA330" s="43">
        <v>3.3071781483788749</v>
      </c>
      <c r="DB330" s="19">
        <v>90</v>
      </c>
      <c r="DC330" s="19">
        <v>1.5</v>
      </c>
      <c r="DD330" s="21">
        <v>282.74333882308139</v>
      </c>
      <c r="DE330" s="44">
        <f t="shared" si="68"/>
        <v>3.3071781483788754</v>
      </c>
      <c r="DF330" s="19">
        <f t="shared" si="69"/>
        <v>7930</v>
      </c>
    </row>
    <row r="331" spans="79:110" x14ac:dyDescent="0.25">
      <c r="CA331" s="2" t="str">
        <f t="shared" si="62"/>
        <v>Hộp-50x100x1.4</v>
      </c>
      <c r="CB331" s="19">
        <v>3.2166666666666668</v>
      </c>
      <c r="CC331" s="19">
        <v>50</v>
      </c>
      <c r="CD331" s="19">
        <v>100</v>
      </c>
      <c r="CE331" s="20" t="s">
        <v>68</v>
      </c>
      <c r="CF331" s="5">
        <f t="shared" si="63"/>
        <v>300</v>
      </c>
      <c r="CG331" s="5">
        <f t="shared" si="64"/>
        <v>4.1999999999999993</v>
      </c>
      <c r="CH331" s="5">
        <f t="shared" si="65"/>
        <v>2.8</v>
      </c>
      <c r="CI331" s="5">
        <f t="shared" si="66"/>
        <v>3.1694187228406623</v>
      </c>
      <c r="CJ331" s="2">
        <f t="shared" si="67"/>
        <v>7850</v>
      </c>
      <c r="CK331" s="48"/>
      <c r="CZ331" s="2" t="s">
        <v>739</v>
      </c>
      <c r="DA331" s="43">
        <v>3.7396648727167934</v>
      </c>
      <c r="DB331" s="19">
        <v>90</v>
      </c>
      <c r="DC331" s="19">
        <v>1.7</v>
      </c>
      <c r="DD331" s="21">
        <v>282.74333882308139</v>
      </c>
      <c r="DE331" s="44">
        <f t="shared" si="68"/>
        <v>3.7396648727167934</v>
      </c>
      <c r="DF331" s="19">
        <f t="shared" si="69"/>
        <v>7930</v>
      </c>
    </row>
    <row r="332" spans="79:110" x14ac:dyDescent="0.25">
      <c r="CA332" s="2" t="str">
        <f t="shared" si="62"/>
        <v>Hộp-50x100x1.5</v>
      </c>
      <c r="CB332" s="19">
        <v>3.4499999999999997</v>
      </c>
      <c r="CC332" s="19">
        <v>50</v>
      </c>
      <c r="CD332" s="19">
        <v>100</v>
      </c>
      <c r="CE332" s="20" t="s">
        <v>69</v>
      </c>
      <c r="CF332" s="5">
        <f t="shared" si="63"/>
        <v>300</v>
      </c>
      <c r="CG332" s="5">
        <f t="shared" si="64"/>
        <v>4.5</v>
      </c>
      <c r="CH332" s="5">
        <f t="shared" si="65"/>
        <v>3</v>
      </c>
      <c r="CI332" s="5">
        <f t="shared" si="66"/>
        <v>3.3860419012201488</v>
      </c>
      <c r="CJ332" s="2">
        <f t="shared" si="67"/>
        <v>7850</v>
      </c>
      <c r="CK332" s="48"/>
      <c r="CZ332" s="2" t="s">
        <v>740</v>
      </c>
      <c r="DA332" s="43">
        <v>3.9551608499934403</v>
      </c>
      <c r="DB332" s="19">
        <v>90</v>
      </c>
      <c r="DC332" s="19">
        <v>1.8</v>
      </c>
      <c r="DD332" s="21">
        <v>282.74333882308139</v>
      </c>
      <c r="DE332" s="44">
        <f t="shared" si="68"/>
        <v>3.9551608499934403</v>
      </c>
      <c r="DF332" s="19">
        <f t="shared" si="69"/>
        <v>7930</v>
      </c>
    </row>
    <row r="333" spans="79:110" x14ac:dyDescent="0.25">
      <c r="CA333" s="2" t="str">
        <f t="shared" si="62"/>
        <v>Hộp-50x100x1.6</v>
      </c>
      <c r="CB333" s="19">
        <v>3.6666666666666665</v>
      </c>
      <c r="CC333" s="19">
        <v>50</v>
      </c>
      <c r="CD333" s="19">
        <v>100</v>
      </c>
      <c r="CE333" s="20" t="s">
        <v>70</v>
      </c>
      <c r="CF333" s="5">
        <f t="shared" si="63"/>
        <v>300</v>
      </c>
      <c r="CG333" s="5">
        <f t="shared" si="64"/>
        <v>4.8000000000000007</v>
      </c>
      <c r="CH333" s="5">
        <f t="shared" si="65"/>
        <v>3.2</v>
      </c>
      <c r="CI333" s="5">
        <f t="shared" si="66"/>
        <v>3.6013632298327027</v>
      </c>
      <c r="CJ333" s="2">
        <f t="shared" si="67"/>
        <v>7850</v>
      </c>
      <c r="CK333" s="48"/>
      <c r="CZ333" s="2" t="s">
        <v>741</v>
      </c>
      <c r="DA333" s="43">
        <v>4.384658034762202</v>
      </c>
      <c r="DB333" s="19">
        <v>90</v>
      </c>
      <c r="DC333" s="19">
        <v>2</v>
      </c>
      <c r="DD333" s="21">
        <v>282.74333882308139</v>
      </c>
      <c r="DE333" s="44">
        <f t="shared" si="68"/>
        <v>4.384658034762202</v>
      </c>
      <c r="DF333" s="19">
        <f t="shared" si="69"/>
        <v>7930</v>
      </c>
    </row>
    <row r="334" spans="79:110" x14ac:dyDescent="0.25">
      <c r="CA334" s="2" t="str">
        <f t="shared" si="62"/>
        <v>Hộp-50x100x1.7</v>
      </c>
      <c r="CB334" s="19">
        <v>3.9</v>
      </c>
      <c r="CC334" s="19">
        <v>50</v>
      </c>
      <c r="CD334" s="19">
        <v>100</v>
      </c>
      <c r="CE334" s="20" t="s">
        <v>71</v>
      </c>
      <c r="CF334" s="5">
        <f t="shared" si="63"/>
        <v>300</v>
      </c>
      <c r="CG334" s="5">
        <f t="shared" si="64"/>
        <v>5.0999999999999996</v>
      </c>
      <c r="CH334" s="5">
        <f t="shared" si="65"/>
        <v>3.4</v>
      </c>
      <c r="CI334" s="5">
        <f t="shared" si="66"/>
        <v>3.8153827086783236</v>
      </c>
      <c r="CJ334" s="2">
        <f t="shared" si="67"/>
        <v>7850</v>
      </c>
      <c r="CK334" s="48"/>
      <c r="CZ334" s="2" t="s">
        <v>742</v>
      </c>
      <c r="DA334" s="43">
        <v>5.0251668874538789</v>
      </c>
      <c r="DB334" s="19">
        <v>90</v>
      </c>
      <c r="DC334" s="19">
        <v>2.2999999999999998</v>
      </c>
      <c r="DD334" s="21">
        <v>282.74333882308139</v>
      </c>
      <c r="DE334" s="44">
        <f t="shared" si="68"/>
        <v>5.0251668874538789</v>
      </c>
      <c r="DF334" s="19">
        <f t="shared" si="69"/>
        <v>7930</v>
      </c>
    </row>
    <row r="335" spans="79:110" x14ac:dyDescent="0.25">
      <c r="CA335" s="2" t="str">
        <f t="shared" si="62"/>
        <v>Hộp-50x100x1.8</v>
      </c>
      <c r="CB335" s="19">
        <v>4.1166666666666663</v>
      </c>
      <c r="CC335" s="19">
        <v>50</v>
      </c>
      <c r="CD335" s="19">
        <v>100</v>
      </c>
      <c r="CE335" s="20" t="s">
        <v>72</v>
      </c>
      <c r="CF335" s="5">
        <f t="shared" si="63"/>
        <v>300</v>
      </c>
      <c r="CG335" s="5">
        <f t="shared" si="64"/>
        <v>5.4</v>
      </c>
      <c r="CH335" s="5">
        <f t="shared" si="65"/>
        <v>3.6</v>
      </c>
      <c r="CI335" s="5">
        <f t="shared" si="66"/>
        <v>4.0281003377570137</v>
      </c>
      <c r="CJ335" s="2">
        <f t="shared" si="67"/>
        <v>7850</v>
      </c>
      <c r="CK335" s="48"/>
      <c r="CZ335" s="2" t="s">
        <v>743</v>
      </c>
      <c r="DA335" s="43">
        <v>5.449681506274044</v>
      </c>
      <c r="DB335" s="19">
        <v>90</v>
      </c>
      <c r="DC335" s="19">
        <v>2.5</v>
      </c>
      <c r="DD335" s="21">
        <v>282.74333882308139</v>
      </c>
      <c r="DE335" s="44">
        <f t="shared" si="68"/>
        <v>5.449681506274044</v>
      </c>
      <c r="DF335" s="19">
        <f t="shared" si="69"/>
        <v>7930</v>
      </c>
    </row>
    <row r="336" spans="79:110" x14ac:dyDescent="0.25">
      <c r="CA336" s="2" t="str">
        <f t="shared" si="62"/>
        <v>Hộp-50x100x1.9</v>
      </c>
      <c r="CB336" s="19">
        <v>4.333333333333333</v>
      </c>
      <c r="CC336" s="19">
        <v>50</v>
      </c>
      <c r="CD336" s="19">
        <v>100</v>
      </c>
      <c r="CE336" s="20" t="s">
        <v>73</v>
      </c>
      <c r="CF336" s="5">
        <f t="shared" si="63"/>
        <v>300</v>
      </c>
      <c r="CG336" s="5">
        <f t="shared" si="64"/>
        <v>5.6999999999999993</v>
      </c>
      <c r="CH336" s="5">
        <f t="shared" si="65"/>
        <v>3.8</v>
      </c>
      <c r="CI336" s="5">
        <f t="shared" si="66"/>
        <v>4.2395161170687707</v>
      </c>
      <c r="CJ336" s="2">
        <f t="shared" si="67"/>
        <v>7850</v>
      </c>
      <c r="CK336" s="48"/>
      <c r="CZ336" s="2" t="s">
        <v>744</v>
      </c>
      <c r="DA336" s="43">
        <v>6.0827165100428333</v>
      </c>
      <c r="DB336" s="19">
        <v>90</v>
      </c>
      <c r="DC336" s="19">
        <v>2.8</v>
      </c>
      <c r="DD336" s="21">
        <v>282.74333882308139</v>
      </c>
      <c r="DE336" s="44">
        <f t="shared" si="68"/>
        <v>6.0827165100428333</v>
      </c>
      <c r="DF336" s="19">
        <f t="shared" si="69"/>
        <v>7930</v>
      </c>
    </row>
    <row r="337" spans="79:110" x14ac:dyDescent="0.25">
      <c r="CA337" s="2" t="str">
        <f t="shared" si="62"/>
        <v>Hộp-50x100x2</v>
      </c>
      <c r="CB337" s="19">
        <v>4.55</v>
      </c>
      <c r="CC337" s="19">
        <v>50</v>
      </c>
      <c r="CD337" s="19">
        <v>100</v>
      </c>
      <c r="CE337" s="20" t="s">
        <v>74</v>
      </c>
      <c r="CF337" s="5">
        <f t="shared" si="63"/>
        <v>300</v>
      </c>
      <c r="CG337" s="5">
        <f t="shared" si="64"/>
        <v>6</v>
      </c>
      <c r="CH337" s="5">
        <f t="shared" si="65"/>
        <v>4</v>
      </c>
      <c r="CI337" s="5">
        <f t="shared" si="66"/>
        <v>4.4496300466135974</v>
      </c>
      <c r="CJ337" s="2">
        <f t="shared" si="67"/>
        <v>7850</v>
      </c>
      <c r="CK337" s="48"/>
      <c r="CZ337" s="2" t="s">
        <v>745</v>
      </c>
      <c r="DA337" s="43">
        <v>6.5022485629144011</v>
      </c>
      <c r="DB337" s="19">
        <v>90</v>
      </c>
      <c r="DC337" s="19">
        <v>3</v>
      </c>
      <c r="DD337" s="21">
        <v>282.74333882308139</v>
      </c>
      <c r="DE337" s="44">
        <f t="shared" si="68"/>
        <v>6.5022485629144011</v>
      </c>
      <c r="DF337" s="19">
        <f t="shared" si="69"/>
        <v>7930</v>
      </c>
    </row>
    <row r="338" spans="79:110" x14ac:dyDescent="0.25">
      <c r="CA338" s="2" t="str">
        <f t="shared" si="62"/>
        <v>Hộp-50x100x2.1</v>
      </c>
      <c r="CB338" s="19">
        <v>4.7833333333333332</v>
      </c>
      <c r="CC338" s="19">
        <v>50</v>
      </c>
      <c r="CD338" s="19">
        <v>100</v>
      </c>
      <c r="CE338" s="20" t="s">
        <v>75</v>
      </c>
      <c r="CF338" s="5">
        <f t="shared" si="63"/>
        <v>300</v>
      </c>
      <c r="CG338" s="5">
        <f t="shared" si="64"/>
        <v>6.3000000000000007</v>
      </c>
      <c r="CH338" s="5">
        <f t="shared" si="65"/>
        <v>4.2</v>
      </c>
      <c r="CI338" s="5">
        <f t="shared" si="66"/>
        <v>4.6584421263914919</v>
      </c>
      <c r="CJ338" s="2">
        <f t="shared" si="67"/>
        <v>7850</v>
      </c>
      <c r="CK338" s="48"/>
      <c r="CZ338" s="2" t="s">
        <v>746</v>
      </c>
      <c r="DA338" s="43">
        <v>3.9272584806813278</v>
      </c>
      <c r="DB338" s="19">
        <v>114</v>
      </c>
      <c r="DC338" s="19">
        <v>1.4</v>
      </c>
      <c r="DD338" s="21">
        <v>358.14156250923639</v>
      </c>
      <c r="DE338" s="44">
        <f t="shared" si="68"/>
        <v>3.9272584806813287</v>
      </c>
      <c r="DF338" s="19">
        <f t="shared" si="69"/>
        <v>7930</v>
      </c>
    </row>
    <row r="339" spans="79:110" x14ac:dyDescent="0.25">
      <c r="CA339" s="2" t="str">
        <f t="shared" si="62"/>
        <v>Hộp-50x100x2.2</v>
      </c>
      <c r="CB339" s="19">
        <v>5</v>
      </c>
      <c r="CC339" s="19">
        <v>50</v>
      </c>
      <c r="CD339" s="19">
        <v>100</v>
      </c>
      <c r="CE339" s="20" t="s">
        <v>76</v>
      </c>
      <c r="CF339" s="5">
        <f t="shared" si="63"/>
        <v>300</v>
      </c>
      <c r="CG339" s="5">
        <f t="shared" si="64"/>
        <v>6.6000000000000005</v>
      </c>
      <c r="CH339" s="5">
        <f t="shared" si="65"/>
        <v>4.4000000000000004</v>
      </c>
      <c r="CI339" s="5">
        <f t="shared" si="66"/>
        <v>4.8659523564024534</v>
      </c>
      <c r="CJ339" s="2">
        <f t="shared" si="67"/>
        <v>7850</v>
      </c>
      <c r="CK339" s="48"/>
      <c r="CZ339" s="2" t="s">
        <v>747</v>
      </c>
      <c r="DA339" s="43">
        <v>4.2040400191256966</v>
      </c>
      <c r="DB339" s="19">
        <v>114</v>
      </c>
      <c r="DC339" s="19">
        <v>1.5</v>
      </c>
      <c r="DD339" s="21">
        <v>358.14156250923639</v>
      </c>
      <c r="DE339" s="44">
        <f t="shared" si="68"/>
        <v>4.2040400191256966</v>
      </c>
      <c r="DF339" s="19">
        <f t="shared" si="69"/>
        <v>7930</v>
      </c>
    </row>
    <row r="340" spans="79:110" x14ac:dyDescent="0.25">
      <c r="CA340" s="2" t="str">
        <f t="shared" si="62"/>
        <v>Hộp-50x100x2.3</v>
      </c>
      <c r="CB340" s="19">
        <v>5.2166666666666668</v>
      </c>
      <c r="CC340" s="19">
        <v>50</v>
      </c>
      <c r="CD340" s="19">
        <v>100</v>
      </c>
      <c r="CE340" s="20" t="s">
        <v>77</v>
      </c>
      <c r="CF340" s="5">
        <f t="shared" si="63"/>
        <v>300</v>
      </c>
      <c r="CG340" s="5">
        <f t="shared" si="64"/>
        <v>6.8999999999999995</v>
      </c>
      <c r="CH340" s="5">
        <f t="shared" si="65"/>
        <v>4.5999999999999996</v>
      </c>
      <c r="CI340" s="5">
        <f t="shared" si="66"/>
        <v>5.0721607366464827</v>
      </c>
      <c r="CJ340" s="2">
        <f t="shared" si="67"/>
        <v>7850</v>
      </c>
      <c r="CK340" s="48"/>
      <c r="CZ340" s="2" t="s">
        <v>748</v>
      </c>
      <c r="DA340" s="43">
        <v>4.7561083262298522</v>
      </c>
      <c r="DB340" s="19">
        <v>114</v>
      </c>
      <c r="DC340" s="19">
        <v>1.7</v>
      </c>
      <c r="DD340" s="21">
        <v>358.14156250923639</v>
      </c>
      <c r="DE340" s="44">
        <f t="shared" si="68"/>
        <v>4.7561083262298522</v>
      </c>
      <c r="DF340" s="19">
        <f t="shared" si="69"/>
        <v>7930</v>
      </c>
    </row>
    <row r="341" spans="79:110" x14ac:dyDescent="0.25">
      <c r="CA341" s="2" t="str">
        <f t="shared" si="62"/>
        <v>Hộp-50x100x2.4</v>
      </c>
      <c r="CB341" s="19">
        <v>5.4333333333333336</v>
      </c>
      <c r="CC341" s="19">
        <v>50</v>
      </c>
      <c r="CD341" s="19">
        <v>100</v>
      </c>
      <c r="CE341" s="20" t="s">
        <v>78</v>
      </c>
      <c r="CF341" s="5">
        <f t="shared" si="63"/>
        <v>300</v>
      </c>
      <c r="CG341" s="5">
        <f t="shared" si="64"/>
        <v>7.1999999999999993</v>
      </c>
      <c r="CH341" s="5">
        <f t="shared" si="65"/>
        <v>4.8</v>
      </c>
      <c r="CI341" s="5">
        <f t="shared" si="66"/>
        <v>5.2770672671235799</v>
      </c>
      <c r="CJ341" s="2">
        <f t="shared" si="67"/>
        <v>7850</v>
      </c>
      <c r="CK341" s="48"/>
      <c r="CZ341" s="2" t="s">
        <v>749</v>
      </c>
      <c r="DA341" s="43">
        <v>5.0313950948896249</v>
      </c>
      <c r="DB341" s="19">
        <v>114</v>
      </c>
      <c r="DC341" s="19">
        <v>1.8</v>
      </c>
      <c r="DD341" s="21">
        <v>358.14156250923639</v>
      </c>
      <c r="DE341" s="44">
        <f t="shared" si="68"/>
        <v>5.0313950948896249</v>
      </c>
      <c r="DF341" s="19">
        <f t="shared" si="69"/>
        <v>7930</v>
      </c>
    </row>
    <row r="342" spans="79:110" x14ac:dyDescent="0.25">
      <c r="CA342" s="2" t="str">
        <f t="shared" si="62"/>
        <v>Hộp-50x100x2.5</v>
      </c>
      <c r="CB342" s="19">
        <v>5.6499999999999995</v>
      </c>
      <c r="CC342" s="19">
        <v>50</v>
      </c>
      <c r="CD342" s="19">
        <v>100</v>
      </c>
      <c r="CE342" s="20" t="s">
        <v>79</v>
      </c>
      <c r="CF342" s="5">
        <f t="shared" si="63"/>
        <v>300</v>
      </c>
      <c r="CG342" s="5">
        <f t="shared" si="64"/>
        <v>7.5</v>
      </c>
      <c r="CH342" s="5">
        <f t="shared" si="65"/>
        <v>5</v>
      </c>
      <c r="CI342" s="5">
        <f t="shared" si="66"/>
        <v>5.4806719478337467</v>
      </c>
      <c r="CJ342" s="2">
        <f t="shared" si="67"/>
        <v>7850</v>
      </c>
      <c r="CK342" s="48"/>
      <c r="CZ342" s="2" t="s">
        <v>750</v>
      </c>
      <c r="DA342" s="43">
        <v>5.5804738624246166</v>
      </c>
      <c r="DB342" s="19">
        <v>114</v>
      </c>
      <c r="DC342" s="19">
        <v>2</v>
      </c>
      <c r="DD342" s="21">
        <v>358.14156250923639</v>
      </c>
      <c r="DE342" s="44">
        <f t="shared" si="68"/>
        <v>5.5804738624246175</v>
      </c>
      <c r="DF342" s="19">
        <f t="shared" si="69"/>
        <v>7930</v>
      </c>
    </row>
    <row r="343" spans="79:110" x14ac:dyDescent="0.25">
      <c r="CA343" s="2" t="str">
        <f t="shared" si="62"/>
        <v>Hộp-50x100x2.7</v>
      </c>
      <c r="CB343" s="19">
        <v>6.083333333333333</v>
      </c>
      <c r="CC343" s="19">
        <v>50</v>
      </c>
      <c r="CD343" s="19">
        <v>100</v>
      </c>
      <c r="CE343" s="20" t="s">
        <v>80</v>
      </c>
      <c r="CF343" s="5">
        <f t="shared" si="63"/>
        <v>300</v>
      </c>
      <c r="CG343" s="5">
        <f t="shared" si="64"/>
        <v>8.1000000000000014</v>
      </c>
      <c r="CH343" s="5">
        <f t="shared" si="65"/>
        <v>5.4</v>
      </c>
      <c r="CI343" s="5">
        <f t="shared" si="66"/>
        <v>5.8839757599532811</v>
      </c>
      <c r="CJ343" s="2">
        <f t="shared" si="67"/>
        <v>7850</v>
      </c>
      <c r="CK343" s="48"/>
      <c r="CZ343" s="2" t="s">
        <v>751</v>
      </c>
      <c r="DA343" s="43">
        <v>6.4003550892656635</v>
      </c>
      <c r="DB343" s="19">
        <v>114</v>
      </c>
      <c r="DC343" s="19">
        <v>2.2999999999999998</v>
      </c>
      <c r="DD343" s="21">
        <v>358.14156250923639</v>
      </c>
      <c r="DE343" s="44">
        <f t="shared" si="68"/>
        <v>6.4003550892656635</v>
      </c>
      <c r="DF343" s="19">
        <f t="shared" si="69"/>
        <v>7930</v>
      </c>
    </row>
    <row r="344" spans="79:110" x14ac:dyDescent="0.25">
      <c r="CA344" s="2" t="str">
        <f t="shared" si="62"/>
        <v>Hộp-50x100x2.8</v>
      </c>
      <c r="CB344" s="19">
        <v>6.3</v>
      </c>
      <c r="CC344" s="19">
        <v>50</v>
      </c>
      <c r="CD344" s="19">
        <v>100</v>
      </c>
      <c r="CE344" s="20" t="s">
        <v>81</v>
      </c>
      <c r="CF344" s="5">
        <f t="shared" si="63"/>
        <v>300</v>
      </c>
      <c r="CG344" s="5">
        <f t="shared" si="64"/>
        <v>8.3999999999999986</v>
      </c>
      <c r="CH344" s="5">
        <f t="shared" si="65"/>
        <v>5.6</v>
      </c>
      <c r="CI344" s="5">
        <f t="shared" si="66"/>
        <v>6.0836748913626515</v>
      </c>
      <c r="CJ344" s="2">
        <f t="shared" si="67"/>
        <v>7850</v>
      </c>
      <c r="CK344" s="48"/>
      <c r="CZ344" s="2" t="s">
        <v>752</v>
      </c>
      <c r="DA344" s="43">
        <v>6.944451290852073</v>
      </c>
      <c r="DB344" s="19">
        <v>114</v>
      </c>
      <c r="DC344" s="19">
        <v>2.5</v>
      </c>
      <c r="DD344" s="21">
        <v>358.14156250923639</v>
      </c>
      <c r="DE344" s="44">
        <f t="shared" si="68"/>
        <v>6.944451290852073</v>
      </c>
      <c r="DF344" s="19">
        <f t="shared" si="69"/>
        <v>7930</v>
      </c>
    </row>
    <row r="345" spans="79:110" x14ac:dyDescent="0.25">
      <c r="CA345" s="2" t="str">
        <f t="shared" si="62"/>
        <v>Hộp-50x100x2.9</v>
      </c>
      <c r="CB345" s="19">
        <v>6.5166666666666666</v>
      </c>
      <c r="CC345" s="19">
        <v>50</v>
      </c>
      <c r="CD345" s="19">
        <v>100</v>
      </c>
      <c r="CE345" s="20" t="s">
        <v>82</v>
      </c>
      <c r="CF345" s="5">
        <f t="shared" si="63"/>
        <v>300</v>
      </c>
      <c r="CG345" s="5">
        <f t="shared" si="64"/>
        <v>8.6999999999999993</v>
      </c>
      <c r="CH345" s="5">
        <f t="shared" si="65"/>
        <v>5.8</v>
      </c>
      <c r="CI345" s="5">
        <f t="shared" si="66"/>
        <v>6.2820721730050888</v>
      </c>
      <c r="CJ345" s="2">
        <f t="shared" si="67"/>
        <v>7850</v>
      </c>
      <c r="CK345" s="48"/>
      <c r="CZ345" s="2" t="s">
        <v>753</v>
      </c>
      <c r="DA345" s="43">
        <v>7.7568586687702101</v>
      </c>
      <c r="DB345" s="19">
        <v>114</v>
      </c>
      <c r="DC345" s="19">
        <v>2.8</v>
      </c>
      <c r="DD345" s="21">
        <v>358.14156250923639</v>
      </c>
      <c r="DE345" s="44">
        <f t="shared" si="68"/>
        <v>7.7568586687702101</v>
      </c>
      <c r="DF345" s="19">
        <f t="shared" si="69"/>
        <v>7930</v>
      </c>
    </row>
    <row r="346" spans="79:110" x14ac:dyDescent="0.25">
      <c r="CA346" s="2" t="str">
        <f t="shared" si="62"/>
        <v>Hộp-50x100x3</v>
      </c>
      <c r="CB346" s="19">
        <v>6.7166666666666659</v>
      </c>
      <c r="CC346" s="19">
        <v>50</v>
      </c>
      <c r="CD346" s="19">
        <v>100</v>
      </c>
      <c r="CE346" s="20" t="s">
        <v>83</v>
      </c>
      <c r="CF346" s="5">
        <f t="shared" si="63"/>
        <v>300</v>
      </c>
      <c r="CG346" s="5">
        <f t="shared" si="64"/>
        <v>9</v>
      </c>
      <c r="CH346" s="5">
        <f t="shared" si="65"/>
        <v>6</v>
      </c>
      <c r="CI346" s="5">
        <f t="shared" si="66"/>
        <v>6.479167604880594</v>
      </c>
      <c r="CJ346" s="2">
        <f t="shared" si="67"/>
        <v>7850</v>
      </c>
      <c r="CK346" s="48"/>
      <c r="CZ346" s="2" t="s">
        <v>754</v>
      </c>
      <c r="DA346" s="43">
        <v>8.2959723044080373</v>
      </c>
      <c r="DB346" s="19">
        <v>114</v>
      </c>
      <c r="DC346" s="19">
        <v>3</v>
      </c>
      <c r="DD346" s="21">
        <v>358.14156250923639</v>
      </c>
      <c r="DE346" s="44">
        <f t="shared" si="68"/>
        <v>8.2959723044080391</v>
      </c>
      <c r="DF346" s="19">
        <f t="shared" si="69"/>
        <v>7930</v>
      </c>
    </row>
    <row r="347" spans="79:110" x14ac:dyDescent="0.25">
      <c r="CA347" s="2" t="str">
        <f t="shared" si="62"/>
        <v>Hộp-50x100x3.1</v>
      </c>
      <c r="CB347" s="19">
        <v>6.9333333333333336</v>
      </c>
      <c r="CC347" s="19">
        <v>50</v>
      </c>
      <c r="CD347" s="19">
        <v>100</v>
      </c>
      <c r="CE347" s="20" t="s">
        <v>84</v>
      </c>
      <c r="CF347" s="5">
        <f t="shared" si="63"/>
        <v>300</v>
      </c>
      <c r="CG347" s="5">
        <f t="shared" si="64"/>
        <v>9.3000000000000007</v>
      </c>
      <c r="CH347" s="5">
        <f t="shared" si="65"/>
        <v>6.2</v>
      </c>
      <c r="CI347" s="5">
        <f t="shared" si="66"/>
        <v>6.6749611869891687</v>
      </c>
      <c r="CJ347" s="2">
        <f t="shared" si="67"/>
        <v>7850</v>
      </c>
      <c r="CK347" s="48"/>
      <c r="CZ347" s="2" t="s">
        <v>755</v>
      </c>
      <c r="DA347" s="43">
        <v>5.1756403791014138</v>
      </c>
      <c r="DB347" s="19">
        <v>140</v>
      </c>
      <c r="DC347" s="19">
        <v>1.5</v>
      </c>
      <c r="DD347" s="21">
        <v>439.82297150257102</v>
      </c>
      <c r="DE347" s="44">
        <f t="shared" si="68"/>
        <v>5.1756403791014138</v>
      </c>
      <c r="DF347" s="19">
        <f t="shared" si="69"/>
        <v>7930</v>
      </c>
    </row>
    <row r="348" spans="79:110" x14ac:dyDescent="0.25">
      <c r="CA348" s="2" t="str">
        <f t="shared" si="62"/>
        <v>Hộp-50x100x3.2</v>
      </c>
      <c r="CB348" s="19">
        <v>7.1499999999999995</v>
      </c>
      <c r="CC348" s="19">
        <v>50</v>
      </c>
      <c r="CD348" s="19">
        <v>100</v>
      </c>
      <c r="CE348" s="20" t="s">
        <v>85</v>
      </c>
      <c r="CF348" s="5">
        <f t="shared" si="63"/>
        <v>300</v>
      </c>
      <c r="CG348" s="5">
        <f t="shared" si="64"/>
        <v>9.6000000000000014</v>
      </c>
      <c r="CH348" s="5">
        <f t="shared" si="65"/>
        <v>6.4</v>
      </c>
      <c r="CI348" s="5">
        <f t="shared" si="66"/>
        <v>6.8694529193308096</v>
      </c>
      <c r="CJ348" s="2">
        <f t="shared" si="67"/>
        <v>7850</v>
      </c>
      <c r="CK348" s="48"/>
      <c r="CZ348" s="2" t="s">
        <v>756</v>
      </c>
      <c r="DA348" s="43">
        <v>5.8572554008689997</v>
      </c>
      <c r="DB348" s="19">
        <v>140</v>
      </c>
      <c r="DC348" s="19">
        <v>1.7</v>
      </c>
      <c r="DD348" s="21">
        <v>439.82297150257102</v>
      </c>
      <c r="DE348" s="44">
        <f t="shared" si="68"/>
        <v>5.8572554008689997</v>
      </c>
      <c r="DF348" s="19">
        <f t="shared" si="69"/>
        <v>7930</v>
      </c>
    </row>
    <row r="349" spans="79:110" x14ac:dyDescent="0.25">
      <c r="CA349" s="2" t="str">
        <f t="shared" si="62"/>
        <v>Hộp-50x100x3.4</v>
      </c>
      <c r="CB349" s="19">
        <v>7.5666666666666664</v>
      </c>
      <c r="CC349" s="19">
        <v>50</v>
      </c>
      <c r="CD349" s="19">
        <v>100</v>
      </c>
      <c r="CE349" s="20" t="s">
        <v>87</v>
      </c>
      <c r="CF349" s="5">
        <f t="shared" si="63"/>
        <v>300</v>
      </c>
      <c r="CG349" s="5">
        <f t="shared" si="64"/>
        <v>10.199999999999999</v>
      </c>
      <c r="CH349" s="5">
        <f t="shared" si="65"/>
        <v>6.8</v>
      </c>
      <c r="CI349" s="5">
        <f t="shared" si="66"/>
        <v>7.2545308347132957</v>
      </c>
      <c r="CJ349" s="2">
        <f t="shared" si="67"/>
        <v>7850</v>
      </c>
      <c r="CK349" s="48"/>
      <c r="CZ349" s="2" t="s">
        <v>757</v>
      </c>
      <c r="DA349" s="43">
        <v>6.1973155268604732</v>
      </c>
      <c r="DB349" s="19">
        <v>140</v>
      </c>
      <c r="DC349" s="19">
        <v>1.8</v>
      </c>
      <c r="DD349" s="21">
        <v>439.82297150257102</v>
      </c>
      <c r="DE349" s="44">
        <f t="shared" si="68"/>
        <v>6.197315526860474</v>
      </c>
      <c r="DF349" s="19">
        <f t="shared" si="69"/>
        <v>7930</v>
      </c>
    </row>
    <row r="350" spans="79:110" x14ac:dyDescent="0.25">
      <c r="CA350" s="2" t="str">
        <f t="shared" si="62"/>
        <v>Hộp-50x100x3.5</v>
      </c>
      <c r="CB350" s="19">
        <v>7.7833333333333341</v>
      </c>
      <c r="CC350" s="19">
        <v>50</v>
      </c>
      <c r="CD350" s="19">
        <v>100</v>
      </c>
      <c r="CE350" s="20" t="s">
        <v>88</v>
      </c>
      <c r="CF350" s="5">
        <f t="shared" si="63"/>
        <v>300</v>
      </c>
      <c r="CG350" s="5">
        <f t="shared" si="64"/>
        <v>10.5</v>
      </c>
      <c r="CH350" s="5">
        <f t="shared" si="65"/>
        <v>7</v>
      </c>
      <c r="CI350" s="5">
        <f t="shared" si="66"/>
        <v>7.4451170177541428</v>
      </c>
      <c r="CJ350" s="2">
        <f t="shared" si="67"/>
        <v>7850</v>
      </c>
      <c r="CK350" s="48"/>
      <c r="CZ350" s="2" t="s">
        <v>758</v>
      </c>
      <c r="DA350" s="43">
        <v>6.8759410090589101</v>
      </c>
      <c r="DB350" s="19">
        <v>140</v>
      </c>
      <c r="DC350" s="19">
        <v>2</v>
      </c>
      <c r="DD350" s="21">
        <v>439.82297150257102</v>
      </c>
      <c r="DE350" s="44">
        <f t="shared" si="68"/>
        <v>6.875941009058911</v>
      </c>
      <c r="DF350" s="19">
        <f t="shared" si="69"/>
        <v>7930</v>
      </c>
    </row>
    <row r="351" spans="79:110" x14ac:dyDescent="0.25">
      <c r="CA351" s="2" t="str">
        <f t="shared" si="62"/>
        <v>Hộp-50x100x3.7</v>
      </c>
      <c r="CB351" s="19">
        <v>8.2000000000000011</v>
      </c>
      <c r="CC351" s="19">
        <v>50</v>
      </c>
      <c r="CD351" s="19">
        <v>100</v>
      </c>
      <c r="CE351" s="20" t="s">
        <v>89</v>
      </c>
      <c r="CF351" s="5">
        <f t="shared" si="63"/>
        <v>300</v>
      </c>
      <c r="CG351" s="5">
        <f t="shared" si="64"/>
        <v>11.100000000000001</v>
      </c>
      <c r="CH351" s="5">
        <f t="shared" si="65"/>
        <v>7.4</v>
      </c>
      <c r="CI351" s="5">
        <f t="shared" si="66"/>
        <v>7.8223838345350369</v>
      </c>
      <c r="CJ351" s="2">
        <f t="shared" si="67"/>
        <v>7850</v>
      </c>
      <c r="CK351" s="48"/>
      <c r="CZ351" s="2" t="s">
        <v>759</v>
      </c>
      <c r="DA351" s="43">
        <v>7.8901423078951023</v>
      </c>
      <c r="DB351" s="19">
        <v>140</v>
      </c>
      <c r="DC351" s="19">
        <v>2.2999999999999998</v>
      </c>
      <c r="DD351" s="21">
        <v>439.82297150257102</v>
      </c>
      <c r="DE351" s="44">
        <f t="shared" si="68"/>
        <v>7.8901423078951041</v>
      </c>
      <c r="DF351" s="19">
        <f t="shared" si="69"/>
        <v>7930</v>
      </c>
    </row>
    <row r="352" spans="79:110" x14ac:dyDescent="0.25">
      <c r="CA352" s="2" t="str">
        <f t="shared" si="62"/>
        <v>Hộp-50x100x3.8</v>
      </c>
      <c r="CB352" s="19">
        <v>8.4</v>
      </c>
      <c r="CC352" s="19">
        <v>50</v>
      </c>
      <c r="CD352" s="19">
        <v>100</v>
      </c>
      <c r="CE352" s="20" t="s">
        <v>90</v>
      </c>
      <c r="CF352" s="5">
        <f t="shared" si="63"/>
        <v>300</v>
      </c>
      <c r="CG352" s="5">
        <f t="shared" si="64"/>
        <v>11.399999999999999</v>
      </c>
      <c r="CH352" s="5">
        <f t="shared" si="65"/>
        <v>7.6</v>
      </c>
      <c r="CI352" s="5">
        <f t="shared" si="66"/>
        <v>8.0090644682750867</v>
      </c>
      <c r="CJ352" s="2">
        <f t="shared" si="67"/>
        <v>7850</v>
      </c>
      <c r="CK352" s="48"/>
      <c r="CZ352" s="2" t="s">
        <v>760</v>
      </c>
      <c r="DA352" s="43">
        <v>8.5637852241449295</v>
      </c>
      <c r="DB352" s="19">
        <v>140</v>
      </c>
      <c r="DC352" s="19">
        <v>2.5</v>
      </c>
      <c r="DD352" s="21">
        <v>439.82297150257102</v>
      </c>
      <c r="DE352" s="44">
        <f t="shared" si="68"/>
        <v>8.5637852241449295</v>
      </c>
      <c r="DF352" s="19">
        <f t="shared" si="69"/>
        <v>7930</v>
      </c>
    </row>
    <row r="353" spans="79:110" x14ac:dyDescent="0.25">
      <c r="CA353" s="2" t="str">
        <f t="shared" si="62"/>
        <v>Hộp-50x100x3.9</v>
      </c>
      <c r="CB353" s="19">
        <v>8.6166666666666671</v>
      </c>
      <c r="CC353" s="19">
        <v>50</v>
      </c>
      <c r="CD353" s="19">
        <v>100</v>
      </c>
      <c r="CE353" s="20" t="s">
        <v>91</v>
      </c>
      <c r="CF353" s="5">
        <f t="shared" si="63"/>
        <v>300</v>
      </c>
      <c r="CG353" s="5">
        <f t="shared" si="64"/>
        <v>11.7</v>
      </c>
      <c r="CH353" s="5">
        <f t="shared" si="65"/>
        <v>7.8</v>
      </c>
      <c r="CI353" s="5">
        <f t="shared" si="66"/>
        <v>8.1944432522482042</v>
      </c>
      <c r="CJ353" s="2">
        <f t="shared" si="67"/>
        <v>7850</v>
      </c>
      <c r="CK353" s="48"/>
      <c r="CZ353" s="2" t="s">
        <v>761</v>
      </c>
      <c r="DA353" s="43">
        <v>9.5705126740582269</v>
      </c>
      <c r="DB353" s="19">
        <v>140</v>
      </c>
      <c r="DC353" s="19">
        <v>2.8</v>
      </c>
      <c r="DD353" s="21">
        <v>439.82297150257102</v>
      </c>
      <c r="DE353" s="44">
        <f t="shared" si="68"/>
        <v>9.5705126740582269</v>
      </c>
      <c r="DF353" s="19">
        <f t="shared" si="69"/>
        <v>7930</v>
      </c>
    </row>
    <row r="354" spans="79:110" x14ac:dyDescent="0.25">
      <c r="CA354" s="2" t="str">
        <f t="shared" si="62"/>
        <v>Hộp-50x100x4</v>
      </c>
      <c r="CB354" s="19">
        <v>8.8166666666666664</v>
      </c>
      <c r="CC354" s="19">
        <v>50</v>
      </c>
      <c r="CD354" s="19">
        <v>100</v>
      </c>
      <c r="CE354" s="20" t="s">
        <v>25</v>
      </c>
      <c r="CF354" s="5">
        <f t="shared" si="63"/>
        <v>300</v>
      </c>
      <c r="CG354" s="5">
        <f t="shared" si="64"/>
        <v>12</v>
      </c>
      <c r="CH354" s="5">
        <f t="shared" si="65"/>
        <v>8</v>
      </c>
      <c r="CI354" s="5">
        <f t="shared" si="66"/>
        <v>8.3785201864543897</v>
      </c>
      <c r="CJ354" s="2">
        <f t="shared" si="67"/>
        <v>7850</v>
      </c>
      <c r="CK354" s="48"/>
      <c r="CZ354" s="2" t="s">
        <v>762</v>
      </c>
      <c r="DA354" s="43">
        <v>10.239173024359456</v>
      </c>
      <c r="DB354" s="19">
        <v>140</v>
      </c>
      <c r="DC354" s="19">
        <v>3</v>
      </c>
      <c r="DD354" s="21">
        <v>439.82297150257102</v>
      </c>
      <c r="DE354" s="44">
        <f t="shared" si="68"/>
        <v>10.239173024359456</v>
      </c>
      <c r="DF354" s="19">
        <f t="shared" si="69"/>
        <v>7930</v>
      </c>
    </row>
    <row r="355" spans="79:110" x14ac:dyDescent="0.25">
      <c r="CA355" s="2" t="str">
        <f t="shared" si="62"/>
        <v>Hộp-60x120x1.4</v>
      </c>
      <c r="CB355" s="19">
        <v>3.8833333333333333</v>
      </c>
      <c r="CC355" s="19">
        <v>60</v>
      </c>
      <c r="CD355" s="19">
        <v>120</v>
      </c>
      <c r="CE355" s="20" t="s">
        <v>68</v>
      </c>
      <c r="CF355" s="5">
        <f t="shared" si="63"/>
        <v>360</v>
      </c>
      <c r="CG355" s="5">
        <f t="shared" si="64"/>
        <v>4.1999999999999993</v>
      </c>
      <c r="CH355" s="5">
        <f t="shared" si="65"/>
        <v>2.8</v>
      </c>
      <c r="CI355" s="5">
        <f t="shared" si="66"/>
        <v>3.828818722840662</v>
      </c>
      <c r="CJ355" s="2">
        <f t="shared" si="67"/>
        <v>7850</v>
      </c>
      <c r="CK355" s="48"/>
      <c r="CZ355" s="2"/>
      <c r="DA355" s="2"/>
      <c r="DB355" s="2"/>
      <c r="DC355" s="2"/>
      <c r="DD355" s="21"/>
    </row>
    <row r="356" spans="79:110" x14ac:dyDescent="0.25">
      <c r="CA356" s="2" t="str">
        <f t="shared" si="62"/>
        <v>Hộp-60x120x1.5</v>
      </c>
      <c r="CB356" s="19">
        <v>4.1499999999999995</v>
      </c>
      <c r="CC356" s="19">
        <v>60</v>
      </c>
      <c r="CD356" s="19">
        <v>120</v>
      </c>
      <c r="CE356" s="20" t="s">
        <v>69</v>
      </c>
      <c r="CF356" s="5">
        <f t="shared" si="63"/>
        <v>360</v>
      </c>
      <c r="CG356" s="5">
        <f t="shared" si="64"/>
        <v>4.5</v>
      </c>
      <c r="CH356" s="5">
        <f t="shared" si="65"/>
        <v>3</v>
      </c>
      <c r="CI356" s="5">
        <f t="shared" si="66"/>
        <v>4.092541901220148</v>
      </c>
      <c r="CJ356" s="2">
        <f t="shared" si="67"/>
        <v>7850</v>
      </c>
      <c r="CK356" s="48"/>
      <c r="CZ356" s="2"/>
      <c r="DA356" s="2"/>
      <c r="DB356" s="2"/>
      <c r="DC356" s="2"/>
      <c r="DD356" s="21"/>
    </row>
    <row r="357" spans="79:110" x14ac:dyDescent="0.25">
      <c r="CA357" s="2" t="str">
        <f t="shared" si="62"/>
        <v>Hộp-60x120x1.6</v>
      </c>
      <c r="CB357" s="19">
        <v>4.4333333333333336</v>
      </c>
      <c r="CC357" s="19">
        <v>60</v>
      </c>
      <c r="CD357" s="19">
        <v>120</v>
      </c>
      <c r="CE357" s="20" t="s">
        <v>70</v>
      </c>
      <c r="CF357" s="5">
        <f t="shared" si="63"/>
        <v>360</v>
      </c>
      <c r="CG357" s="5">
        <f t="shared" si="64"/>
        <v>4.8000000000000007</v>
      </c>
      <c r="CH357" s="5">
        <f t="shared" si="65"/>
        <v>3.2</v>
      </c>
      <c r="CI357" s="5">
        <f t="shared" si="66"/>
        <v>4.3549632298327028</v>
      </c>
      <c r="CJ357" s="2">
        <f t="shared" si="67"/>
        <v>7850</v>
      </c>
      <c r="CK357" s="48"/>
      <c r="CZ357" s="2"/>
      <c r="DA357" s="2"/>
      <c r="DB357" s="2"/>
      <c r="DC357" s="2"/>
      <c r="DD357" s="21"/>
    </row>
    <row r="358" spans="79:110" x14ac:dyDescent="0.25">
      <c r="CA358" s="2" t="str">
        <f t="shared" si="62"/>
        <v>Hộp-60x120x1.7</v>
      </c>
      <c r="CB358" s="19">
        <v>4.7</v>
      </c>
      <c r="CC358" s="19">
        <v>60</v>
      </c>
      <c r="CD358" s="19">
        <v>120</v>
      </c>
      <c r="CE358" s="20" t="s">
        <v>71</v>
      </c>
      <c r="CF358" s="5">
        <f t="shared" si="63"/>
        <v>360</v>
      </c>
      <c r="CG358" s="5">
        <f t="shared" si="64"/>
        <v>5.0999999999999996</v>
      </c>
      <c r="CH358" s="5">
        <f t="shared" si="65"/>
        <v>3.4</v>
      </c>
      <c r="CI358" s="5">
        <f t="shared" si="66"/>
        <v>4.6160827086783236</v>
      </c>
      <c r="CJ358" s="2">
        <f t="shared" si="67"/>
        <v>7850</v>
      </c>
      <c r="CK358" s="48"/>
      <c r="CZ358" s="2"/>
      <c r="DA358" s="2"/>
      <c r="DB358" s="2"/>
      <c r="DC358" s="2"/>
      <c r="DD358" s="21"/>
    </row>
    <row r="359" spans="79:110" x14ac:dyDescent="0.25">
      <c r="CA359" s="2" t="str">
        <f t="shared" si="62"/>
        <v>Hộp-60x120x1.8</v>
      </c>
      <c r="CB359" s="19">
        <v>4.9666666666666668</v>
      </c>
      <c r="CC359" s="19">
        <v>60</v>
      </c>
      <c r="CD359" s="19">
        <v>120</v>
      </c>
      <c r="CE359" s="20" t="s">
        <v>72</v>
      </c>
      <c r="CF359" s="5">
        <f t="shared" si="63"/>
        <v>360</v>
      </c>
      <c r="CG359" s="5">
        <f t="shared" si="64"/>
        <v>5.4</v>
      </c>
      <c r="CH359" s="5">
        <f t="shared" si="65"/>
        <v>3.6</v>
      </c>
      <c r="CI359" s="5">
        <f t="shared" si="66"/>
        <v>4.875900337757014</v>
      </c>
      <c r="CJ359" s="2">
        <f t="shared" si="67"/>
        <v>7850</v>
      </c>
      <c r="CK359" s="48"/>
      <c r="CZ359" s="2"/>
      <c r="DA359" s="2"/>
      <c r="DB359" s="2"/>
      <c r="DC359" s="2"/>
      <c r="DD359" s="21"/>
    </row>
    <row r="360" spans="79:110" x14ac:dyDescent="0.25">
      <c r="CA360" s="2" t="str">
        <f t="shared" si="62"/>
        <v>Hộp-60x120x1.9</v>
      </c>
      <c r="CB360" s="19">
        <v>5.2333333333333334</v>
      </c>
      <c r="CC360" s="19">
        <v>60</v>
      </c>
      <c r="CD360" s="19">
        <v>120</v>
      </c>
      <c r="CE360" s="20" t="s">
        <v>73</v>
      </c>
      <c r="CF360" s="5">
        <f t="shared" si="63"/>
        <v>360</v>
      </c>
      <c r="CG360" s="5">
        <f t="shared" si="64"/>
        <v>5.6999999999999993</v>
      </c>
      <c r="CH360" s="5">
        <f t="shared" si="65"/>
        <v>3.8</v>
      </c>
      <c r="CI360" s="5">
        <f t="shared" si="66"/>
        <v>5.1344161170687705</v>
      </c>
      <c r="CJ360" s="2">
        <f t="shared" si="67"/>
        <v>7850</v>
      </c>
      <c r="CK360" s="48"/>
      <c r="CZ360" s="2"/>
      <c r="DA360" s="2"/>
      <c r="DB360" s="2"/>
      <c r="DC360" s="2"/>
      <c r="DD360" s="21"/>
    </row>
    <row r="361" spans="79:110" x14ac:dyDescent="0.25">
      <c r="CA361" s="2" t="str">
        <f t="shared" si="62"/>
        <v>Hộp-60x120x2</v>
      </c>
      <c r="CB361" s="19">
        <v>5.5</v>
      </c>
      <c r="CC361" s="19">
        <v>60</v>
      </c>
      <c r="CD361" s="19">
        <v>120</v>
      </c>
      <c r="CE361" s="20" t="s">
        <v>74</v>
      </c>
      <c r="CF361" s="5">
        <f t="shared" si="63"/>
        <v>360</v>
      </c>
      <c r="CG361" s="5">
        <f t="shared" si="64"/>
        <v>6</v>
      </c>
      <c r="CH361" s="5">
        <f t="shared" si="65"/>
        <v>4</v>
      </c>
      <c r="CI361" s="5">
        <f t="shared" si="66"/>
        <v>5.3916300466135976</v>
      </c>
      <c r="CJ361" s="2">
        <f t="shared" si="67"/>
        <v>7850</v>
      </c>
      <c r="CK361" s="48"/>
      <c r="CZ361" s="2"/>
      <c r="DA361" s="2"/>
      <c r="DB361" s="2"/>
      <c r="DC361" s="2"/>
      <c r="DD361" s="21"/>
    </row>
    <row r="362" spans="79:110" x14ac:dyDescent="0.25">
      <c r="CA362" s="2" t="str">
        <f t="shared" si="62"/>
        <v>Hộp-60x120x2.1</v>
      </c>
      <c r="CB362" s="19">
        <v>5.7666666666666666</v>
      </c>
      <c r="CC362" s="19">
        <v>60</v>
      </c>
      <c r="CD362" s="19">
        <v>120</v>
      </c>
      <c r="CE362" s="20" t="s">
        <v>75</v>
      </c>
      <c r="CF362" s="5">
        <f t="shared" si="63"/>
        <v>360</v>
      </c>
      <c r="CG362" s="5">
        <f t="shared" si="64"/>
        <v>6.3000000000000007</v>
      </c>
      <c r="CH362" s="5">
        <f t="shared" si="65"/>
        <v>4.2</v>
      </c>
      <c r="CI362" s="5">
        <f t="shared" si="66"/>
        <v>5.6475421263914916</v>
      </c>
      <c r="CJ362" s="2">
        <f t="shared" si="67"/>
        <v>7850</v>
      </c>
      <c r="CK362" s="48"/>
      <c r="CZ362" s="2"/>
      <c r="DA362" s="2"/>
      <c r="DB362" s="2"/>
      <c r="DC362" s="2"/>
      <c r="DD362" s="21"/>
    </row>
    <row r="363" spans="79:110" x14ac:dyDescent="0.25">
      <c r="CA363" s="2" t="str">
        <f t="shared" si="62"/>
        <v>Hộp-60x120x2.2</v>
      </c>
      <c r="CB363" s="19">
        <v>6.0333333333333341</v>
      </c>
      <c r="CC363" s="19">
        <v>60</v>
      </c>
      <c r="CD363" s="19">
        <v>120</v>
      </c>
      <c r="CE363" s="20" t="s">
        <v>76</v>
      </c>
      <c r="CF363" s="5">
        <f t="shared" si="63"/>
        <v>360</v>
      </c>
      <c r="CG363" s="5">
        <f t="shared" si="64"/>
        <v>6.6000000000000005</v>
      </c>
      <c r="CH363" s="5">
        <f t="shared" si="65"/>
        <v>4.4000000000000004</v>
      </c>
      <c r="CI363" s="5">
        <f t="shared" si="66"/>
        <v>5.9021523564024525</v>
      </c>
      <c r="CJ363" s="2">
        <f t="shared" si="67"/>
        <v>7850</v>
      </c>
      <c r="CK363" s="48"/>
      <c r="CZ363" s="2"/>
      <c r="DA363" s="2"/>
      <c r="DB363" s="2"/>
      <c r="DC363" s="2"/>
      <c r="DD363" s="21"/>
    </row>
    <row r="364" spans="79:110" x14ac:dyDescent="0.25">
      <c r="CA364" s="2" t="str">
        <f t="shared" si="62"/>
        <v>Hộp-60x120x2.3</v>
      </c>
      <c r="CB364" s="19">
        <v>6.3</v>
      </c>
      <c r="CC364" s="19">
        <v>60</v>
      </c>
      <c r="CD364" s="19">
        <v>120</v>
      </c>
      <c r="CE364" s="20" t="s">
        <v>77</v>
      </c>
      <c r="CF364" s="5">
        <f t="shared" si="63"/>
        <v>360</v>
      </c>
      <c r="CG364" s="5">
        <f t="shared" si="64"/>
        <v>6.8999999999999995</v>
      </c>
      <c r="CH364" s="5">
        <f t="shared" si="65"/>
        <v>4.5999999999999996</v>
      </c>
      <c r="CI364" s="5">
        <f t="shared" si="66"/>
        <v>6.1554607366464822</v>
      </c>
      <c r="CJ364" s="2">
        <f t="shared" si="67"/>
        <v>7850</v>
      </c>
      <c r="CK364" s="48"/>
      <c r="CZ364" s="2"/>
      <c r="DA364" s="2"/>
      <c r="DB364" s="2"/>
      <c r="DC364" s="2"/>
      <c r="DD364" s="21"/>
    </row>
    <row r="365" spans="79:110" x14ac:dyDescent="0.25">
      <c r="CA365" s="2" t="str">
        <f t="shared" si="62"/>
        <v>Hộp-60x120x2.4</v>
      </c>
      <c r="CB365" s="19">
        <v>6.5666666666666664</v>
      </c>
      <c r="CC365" s="19">
        <v>60</v>
      </c>
      <c r="CD365" s="19">
        <v>120</v>
      </c>
      <c r="CE365" s="20" t="s">
        <v>78</v>
      </c>
      <c r="CF365" s="5">
        <f t="shared" si="63"/>
        <v>360</v>
      </c>
      <c r="CG365" s="5">
        <f t="shared" si="64"/>
        <v>7.1999999999999993</v>
      </c>
      <c r="CH365" s="5">
        <f t="shared" si="65"/>
        <v>4.8</v>
      </c>
      <c r="CI365" s="5">
        <f t="shared" si="66"/>
        <v>6.4074672671235797</v>
      </c>
      <c r="CJ365" s="2">
        <f t="shared" si="67"/>
        <v>7850</v>
      </c>
      <c r="CK365" s="48"/>
      <c r="CZ365" s="2"/>
      <c r="DA365" s="2"/>
      <c r="DB365" s="2"/>
      <c r="DC365" s="2"/>
      <c r="DD365" s="21"/>
    </row>
    <row r="366" spans="79:110" x14ac:dyDescent="0.25">
      <c r="CA366" s="2" t="str">
        <f t="shared" si="62"/>
        <v>Hộp-60x120x2.5</v>
      </c>
      <c r="CB366" s="19">
        <v>6.833333333333333</v>
      </c>
      <c r="CC366" s="19">
        <v>60</v>
      </c>
      <c r="CD366" s="19">
        <v>120</v>
      </c>
      <c r="CE366" s="20" t="s">
        <v>79</v>
      </c>
      <c r="CF366" s="5">
        <f t="shared" si="63"/>
        <v>360</v>
      </c>
      <c r="CG366" s="5">
        <f t="shared" si="64"/>
        <v>7.5</v>
      </c>
      <c r="CH366" s="5">
        <f t="shared" si="65"/>
        <v>5</v>
      </c>
      <c r="CI366" s="5">
        <f t="shared" si="66"/>
        <v>6.658171947833746</v>
      </c>
      <c r="CJ366" s="2">
        <f t="shared" si="67"/>
        <v>7850</v>
      </c>
      <c r="CK366" s="48"/>
      <c r="CZ366" s="2"/>
      <c r="DA366" s="2"/>
      <c r="DB366" s="2"/>
      <c r="DC366" s="2"/>
      <c r="DD366" s="21"/>
    </row>
    <row r="367" spans="79:110" x14ac:dyDescent="0.25">
      <c r="CA367" s="2" t="str">
        <f t="shared" si="62"/>
        <v>Hộp-60x120x2.7</v>
      </c>
      <c r="CB367" s="19">
        <v>7.3500000000000005</v>
      </c>
      <c r="CC367" s="19">
        <v>60</v>
      </c>
      <c r="CD367" s="19">
        <v>120</v>
      </c>
      <c r="CE367" s="20" t="s">
        <v>80</v>
      </c>
      <c r="CF367" s="5">
        <f t="shared" si="63"/>
        <v>360</v>
      </c>
      <c r="CG367" s="5">
        <f t="shared" si="64"/>
        <v>8.1000000000000014</v>
      </c>
      <c r="CH367" s="5">
        <f t="shared" si="65"/>
        <v>5.4</v>
      </c>
      <c r="CI367" s="5">
        <f t="shared" si="66"/>
        <v>7.1556757599532812</v>
      </c>
      <c r="CJ367" s="2">
        <f t="shared" si="67"/>
        <v>7850</v>
      </c>
      <c r="CK367" s="48"/>
      <c r="CZ367" s="2"/>
      <c r="DA367" s="2"/>
      <c r="DB367" s="2"/>
      <c r="DC367" s="2"/>
      <c r="DD367" s="21"/>
    </row>
    <row r="368" spans="79:110" x14ac:dyDescent="0.25">
      <c r="CA368" s="2" t="str">
        <f t="shared" si="62"/>
        <v>Hộp-60x120x2.8</v>
      </c>
      <c r="CB368" s="19">
        <v>7.6166666666666671</v>
      </c>
      <c r="CC368" s="19">
        <v>60</v>
      </c>
      <c r="CD368" s="19">
        <v>120</v>
      </c>
      <c r="CE368" s="20" t="s">
        <v>81</v>
      </c>
      <c r="CF368" s="5">
        <f t="shared" si="63"/>
        <v>360</v>
      </c>
      <c r="CG368" s="5">
        <f t="shared" si="64"/>
        <v>8.3999999999999986</v>
      </c>
      <c r="CH368" s="5">
        <f t="shared" si="65"/>
        <v>5.6</v>
      </c>
      <c r="CI368" s="5">
        <f t="shared" si="66"/>
        <v>7.4024748913626519</v>
      </c>
      <c r="CJ368" s="2">
        <f t="shared" si="67"/>
        <v>7850</v>
      </c>
      <c r="CK368" s="48"/>
      <c r="CZ368" s="2"/>
      <c r="DA368" s="2"/>
      <c r="DB368" s="2"/>
      <c r="DC368" s="2"/>
      <c r="DD368" s="21"/>
    </row>
    <row r="369" spans="79:108" x14ac:dyDescent="0.25">
      <c r="CA369" s="2" t="str">
        <f t="shared" si="62"/>
        <v>Hộp-60x120x2.9</v>
      </c>
      <c r="CB369" s="19">
        <v>7.8833333333333329</v>
      </c>
      <c r="CC369" s="19">
        <v>60</v>
      </c>
      <c r="CD369" s="19">
        <v>120</v>
      </c>
      <c r="CE369" s="20" t="s">
        <v>82</v>
      </c>
      <c r="CF369" s="5">
        <f t="shared" si="63"/>
        <v>360</v>
      </c>
      <c r="CG369" s="5">
        <f t="shared" si="64"/>
        <v>8.6999999999999993</v>
      </c>
      <c r="CH369" s="5">
        <f t="shared" si="65"/>
        <v>5.8</v>
      </c>
      <c r="CI369" s="5">
        <f t="shared" si="66"/>
        <v>7.6479721730050887</v>
      </c>
      <c r="CJ369" s="2">
        <f t="shared" si="67"/>
        <v>7850</v>
      </c>
      <c r="CK369" s="48"/>
      <c r="CZ369" s="2"/>
      <c r="DA369" s="2"/>
      <c r="DB369" s="2"/>
      <c r="DC369" s="2"/>
      <c r="DD369" s="21"/>
    </row>
    <row r="370" spans="79:108" x14ac:dyDescent="0.25">
      <c r="CA370" s="2" t="str">
        <f t="shared" si="62"/>
        <v>Hộp-60x120x3</v>
      </c>
      <c r="CB370" s="19">
        <v>8.1333333333333329</v>
      </c>
      <c r="CC370" s="19">
        <v>60</v>
      </c>
      <c r="CD370" s="19">
        <v>120</v>
      </c>
      <c r="CE370" s="20" t="s">
        <v>83</v>
      </c>
      <c r="CF370" s="5">
        <f t="shared" si="63"/>
        <v>360</v>
      </c>
      <c r="CG370" s="5">
        <f t="shared" si="64"/>
        <v>9</v>
      </c>
      <c r="CH370" s="5">
        <f t="shared" si="65"/>
        <v>6</v>
      </c>
      <c r="CI370" s="5">
        <f t="shared" si="66"/>
        <v>7.8921676048805942</v>
      </c>
      <c r="CJ370" s="2">
        <f t="shared" si="67"/>
        <v>7850</v>
      </c>
      <c r="CK370" s="48"/>
      <c r="CZ370" s="2"/>
      <c r="DA370" s="2"/>
      <c r="DB370" s="2"/>
      <c r="DC370" s="2"/>
      <c r="DD370" s="21"/>
    </row>
    <row r="371" spans="79:108" x14ac:dyDescent="0.25">
      <c r="CA371" s="2" t="str">
        <f t="shared" si="62"/>
        <v>Hộp-60x120x3.1</v>
      </c>
      <c r="CB371" s="19">
        <v>8.4</v>
      </c>
      <c r="CC371" s="19">
        <v>60</v>
      </c>
      <c r="CD371" s="19">
        <v>120</v>
      </c>
      <c r="CE371" s="20" t="s">
        <v>84</v>
      </c>
      <c r="CF371" s="5">
        <f t="shared" si="63"/>
        <v>360</v>
      </c>
      <c r="CG371" s="5">
        <f t="shared" si="64"/>
        <v>9.3000000000000007</v>
      </c>
      <c r="CH371" s="5">
        <f t="shared" si="65"/>
        <v>6.2</v>
      </c>
      <c r="CI371" s="5">
        <f t="shared" si="66"/>
        <v>8.1350611869891694</v>
      </c>
      <c r="CJ371" s="2">
        <f t="shared" si="67"/>
        <v>7850</v>
      </c>
      <c r="CK371" s="48"/>
      <c r="CZ371" s="2"/>
      <c r="DA371" s="2"/>
      <c r="DB371" s="2"/>
      <c r="DC371" s="2"/>
      <c r="DD371" s="21"/>
    </row>
    <row r="372" spans="79:108" x14ac:dyDescent="0.25">
      <c r="CA372" s="2" t="str">
        <f t="shared" si="62"/>
        <v>Hộp-60x120x3.2</v>
      </c>
      <c r="CB372" s="19">
        <v>8.65</v>
      </c>
      <c r="CC372" s="19">
        <v>60</v>
      </c>
      <c r="CD372" s="19">
        <v>120</v>
      </c>
      <c r="CE372" s="20" t="s">
        <v>85</v>
      </c>
      <c r="CF372" s="5">
        <f t="shared" si="63"/>
        <v>360</v>
      </c>
      <c r="CG372" s="5">
        <f t="shared" si="64"/>
        <v>9.6000000000000014</v>
      </c>
      <c r="CH372" s="5">
        <f t="shared" si="65"/>
        <v>6.4</v>
      </c>
      <c r="CI372" s="5">
        <f t="shared" si="66"/>
        <v>8.3766529193308088</v>
      </c>
      <c r="CJ372" s="2">
        <f t="shared" si="67"/>
        <v>7850</v>
      </c>
      <c r="CK372" s="48"/>
      <c r="CZ372" s="2"/>
      <c r="DA372" s="2"/>
      <c r="DB372" s="2"/>
      <c r="DC372" s="2"/>
      <c r="DD372" s="21"/>
    </row>
    <row r="373" spans="79:108" x14ac:dyDescent="0.25">
      <c r="CA373" s="2" t="str">
        <f t="shared" si="62"/>
        <v>Hộp-60x120x3.4</v>
      </c>
      <c r="CB373" s="19">
        <v>9.1666666666666661</v>
      </c>
      <c r="CC373" s="19">
        <v>60</v>
      </c>
      <c r="CD373" s="19">
        <v>120</v>
      </c>
      <c r="CE373" s="20" t="s">
        <v>87</v>
      </c>
      <c r="CF373" s="5">
        <f t="shared" si="63"/>
        <v>360</v>
      </c>
      <c r="CG373" s="5">
        <f t="shared" si="64"/>
        <v>10.199999999999999</v>
      </c>
      <c r="CH373" s="5">
        <f t="shared" si="65"/>
        <v>6.8</v>
      </c>
      <c r="CI373" s="5">
        <f t="shared" si="66"/>
        <v>8.8559308347132966</v>
      </c>
      <c r="CJ373" s="2">
        <f t="shared" si="67"/>
        <v>7850</v>
      </c>
      <c r="CK373" s="48"/>
      <c r="CZ373" s="2"/>
      <c r="DA373" s="2"/>
      <c r="DB373" s="2"/>
      <c r="DC373" s="2"/>
      <c r="DD373" s="21"/>
    </row>
    <row r="374" spans="79:108" x14ac:dyDescent="0.25">
      <c r="CA374" s="2" t="str">
        <f t="shared" si="62"/>
        <v>Hộp-60x120x3.5</v>
      </c>
      <c r="CB374" s="19">
        <v>9.4333333333333336</v>
      </c>
      <c r="CC374" s="19">
        <v>60</v>
      </c>
      <c r="CD374" s="19">
        <v>120</v>
      </c>
      <c r="CE374" s="20" t="s">
        <v>88</v>
      </c>
      <c r="CF374" s="5">
        <f t="shared" si="63"/>
        <v>360</v>
      </c>
      <c r="CG374" s="5">
        <f t="shared" si="64"/>
        <v>10.5</v>
      </c>
      <c r="CH374" s="5">
        <f t="shared" si="65"/>
        <v>7</v>
      </c>
      <c r="CI374" s="5">
        <f t="shared" si="66"/>
        <v>9.0936170177541413</v>
      </c>
      <c r="CJ374" s="2">
        <f t="shared" si="67"/>
        <v>7850</v>
      </c>
      <c r="CK374" s="48"/>
      <c r="CZ374" s="2"/>
      <c r="DA374" s="2"/>
      <c r="DB374" s="2"/>
      <c r="DC374" s="2"/>
      <c r="DD374" s="21"/>
    </row>
    <row r="375" spans="79:108" x14ac:dyDescent="0.25">
      <c r="CA375" s="2" t="str">
        <f t="shared" si="62"/>
        <v>Hộp-60x120x3.7</v>
      </c>
      <c r="CB375" s="19">
        <v>9.9333333333333336</v>
      </c>
      <c r="CC375" s="19">
        <v>60</v>
      </c>
      <c r="CD375" s="19">
        <v>120</v>
      </c>
      <c r="CE375" s="20" t="s">
        <v>89</v>
      </c>
      <c r="CF375" s="5">
        <f t="shared" si="63"/>
        <v>360</v>
      </c>
      <c r="CG375" s="5">
        <f t="shared" si="64"/>
        <v>11.100000000000001</v>
      </c>
      <c r="CH375" s="5">
        <f t="shared" si="65"/>
        <v>7.4</v>
      </c>
      <c r="CI375" s="5">
        <f t="shared" si="66"/>
        <v>9.5650838345350397</v>
      </c>
      <c r="CJ375" s="2">
        <f t="shared" si="67"/>
        <v>7850</v>
      </c>
      <c r="CK375" s="48"/>
      <c r="CZ375" s="2"/>
      <c r="DA375" s="2"/>
      <c r="DB375" s="2"/>
      <c r="DC375" s="2"/>
      <c r="DD375" s="21"/>
    </row>
    <row r="376" spans="79:108" x14ac:dyDescent="0.25">
      <c r="CA376" s="2" t="str">
        <f t="shared" si="62"/>
        <v>Hộp-60x120x3.8</v>
      </c>
      <c r="CB376" s="19">
        <v>10.200000000000001</v>
      </c>
      <c r="CC376" s="19">
        <v>60</v>
      </c>
      <c r="CD376" s="19">
        <v>120</v>
      </c>
      <c r="CE376" s="20" t="s">
        <v>90</v>
      </c>
      <c r="CF376" s="5">
        <f t="shared" si="63"/>
        <v>360</v>
      </c>
      <c r="CG376" s="5">
        <f t="shared" si="64"/>
        <v>11.399999999999999</v>
      </c>
      <c r="CH376" s="5">
        <f t="shared" si="65"/>
        <v>7.6</v>
      </c>
      <c r="CI376" s="5">
        <f t="shared" si="66"/>
        <v>9.7988644682750863</v>
      </c>
      <c r="CJ376" s="2">
        <f t="shared" si="67"/>
        <v>7850</v>
      </c>
      <c r="CK376" s="48"/>
      <c r="CZ376" s="2"/>
      <c r="DA376" s="2"/>
      <c r="DB376" s="2"/>
      <c r="DC376" s="2"/>
      <c r="DD376" s="21"/>
    </row>
    <row r="377" spans="79:108" x14ac:dyDescent="0.25">
      <c r="CA377" s="2" t="str">
        <f t="shared" si="62"/>
        <v>Hộp-60x120x3.9</v>
      </c>
      <c r="CB377" s="19">
        <v>10.450000000000001</v>
      </c>
      <c r="CC377" s="19">
        <v>60</v>
      </c>
      <c r="CD377" s="19">
        <v>120</v>
      </c>
      <c r="CE377" s="20" t="s">
        <v>91</v>
      </c>
      <c r="CF377" s="5">
        <f t="shared" si="63"/>
        <v>360</v>
      </c>
      <c r="CG377" s="5">
        <f t="shared" si="64"/>
        <v>11.7</v>
      </c>
      <c r="CH377" s="5">
        <f t="shared" si="65"/>
        <v>7.8</v>
      </c>
      <c r="CI377" s="5">
        <f t="shared" si="66"/>
        <v>10.031343252248202</v>
      </c>
      <c r="CJ377" s="2">
        <f t="shared" si="67"/>
        <v>7850</v>
      </c>
      <c r="CK377" s="48"/>
      <c r="CZ377" s="2"/>
      <c r="DA377" s="2"/>
      <c r="DB377" s="2"/>
      <c r="DC377" s="2"/>
      <c r="DD377" s="21"/>
    </row>
    <row r="378" spans="79:108" x14ac:dyDescent="0.25">
      <c r="CA378" s="2" t="str">
        <f t="shared" si="62"/>
        <v>Hộp-60x120x4</v>
      </c>
      <c r="CB378" s="19">
        <v>10.700000000000001</v>
      </c>
      <c r="CC378" s="19">
        <v>60</v>
      </c>
      <c r="CD378" s="19">
        <v>120</v>
      </c>
      <c r="CE378" s="20" t="s">
        <v>25</v>
      </c>
      <c r="CF378" s="5">
        <f t="shared" si="63"/>
        <v>360</v>
      </c>
      <c r="CG378" s="5">
        <f t="shared" si="64"/>
        <v>12</v>
      </c>
      <c r="CH378" s="5">
        <f t="shared" si="65"/>
        <v>8</v>
      </c>
      <c r="CI378" s="5">
        <f t="shared" si="66"/>
        <v>10.26252018645439</v>
      </c>
      <c r="CJ378" s="2">
        <f t="shared" si="67"/>
        <v>7850</v>
      </c>
      <c r="CK378" s="48"/>
      <c r="CZ378" s="2"/>
      <c r="DA378" s="2"/>
      <c r="DB378" s="2"/>
      <c r="DC378" s="2"/>
      <c r="DD378" s="21"/>
    </row>
    <row r="379" spans="79:108" x14ac:dyDescent="0.25">
      <c r="CA379" s="2" t="str">
        <f t="shared" si="62"/>
        <v>Hộp-100x1.8</v>
      </c>
      <c r="CB379" s="19">
        <v>5.53</v>
      </c>
      <c r="CC379" s="19">
        <v>100</v>
      </c>
      <c r="CD379" s="19">
        <v>100</v>
      </c>
      <c r="CE379" s="20" t="s">
        <v>72</v>
      </c>
      <c r="CF379" s="5">
        <f t="shared" si="63"/>
        <v>400</v>
      </c>
      <c r="CG379" s="5">
        <f t="shared" si="64"/>
        <v>5.4</v>
      </c>
      <c r="CH379" s="5">
        <f t="shared" si="65"/>
        <v>3.6</v>
      </c>
      <c r="CI379" s="5">
        <f t="shared" si="66"/>
        <v>5.441100337757014</v>
      </c>
      <c r="CJ379" s="2">
        <f t="shared" si="67"/>
        <v>7850</v>
      </c>
      <c r="CK379" s="48"/>
      <c r="CZ379" s="2"/>
      <c r="DA379" s="2"/>
      <c r="DB379" s="2"/>
      <c r="DC379" s="2"/>
      <c r="DD379" s="21"/>
    </row>
    <row r="380" spans="79:108" x14ac:dyDescent="0.25">
      <c r="CA380" s="2" t="str">
        <f t="shared" si="62"/>
        <v>Hộp-100x1.9</v>
      </c>
      <c r="CB380" s="19">
        <v>5.8299999999999992</v>
      </c>
      <c r="CC380" s="19">
        <v>100</v>
      </c>
      <c r="CD380" s="19">
        <v>100</v>
      </c>
      <c r="CE380" s="20" t="s">
        <v>73</v>
      </c>
      <c r="CF380" s="5">
        <f t="shared" si="63"/>
        <v>400</v>
      </c>
      <c r="CG380" s="5">
        <f t="shared" si="64"/>
        <v>5.6999999999999993</v>
      </c>
      <c r="CH380" s="5">
        <f t="shared" si="65"/>
        <v>3.8</v>
      </c>
      <c r="CI380" s="5">
        <f t="shared" si="66"/>
        <v>5.731016117068771</v>
      </c>
      <c r="CJ380" s="2">
        <f t="shared" si="67"/>
        <v>7850</v>
      </c>
      <c r="CK380" s="48"/>
      <c r="CZ380" s="2"/>
      <c r="DA380" s="2"/>
      <c r="DB380" s="2"/>
      <c r="DC380" s="2"/>
      <c r="DD380" s="21"/>
    </row>
    <row r="381" spans="79:108" x14ac:dyDescent="0.25">
      <c r="CA381" s="2" t="str">
        <f t="shared" si="62"/>
        <v>Hộp-100x2</v>
      </c>
      <c r="CB381" s="19">
        <v>6.13</v>
      </c>
      <c r="CC381" s="19">
        <v>100</v>
      </c>
      <c r="CD381" s="19">
        <v>100</v>
      </c>
      <c r="CE381" s="20" t="s">
        <v>74</v>
      </c>
      <c r="CF381" s="5">
        <f t="shared" si="63"/>
        <v>400</v>
      </c>
      <c r="CG381" s="5">
        <f t="shared" si="64"/>
        <v>6</v>
      </c>
      <c r="CH381" s="5">
        <f t="shared" si="65"/>
        <v>4</v>
      </c>
      <c r="CI381" s="5">
        <f t="shared" si="66"/>
        <v>6.0196300466135977</v>
      </c>
      <c r="CJ381" s="2">
        <f t="shared" si="67"/>
        <v>7850</v>
      </c>
      <c r="CK381" s="48"/>
      <c r="CZ381" s="2"/>
      <c r="DA381" s="2"/>
      <c r="DB381" s="2"/>
      <c r="DC381" s="2"/>
      <c r="DD381" s="21"/>
    </row>
    <row r="382" spans="79:108" x14ac:dyDescent="0.25">
      <c r="CA382" s="2" t="str">
        <f t="shared" si="62"/>
        <v>Hộp-100x2.1</v>
      </c>
      <c r="CB382" s="19">
        <v>6.4283333333333337</v>
      </c>
      <c r="CC382" s="19">
        <v>100</v>
      </c>
      <c r="CD382" s="19">
        <v>100</v>
      </c>
      <c r="CE382" s="20" t="s">
        <v>75</v>
      </c>
      <c r="CF382" s="5">
        <f t="shared" si="63"/>
        <v>400</v>
      </c>
      <c r="CG382" s="5">
        <f t="shared" si="64"/>
        <v>6.3000000000000007</v>
      </c>
      <c r="CH382" s="5">
        <f t="shared" si="65"/>
        <v>4.2</v>
      </c>
      <c r="CI382" s="5">
        <f t="shared" si="66"/>
        <v>6.3069421263914913</v>
      </c>
      <c r="CJ382" s="2">
        <f t="shared" si="67"/>
        <v>7850</v>
      </c>
      <c r="CK382" s="48"/>
      <c r="CZ382" s="2"/>
      <c r="DA382" s="2"/>
      <c r="DB382" s="2"/>
      <c r="DC382" s="2"/>
      <c r="DD382" s="21"/>
    </row>
    <row r="383" spans="79:108" x14ac:dyDescent="0.25">
      <c r="CA383" s="2" t="str">
        <f t="shared" si="62"/>
        <v>Hộp-100x2.2</v>
      </c>
      <c r="CB383" s="19">
        <v>6.7250000000000005</v>
      </c>
      <c r="CC383" s="19">
        <v>100</v>
      </c>
      <c r="CD383" s="19">
        <v>100</v>
      </c>
      <c r="CE383" s="20" t="s">
        <v>76</v>
      </c>
      <c r="CF383" s="5">
        <f t="shared" si="63"/>
        <v>400</v>
      </c>
      <c r="CG383" s="5">
        <f t="shared" si="64"/>
        <v>6.6000000000000005</v>
      </c>
      <c r="CH383" s="5">
        <f t="shared" si="65"/>
        <v>4.4000000000000004</v>
      </c>
      <c r="CI383" s="5">
        <f t="shared" si="66"/>
        <v>6.5929523564024537</v>
      </c>
      <c r="CJ383" s="2">
        <f t="shared" si="67"/>
        <v>7850</v>
      </c>
      <c r="CK383" s="48"/>
      <c r="CZ383" s="2"/>
      <c r="DA383" s="2"/>
      <c r="DB383" s="2"/>
      <c r="DC383" s="2"/>
      <c r="DD383" s="21"/>
    </row>
    <row r="384" spans="79:108" x14ac:dyDescent="0.25">
      <c r="CA384" s="2" t="str">
        <f t="shared" si="62"/>
        <v>Hộp-100x2.3</v>
      </c>
      <c r="CB384" s="19">
        <v>7.0233333333333334</v>
      </c>
      <c r="CC384" s="19">
        <v>100</v>
      </c>
      <c r="CD384" s="19">
        <v>100</v>
      </c>
      <c r="CE384" s="20" t="s">
        <v>77</v>
      </c>
      <c r="CF384" s="5">
        <f t="shared" si="63"/>
        <v>400</v>
      </c>
      <c r="CG384" s="5">
        <f t="shared" si="64"/>
        <v>6.8999999999999995</v>
      </c>
      <c r="CH384" s="5">
        <f t="shared" si="65"/>
        <v>4.5999999999999996</v>
      </c>
      <c r="CI384" s="5">
        <f t="shared" si="66"/>
        <v>6.877660736646483</v>
      </c>
      <c r="CJ384" s="2">
        <f t="shared" si="67"/>
        <v>7850</v>
      </c>
      <c r="CK384" s="48"/>
      <c r="CZ384" s="2"/>
      <c r="DA384" s="2"/>
      <c r="DB384" s="2"/>
      <c r="DC384" s="2"/>
      <c r="DD384" s="21"/>
    </row>
    <row r="385" spans="79:108" x14ac:dyDescent="0.25">
      <c r="CA385" s="2" t="str">
        <f t="shared" si="62"/>
        <v>Hộp-100x2.4</v>
      </c>
      <c r="CB385" s="19">
        <v>7.3183333333333325</v>
      </c>
      <c r="CC385" s="19">
        <v>100</v>
      </c>
      <c r="CD385" s="19">
        <v>100</v>
      </c>
      <c r="CE385" s="20" t="s">
        <v>78</v>
      </c>
      <c r="CF385" s="5">
        <f t="shared" si="63"/>
        <v>400</v>
      </c>
      <c r="CG385" s="5">
        <f t="shared" si="64"/>
        <v>7.1999999999999993</v>
      </c>
      <c r="CH385" s="5">
        <f t="shared" si="65"/>
        <v>4.8</v>
      </c>
      <c r="CI385" s="5">
        <f t="shared" si="66"/>
        <v>7.1610672671235793</v>
      </c>
      <c r="CJ385" s="2">
        <f t="shared" si="67"/>
        <v>7850</v>
      </c>
      <c r="CK385" s="48"/>
      <c r="CZ385" s="2"/>
      <c r="DA385" s="2"/>
      <c r="DB385" s="2"/>
      <c r="DC385" s="2"/>
      <c r="DD385" s="21"/>
    </row>
    <row r="386" spans="79:108" x14ac:dyDescent="0.25">
      <c r="CA386" s="2" t="str">
        <f t="shared" si="62"/>
        <v>Hộp-100x2.5</v>
      </c>
      <c r="CB386" s="19">
        <v>7.6149999999999993</v>
      </c>
      <c r="CC386" s="19">
        <v>100</v>
      </c>
      <c r="CD386" s="19">
        <v>100</v>
      </c>
      <c r="CE386" s="20" t="s">
        <v>79</v>
      </c>
      <c r="CF386" s="5">
        <f t="shared" si="63"/>
        <v>400</v>
      </c>
      <c r="CG386" s="5">
        <f t="shared" si="64"/>
        <v>7.5</v>
      </c>
      <c r="CH386" s="5">
        <f t="shared" si="65"/>
        <v>5</v>
      </c>
      <c r="CI386" s="5">
        <f t="shared" si="66"/>
        <v>7.4431719478337461</v>
      </c>
      <c r="CJ386" s="2">
        <f t="shared" si="67"/>
        <v>7850</v>
      </c>
      <c r="CK386" s="48"/>
      <c r="CZ386" s="2"/>
      <c r="DA386" s="2"/>
      <c r="DB386" s="2"/>
      <c r="DC386" s="2"/>
      <c r="DD386" s="21"/>
    </row>
    <row r="387" spans="79:108" x14ac:dyDescent="0.25">
      <c r="CA387" s="2" t="str">
        <f t="shared" si="62"/>
        <v>Hộp-100x2.7</v>
      </c>
      <c r="CB387" s="19">
        <v>8.2033333333333331</v>
      </c>
      <c r="CC387" s="19">
        <v>100</v>
      </c>
      <c r="CD387" s="19">
        <v>100</v>
      </c>
      <c r="CE387" s="20" t="s">
        <v>80</v>
      </c>
      <c r="CF387" s="5">
        <f t="shared" si="63"/>
        <v>400</v>
      </c>
      <c r="CG387" s="5">
        <f t="shared" si="64"/>
        <v>8.1000000000000014</v>
      </c>
      <c r="CH387" s="5">
        <f t="shared" si="65"/>
        <v>5.4</v>
      </c>
      <c r="CI387" s="5">
        <f t="shared" si="66"/>
        <v>8.0034757599532824</v>
      </c>
      <c r="CJ387" s="2">
        <f t="shared" si="67"/>
        <v>7850</v>
      </c>
      <c r="CK387" s="48"/>
      <c r="CZ387" s="2"/>
      <c r="DA387" s="2"/>
      <c r="DB387" s="2"/>
      <c r="DC387" s="2"/>
      <c r="DD387" s="21"/>
    </row>
    <row r="388" spans="79:108" x14ac:dyDescent="0.25">
      <c r="CA388" s="2" t="str">
        <f t="shared" ref="CA388:CA444" si="70">$CA$2&amp;"-"&amp;IF(CC388=CD388,CD388&amp;"x"&amp;CE388,CC388&amp;"x"&amp;CD388&amp;"x"&amp;CE388)</f>
        <v>Hộp-100x2.8</v>
      </c>
      <c r="CB388" s="19">
        <v>8.4966666666666661</v>
      </c>
      <c r="CC388" s="19">
        <v>100</v>
      </c>
      <c r="CD388" s="19">
        <v>100</v>
      </c>
      <c r="CE388" s="20" t="s">
        <v>81</v>
      </c>
      <c r="CF388" s="5">
        <f t="shared" ref="CF388:CF444" si="71">2*(CC388+CD388)</f>
        <v>400</v>
      </c>
      <c r="CG388" s="5">
        <f t="shared" ref="CG388:CG451" si="72">IF(CE388&lt;=6,2,IF(CE388&lt;=10,2.5,3))*CE388</f>
        <v>8.3999999999999986</v>
      </c>
      <c r="CH388" s="5">
        <f t="shared" ref="CH388:CH451" si="73">IF(CE388&lt;=6,1,IF(CE388&lt;=10,1.5,2))*CE388</f>
        <v>5.6</v>
      </c>
      <c r="CI388" s="5">
        <f t="shared" ref="CI388:CI451" si="74">(2*CE388*(CC388+CD388-2*CE388)-(4-PI())*(CG388^2-CH388^2))/1000000*CJ388</f>
        <v>8.2816748913626501</v>
      </c>
      <c r="CJ388" s="2">
        <f t="shared" ref="CJ388:CJ451" si="75">IF(LEFT(CA388,4)="Inox",7930,7850)</f>
        <v>7850</v>
      </c>
      <c r="CK388" s="48"/>
      <c r="CZ388" s="2"/>
      <c r="DA388" s="2"/>
      <c r="DB388" s="2"/>
      <c r="DC388" s="2"/>
      <c r="DD388" s="21"/>
    </row>
    <row r="389" spans="79:108" x14ac:dyDescent="0.25">
      <c r="CA389" s="2" t="str">
        <f t="shared" si="70"/>
        <v>Hộp-100x2.9</v>
      </c>
      <c r="CB389" s="19">
        <v>8.7883333333333322</v>
      </c>
      <c r="CC389" s="19">
        <v>100</v>
      </c>
      <c r="CD389" s="19">
        <v>100</v>
      </c>
      <c r="CE389" s="20" t="s">
        <v>82</v>
      </c>
      <c r="CF389" s="5">
        <f t="shared" si="71"/>
        <v>400</v>
      </c>
      <c r="CG389" s="5">
        <f t="shared" si="72"/>
        <v>8.6999999999999993</v>
      </c>
      <c r="CH389" s="5">
        <f t="shared" si="73"/>
        <v>5.8</v>
      </c>
      <c r="CI389" s="5">
        <f t="shared" si="74"/>
        <v>8.5585721730050892</v>
      </c>
      <c r="CJ389" s="2">
        <f t="shared" si="75"/>
        <v>7850</v>
      </c>
      <c r="CK389" s="48"/>
      <c r="CZ389" s="2"/>
      <c r="DA389" s="2"/>
      <c r="DB389" s="2"/>
      <c r="DC389" s="2"/>
      <c r="DD389" s="21"/>
    </row>
    <row r="390" spans="79:108" x14ac:dyDescent="0.25">
      <c r="CA390" s="2" t="str">
        <f t="shared" si="70"/>
        <v>Hộp-100x3</v>
      </c>
      <c r="CB390" s="19">
        <v>9.081666666666667</v>
      </c>
      <c r="CC390" s="19">
        <v>100</v>
      </c>
      <c r="CD390" s="19">
        <v>100</v>
      </c>
      <c r="CE390" s="20" t="s">
        <v>83</v>
      </c>
      <c r="CF390" s="5">
        <f t="shared" si="71"/>
        <v>400</v>
      </c>
      <c r="CG390" s="5">
        <f t="shared" si="72"/>
        <v>9</v>
      </c>
      <c r="CH390" s="5">
        <f t="shared" si="73"/>
        <v>6</v>
      </c>
      <c r="CI390" s="5">
        <f t="shared" si="74"/>
        <v>8.8341676048805944</v>
      </c>
      <c r="CJ390" s="2">
        <f t="shared" si="75"/>
        <v>7850</v>
      </c>
      <c r="CK390" s="48"/>
      <c r="CZ390" s="2"/>
      <c r="DA390" s="2"/>
      <c r="DB390" s="2"/>
      <c r="DC390" s="2"/>
      <c r="DD390" s="21"/>
    </row>
    <row r="391" spans="79:108" x14ac:dyDescent="0.25">
      <c r="CA391" s="2" t="str">
        <f t="shared" si="70"/>
        <v>Hộp-100x3.1</v>
      </c>
      <c r="CB391" s="19">
        <v>9.3716666666666661</v>
      </c>
      <c r="CC391" s="19">
        <v>100</v>
      </c>
      <c r="CD391" s="19">
        <v>100</v>
      </c>
      <c r="CE391" s="20" t="s">
        <v>84</v>
      </c>
      <c r="CF391" s="5">
        <f t="shared" si="71"/>
        <v>400</v>
      </c>
      <c r="CG391" s="5">
        <f t="shared" si="72"/>
        <v>9.3000000000000007</v>
      </c>
      <c r="CH391" s="5">
        <f t="shared" si="73"/>
        <v>6.2</v>
      </c>
      <c r="CI391" s="5">
        <f t="shared" si="74"/>
        <v>9.108461186989171</v>
      </c>
      <c r="CJ391" s="2">
        <f t="shared" si="75"/>
        <v>7850</v>
      </c>
      <c r="CK391" s="48"/>
      <c r="CZ391" s="2"/>
      <c r="DA391" s="2"/>
      <c r="DB391" s="2"/>
      <c r="DC391" s="2"/>
      <c r="DD391" s="21"/>
    </row>
    <row r="392" spans="79:108" x14ac:dyDescent="0.25">
      <c r="CA392" s="2" t="str">
        <f t="shared" si="70"/>
        <v>Hộp-100x3.2</v>
      </c>
      <c r="CB392" s="19">
        <v>9.6616666666666671</v>
      </c>
      <c r="CC392" s="19">
        <v>100</v>
      </c>
      <c r="CD392" s="19">
        <v>100</v>
      </c>
      <c r="CE392" s="20" t="s">
        <v>85</v>
      </c>
      <c r="CF392" s="5">
        <f t="shared" si="71"/>
        <v>400</v>
      </c>
      <c r="CG392" s="5">
        <f t="shared" si="72"/>
        <v>9.6000000000000014</v>
      </c>
      <c r="CH392" s="5">
        <f t="shared" si="73"/>
        <v>6.4</v>
      </c>
      <c r="CI392" s="5">
        <f t="shared" si="74"/>
        <v>9.38145291933081</v>
      </c>
      <c r="CJ392" s="2">
        <f t="shared" si="75"/>
        <v>7850</v>
      </c>
      <c r="CK392" s="48"/>
      <c r="CZ392" s="2"/>
      <c r="DA392" s="2"/>
      <c r="DB392" s="2"/>
      <c r="DC392" s="2"/>
      <c r="DD392" s="21"/>
    </row>
    <row r="393" spans="79:108" x14ac:dyDescent="0.25">
      <c r="CA393" s="2" t="str">
        <f t="shared" si="70"/>
        <v>Hộp-100x3.4</v>
      </c>
      <c r="CB393" s="19">
        <v>10.24</v>
      </c>
      <c r="CC393" s="19">
        <v>100</v>
      </c>
      <c r="CD393" s="19">
        <v>100</v>
      </c>
      <c r="CE393" s="20" t="s">
        <v>87</v>
      </c>
      <c r="CF393" s="5">
        <f t="shared" si="71"/>
        <v>400</v>
      </c>
      <c r="CG393" s="5">
        <f t="shared" si="72"/>
        <v>10.199999999999999</v>
      </c>
      <c r="CH393" s="5">
        <f t="shared" si="73"/>
        <v>6.8</v>
      </c>
      <c r="CI393" s="5">
        <f t="shared" si="74"/>
        <v>9.9235308347132971</v>
      </c>
      <c r="CJ393" s="2">
        <f t="shared" si="75"/>
        <v>7850</v>
      </c>
      <c r="CK393" s="48"/>
      <c r="CZ393" s="2"/>
      <c r="DA393" s="2"/>
      <c r="DB393" s="2"/>
      <c r="DC393" s="2"/>
      <c r="DD393" s="21"/>
    </row>
    <row r="394" spans="79:108" x14ac:dyDescent="0.25">
      <c r="CA394" s="2" t="str">
        <f t="shared" si="70"/>
        <v>Hộp-100x3.5</v>
      </c>
      <c r="CB394" s="19">
        <v>10.528333333333334</v>
      </c>
      <c r="CC394" s="19">
        <v>100</v>
      </c>
      <c r="CD394" s="19">
        <v>100</v>
      </c>
      <c r="CE394" s="20" t="s">
        <v>88</v>
      </c>
      <c r="CF394" s="5">
        <f t="shared" si="71"/>
        <v>400</v>
      </c>
      <c r="CG394" s="5">
        <f t="shared" si="72"/>
        <v>10.5</v>
      </c>
      <c r="CH394" s="5">
        <f t="shared" si="73"/>
        <v>7</v>
      </c>
      <c r="CI394" s="5">
        <f t="shared" si="74"/>
        <v>10.192617017754143</v>
      </c>
      <c r="CJ394" s="2">
        <f t="shared" si="75"/>
        <v>7850</v>
      </c>
      <c r="CK394" s="48"/>
      <c r="CZ394" s="2"/>
      <c r="DA394" s="2"/>
      <c r="DB394" s="2"/>
      <c r="DC394" s="2"/>
      <c r="DD394" s="21"/>
    </row>
    <row r="395" spans="79:108" x14ac:dyDescent="0.25">
      <c r="CA395" s="2" t="str">
        <f t="shared" si="70"/>
        <v>Hộp-100x3.7</v>
      </c>
      <c r="CB395" s="19">
        <v>11.101666666666667</v>
      </c>
      <c r="CC395" s="19">
        <v>100</v>
      </c>
      <c r="CD395" s="19">
        <v>100</v>
      </c>
      <c r="CE395" s="20" t="s">
        <v>89</v>
      </c>
      <c r="CF395" s="5">
        <f t="shared" si="71"/>
        <v>400</v>
      </c>
      <c r="CG395" s="5">
        <f t="shared" si="72"/>
        <v>11.100000000000001</v>
      </c>
      <c r="CH395" s="5">
        <f t="shared" si="73"/>
        <v>7.4</v>
      </c>
      <c r="CI395" s="5">
        <f t="shared" si="74"/>
        <v>10.726883834535037</v>
      </c>
      <c r="CJ395" s="2">
        <f t="shared" si="75"/>
        <v>7850</v>
      </c>
      <c r="CK395" s="48"/>
      <c r="CZ395" s="2"/>
      <c r="DA395" s="2"/>
      <c r="DB395" s="2"/>
      <c r="DC395" s="2"/>
      <c r="DD395" s="21"/>
    </row>
    <row r="396" spans="79:108" x14ac:dyDescent="0.25">
      <c r="CA396" s="2" t="str">
        <f t="shared" si="70"/>
        <v>Hộp-100x3.8</v>
      </c>
      <c r="CB396" s="19">
        <v>11.388333333333334</v>
      </c>
      <c r="CC396" s="19">
        <v>100</v>
      </c>
      <c r="CD396" s="19">
        <v>100</v>
      </c>
      <c r="CE396" s="20" t="s">
        <v>90</v>
      </c>
      <c r="CF396" s="5">
        <f t="shared" si="71"/>
        <v>400</v>
      </c>
      <c r="CG396" s="5">
        <f t="shared" si="72"/>
        <v>11.399999999999999</v>
      </c>
      <c r="CH396" s="5">
        <f t="shared" si="73"/>
        <v>7.6</v>
      </c>
      <c r="CI396" s="5">
        <f t="shared" si="74"/>
        <v>10.992064468275085</v>
      </c>
      <c r="CJ396" s="2">
        <f t="shared" si="75"/>
        <v>7850</v>
      </c>
      <c r="CK396" s="48"/>
      <c r="CZ396" s="2"/>
      <c r="DA396" s="2"/>
      <c r="DB396" s="2"/>
      <c r="DC396" s="2"/>
      <c r="DD396" s="21"/>
    </row>
    <row r="397" spans="79:108" x14ac:dyDescent="0.25">
      <c r="CA397" s="2" t="str">
        <f t="shared" si="70"/>
        <v>Hộp-100x3.9</v>
      </c>
      <c r="CB397" s="19">
        <v>11.673333333333334</v>
      </c>
      <c r="CC397" s="19">
        <v>100</v>
      </c>
      <c r="CD397" s="19">
        <v>100</v>
      </c>
      <c r="CE397" s="20" t="s">
        <v>91</v>
      </c>
      <c r="CF397" s="5">
        <f t="shared" si="71"/>
        <v>400</v>
      </c>
      <c r="CG397" s="5">
        <f t="shared" si="72"/>
        <v>11.7</v>
      </c>
      <c r="CH397" s="5">
        <f t="shared" si="73"/>
        <v>7.8</v>
      </c>
      <c r="CI397" s="5">
        <f t="shared" si="74"/>
        <v>11.255943252248203</v>
      </c>
      <c r="CJ397" s="2">
        <f t="shared" si="75"/>
        <v>7850</v>
      </c>
      <c r="CK397" s="48"/>
      <c r="CZ397" s="2"/>
      <c r="DA397" s="2"/>
      <c r="DB397" s="2"/>
      <c r="DC397" s="2"/>
      <c r="DD397" s="21"/>
    </row>
    <row r="398" spans="79:108" x14ac:dyDescent="0.25">
      <c r="CA398" s="2" t="str">
        <f t="shared" si="70"/>
        <v>Hộp-100x4</v>
      </c>
      <c r="CB398" s="19">
        <v>11.956666666666665</v>
      </c>
      <c r="CC398" s="19">
        <v>100</v>
      </c>
      <c r="CD398" s="19">
        <v>100</v>
      </c>
      <c r="CE398" s="20" t="s">
        <v>25</v>
      </c>
      <c r="CF398" s="5">
        <f t="shared" si="71"/>
        <v>400</v>
      </c>
      <c r="CG398" s="5">
        <f t="shared" si="72"/>
        <v>12</v>
      </c>
      <c r="CH398" s="5">
        <f t="shared" si="73"/>
        <v>8</v>
      </c>
      <c r="CI398" s="5">
        <f t="shared" si="74"/>
        <v>11.518520186454392</v>
      </c>
      <c r="CJ398" s="2">
        <f t="shared" si="75"/>
        <v>7850</v>
      </c>
      <c r="CK398" s="48"/>
      <c r="CZ398" s="2"/>
      <c r="DA398" s="2"/>
      <c r="DB398" s="2"/>
      <c r="DC398" s="2"/>
      <c r="DD398" s="21"/>
    </row>
    <row r="399" spans="79:108" x14ac:dyDescent="0.25">
      <c r="CA399" s="2" t="str">
        <f t="shared" si="70"/>
        <v>Hộp-100x4.5</v>
      </c>
      <c r="CB399" s="19">
        <v>13.366666666666667</v>
      </c>
      <c r="CC399" s="19">
        <v>100</v>
      </c>
      <c r="CD399" s="19">
        <v>100</v>
      </c>
      <c r="CE399" s="20" t="s">
        <v>92</v>
      </c>
      <c r="CF399" s="5">
        <f t="shared" si="71"/>
        <v>400</v>
      </c>
      <c r="CG399" s="5">
        <f t="shared" si="72"/>
        <v>13.5</v>
      </c>
      <c r="CH399" s="5">
        <f t="shared" si="73"/>
        <v>9</v>
      </c>
      <c r="CI399" s="5">
        <f t="shared" si="74"/>
        <v>12.811877110981337</v>
      </c>
      <c r="CJ399" s="2">
        <f t="shared" si="75"/>
        <v>7850</v>
      </c>
      <c r="CK399" s="48"/>
      <c r="CZ399" s="2"/>
      <c r="DA399" s="2"/>
      <c r="DB399" s="2"/>
      <c r="DC399" s="2"/>
      <c r="DD399" s="21"/>
    </row>
    <row r="400" spans="79:108" x14ac:dyDescent="0.25">
      <c r="CA400" s="2" t="str">
        <f t="shared" si="70"/>
        <v>Hộp-100x5</v>
      </c>
      <c r="CB400" s="19">
        <v>14.758333333333333</v>
      </c>
      <c r="CC400" s="19">
        <v>100</v>
      </c>
      <c r="CD400" s="19">
        <v>100</v>
      </c>
      <c r="CE400" s="20" t="s">
        <v>26</v>
      </c>
      <c r="CF400" s="5">
        <f t="shared" si="71"/>
        <v>400</v>
      </c>
      <c r="CG400" s="5">
        <f t="shared" si="72"/>
        <v>15</v>
      </c>
      <c r="CH400" s="5">
        <f t="shared" si="73"/>
        <v>10</v>
      </c>
      <c r="CI400" s="5">
        <f t="shared" si="74"/>
        <v>14.072687791334983</v>
      </c>
      <c r="CJ400" s="2">
        <f t="shared" si="75"/>
        <v>7850</v>
      </c>
      <c r="CK400" s="48"/>
      <c r="CZ400" s="2"/>
      <c r="DA400" s="2"/>
      <c r="DB400" s="2"/>
      <c r="DC400" s="2"/>
      <c r="DD400" s="21"/>
    </row>
    <row r="401" spans="79:108" x14ac:dyDescent="0.25">
      <c r="CA401" s="2" t="str">
        <f t="shared" si="70"/>
        <v>Hộp-100x150x1.8</v>
      </c>
      <c r="CB401" s="19">
        <v>6.9433333333333325</v>
      </c>
      <c r="CC401" s="19">
        <v>100</v>
      </c>
      <c r="CD401" s="19">
        <v>150</v>
      </c>
      <c r="CE401" s="20" t="s">
        <v>72</v>
      </c>
      <c r="CF401" s="5">
        <f t="shared" si="71"/>
        <v>500</v>
      </c>
      <c r="CG401" s="5">
        <f t="shared" si="72"/>
        <v>5.4</v>
      </c>
      <c r="CH401" s="5">
        <f t="shared" si="73"/>
        <v>3.6</v>
      </c>
      <c r="CI401" s="5">
        <f t="shared" si="74"/>
        <v>6.8541003377570142</v>
      </c>
      <c r="CJ401" s="2">
        <f t="shared" si="75"/>
        <v>7850</v>
      </c>
      <c r="CK401" s="48"/>
      <c r="CZ401" s="2"/>
      <c r="DA401" s="2"/>
      <c r="DB401" s="2"/>
      <c r="DC401" s="2"/>
      <c r="DD401" s="21"/>
    </row>
    <row r="402" spans="79:108" x14ac:dyDescent="0.25">
      <c r="CA402" s="2" t="str">
        <f t="shared" si="70"/>
        <v>Hộp-100x150x1.9</v>
      </c>
      <c r="CB402" s="19">
        <v>7.3216666666666663</v>
      </c>
      <c r="CC402" s="19">
        <v>100</v>
      </c>
      <c r="CD402" s="19">
        <v>150</v>
      </c>
      <c r="CE402" s="20" t="s">
        <v>73</v>
      </c>
      <c r="CF402" s="5">
        <f t="shared" si="71"/>
        <v>500</v>
      </c>
      <c r="CG402" s="5">
        <f t="shared" si="72"/>
        <v>5.6999999999999993</v>
      </c>
      <c r="CH402" s="5">
        <f t="shared" si="73"/>
        <v>3.8</v>
      </c>
      <c r="CI402" s="5">
        <f t="shared" si="74"/>
        <v>7.2225161170687713</v>
      </c>
      <c r="CJ402" s="2">
        <f t="shared" si="75"/>
        <v>7850</v>
      </c>
      <c r="CK402" s="48"/>
      <c r="CZ402" s="2"/>
      <c r="DA402" s="2"/>
      <c r="DB402" s="2"/>
      <c r="DC402" s="2"/>
      <c r="DD402" s="21"/>
    </row>
    <row r="403" spans="79:108" x14ac:dyDescent="0.25">
      <c r="CA403" s="2" t="str">
        <f t="shared" si="70"/>
        <v>Hộp-100x150x2</v>
      </c>
      <c r="CB403" s="19">
        <v>7.7</v>
      </c>
      <c r="CC403" s="19">
        <v>100</v>
      </c>
      <c r="CD403" s="19">
        <v>150</v>
      </c>
      <c r="CE403" s="20" t="s">
        <v>74</v>
      </c>
      <c r="CF403" s="5">
        <f t="shared" si="71"/>
        <v>500</v>
      </c>
      <c r="CG403" s="5">
        <f t="shared" si="72"/>
        <v>6</v>
      </c>
      <c r="CH403" s="5">
        <f t="shared" si="73"/>
        <v>4</v>
      </c>
      <c r="CI403" s="5">
        <f t="shared" si="74"/>
        <v>7.5896300466135971</v>
      </c>
      <c r="CJ403" s="2">
        <f t="shared" si="75"/>
        <v>7850</v>
      </c>
      <c r="CK403" s="48"/>
      <c r="CZ403" s="2"/>
      <c r="DA403" s="2"/>
      <c r="DB403" s="2"/>
      <c r="DC403" s="2"/>
      <c r="DD403" s="21"/>
    </row>
    <row r="404" spans="79:108" x14ac:dyDescent="0.25">
      <c r="CA404" s="2" t="str">
        <f t="shared" si="70"/>
        <v>Hộp-100x150x2.1</v>
      </c>
      <c r="CB404" s="19">
        <v>8.0766666666666662</v>
      </c>
      <c r="CC404" s="19">
        <v>100</v>
      </c>
      <c r="CD404" s="19">
        <v>150</v>
      </c>
      <c r="CE404" s="20" t="s">
        <v>75</v>
      </c>
      <c r="CF404" s="5">
        <f t="shared" si="71"/>
        <v>500</v>
      </c>
      <c r="CG404" s="5">
        <f t="shared" si="72"/>
        <v>6.3000000000000007</v>
      </c>
      <c r="CH404" s="5">
        <f t="shared" si="73"/>
        <v>4.2</v>
      </c>
      <c r="CI404" s="5">
        <f t="shared" si="74"/>
        <v>7.9554421263914916</v>
      </c>
      <c r="CJ404" s="2">
        <f t="shared" si="75"/>
        <v>7850</v>
      </c>
      <c r="CK404" s="48"/>
      <c r="CZ404" s="2"/>
      <c r="DA404" s="2"/>
      <c r="DB404" s="2"/>
      <c r="DC404" s="2"/>
      <c r="DD404" s="21"/>
    </row>
    <row r="405" spans="79:108" x14ac:dyDescent="0.25">
      <c r="CA405" s="2" t="str">
        <f t="shared" si="70"/>
        <v>Hộp-100x150x2.2</v>
      </c>
      <c r="CB405" s="19">
        <v>8.4533333333333331</v>
      </c>
      <c r="CC405" s="19">
        <v>100</v>
      </c>
      <c r="CD405" s="19">
        <v>150</v>
      </c>
      <c r="CE405" s="20" t="s">
        <v>76</v>
      </c>
      <c r="CF405" s="5">
        <f t="shared" si="71"/>
        <v>500</v>
      </c>
      <c r="CG405" s="5">
        <f t="shared" si="72"/>
        <v>6.6000000000000005</v>
      </c>
      <c r="CH405" s="5">
        <f t="shared" si="73"/>
        <v>4.4000000000000004</v>
      </c>
      <c r="CI405" s="5">
        <f t="shared" si="74"/>
        <v>8.3199523564024531</v>
      </c>
      <c r="CJ405" s="2">
        <f t="shared" si="75"/>
        <v>7850</v>
      </c>
      <c r="CK405" s="48"/>
      <c r="CZ405" s="2"/>
      <c r="DA405" s="2"/>
      <c r="DB405" s="2"/>
      <c r="DC405" s="2"/>
      <c r="DD405" s="21"/>
    </row>
    <row r="406" spans="79:108" x14ac:dyDescent="0.25">
      <c r="CA406" s="2" t="str">
        <f t="shared" si="70"/>
        <v>Hộp-100x150x2.3</v>
      </c>
      <c r="CB406" s="19">
        <v>8.8283333333333331</v>
      </c>
      <c r="CC406" s="19">
        <v>100</v>
      </c>
      <c r="CD406" s="19">
        <v>150</v>
      </c>
      <c r="CE406" s="20" t="s">
        <v>77</v>
      </c>
      <c r="CF406" s="5">
        <f t="shared" si="71"/>
        <v>500</v>
      </c>
      <c r="CG406" s="5">
        <f t="shared" si="72"/>
        <v>6.8999999999999995</v>
      </c>
      <c r="CH406" s="5">
        <f t="shared" si="73"/>
        <v>4.5999999999999996</v>
      </c>
      <c r="CI406" s="5">
        <f t="shared" si="74"/>
        <v>8.6831607366464834</v>
      </c>
      <c r="CJ406" s="2">
        <f t="shared" si="75"/>
        <v>7850</v>
      </c>
      <c r="CK406" s="48"/>
      <c r="CZ406" s="2"/>
      <c r="DA406" s="2"/>
      <c r="DB406" s="2"/>
      <c r="DC406" s="2"/>
      <c r="DD406" s="21"/>
    </row>
    <row r="407" spans="79:108" x14ac:dyDescent="0.25">
      <c r="CA407" s="2" t="str">
        <f t="shared" si="70"/>
        <v>Hộp-100x150x2.4</v>
      </c>
      <c r="CB407" s="19">
        <v>9.2033333333333331</v>
      </c>
      <c r="CC407" s="19">
        <v>100</v>
      </c>
      <c r="CD407" s="19">
        <v>150</v>
      </c>
      <c r="CE407" s="20" t="s">
        <v>78</v>
      </c>
      <c r="CF407" s="5">
        <f t="shared" si="71"/>
        <v>500</v>
      </c>
      <c r="CG407" s="5">
        <f t="shared" si="72"/>
        <v>7.1999999999999993</v>
      </c>
      <c r="CH407" s="5">
        <f t="shared" si="73"/>
        <v>4.8</v>
      </c>
      <c r="CI407" s="5">
        <f t="shared" si="74"/>
        <v>9.0450672671235797</v>
      </c>
      <c r="CJ407" s="2">
        <f t="shared" si="75"/>
        <v>7850</v>
      </c>
      <c r="CK407" s="48"/>
      <c r="CZ407" s="2"/>
      <c r="DA407" s="2"/>
      <c r="DB407" s="2"/>
      <c r="DC407" s="2"/>
      <c r="DD407" s="21"/>
    </row>
    <row r="408" spans="79:108" x14ac:dyDescent="0.25">
      <c r="CA408" s="2" t="str">
        <f t="shared" si="70"/>
        <v>Hộp-100x150x2.5</v>
      </c>
      <c r="CB408" s="19">
        <v>9.5766666666666662</v>
      </c>
      <c r="CC408" s="19">
        <v>100</v>
      </c>
      <c r="CD408" s="19">
        <v>150</v>
      </c>
      <c r="CE408" s="20" t="s">
        <v>79</v>
      </c>
      <c r="CF408" s="5">
        <f t="shared" si="71"/>
        <v>500</v>
      </c>
      <c r="CG408" s="5">
        <f t="shared" si="72"/>
        <v>7.5</v>
      </c>
      <c r="CH408" s="5">
        <f t="shared" si="73"/>
        <v>5</v>
      </c>
      <c r="CI408" s="5">
        <f t="shared" si="74"/>
        <v>9.4056719478337456</v>
      </c>
      <c r="CJ408" s="2">
        <f t="shared" si="75"/>
        <v>7850</v>
      </c>
      <c r="CK408" s="48"/>
      <c r="CZ408" s="2"/>
      <c r="DA408" s="2"/>
      <c r="DB408" s="2"/>
      <c r="DC408" s="2"/>
      <c r="DD408" s="21"/>
    </row>
    <row r="409" spans="79:108" x14ac:dyDescent="0.25">
      <c r="CA409" s="2" t="str">
        <f t="shared" si="70"/>
        <v>Hộp-100x150x2.7</v>
      </c>
      <c r="CB409" s="19">
        <v>10.323333333333332</v>
      </c>
      <c r="CC409" s="19">
        <v>100</v>
      </c>
      <c r="CD409" s="19">
        <v>150</v>
      </c>
      <c r="CE409" s="20" t="s">
        <v>80</v>
      </c>
      <c r="CF409" s="5">
        <f t="shared" si="71"/>
        <v>500</v>
      </c>
      <c r="CG409" s="5">
        <f t="shared" si="72"/>
        <v>8.1000000000000014</v>
      </c>
      <c r="CH409" s="5">
        <f t="shared" si="73"/>
        <v>5.4</v>
      </c>
      <c r="CI409" s="5">
        <f t="shared" si="74"/>
        <v>10.122975759953283</v>
      </c>
      <c r="CJ409" s="2">
        <f t="shared" si="75"/>
        <v>7850</v>
      </c>
      <c r="CK409" s="48"/>
      <c r="CZ409" s="2"/>
      <c r="DA409" s="2"/>
      <c r="DB409" s="2"/>
      <c r="DC409" s="2"/>
      <c r="DD409" s="21"/>
    </row>
    <row r="410" spans="79:108" x14ac:dyDescent="0.25">
      <c r="CA410" s="2" t="str">
        <f t="shared" si="70"/>
        <v>Hộp-100x150x2.8</v>
      </c>
      <c r="CB410" s="19">
        <v>10.695</v>
      </c>
      <c r="CC410" s="19">
        <v>100</v>
      </c>
      <c r="CD410" s="19">
        <v>150</v>
      </c>
      <c r="CE410" s="20" t="s">
        <v>81</v>
      </c>
      <c r="CF410" s="5">
        <f t="shared" si="71"/>
        <v>500</v>
      </c>
      <c r="CG410" s="5">
        <f t="shared" si="72"/>
        <v>8.3999999999999986</v>
      </c>
      <c r="CH410" s="5">
        <f t="shared" si="73"/>
        <v>5.6</v>
      </c>
      <c r="CI410" s="5">
        <f t="shared" si="74"/>
        <v>10.479674891362649</v>
      </c>
      <c r="CJ410" s="2">
        <f t="shared" si="75"/>
        <v>7850</v>
      </c>
      <c r="CK410" s="48"/>
      <c r="CZ410" s="2"/>
      <c r="DA410" s="2"/>
      <c r="DB410" s="2"/>
      <c r="DC410" s="2"/>
      <c r="DD410" s="21"/>
    </row>
    <row r="411" spans="79:108" x14ac:dyDescent="0.25">
      <c r="CA411" s="2" t="str">
        <f t="shared" si="70"/>
        <v>Hộp-100x150x2.9</v>
      </c>
      <c r="CB411" s="19">
        <v>11.065</v>
      </c>
      <c r="CC411" s="19">
        <v>100</v>
      </c>
      <c r="CD411" s="19">
        <v>150</v>
      </c>
      <c r="CE411" s="20" t="s">
        <v>82</v>
      </c>
      <c r="CF411" s="5">
        <f t="shared" si="71"/>
        <v>500</v>
      </c>
      <c r="CG411" s="5">
        <f t="shared" si="72"/>
        <v>8.6999999999999993</v>
      </c>
      <c r="CH411" s="5">
        <f t="shared" si="73"/>
        <v>5.8</v>
      </c>
      <c r="CI411" s="5">
        <f t="shared" si="74"/>
        <v>10.835072173005088</v>
      </c>
      <c r="CJ411" s="2">
        <f t="shared" si="75"/>
        <v>7850</v>
      </c>
      <c r="CK411" s="48"/>
      <c r="CZ411" s="2"/>
      <c r="DA411" s="2"/>
      <c r="DB411" s="2"/>
      <c r="DC411" s="2"/>
      <c r="DD411" s="21"/>
    </row>
    <row r="412" spans="79:108" x14ac:dyDescent="0.25">
      <c r="CA412" s="2" t="str">
        <f t="shared" si="70"/>
        <v>Hộp-100x150x3</v>
      </c>
      <c r="CB412" s="19">
        <v>11.436666666666667</v>
      </c>
      <c r="CC412" s="19">
        <v>100</v>
      </c>
      <c r="CD412" s="19">
        <v>150</v>
      </c>
      <c r="CE412" s="20" t="s">
        <v>83</v>
      </c>
      <c r="CF412" s="5">
        <f t="shared" si="71"/>
        <v>500</v>
      </c>
      <c r="CG412" s="5">
        <f t="shared" si="72"/>
        <v>9</v>
      </c>
      <c r="CH412" s="5">
        <f t="shared" si="73"/>
        <v>6</v>
      </c>
      <c r="CI412" s="5">
        <f t="shared" si="74"/>
        <v>11.189167604880597</v>
      </c>
      <c r="CJ412" s="2">
        <f t="shared" si="75"/>
        <v>7850</v>
      </c>
      <c r="CK412" s="48"/>
      <c r="CZ412" s="2"/>
      <c r="DA412" s="2"/>
      <c r="DB412" s="2"/>
      <c r="DC412" s="2"/>
      <c r="DD412" s="21"/>
    </row>
    <row r="413" spans="79:108" x14ac:dyDescent="0.25">
      <c r="CA413" s="2" t="str">
        <f t="shared" si="70"/>
        <v>Hộp-100x150x3.1</v>
      </c>
      <c r="CB413" s="19">
        <v>11.805</v>
      </c>
      <c r="CC413" s="19">
        <v>100</v>
      </c>
      <c r="CD413" s="19">
        <v>150</v>
      </c>
      <c r="CE413" s="20" t="s">
        <v>84</v>
      </c>
      <c r="CF413" s="5">
        <f t="shared" si="71"/>
        <v>500</v>
      </c>
      <c r="CG413" s="5">
        <f t="shared" si="72"/>
        <v>9.3000000000000007</v>
      </c>
      <c r="CH413" s="5">
        <f t="shared" si="73"/>
        <v>6.2</v>
      </c>
      <c r="CI413" s="5">
        <f t="shared" si="74"/>
        <v>11.54196118698917</v>
      </c>
      <c r="CJ413" s="2">
        <f t="shared" si="75"/>
        <v>7850</v>
      </c>
      <c r="CK413" s="48"/>
      <c r="CZ413" s="2"/>
      <c r="DA413" s="2"/>
      <c r="DB413" s="2"/>
      <c r="DC413" s="2"/>
      <c r="DD413" s="21"/>
    </row>
    <row r="414" spans="79:108" x14ac:dyDescent="0.25">
      <c r="CA414" s="2" t="str">
        <f t="shared" si="70"/>
        <v>Hộp-100x150x3.2</v>
      </c>
      <c r="CB414" s="19">
        <v>12.173333333333334</v>
      </c>
      <c r="CC414" s="19">
        <v>100</v>
      </c>
      <c r="CD414" s="19">
        <v>150</v>
      </c>
      <c r="CE414" s="20" t="s">
        <v>85</v>
      </c>
      <c r="CF414" s="5">
        <f t="shared" si="71"/>
        <v>500</v>
      </c>
      <c r="CG414" s="5">
        <f t="shared" si="72"/>
        <v>9.6000000000000014</v>
      </c>
      <c r="CH414" s="5">
        <f t="shared" si="73"/>
        <v>6.4</v>
      </c>
      <c r="CI414" s="5">
        <f t="shared" si="74"/>
        <v>11.893452919330809</v>
      </c>
      <c r="CJ414" s="2">
        <f t="shared" si="75"/>
        <v>7850</v>
      </c>
      <c r="CK414" s="48"/>
      <c r="CZ414" s="2"/>
      <c r="DA414" s="2"/>
      <c r="DB414" s="2"/>
      <c r="DC414" s="2"/>
      <c r="DD414" s="21"/>
    </row>
    <row r="415" spans="79:108" x14ac:dyDescent="0.25">
      <c r="CA415" s="2" t="str">
        <f t="shared" si="70"/>
        <v>Hộp-100x150x3.4</v>
      </c>
      <c r="CB415" s="19">
        <v>12.909999999999998</v>
      </c>
      <c r="CC415" s="19">
        <v>100</v>
      </c>
      <c r="CD415" s="19">
        <v>150</v>
      </c>
      <c r="CE415" s="20" t="s">
        <v>87</v>
      </c>
      <c r="CF415" s="5">
        <f t="shared" si="71"/>
        <v>500</v>
      </c>
      <c r="CG415" s="5">
        <f t="shared" si="72"/>
        <v>10.199999999999999</v>
      </c>
      <c r="CH415" s="5">
        <f t="shared" si="73"/>
        <v>6.8</v>
      </c>
      <c r="CI415" s="5">
        <f t="shared" si="74"/>
        <v>12.592530834713296</v>
      </c>
      <c r="CJ415" s="2">
        <f t="shared" si="75"/>
        <v>7850</v>
      </c>
      <c r="CK415" s="48"/>
      <c r="CZ415" s="2"/>
      <c r="DA415" s="2"/>
      <c r="DB415" s="2"/>
      <c r="DC415" s="2"/>
      <c r="DD415" s="21"/>
    </row>
    <row r="416" spans="79:108" x14ac:dyDescent="0.25">
      <c r="CA416" s="2" t="str">
        <f t="shared" si="70"/>
        <v>Hộp-100x150x3.5</v>
      </c>
      <c r="CB416" s="19">
        <v>13.276666666666666</v>
      </c>
      <c r="CC416" s="19">
        <v>100</v>
      </c>
      <c r="CD416" s="19">
        <v>150</v>
      </c>
      <c r="CE416" s="20" t="s">
        <v>88</v>
      </c>
      <c r="CF416" s="5">
        <f t="shared" si="71"/>
        <v>500</v>
      </c>
      <c r="CG416" s="5">
        <f t="shared" si="72"/>
        <v>10.5</v>
      </c>
      <c r="CH416" s="5">
        <f t="shared" si="73"/>
        <v>7</v>
      </c>
      <c r="CI416" s="5">
        <f t="shared" si="74"/>
        <v>12.940117017754142</v>
      </c>
      <c r="CJ416" s="2">
        <f t="shared" si="75"/>
        <v>7850</v>
      </c>
      <c r="CK416" s="48"/>
      <c r="CZ416" s="2"/>
      <c r="DA416" s="2"/>
      <c r="DB416" s="2"/>
      <c r="DC416" s="2"/>
      <c r="DD416" s="21"/>
    </row>
    <row r="417" spans="79:108" x14ac:dyDescent="0.25">
      <c r="CA417" s="2" t="str">
        <f t="shared" si="70"/>
        <v>Hộp-100x150x3.7</v>
      </c>
      <c r="CB417" s="19">
        <v>14.006666666666668</v>
      </c>
      <c r="CC417" s="19">
        <v>100</v>
      </c>
      <c r="CD417" s="19">
        <v>150</v>
      </c>
      <c r="CE417" s="20" t="s">
        <v>89</v>
      </c>
      <c r="CF417" s="5">
        <f t="shared" si="71"/>
        <v>500</v>
      </c>
      <c r="CG417" s="5">
        <f t="shared" si="72"/>
        <v>11.100000000000001</v>
      </c>
      <c r="CH417" s="5">
        <f t="shared" si="73"/>
        <v>7.4</v>
      </c>
      <c r="CI417" s="5">
        <f t="shared" si="74"/>
        <v>13.631383834535038</v>
      </c>
      <c r="CJ417" s="2">
        <f t="shared" si="75"/>
        <v>7850</v>
      </c>
      <c r="CK417" s="48"/>
      <c r="CZ417" s="2"/>
      <c r="DA417" s="2"/>
      <c r="DB417" s="2"/>
      <c r="DC417" s="2"/>
      <c r="DD417" s="21"/>
    </row>
    <row r="418" spans="79:108" x14ac:dyDescent="0.25">
      <c r="CA418" s="2" t="str">
        <f t="shared" si="70"/>
        <v>Hộp-100x150x3.8</v>
      </c>
      <c r="CB418" s="19">
        <v>14.371666666666668</v>
      </c>
      <c r="CC418" s="19">
        <v>100</v>
      </c>
      <c r="CD418" s="19">
        <v>150</v>
      </c>
      <c r="CE418" s="20" t="s">
        <v>90</v>
      </c>
      <c r="CF418" s="5">
        <f t="shared" si="71"/>
        <v>500</v>
      </c>
      <c r="CG418" s="5">
        <f t="shared" si="72"/>
        <v>11.399999999999999</v>
      </c>
      <c r="CH418" s="5">
        <f t="shared" si="73"/>
        <v>7.6</v>
      </c>
      <c r="CI418" s="5">
        <f t="shared" si="74"/>
        <v>13.975064468275088</v>
      </c>
      <c r="CJ418" s="2">
        <f t="shared" si="75"/>
        <v>7850</v>
      </c>
      <c r="CK418" s="48"/>
      <c r="CZ418" s="2"/>
      <c r="DA418" s="2"/>
      <c r="DB418" s="2"/>
      <c r="DC418" s="2"/>
      <c r="DD418" s="21"/>
    </row>
    <row r="419" spans="79:108" x14ac:dyDescent="0.25">
      <c r="CA419" s="2" t="str">
        <f t="shared" si="70"/>
        <v>Hộp-100x150x3.9</v>
      </c>
      <c r="CB419" s="19">
        <v>14.734999999999999</v>
      </c>
      <c r="CC419" s="19">
        <v>100</v>
      </c>
      <c r="CD419" s="19">
        <v>150</v>
      </c>
      <c r="CE419" s="20" t="s">
        <v>91</v>
      </c>
      <c r="CF419" s="5">
        <f t="shared" si="71"/>
        <v>500</v>
      </c>
      <c r="CG419" s="5">
        <f t="shared" si="72"/>
        <v>11.7</v>
      </c>
      <c r="CH419" s="5">
        <f t="shared" si="73"/>
        <v>7.8</v>
      </c>
      <c r="CI419" s="5">
        <f t="shared" si="74"/>
        <v>14.317443252248204</v>
      </c>
      <c r="CJ419" s="2">
        <f t="shared" si="75"/>
        <v>7850</v>
      </c>
      <c r="CK419" s="48"/>
      <c r="CZ419" s="2"/>
      <c r="DA419" s="2"/>
      <c r="DB419" s="2"/>
      <c r="DC419" s="2"/>
      <c r="DD419" s="21"/>
    </row>
    <row r="420" spans="79:108" x14ac:dyDescent="0.25">
      <c r="CA420" s="2" t="str">
        <f t="shared" si="70"/>
        <v>Hộp-100x150x4</v>
      </c>
      <c r="CB420" s="19">
        <v>15.096666666666666</v>
      </c>
      <c r="CC420" s="19">
        <v>100</v>
      </c>
      <c r="CD420" s="19">
        <v>150</v>
      </c>
      <c r="CE420" s="20" t="s">
        <v>25</v>
      </c>
      <c r="CF420" s="5">
        <f t="shared" si="71"/>
        <v>500</v>
      </c>
      <c r="CG420" s="5">
        <f t="shared" si="72"/>
        <v>12</v>
      </c>
      <c r="CH420" s="5">
        <f t="shared" si="73"/>
        <v>8</v>
      </c>
      <c r="CI420" s="5">
        <f t="shared" si="74"/>
        <v>14.658520186454391</v>
      </c>
      <c r="CJ420" s="2">
        <f t="shared" si="75"/>
        <v>7850</v>
      </c>
      <c r="CK420" s="48"/>
      <c r="CZ420" s="2"/>
      <c r="DA420" s="2"/>
      <c r="DB420" s="2"/>
      <c r="DC420" s="2"/>
      <c r="DD420" s="21"/>
    </row>
    <row r="421" spans="79:108" x14ac:dyDescent="0.25">
      <c r="CA421" s="2" t="str">
        <f t="shared" si="70"/>
        <v>Hộp-100x150x4.5</v>
      </c>
      <c r="CB421" s="19">
        <v>16.900000000000002</v>
      </c>
      <c r="CC421" s="19">
        <v>100</v>
      </c>
      <c r="CD421" s="19">
        <v>150</v>
      </c>
      <c r="CE421" s="20" t="s">
        <v>92</v>
      </c>
      <c r="CF421" s="5">
        <f t="shared" si="71"/>
        <v>500</v>
      </c>
      <c r="CG421" s="5">
        <f t="shared" si="72"/>
        <v>13.5</v>
      </c>
      <c r="CH421" s="5">
        <f t="shared" si="73"/>
        <v>9</v>
      </c>
      <c r="CI421" s="5">
        <f t="shared" si="74"/>
        <v>16.344377110981334</v>
      </c>
      <c r="CJ421" s="2">
        <f t="shared" si="75"/>
        <v>7850</v>
      </c>
      <c r="CK421" s="48"/>
      <c r="CZ421" s="2"/>
      <c r="DA421" s="2"/>
      <c r="DB421" s="2"/>
      <c r="DC421" s="2"/>
      <c r="DD421" s="21"/>
    </row>
    <row r="422" spans="79:108" x14ac:dyDescent="0.25">
      <c r="CA422" s="2" t="str">
        <f t="shared" si="70"/>
        <v>Hộp-100x150x5</v>
      </c>
      <c r="CB422" s="19">
        <v>18.683333333333334</v>
      </c>
      <c r="CC422" s="19">
        <v>100</v>
      </c>
      <c r="CD422" s="19">
        <v>150</v>
      </c>
      <c r="CE422" s="20" t="s">
        <v>26</v>
      </c>
      <c r="CF422" s="5">
        <f t="shared" si="71"/>
        <v>500</v>
      </c>
      <c r="CG422" s="5">
        <f t="shared" si="72"/>
        <v>15</v>
      </c>
      <c r="CH422" s="5">
        <f t="shared" si="73"/>
        <v>10</v>
      </c>
      <c r="CI422" s="5">
        <f t="shared" si="74"/>
        <v>17.997687791334986</v>
      </c>
      <c r="CJ422" s="2">
        <f t="shared" si="75"/>
        <v>7850</v>
      </c>
      <c r="CK422" s="48"/>
      <c r="CZ422" s="2"/>
      <c r="DA422" s="2"/>
      <c r="DB422" s="2"/>
      <c r="DC422" s="2"/>
      <c r="DD422" s="21"/>
    </row>
    <row r="423" spans="79:108" x14ac:dyDescent="0.25">
      <c r="CA423" s="2" t="str">
        <f t="shared" si="70"/>
        <v>Hộp-100x200x1.8</v>
      </c>
      <c r="CB423" s="19">
        <v>8.3566666666666674</v>
      </c>
      <c r="CC423" s="19">
        <v>100</v>
      </c>
      <c r="CD423" s="19">
        <v>200</v>
      </c>
      <c r="CE423" s="20" t="s">
        <v>72</v>
      </c>
      <c r="CF423" s="5">
        <f t="shared" si="71"/>
        <v>600</v>
      </c>
      <c r="CG423" s="5">
        <f t="shared" si="72"/>
        <v>5.4</v>
      </c>
      <c r="CH423" s="5">
        <f t="shared" si="73"/>
        <v>3.6</v>
      </c>
      <c r="CI423" s="5">
        <f t="shared" si="74"/>
        <v>8.2671003377570145</v>
      </c>
      <c r="CJ423" s="2">
        <f t="shared" si="75"/>
        <v>7850</v>
      </c>
      <c r="CK423" s="48"/>
      <c r="CZ423" s="2"/>
      <c r="DA423" s="2"/>
      <c r="DB423" s="2"/>
      <c r="DC423" s="2"/>
      <c r="DD423" s="21"/>
    </row>
    <row r="424" spans="79:108" x14ac:dyDescent="0.25">
      <c r="CA424" s="2" t="str">
        <f t="shared" si="70"/>
        <v>Hộp-100x200x1.9</v>
      </c>
      <c r="CB424" s="19">
        <v>8.8133333333333344</v>
      </c>
      <c r="CC424" s="19">
        <v>100</v>
      </c>
      <c r="CD424" s="19">
        <v>200</v>
      </c>
      <c r="CE424" s="20" t="s">
        <v>73</v>
      </c>
      <c r="CF424" s="5">
        <f t="shared" si="71"/>
        <v>600</v>
      </c>
      <c r="CG424" s="5">
        <f t="shared" si="72"/>
        <v>5.6999999999999993</v>
      </c>
      <c r="CH424" s="5">
        <f t="shared" si="73"/>
        <v>3.8</v>
      </c>
      <c r="CI424" s="5">
        <f t="shared" si="74"/>
        <v>8.7140161170687733</v>
      </c>
      <c r="CJ424" s="2">
        <f t="shared" si="75"/>
        <v>7850</v>
      </c>
      <c r="CK424" s="48"/>
      <c r="CZ424" s="2"/>
      <c r="DA424" s="2"/>
      <c r="DB424" s="2"/>
      <c r="DC424" s="2"/>
      <c r="DD424" s="21"/>
    </row>
    <row r="425" spans="79:108" x14ac:dyDescent="0.25">
      <c r="CA425" s="2" t="str">
        <f t="shared" si="70"/>
        <v>Hộp-100x200x2</v>
      </c>
      <c r="CB425" s="19">
        <v>9.27</v>
      </c>
      <c r="CC425" s="19">
        <v>100</v>
      </c>
      <c r="CD425" s="19">
        <v>200</v>
      </c>
      <c r="CE425" s="20" t="s">
        <v>74</v>
      </c>
      <c r="CF425" s="5">
        <f t="shared" si="71"/>
        <v>600</v>
      </c>
      <c r="CG425" s="5">
        <f t="shared" si="72"/>
        <v>6</v>
      </c>
      <c r="CH425" s="5">
        <f t="shared" si="73"/>
        <v>4</v>
      </c>
      <c r="CI425" s="5">
        <f t="shared" si="74"/>
        <v>9.1596300466135965</v>
      </c>
      <c r="CJ425" s="2">
        <f t="shared" si="75"/>
        <v>7850</v>
      </c>
      <c r="CK425" s="48"/>
      <c r="CZ425" s="2"/>
      <c r="DA425" s="2"/>
      <c r="DB425" s="2"/>
      <c r="DC425" s="2"/>
      <c r="DD425" s="21"/>
    </row>
    <row r="426" spans="79:108" x14ac:dyDescent="0.25">
      <c r="CA426" s="2" t="str">
        <f t="shared" si="70"/>
        <v>Hộp-100x200x2.1</v>
      </c>
      <c r="CB426" s="19">
        <v>9.7249999999999996</v>
      </c>
      <c r="CC426" s="19">
        <v>100</v>
      </c>
      <c r="CD426" s="19">
        <v>200</v>
      </c>
      <c r="CE426" s="20" t="s">
        <v>75</v>
      </c>
      <c r="CF426" s="5">
        <f t="shared" si="71"/>
        <v>600</v>
      </c>
      <c r="CG426" s="5">
        <f t="shared" si="72"/>
        <v>6.3000000000000007</v>
      </c>
      <c r="CH426" s="5">
        <f t="shared" si="73"/>
        <v>4.2</v>
      </c>
      <c r="CI426" s="5">
        <f t="shared" si="74"/>
        <v>9.6039421263914928</v>
      </c>
      <c r="CJ426" s="2">
        <f t="shared" si="75"/>
        <v>7850</v>
      </c>
      <c r="CK426" s="48"/>
      <c r="CZ426" s="2"/>
      <c r="DA426" s="2"/>
      <c r="DB426" s="2"/>
      <c r="DC426" s="2"/>
      <c r="DD426" s="21"/>
    </row>
    <row r="427" spans="79:108" x14ac:dyDescent="0.25">
      <c r="CA427" s="2" t="str">
        <f t="shared" si="70"/>
        <v>Hộp-100x200x2.2</v>
      </c>
      <c r="CB427" s="19">
        <v>10.18</v>
      </c>
      <c r="CC427" s="19">
        <v>100</v>
      </c>
      <c r="CD427" s="19">
        <v>200</v>
      </c>
      <c r="CE427" s="20" t="s">
        <v>76</v>
      </c>
      <c r="CF427" s="5">
        <f t="shared" si="71"/>
        <v>600</v>
      </c>
      <c r="CG427" s="5">
        <f t="shared" si="72"/>
        <v>6.6000000000000005</v>
      </c>
      <c r="CH427" s="5">
        <f t="shared" si="73"/>
        <v>4.4000000000000004</v>
      </c>
      <c r="CI427" s="5">
        <f t="shared" si="74"/>
        <v>10.046952356402453</v>
      </c>
      <c r="CJ427" s="2">
        <f t="shared" si="75"/>
        <v>7850</v>
      </c>
      <c r="CK427" s="48"/>
      <c r="CZ427" s="2"/>
      <c r="DA427" s="2"/>
      <c r="DB427" s="2"/>
      <c r="DC427" s="2"/>
      <c r="DD427" s="21"/>
    </row>
    <row r="428" spans="79:108" x14ac:dyDescent="0.25">
      <c r="CA428" s="2" t="str">
        <f t="shared" si="70"/>
        <v>Hộp-100x200x2.3</v>
      </c>
      <c r="CB428" s="19">
        <v>10.633333333333333</v>
      </c>
      <c r="CC428" s="19">
        <v>100</v>
      </c>
      <c r="CD428" s="19">
        <v>200</v>
      </c>
      <c r="CE428" s="20" t="s">
        <v>77</v>
      </c>
      <c r="CF428" s="5">
        <f t="shared" si="71"/>
        <v>600</v>
      </c>
      <c r="CG428" s="5">
        <f t="shared" si="72"/>
        <v>6.8999999999999995</v>
      </c>
      <c r="CH428" s="5">
        <f t="shared" si="73"/>
        <v>4.5999999999999996</v>
      </c>
      <c r="CI428" s="5">
        <f t="shared" si="74"/>
        <v>10.488660736646482</v>
      </c>
      <c r="CJ428" s="2">
        <f t="shared" si="75"/>
        <v>7850</v>
      </c>
      <c r="CK428" s="48"/>
      <c r="CZ428" s="2"/>
      <c r="DA428" s="2"/>
      <c r="DB428" s="2"/>
      <c r="DC428" s="2"/>
      <c r="DD428" s="21"/>
    </row>
    <row r="429" spans="79:108" x14ac:dyDescent="0.25">
      <c r="CA429" s="2" t="str">
        <f t="shared" si="70"/>
        <v>Hộp-100x200x2.4</v>
      </c>
      <c r="CB429" s="19">
        <v>11.086666666666666</v>
      </c>
      <c r="CC429" s="19">
        <v>100</v>
      </c>
      <c r="CD429" s="19">
        <v>200</v>
      </c>
      <c r="CE429" s="20" t="s">
        <v>78</v>
      </c>
      <c r="CF429" s="5">
        <f t="shared" si="71"/>
        <v>600</v>
      </c>
      <c r="CG429" s="5">
        <f t="shared" si="72"/>
        <v>7.1999999999999993</v>
      </c>
      <c r="CH429" s="5">
        <f t="shared" si="73"/>
        <v>4.8</v>
      </c>
      <c r="CI429" s="5">
        <f t="shared" si="74"/>
        <v>10.92906726712358</v>
      </c>
      <c r="CJ429" s="2">
        <f t="shared" si="75"/>
        <v>7850</v>
      </c>
      <c r="CK429" s="48"/>
      <c r="CZ429" s="2"/>
      <c r="DA429" s="2"/>
      <c r="DB429" s="2"/>
      <c r="DC429" s="2"/>
      <c r="DD429" s="21"/>
    </row>
    <row r="430" spans="79:108" x14ac:dyDescent="0.25">
      <c r="CA430" s="2" t="str">
        <f t="shared" si="70"/>
        <v>Hộp-100x200x2.5</v>
      </c>
      <c r="CB430" s="19">
        <v>11.54</v>
      </c>
      <c r="CC430" s="19">
        <v>100</v>
      </c>
      <c r="CD430" s="19">
        <v>200</v>
      </c>
      <c r="CE430" s="20" t="s">
        <v>79</v>
      </c>
      <c r="CF430" s="5">
        <f t="shared" si="71"/>
        <v>600</v>
      </c>
      <c r="CG430" s="5">
        <f t="shared" si="72"/>
        <v>7.5</v>
      </c>
      <c r="CH430" s="5">
        <f t="shared" si="73"/>
        <v>5</v>
      </c>
      <c r="CI430" s="5">
        <f t="shared" si="74"/>
        <v>11.368171947833746</v>
      </c>
      <c r="CJ430" s="2">
        <f t="shared" si="75"/>
        <v>7850</v>
      </c>
      <c r="CK430" s="48"/>
      <c r="CZ430" s="2"/>
      <c r="DA430" s="2"/>
      <c r="DB430" s="2"/>
      <c r="DC430" s="2"/>
      <c r="DD430" s="21"/>
    </row>
    <row r="431" spans="79:108" x14ac:dyDescent="0.25">
      <c r="CA431" s="2" t="str">
        <f t="shared" si="70"/>
        <v>Hộp-100x200x2.7</v>
      </c>
      <c r="CB431" s="19">
        <v>12.441666666666668</v>
      </c>
      <c r="CC431" s="19">
        <v>100</v>
      </c>
      <c r="CD431" s="19">
        <v>200</v>
      </c>
      <c r="CE431" s="20" t="s">
        <v>80</v>
      </c>
      <c r="CF431" s="5">
        <f t="shared" si="71"/>
        <v>600</v>
      </c>
      <c r="CG431" s="5">
        <f t="shared" si="72"/>
        <v>8.1000000000000014</v>
      </c>
      <c r="CH431" s="5">
        <f t="shared" si="73"/>
        <v>5.4</v>
      </c>
      <c r="CI431" s="5">
        <f t="shared" si="74"/>
        <v>12.242475759953281</v>
      </c>
      <c r="CJ431" s="2">
        <f t="shared" si="75"/>
        <v>7850</v>
      </c>
      <c r="CK431" s="48"/>
      <c r="CZ431" s="2"/>
      <c r="DA431" s="2"/>
      <c r="DB431" s="2"/>
      <c r="DC431" s="2"/>
      <c r="DD431" s="21"/>
    </row>
    <row r="432" spans="79:108" x14ac:dyDescent="0.25">
      <c r="CA432" s="2" t="str">
        <f t="shared" si="70"/>
        <v>Hộp-100x200x2.8</v>
      </c>
      <c r="CB432" s="19">
        <v>12.893333333333333</v>
      </c>
      <c r="CC432" s="19">
        <v>100</v>
      </c>
      <c r="CD432" s="19">
        <v>200</v>
      </c>
      <c r="CE432" s="20" t="s">
        <v>81</v>
      </c>
      <c r="CF432" s="5">
        <f t="shared" si="71"/>
        <v>600</v>
      </c>
      <c r="CG432" s="5">
        <f t="shared" si="72"/>
        <v>8.3999999999999986</v>
      </c>
      <c r="CH432" s="5">
        <f t="shared" si="73"/>
        <v>5.6</v>
      </c>
      <c r="CI432" s="5">
        <f t="shared" si="74"/>
        <v>12.677674891362649</v>
      </c>
      <c r="CJ432" s="2">
        <f t="shared" si="75"/>
        <v>7850</v>
      </c>
      <c r="CK432" s="48"/>
      <c r="CZ432" s="2"/>
      <c r="DA432" s="2"/>
      <c r="DB432" s="2"/>
      <c r="DC432" s="2"/>
      <c r="DD432" s="2"/>
    </row>
    <row r="433" spans="79:108" x14ac:dyDescent="0.25">
      <c r="CA433" s="2" t="str">
        <f t="shared" si="70"/>
        <v>Hộp-100x200x2.9</v>
      </c>
      <c r="CB433" s="19">
        <v>13.341666666666667</v>
      </c>
      <c r="CC433" s="19">
        <v>100</v>
      </c>
      <c r="CD433" s="19">
        <v>200</v>
      </c>
      <c r="CE433" s="20" t="s">
        <v>82</v>
      </c>
      <c r="CF433" s="5">
        <f t="shared" si="71"/>
        <v>600</v>
      </c>
      <c r="CG433" s="5">
        <f t="shared" si="72"/>
        <v>8.6999999999999993</v>
      </c>
      <c r="CH433" s="5">
        <f t="shared" si="73"/>
        <v>5.8</v>
      </c>
      <c r="CI433" s="5">
        <f t="shared" si="74"/>
        <v>13.111572173005088</v>
      </c>
      <c r="CJ433" s="2">
        <f t="shared" si="75"/>
        <v>7850</v>
      </c>
      <c r="CK433" s="48"/>
      <c r="CZ433" s="2"/>
      <c r="DA433" s="2"/>
      <c r="DB433" s="2"/>
      <c r="DC433" s="2"/>
      <c r="DD433" s="2"/>
    </row>
    <row r="434" spans="79:108" x14ac:dyDescent="0.25">
      <c r="CA434" s="2" t="str">
        <f t="shared" si="70"/>
        <v>Hộp-100x200x3</v>
      </c>
      <c r="CB434" s="19">
        <v>13.791666666666666</v>
      </c>
      <c r="CC434" s="19">
        <v>100</v>
      </c>
      <c r="CD434" s="19">
        <v>200</v>
      </c>
      <c r="CE434" s="20" t="s">
        <v>83</v>
      </c>
      <c r="CF434" s="5">
        <f t="shared" si="71"/>
        <v>600</v>
      </c>
      <c r="CG434" s="5">
        <f t="shared" si="72"/>
        <v>9</v>
      </c>
      <c r="CH434" s="5">
        <f t="shared" si="73"/>
        <v>6</v>
      </c>
      <c r="CI434" s="5">
        <f t="shared" si="74"/>
        <v>13.544167604880595</v>
      </c>
      <c r="CJ434" s="2">
        <f t="shared" si="75"/>
        <v>7850</v>
      </c>
      <c r="CK434" s="48"/>
      <c r="CZ434" s="2"/>
      <c r="DA434" s="2"/>
      <c r="DB434" s="2"/>
      <c r="DC434" s="2"/>
      <c r="DD434" s="2"/>
    </row>
    <row r="435" spans="79:108" x14ac:dyDescent="0.25">
      <c r="CA435" s="2" t="str">
        <f t="shared" si="70"/>
        <v>Hộp-100x200x3.1</v>
      </c>
      <c r="CB435" s="19">
        <v>14.238333333333335</v>
      </c>
      <c r="CC435" s="19">
        <v>100</v>
      </c>
      <c r="CD435" s="19">
        <v>200</v>
      </c>
      <c r="CE435" s="20" t="s">
        <v>84</v>
      </c>
      <c r="CF435" s="5">
        <f t="shared" si="71"/>
        <v>600</v>
      </c>
      <c r="CG435" s="5">
        <f t="shared" si="72"/>
        <v>9.3000000000000007</v>
      </c>
      <c r="CH435" s="5">
        <f t="shared" si="73"/>
        <v>6.2</v>
      </c>
      <c r="CI435" s="5">
        <f t="shared" si="74"/>
        <v>13.97546118698917</v>
      </c>
      <c r="CJ435" s="2">
        <f t="shared" si="75"/>
        <v>7850</v>
      </c>
      <c r="CK435" s="48"/>
      <c r="CZ435" s="2"/>
      <c r="DA435" s="2"/>
      <c r="DB435" s="2"/>
      <c r="DC435" s="2"/>
      <c r="DD435" s="2"/>
    </row>
    <row r="436" spans="79:108" x14ac:dyDescent="0.25">
      <c r="CA436" s="2" t="str">
        <f t="shared" si="70"/>
        <v>Hộp-100x200x3.2</v>
      </c>
      <c r="CB436" s="19">
        <v>14.686666666666667</v>
      </c>
      <c r="CC436" s="19">
        <v>100</v>
      </c>
      <c r="CD436" s="19">
        <v>200</v>
      </c>
      <c r="CE436" s="20" t="s">
        <v>85</v>
      </c>
      <c r="CF436" s="5">
        <f t="shared" si="71"/>
        <v>600</v>
      </c>
      <c r="CG436" s="5">
        <f t="shared" si="72"/>
        <v>9.6000000000000014</v>
      </c>
      <c r="CH436" s="5">
        <f t="shared" si="73"/>
        <v>6.4</v>
      </c>
      <c r="CI436" s="5">
        <f t="shared" si="74"/>
        <v>14.405452919330811</v>
      </c>
      <c r="CJ436" s="2">
        <f t="shared" si="75"/>
        <v>7850</v>
      </c>
      <c r="CK436" s="48"/>
      <c r="CZ436" s="2"/>
      <c r="DA436" s="2"/>
      <c r="DB436" s="2"/>
      <c r="DC436" s="2"/>
      <c r="DD436" s="2"/>
    </row>
    <row r="437" spans="79:108" x14ac:dyDescent="0.25">
      <c r="CA437" s="2" t="str">
        <f t="shared" si="70"/>
        <v>Hộp-100x200x3.4</v>
      </c>
      <c r="CB437" s="19">
        <v>15.578333333333333</v>
      </c>
      <c r="CC437" s="19">
        <v>100</v>
      </c>
      <c r="CD437" s="19">
        <v>200</v>
      </c>
      <c r="CE437" s="20" t="s">
        <v>87</v>
      </c>
      <c r="CF437" s="5">
        <f t="shared" si="71"/>
        <v>600</v>
      </c>
      <c r="CG437" s="5">
        <f t="shared" si="72"/>
        <v>10.199999999999999</v>
      </c>
      <c r="CH437" s="5">
        <f t="shared" si="73"/>
        <v>6.8</v>
      </c>
      <c r="CI437" s="5">
        <f t="shared" si="74"/>
        <v>15.261530834713295</v>
      </c>
      <c r="CJ437" s="2">
        <f t="shared" si="75"/>
        <v>7850</v>
      </c>
      <c r="CK437" s="48"/>
      <c r="CZ437" s="2"/>
      <c r="DA437" s="2"/>
      <c r="DB437" s="2"/>
      <c r="DC437" s="2"/>
      <c r="DD437" s="2"/>
    </row>
    <row r="438" spans="79:108" x14ac:dyDescent="0.25">
      <c r="CA438" s="2" t="str">
        <f t="shared" si="70"/>
        <v>Hộp-100x200x3.5</v>
      </c>
      <c r="CB438" s="19">
        <v>16.023333333333333</v>
      </c>
      <c r="CC438" s="19">
        <v>100</v>
      </c>
      <c r="CD438" s="19">
        <v>200</v>
      </c>
      <c r="CE438" s="20" t="s">
        <v>88</v>
      </c>
      <c r="CF438" s="5">
        <f t="shared" si="71"/>
        <v>600</v>
      </c>
      <c r="CG438" s="5">
        <f t="shared" si="72"/>
        <v>10.5</v>
      </c>
      <c r="CH438" s="5">
        <f t="shared" si="73"/>
        <v>7</v>
      </c>
      <c r="CI438" s="5">
        <f t="shared" si="74"/>
        <v>15.687617017754143</v>
      </c>
      <c r="CJ438" s="2">
        <f t="shared" si="75"/>
        <v>7850</v>
      </c>
      <c r="CK438" s="48"/>
      <c r="CZ438" s="2"/>
      <c r="DA438" s="2"/>
      <c r="DB438" s="2"/>
      <c r="DC438" s="2"/>
      <c r="DD438" s="2"/>
    </row>
    <row r="439" spans="79:108" x14ac:dyDescent="0.25">
      <c r="CA439" s="2" t="str">
        <f t="shared" si="70"/>
        <v>Hộp-100x200x3.7</v>
      </c>
      <c r="CB439" s="19">
        <v>16.916666666666668</v>
      </c>
      <c r="CC439" s="19">
        <v>100</v>
      </c>
      <c r="CD439" s="19">
        <v>200</v>
      </c>
      <c r="CE439" s="20" t="s">
        <v>89</v>
      </c>
      <c r="CF439" s="5">
        <f t="shared" si="71"/>
        <v>600</v>
      </c>
      <c r="CG439" s="5">
        <f t="shared" si="72"/>
        <v>11.100000000000001</v>
      </c>
      <c r="CH439" s="5">
        <f t="shared" si="73"/>
        <v>7.4</v>
      </c>
      <c r="CI439" s="5">
        <f t="shared" si="74"/>
        <v>16.535883834535039</v>
      </c>
      <c r="CJ439" s="2">
        <f t="shared" si="75"/>
        <v>7850</v>
      </c>
      <c r="CK439" s="48"/>
      <c r="CZ439" s="2"/>
      <c r="DA439" s="2"/>
      <c r="DB439" s="2"/>
      <c r="DC439" s="2"/>
      <c r="DD439" s="2"/>
    </row>
    <row r="440" spans="79:108" x14ac:dyDescent="0.25">
      <c r="CA440" s="2" t="str">
        <f t="shared" si="70"/>
        <v>Hộp-100x200x3.8</v>
      </c>
      <c r="CB440" s="19">
        <v>17.349999999999998</v>
      </c>
      <c r="CC440" s="19">
        <v>100</v>
      </c>
      <c r="CD440" s="19">
        <v>200</v>
      </c>
      <c r="CE440" s="20" t="s">
        <v>90</v>
      </c>
      <c r="CF440" s="5">
        <f t="shared" si="71"/>
        <v>600</v>
      </c>
      <c r="CG440" s="5">
        <f t="shared" si="72"/>
        <v>11.399999999999999</v>
      </c>
      <c r="CH440" s="5">
        <f t="shared" si="73"/>
        <v>7.6</v>
      </c>
      <c r="CI440" s="5">
        <f t="shared" si="74"/>
        <v>16.958064468275083</v>
      </c>
      <c r="CJ440" s="2">
        <f t="shared" si="75"/>
        <v>7850</v>
      </c>
      <c r="CK440" s="48"/>
      <c r="CZ440" s="2"/>
      <c r="DA440" s="2"/>
      <c r="DB440" s="2"/>
      <c r="DC440" s="2"/>
      <c r="DD440" s="2"/>
    </row>
    <row r="441" spans="79:108" x14ac:dyDescent="0.25">
      <c r="CA441" s="2" t="str">
        <f t="shared" si="70"/>
        <v>Hộp-100x200x3.9</v>
      </c>
      <c r="CB441" s="19">
        <v>17.8</v>
      </c>
      <c r="CC441" s="19">
        <v>100</v>
      </c>
      <c r="CD441" s="19">
        <v>200</v>
      </c>
      <c r="CE441" s="20" t="s">
        <v>91</v>
      </c>
      <c r="CF441" s="5">
        <f t="shared" si="71"/>
        <v>600</v>
      </c>
      <c r="CG441" s="5">
        <f t="shared" si="72"/>
        <v>11.7</v>
      </c>
      <c r="CH441" s="5">
        <f t="shared" si="73"/>
        <v>7.8</v>
      </c>
      <c r="CI441" s="5">
        <f t="shared" si="74"/>
        <v>17.378943252248202</v>
      </c>
      <c r="CJ441" s="2">
        <f t="shared" si="75"/>
        <v>7850</v>
      </c>
      <c r="CK441" s="48"/>
      <c r="CZ441" s="2"/>
      <c r="DA441" s="2"/>
      <c r="DB441" s="2"/>
      <c r="DC441" s="2"/>
      <c r="DD441" s="2"/>
    </row>
    <row r="442" spans="79:108" x14ac:dyDescent="0.25">
      <c r="CA442" s="2" t="str">
        <f t="shared" si="70"/>
        <v>Hộp-100x200x4</v>
      </c>
      <c r="CB442" s="19">
        <v>18.233333333333334</v>
      </c>
      <c r="CC442" s="19">
        <v>100</v>
      </c>
      <c r="CD442" s="19">
        <v>200</v>
      </c>
      <c r="CE442" s="20" t="s">
        <v>25</v>
      </c>
      <c r="CF442" s="5">
        <f t="shared" si="71"/>
        <v>600</v>
      </c>
      <c r="CG442" s="5">
        <f t="shared" si="72"/>
        <v>12</v>
      </c>
      <c r="CH442" s="5">
        <f t="shared" si="73"/>
        <v>8</v>
      </c>
      <c r="CI442" s="5">
        <f t="shared" si="74"/>
        <v>17.79852018645439</v>
      </c>
      <c r="CJ442" s="2">
        <f t="shared" si="75"/>
        <v>7850</v>
      </c>
      <c r="CK442" s="48"/>
      <c r="CZ442" s="2"/>
      <c r="DA442" s="2"/>
      <c r="DB442" s="2"/>
      <c r="DC442" s="2"/>
      <c r="DD442" s="2"/>
    </row>
    <row r="443" spans="79:108" x14ac:dyDescent="0.25">
      <c r="CA443" s="2" t="str">
        <f t="shared" si="70"/>
        <v>Hộp-100x200x4.5</v>
      </c>
      <c r="CB443" s="19">
        <v>20.433333333333334</v>
      </c>
      <c r="CC443" s="19">
        <v>100</v>
      </c>
      <c r="CD443" s="19">
        <v>200</v>
      </c>
      <c r="CE443" s="20" t="s">
        <v>92</v>
      </c>
      <c r="CF443" s="5">
        <f t="shared" si="71"/>
        <v>600</v>
      </c>
      <c r="CG443" s="5">
        <f t="shared" si="72"/>
        <v>13.5</v>
      </c>
      <c r="CH443" s="5">
        <f t="shared" si="73"/>
        <v>9</v>
      </c>
      <c r="CI443" s="5">
        <f t="shared" si="74"/>
        <v>19.876877110981336</v>
      </c>
      <c r="CJ443" s="2">
        <f t="shared" si="75"/>
        <v>7850</v>
      </c>
      <c r="CK443" s="48"/>
      <c r="CZ443" s="2"/>
      <c r="DA443" s="2"/>
      <c r="DB443" s="2"/>
      <c r="DC443" s="2"/>
      <c r="DD443" s="2"/>
    </row>
    <row r="444" spans="79:108" x14ac:dyDescent="0.25">
      <c r="CA444" s="2" t="str">
        <f t="shared" si="70"/>
        <v>Hộp-100x200x5</v>
      </c>
      <c r="CB444" s="19">
        <v>22.616666666666664</v>
      </c>
      <c r="CC444" s="19">
        <v>100</v>
      </c>
      <c r="CD444" s="19">
        <v>200</v>
      </c>
      <c r="CE444" s="20" t="s">
        <v>26</v>
      </c>
      <c r="CF444" s="5">
        <f t="shared" si="71"/>
        <v>600</v>
      </c>
      <c r="CG444" s="5">
        <f t="shared" si="72"/>
        <v>15</v>
      </c>
      <c r="CH444" s="5">
        <f t="shared" si="73"/>
        <v>10</v>
      </c>
      <c r="CI444" s="5">
        <f t="shared" si="74"/>
        <v>21.922687791334987</v>
      </c>
      <c r="CJ444" s="2">
        <f t="shared" si="75"/>
        <v>7850</v>
      </c>
      <c r="CK444" s="48"/>
      <c r="CZ444" s="2"/>
      <c r="DA444" s="2"/>
      <c r="DB444" s="2"/>
      <c r="DC444" s="2"/>
      <c r="DD444" s="2"/>
    </row>
    <row r="445" spans="79:108" x14ac:dyDescent="0.25">
      <c r="CA445" s="2" t="s">
        <v>145</v>
      </c>
      <c r="CB445" s="43">
        <v>0.18239</v>
      </c>
      <c r="CC445" s="19">
        <v>12</v>
      </c>
      <c r="CD445" s="19">
        <v>12</v>
      </c>
      <c r="CE445" s="20" t="s">
        <v>60</v>
      </c>
      <c r="CF445" s="5">
        <v>48</v>
      </c>
      <c r="CG445" s="5">
        <f t="shared" si="72"/>
        <v>1.5</v>
      </c>
      <c r="CH445" s="5">
        <f t="shared" si="73"/>
        <v>1</v>
      </c>
      <c r="CI445" s="5">
        <f t="shared" si="74"/>
        <v>0.17388103717870884</v>
      </c>
      <c r="CJ445" s="2">
        <f t="shared" si="75"/>
        <v>7930</v>
      </c>
      <c r="CK445" s="48"/>
      <c r="CZ445" s="2"/>
      <c r="DA445" s="2"/>
      <c r="DB445" s="2"/>
      <c r="DC445" s="2"/>
      <c r="DD445" s="2"/>
    </row>
    <row r="446" spans="79:108" x14ac:dyDescent="0.25">
      <c r="CA446" s="2" t="s">
        <v>146</v>
      </c>
      <c r="CB446" s="43">
        <v>0.21696479999999987</v>
      </c>
      <c r="CC446" s="19">
        <v>12</v>
      </c>
      <c r="CD446" s="19">
        <v>12</v>
      </c>
      <c r="CE446" s="20" t="s">
        <v>61</v>
      </c>
      <c r="CF446" s="5">
        <v>48</v>
      </c>
      <c r="CG446" s="5">
        <f t="shared" si="72"/>
        <v>1.7999999999999998</v>
      </c>
      <c r="CH446" s="5">
        <f t="shared" si="73"/>
        <v>1.2</v>
      </c>
      <c r="CI446" s="5">
        <f t="shared" si="74"/>
        <v>0.20471189353734071</v>
      </c>
      <c r="CJ446" s="2">
        <f t="shared" si="75"/>
        <v>7930</v>
      </c>
      <c r="CK446" s="48"/>
      <c r="CZ446" s="2"/>
      <c r="DA446" s="2"/>
      <c r="DB446" s="2"/>
      <c r="DC446" s="2"/>
      <c r="DD446" s="2"/>
    </row>
    <row r="447" spans="79:108" x14ac:dyDescent="0.25">
      <c r="CA447" s="2" t="s">
        <v>147</v>
      </c>
      <c r="CB447" s="43">
        <v>0.25090519999999999</v>
      </c>
      <c r="CC447" s="19">
        <v>12</v>
      </c>
      <c r="CD447" s="19">
        <v>12</v>
      </c>
      <c r="CE447" s="20" t="s">
        <v>62</v>
      </c>
      <c r="CF447" s="5">
        <v>48</v>
      </c>
      <c r="CG447" s="5">
        <f t="shared" si="72"/>
        <v>2.0999999999999996</v>
      </c>
      <c r="CH447" s="5">
        <f t="shared" si="73"/>
        <v>1.4</v>
      </c>
      <c r="CI447" s="5">
        <f t="shared" si="74"/>
        <v>0.23422763287026932</v>
      </c>
      <c r="CJ447" s="2">
        <f t="shared" si="75"/>
        <v>7930</v>
      </c>
      <c r="CK447" s="48"/>
      <c r="CZ447" s="2"/>
      <c r="DA447" s="2"/>
      <c r="DB447" s="2"/>
      <c r="DC447" s="2"/>
      <c r="DD447" s="2"/>
    </row>
    <row r="448" spans="79:108" x14ac:dyDescent="0.25">
      <c r="CA448" s="2" t="s">
        <v>148</v>
      </c>
      <c r="CB448" s="43">
        <v>0.28421119999999989</v>
      </c>
      <c r="CC448" s="19">
        <v>12</v>
      </c>
      <c r="CD448" s="19">
        <v>12</v>
      </c>
      <c r="CE448" s="20" t="s">
        <v>63</v>
      </c>
      <c r="CF448" s="5">
        <v>48</v>
      </c>
      <c r="CG448" s="5">
        <f t="shared" si="72"/>
        <v>2.4000000000000004</v>
      </c>
      <c r="CH448" s="5">
        <f t="shared" si="73"/>
        <v>1.6</v>
      </c>
      <c r="CI448" s="5">
        <f t="shared" si="74"/>
        <v>0.26242825517749452</v>
      </c>
      <c r="CJ448" s="2">
        <f t="shared" si="75"/>
        <v>7930</v>
      </c>
      <c r="CK448" s="48"/>
      <c r="CZ448" s="2"/>
      <c r="DA448" s="2"/>
      <c r="DB448" s="2"/>
      <c r="DC448" s="2"/>
      <c r="DD448" s="2"/>
    </row>
    <row r="449" spans="79:108" x14ac:dyDescent="0.25">
      <c r="CA449" s="2" t="s">
        <v>149</v>
      </c>
      <c r="CB449" s="43">
        <v>0.31688280000000002</v>
      </c>
      <c r="CC449" s="19">
        <v>12</v>
      </c>
      <c r="CD449" s="19">
        <v>12</v>
      </c>
      <c r="CE449" s="20" t="s">
        <v>64</v>
      </c>
      <c r="CF449" s="5">
        <v>48</v>
      </c>
      <c r="CG449" s="5">
        <f t="shared" si="72"/>
        <v>2.7</v>
      </c>
      <c r="CH449" s="5">
        <f t="shared" si="73"/>
        <v>1.8</v>
      </c>
      <c r="CI449" s="5">
        <f t="shared" si="74"/>
        <v>0.28931376045901658</v>
      </c>
      <c r="CJ449" s="2">
        <f t="shared" si="75"/>
        <v>7930</v>
      </c>
      <c r="CK449" s="48"/>
      <c r="CZ449" s="2"/>
      <c r="DA449" s="2"/>
      <c r="DB449" s="2"/>
      <c r="DC449" s="2"/>
      <c r="DD449" s="2"/>
    </row>
    <row r="450" spans="79:108" x14ac:dyDescent="0.25">
      <c r="CA450" s="2" t="s">
        <v>150</v>
      </c>
      <c r="CB450" s="43">
        <v>0.34892000000000001</v>
      </c>
      <c r="CC450" s="19">
        <v>12</v>
      </c>
      <c r="CD450" s="19">
        <v>12</v>
      </c>
      <c r="CE450" s="20" t="s">
        <v>65</v>
      </c>
      <c r="CF450" s="5">
        <v>48</v>
      </c>
      <c r="CG450" s="5">
        <f t="shared" si="72"/>
        <v>3</v>
      </c>
      <c r="CH450" s="5">
        <f t="shared" si="73"/>
        <v>2</v>
      </c>
      <c r="CI450" s="5">
        <f t="shared" si="74"/>
        <v>0.31488414871483533</v>
      </c>
      <c r="CJ450" s="2">
        <f t="shared" si="75"/>
        <v>7930</v>
      </c>
      <c r="CK450" s="48"/>
      <c r="CZ450" s="2"/>
      <c r="DA450" s="2"/>
      <c r="DB450" s="2"/>
      <c r="DC450" s="2"/>
      <c r="DD450" s="2"/>
    </row>
    <row r="451" spans="79:108" x14ac:dyDescent="0.25">
      <c r="CA451" s="2" t="s">
        <v>151</v>
      </c>
      <c r="CB451" s="43">
        <v>0.38032279999999979</v>
      </c>
      <c r="CC451" s="19">
        <v>12</v>
      </c>
      <c r="CD451" s="19">
        <v>12</v>
      </c>
      <c r="CE451" s="20" t="s">
        <v>66</v>
      </c>
      <c r="CF451" s="5">
        <v>48</v>
      </c>
      <c r="CG451" s="5">
        <f t="shared" si="72"/>
        <v>3.3000000000000003</v>
      </c>
      <c r="CH451" s="5">
        <f t="shared" si="73"/>
        <v>2.2000000000000002</v>
      </c>
      <c r="CI451" s="5">
        <f t="shared" si="74"/>
        <v>0.33913941994495073</v>
      </c>
      <c r="CJ451" s="2">
        <f t="shared" si="75"/>
        <v>7930</v>
      </c>
      <c r="CK451" s="48"/>
      <c r="CZ451" s="2"/>
      <c r="DA451" s="2"/>
      <c r="DB451" s="2"/>
      <c r="DC451" s="2"/>
      <c r="DD451" s="2"/>
    </row>
    <row r="452" spans="79:108" x14ac:dyDescent="0.25">
      <c r="CA452" s="2" t="s">
        <v>152</v>
      </c>
      <c r="CB452" s="43">
        <v>0.41109119999999999</v>
      </c>
      <c r="CC452" s="19">
        <v>12</v>
      </c>
      <c r="CD452" s="19">
        <v>12</v>
      </c>
      <c r="CE452" s="20" t="s">
        <v>67</v>
      </c>
      <c r="CF452" s="5">
        <v>48</v>
      </c>
      <c r="CG452" s="5">
        <f t="shared" ref="CG452:CG515" si="76">IF(CE452&lt;=6,2,IF(CE452&lt;=10,2.5,3))*CE452</f>
        <v>3.5999999999999996</v>
      </c>
      <c r="CH452" s="5">
        <f t="shared" ref="CH452:CH515" si="77">IF(CE452&lt;=6,1,IF(CE452&lt;=10,1.5,2))*CE452</f>
        <v>2.4</v>
      </c>
      <c r="CI452" s="5">
        <f t="shared" ref="CI452:CI515" si="78">(2*CE452*(CC452+CD452-2*CE452)-(4-PI())*(CG452^2-CH452^2))/1000000*CJ452</f>
        <v>0.36207957414936293</v>
      </c>
      <c r="CJ452" s="2">
        <f t="shared" ref="CJ452:CJ515" si="79">IF(LEFT(CA452,4)="Inox",7930,7850)</f>
        <v>7930</v>
      </c>
      <c r="CK452" s="48"/>
      <c r="CZ452" s="2"/>
      <c r="DA452" s="2"/>
      <c r="DB452" s="2"/>
      <c r="DC452" s="2"/>
      <c r="DD452" s="2"/>
    </row>
    <row r="453" spans="79:108" x14ac:dyDescent="0.25">
      <c r="CA453" s="2" t="s">
        <v>153</v>
      </c>
      <c r="CB453" s="43">
        <v>0.21410999999999999</v>
      </c>
      <c r="CC453" s="19">
        <v>14</v>
      </c>
      <c r="CD453" s="19">
        <v>14</v>
      </c>
      <c r="CE453" s="20" t="s">
        <v>60</v>
      </c>
      <c r="CF453" s="5">
        <v>56</v>
      </c>
      <c r="CG453" s="5">
        <f t="shared" si="76"/>
        <v>1.5</v>
      </c>
      <c r="CH453" s="5">
        <f t="shared" si="77"/>
        <v>1</v>
      </c>
      <c r="CI453" s="5">
        <f t="shared" si="78"/>
        <v>0.20560103717870884</v>
      </c>
      <c r="CJ453" s="2">
        <f t="shared" si="79"/>
        <v>7930</v>
      </c>
      <c r="CK453" s="48"/>
      <c r="CZ453" s="2"/>
      <c r="DA453" s="2"/>
      <c r="DB453" s="2"/>
      <c r="DC453" s="2"/>
      <c r="DD453" s="2"/>
    </row>
    <row r="454" spans="79:108" x14ac:dyDescent="0.25">
      <c r="CA454" s="2" t="s">
        <v>154</v>
      </c>
      <c r="CB454" s="43">
        <v>0.25502879999999978</v>
      </c>
      <c r="CC454" s="19">
        <v>14</v>
      </c>
      <c r="CD454" s="19">
        <v>14</v>
      </c>
      <c r="CE454" s="20" t="s">
        <v>61</v>
      </c>
      <c r="CF454" s="5">
        <v>56</v>
      </c>
      <c r="CG454" s="5">
        <f t="shared" si="76"/>
        <v>1.7999999999999998</v>
      </c>
      <c r="CH454" s="5">
        <f t="shared" si="77"/>
        <v>1.2</v>
      </c>
      <c r="CI454" s="5">
        <f t="shared" si="78"/>
        <v>0.24277589353734066</v>
      </c>
      <c r="CJ454" s="2">
        <f t="shared" si="79"/>
        <v>7930</v>
      </c>
      <c r="CK454" s="48"/>
      <c r="CZ454" s="2"/>
      <c r="DA454" s="2"/>
      <c r="DB454" s="2"/>
      <c r="DC454" s="2"/>
      <c r="DD454" s="2"/>
    </row>
    <row r="455" spans="79:108" x14ac:dyDescent="0.25">
      <c r="CA455" s="2" t="s">
        <v>155</v>
      </c>
      <c r="CB455" s="43">
        <v>0.29531320000000005</v>
      </c>
      <c r="CC455" s="19">
        <v>14</v>
      </c>
      <c r="CD455" s="19">
        <v>14</v>
      </c>
      <c r="CE455" s="20" t="s">
        <v>62</v>
      </c>
      <c r="CF455" s="5">
        <v>56</v>
      </c>
      <c r="CG455" s="5">
        <f t="shared" si="76"/>
        <v>2.0999999999999996</v>
      </c>
      <c r="CH455" s="5">
        <f t="shared" si="77"/>
        <v>1.4</v>
      </c>
      <c r="CI455" s="5">
        <f t="shared" si="78"/>
        <v>0.27863563287026932</v>
      </c>
      <c r="CJ455" s="2">
        <f t="shared" si="79"/>
        <v>7930</v>
      </c>
      <c r="CK455" s="48"/>
      <c r="CZ455" s="2"/>
      <c r="DA455" s="2"/>
      <c r="DB455" s="2"/>
      <c r="DC455" s="2"/>
      <c r="DD455" s="2"/>
    </row>
    <row r="456" spans="79:108" x14ac:dyDescent="0.25">
      <c r="CA456" s="2" t="s">
        <v>156</v>
      </c>
      <c r="CB456" s="43">
        <v>0.33496319999999985</v>
      </c>
      <c r="CC456" s="19">
        <v>14</v>
      </c>
      <c r="CD456" s="19">
        <v>14</v>
      </c>
      <c r="CE456" s="20" t="s">
        <v>63</v>
      </c>
      <c r="CF456" s="5">
        <v>56</v>
      </c>
      <c r="CG456" s="5">
        <f t="shared" si="76"/>
        <v>2.4000000000000004</v>
      </c>
      <c r="CH456" s="5">
        <f t="shared" si="77"/>
        <v>1.6</v>
      </c>
      <c r="CI456" s="5">
        <f t="shared" si="78"/>
        <v>0.31318025517749459</v>
      </c>
      <c r="CJ456" s="2">
        <f t="shared" si="79"/>
        <v>7930</v>
      </c>
      <c r="CK456" s="48"/>
      <c r="CZ456" s="2"/>
      <c r="DA456" s="2"/>
      <c r="DB456" s="2"/>
      <c r="DC456" s="2"/>
      <c r="DD456" s="2"/>
    </row>
    <row r="457" spans="79:108" x14ac:dyDescent="0.25">
      <c r="CA457" s="2" t="s">
        <v>157</v>
      </c>
      <c r="CB457" s="43">
        <v>0.37397880000000017</v>
      </c>
      <c r="CC457" s="19">
        <v>14</v>
      </c>
      <c r="CD457" s="19">
        <v>14</v>
      </c>
      <c r="CE457" s="20" t="s">
        <v>64</v>
      </c>
      <c r="CF457" s="5">
        <v>56</v>
      </c>
      <c r="CG457" s="5">
        <f t="shared" si="76"/>
        <v>2.7</v>
      </c>
      <c r="CH457" s="5">
        <f t="shared" si="77"/>
        <v>1.8</v>
      </c>
      <c r="CI457" s="5">
        <f t="shared" si="78"/>
        <v>0.34640976045901656</v>
      </c>
      <c r="CJ457" s="2">
        <f t="shared" si="79"/>
        <v>7930</v>
      </c>
      <c r="CK457" s="48"/>
      <c r="CZ457" s="2"/>
      <c r="DA457" s="2"/>
      <c r="DB457" s="2"/>
      <c r="DC457" s="2"/>
      <c r="DD457" s="2"/>
    </row>
    <row r="458" spans="79:108" x14ac:dyDescent="0.25">
      <c r="CA458" s="2" t="s">
        <v>158</v>
      </c>
      <c r="CB458" s="43">
        <v>0.41235999999999995</v>
      </c>
      <c r="CC458" s="19">
        <v>14</v>
      </c>
      <c r="CD458" s="19">
        <v>14</v>
      </c>
      <c r="CE458" s="20" t="s">
        <v>65</v>
      </c>
      <c r="CF458" s="5">
        <v>56</v>
      </c>
      <c r="CG458" s="5">
        <f t="shared" si="76"/>
        <v>3</v>
      </c>
      <c r="CH458" s="5">
        <f t="shared" si="77"/>
        <v>2</v>
      </c>
      <c r="CI458" s="5">
        <f t="shared" si="78"/>
        <v>0.37832414871483533</v>
      </c>
      <c r="CJ458" s="2">
        <f t="shared" si="79"/>
        <v>7930</v>
      </c>
      <c r="CK458" s="48"/>
      <c r="CZ458" s="2"/>
      <c r="DA458" s="2"/>
      <c r="DB458" s="2"/>
      <c r="DC458" s="2"/>
      <c r="DD458" s="2"/>
    </row>
    <row r="459" spans="79:108" x14ac:dyDescent="0.25">
      <c r="CA459" s="2" t="s">
        <v>159</v>
      </c>
      <c r="CB459" s="43">
        <v>0.45010679999999986</v>
      </c>
      <c r="CC459" s="19">
        <v>14</v>
      </c>
      <c r="CD459" s="19">
        <v>14</v>
      </c>
      <c r="CE459" s="20" t="s">
        <v>66</v>
      </c>
      <c r="CF459" s="5">
        <v>56</v>
      </c>
      <c r="CG459" s="5">
        <f t="shared" si="76"/>
        <v>3.3000000000000003</v>
      </c>
      <c r="CH459" s="5">
        <f t="shared" si="77"/>
        <v>2.2000000000000002</v>
      </c>
      <c r="CI459" s="5">
        <f t="shared" si="78"/>
        <v>0.40892341994495074</v>
      </c>
      <c r="CJ459" s="2">
        <f t="shared" si="79"/>
        <v>7930</v>
      </c>
      <c r="CK459" s="48"/>
      <c r="CZ459" s="2"/>
      <c r="DA459" s="2"/>
      <c r="DB459" s="2"/>
      <c r="DC459" s="2"/>
      <c r="DD459" s="2"/>
    </row>
    <row r="460" spans="79:108" x14ac:dyDescent="0.25">
      <c r="CA460" s="2" t="s">
        <v>160</v>
      </c>
      <c r="CB460" s="43">
        <v>0.48721919999999996</v>
      </c>
      <c r="CC460" s="19">
        <v>14</v>
      </c>
      <c r="CD460" s="19">
        <v>14</v>
      </c>
      <c r="CE460" s="20" t="s">
        <v>67</v>
      </c>
      <c r="CF460" s="5">
        <v>56</v>
      </c>
      <c r="CG460" s="5">
        <f t="shared" si="76"/>
        <v>3.5999999999999996</v>
      </c>
      <c r="CH460" s="5">
        <f t="shared" si="77"/>
        <v>2.4</v>
      </c>
      <c r="CI460" s="5">
        <f t="shared" si="78"/>
        <v>0.43820757414936284</v>
      </c>
      <c r="CJ460" s="2">
        <f t="shared" si="79"/>
        <v>7930</v>
      </c>
      <c r="CK460" s="48"/>
      <c r="CZ460" s="2"/>
      <c r="DA460" s="2"/>
      <c r="DB460" s="2"/>
      <c r="DC460" s="2"/>
      <c r="DD460" s="2"/>
    </row>
    <row r="461" spans="79:108" x14ac:dyDescent="0.25">
      <c r="CA461" s="2" t="s">
        <v>161</v>
      </c>
      <c r="CB461" s="43">
        <v>0.55954080000000017</v>
      </c>
      <c r="CC461" s="19">
        <v>14</v>
      </c>
      <c r="CD461" s="19">
        <v>14</v>
      </c>
      <c r="CE461" s="20" t="s">
        <v>68</v>
      </c>
      <c r="CF461" s="5">
        <v>56</v>
      </c>
      <c r="CG461" s="5">
        <f t="shared" si="76"/>
        <v>4.1999999999999993</v>
      </c>
      <c r="CH461" s="5">
        <f t="shared" si="77"/>
        <v>2.8</v>
      </c>
      <c r="CI461" s="5">
        <f t="shared" si="78"/>
        <v>0.49283053148107708</v>
      </c>
      <c r="CJ461" s="2">
        <f t="shared" si="79"/>
        <v>7930</v>
      </c>
      <c r="CK461" s="48"/>
      <c r="CZ461" s="2"/>
      <c r="DA461" s="2"/>
      <c r="DB461" s="2"/>
      <c r="DC461" s="2"/>
      <c r="DD461" s="2"/>
    </row>
    <row r="462" spans="79:108" x14ac:dyDescent="0.25">
      <c r="CA462" s="2" t="s">
        <v>162</v>
      </c>
      <c r="CB462" s="43">
        <v>0.24583000000000002</v>
      </c>
      <c r="CC462" s="19">
        <v>16</v>
      </c>
      <c r="CD462" s="19">
        <v>16</v>
      </c>
      <c r="CE462" s="20" t="s">
        <v>60</v>
      </c>
      <c r="CF462" s="5">
        <v>64</v>
      </c>
      <c r="CG462" s="5">
        <f t="shared" si="76"/>
        <v>1.5</v>
      </c>
      <c r="CH462" s="5">
        <f t="shared" si="77"/>
        <v>1</v>
      </c>
      <c r="CI462" s="5">
        <f t="shared" si="78"/>
        <v>0.23732103717870881</v>
      </c>
      <c r="CJ462" s="2">
        <f t="shared" si="79"/>
        <v>7930</v>
      </c>
      <c r="CK462" s="48"/>
      <c r="CZ462" s="2"/>
      <c r="DA462" s="2"/>
      <c r="DB462" s="2"/>
      <c r="DC462" s="2"/>
      <c r="DD462" s="2"/>
    </row>
    <row r="463" spans="79:108" x14ac:dyDescent="0.25">
      <c r="CA463" s="2" t="s">
        <v>163</v>
      </c>
      <c r="CB463" s="43">
        <v>0.29309279999999982</v>
      </c>
      <c r="CC463" s="19">
        <v>16</v>
      </c>
      <c r="CD463" s="19">
        <v>16</v>
      </c>
      <c r="CE463" s="20" t="s">
        <v>61</v>
      </c>
      <c r="CF463" s="5">
        <v>64</v>
      </c>
      <c r="CG463" s="5">
        <f t="shared" si="76"/>
        <v>1.7999999999999998</v>
      </c>
      <c r="CH463" s="5">
        <f t="shared" si="77"/>
        <v>1.2</v>
      </c>
      <c r="CI463" s="5">
        <f t="shared" si="78"/>
        <v>0.28083989353734073</v>
      </c>
      <c r="CJ463" s="2">
        <f t="shared" si="79"/>
        <v>7930</v>
      </c>
      <c r="CK463" s="48"/>
      <c r="CZ463" s="2"/>
      <c r="DA463" s="2"/>
      <c r="DB463" s="2"/>
      <c r="DC463" s="2"/>
      <c r="DD463" s="2"/>
    </row>
    <row r="464" spans="79:108" x14ac:dyDescent="0.25">
      <c r="CA464" s="2" t="s">
        <v>164</v>
      </c>
      <c r="CB464" s="43">
        <v>0.3397212</v>
      </c>
      <c r="CC464" s="19">
        <v>16</v>
      </c>
      <c r="CD464" s="19">
        <v>16</v>
      </c>
      <c r="CE464" s="20" t="s">
        <v>62</v>
      </c>
      <c r="CF464" s="5">
        <v>64</v>
      </c>
      <c r="CG464" s="5">
        <f t="shared" si="76"/>
        <v>2.0999999999999996</v>
      </c>
      <c r="CH464" s="5">
        <f t="shared" si="77"/>
        <v>1.4</v>
      </c>
      <c r="CI464" s="5">
        <f t="shared" si="78"/>
        <v>0.32304363287026933</v>
      </c>
      <c r="CJ464" s="2">
        <f t="shared" si="79"/>
        <v>7930</v>
      </c>
      <c r="CK464" s="48"/>
      <c r="CZ464" s="2"/>
      <c r="DA464" s="2"/>
      <c r="DB464" s="2"/>
      <c r="DC464" s="2"/>
      <c r="DD464" s="2"/>
    </row>
    <row r="465" spans="79:108" x14ac:dyDescent="0.25">
      <c r="CA465" s="2" t="s">
        <v>165</v>
      </c>
      <c r="CB465" s="43">
        <v>0.38571519999999987</v>
      </c>
      <c r="CC465" s="19">
        <v>16</v>
      </c>
      <c r="CD465" s="19">
        <v>16</v>
      </c>
      <c r="CE465" s="20" t="s">
        <v>63</v>
      </c>
      <c r="CF465" s="5">
        <v>64</v>
      </c>
      <c r="CG465" s="5">
        <f t="shared" si="76"/>
        <v>2.4000000000000004</v>
      </c>
      <c r="CH465" s="5">
        <f t="shared" si="77"/>
        <v>1.6</v>
      </c>
      <c r="CI465" s="5">
        <f t="shared" si="78"/>
        <v>0.36393225517749461</v>
      </c>
      <c r="CJ465" s="2">
        <f t="shared" si="79"/>
        <v>7930</v>
      </c>
      <c r="CK465" s="48"/>
      <c r="CZ465" s="2"/>
      <c r="DA465" s="2"/>
      <c r="DB465" s="2"/>
      <c r="DC465" s="2"/>
      <c r="DD465" s="2"/>
    </row>
    <row r="466" spans="79:108" x14ac:dyDescent="0.25">
      <c r="CA466" s="2" t="s">
        <v>166</v>
      </c>
      <c r="CB466" s="43">
        <v>0.43107480000000009</v>
      </c>
      <c r="CC466" s="19">
        <v>16</v>
      </c>
      <c r="CD466" s="19">
        <v>16</v>
      </c>
      <c r="CE466" s="20" t="s">
        <v>64</v>
      </c>
      <c r="CF466" s="5">
        <v>64</v>
      </c>
      <c r="CG466" s="5">
        <f t="shared" si="76"/>
        <v>2.7</v>
      </c>
      <c r="CH466" s="5">
        <f t="shared" si="77"/>
        <v>1.8</v>
      </c>
      <c r="CI466" s="5">
        <f t="shared" si="78"/>
        <v>0.40350576045901659</v>
      </c>
      <c r="CJ466" s="2">
        <f t="shared" si="79"/>
        <v>7930</v>
      </c>
      <c r="CK466" s="48"/>
      <c r="CZ466" s="2"/>
      <c r="DA466" s="2"/>
      <c r="DB466" s="2"/>
      <c r="DC466" s="2"/>
      <c r="DD466" s="2"/>
    </row>
    <row r="467" spans="79:108" x14ac:dyDescent="0.25">
      <c r="CA467" s="2" t="s">
        <v>167</v>
      </c>
      <c r="CB467" s="43">
        <v>0.47579999999999995</v>
      </c>
      <c r="CC467" s="19">
        <v>16</v>
      </c>
      <c r="CD467" s="19">
        <v>16</v>
      </c>
      <c r="CE467" s="20" t="s">
        <v>65</v>
      </c>
      <c r="CF467" s="5">
        <v>64</v>
      </c>
      <c r="CG467" s="5">
        <f t="shared" si="76"/>
        <v>3</v>
      </c>
      <c r="CH467" s="5">
        <f t="shared" si="77"/>
        <v>2</v>
      </c>
      <c r="CI467" s="5">
        <f t="shared" si="78"/>
        <v>0.44176414871483533</v>
      </c>
      <c r="CJ467" s="2">
        <f t="shared" si="79"/>
        <v>7930</v>
      </c>
      <c r="CK467" s="48"/>
      <c r="CZ467" s="2"/>
      <c r="DA467" s="2"/>
      <c r="DB467" s="2"/>
      <c r="DC467" s="2"/>
      <c r="DD467" s="2"/>
    </row>
    <row r="468" spans="79:108" x14ac:dyDescent="0.25">
      <c r="CA468" s="2" t="s">
        <v>168</v>
      </c>
      <c r="CB468" s="43">
        <v>0.51989079999999976</v>
      </c>
      <c r="CC468" s="19">
        <v>16</v>
      </c>
      <c r="CD468" s="19">
        <v>16</v>
      </c>
      <c r="CE468" s="20" t="s">
        <v>66</v>
      </c>
      <c r="CF468" s="5">
        <v>64</v>
      </c>
      <c r="CG468" s="5">
        <f t="shared" si="76"/>
        <v>3.3000000000000003</v>
      </c>
      <c r="CH468" s="5">
        <f t="shared" si="77"/>
        <v>2.2000000000000002</v>
      </c>
      <c r="CI468" s="5">
        <f t="shared" si="78"/>
        <v>0.4787074199449507</v>
      </c>
      <c r="CJ468" s="2">
        <f t="shared" si="79"/>
        <v>7930</v>
      </c>
      <c r="CK468" s="48"/>
      <c r="CZ468" s="2"/>
      <c r="DA468" s="2"/>
      <c r="DB468" s="2"/>
      <c r="DC468" s="2"/>
      <c r="DD468" s="2"/>
    </row>
    <row r="469" spans="79:108" x14ac:dyDescent="0.25">
      <c r="CA469" s="2" t="s">
        <v>169</v>
      </c>
      <c r="CB469" s="43">
        <v>0.56334720000000005</v>
      </c>
      <c r="CC469" s="19">
        <v>16</v>
      </c>
      <c r="CD469" s="19">
        <v>16</v>
      </c>
      <c r="CE469" s="20" t="s">
        <v>67</v>
      </c>
      <c r="CF469" s="5">
        <v>64</v>
      </c>
      <c r="CG469" s="5">
        <f t="shared" si="76"/>
        <v>3.5999999999999996</v>
      </c>
      <c r="CH469" s="5">
        <f t="shared" si="77"/>
        <v>2.4</v>
      </c>
      <c r="CI469" s="5">
        <f t="shared" si="78"/>
        <v>0.51433557414936293</v>
      </c>
      <c r="CJ469" s="2">
        <f t="shared" si="79"/>
        <v>7930</v>
      </c>
      <c r="CK469" s="48"/>
      <c r="CZ469" s="2"/>
      <c r="DA469" s="2"/>
      <c r="DB469" s="2"/>
      <c r="DC469" s="2"/>
      <c r="DD469" s="2"/>
    </row>
    <row r="470" spans="79:108" x14ac:dyDescent="0.25">
      <c r="CA470" s="2" t="s">
        <v>170</v>
      </c>
      <c r="CB470" s="43">
        <v>0.64835680000000018</v>
      </c>
      <c r="CC470" s="19">
        <v>16</v>
      </c>
      <c r="CD470" s="19">
        <v>16</v>
      </c>
      <c r="CE470" s="20" t="s">
        <v>68</v>
      </c>
      <c r="CF470" s="5">
        <v>64</v>
      </c>
      <c r="CG470" s="5">
        <f t="shared" si="76"/>
        <v>4.1999999999999993</v>
      </c>
      <c r="CH470" s="5">
        <f t="shared" si="77"/>
        <v>2.8</v>
      </c>
      <c r="CI470" s="5">
        <f t="shared" si="78"/>
        <v>0.58164653148107714</v>
      </c>
      <c r="CJ470" s="2">
        <f t="shared" si="79"/>
        <v>7930</v>
      </c>
      <c r="CK470" s="48"/>
      <c r="CZ470" s="2"/>
      <c r="DA470" s="2"/>
      <c r="DB470" s="2"/>
      <c r="DC470" s="2"/>
      <c r="DD470" s="2"/>
    </row>
    <row r="471" spans="79:108" x14ac:dyDescent="0.25">
      <c r="CA471" s="2" t="s">
        <v>171</v>
      </c>
      <c r="CB471" s="43">
        <v>0.3597047999999996</v>
      </c>
      <c r="CC471" s="19">
        <v>13</v>
      </c>
      <c r="CD471" s="19">
        <v>26</v>
      </c>
      <c r="CE471" s="20" t="s">
        <v>61</v>
      </c>
      <c r="CF471" s="5">
        <v>78</v>
      </c>
      <c r="CG471" s="5">
        <f t="shared" si="76"/>
        <v>1.7999999999999998</v>
      </c>
      <c r="CH471" s="5">
        <f t="shared" si="77"/>
        <v>1.2</v>
      </c>
      <c r="CI471" s="5">
        <f t="shared" si="78"/>
        <v>0.34745189353734063</v>
      </c>
      <c r="CJ471" s="2">
        <f t="shared" si="79"/>
        <v>7930</v>
      </c>
      <c r="CK471" s="48"/>
      <c r="CZ471" s="2"/>
      <c r="DA471" s="2"/>
      <c r="DB471" s="2"/>
      <c r="DC471" s="2"/>
      <c r="DD471" s="2"/>
    </row>
    <row r="472" spans="79:108" x14ac:dyDescent="0.25">
      <c r="CA472" s="2" t="s">
        <v>172</v>
      </c>
      <c r="CB472" s="43">
        <v>0.4174351999999999</v>
      </c>
      <c r="CC472" s="19">
        <v>13</v>
      </c>
      <c r="CD472" s="19">
        <v>26</v>
      </c>
      <c r="CE472" s="20" t="s">
        <v>62</v>
      </c>
      <c r="CF472" s="5">
        <v>78</v>
      </c>
      <c r="CG472" s="5">
        <f t="shared" si="76"/>
        <v>2.0999999999999996</v>
      </c>
      <c r="CH472" s="5">
        <f t="shared" si="77"/>
        <v>1.4</v>
      </c>
      <c r="CI472" s="5">
        <f t="shared" si="78"/>
        <v>0.40075763287026933</v>
      </c>
      <c r="CJ472" s="2">
        <f t="shared" si="79"/>
        <v>7930</v>
      </c>
      <c r="CK472" s="48"/>
      <c r="CZ472" s="2"/>
      <c r="DA472" s="2"/>
      <c r="DB472" s="2"/>
      <c r="DC472" s="2"/>
      <c r="DD472" s="2"/>
    </row>
    <row r="473" spans="79:108" x14ac:dyDescent="0.25">
      <c r="CA473" s="2" t="s">
        <v>173</v>
      </c>
      <c r="CB473" s="43">
        <v>0.47453120000000026</v>
      </c>
      <c r="CC473" s="19">
        <v>13</v>
      </c>
      <c r="CD473" s="19">
        <v>26</v>
      </c>
      <c r="CE473" s="20" t="s">
        <v>63</v>
      </c>
      <c r="CF473" s="5">
        <v>78</v>
      </c>
      <c r="CG473" s="5">
        <f t="shared" si="76"/>
        <v>2.4000000000000004</v>
      </c>
      <c r="CH473" s="5">
        <f t="shared" si="77"/>
        <v>1.6</v>
      </c>
      <c r="CI473" s="5">
        <f t="shared" si="78"/>
        <v>0.45274825517749462</v>
      </c>
      <c r="CJ473" s="2">
        <f t="shared" si="79"/>
        <v>7930</v>
      </c>
      <c r="CK473" s="48"/>
      <c r="CZ473" s="2"/>
      <c r="DA473" s="2"/>
      <c r="DB473" s="2"/>
      <c r="DC473" s="2"/>
      <c r="DD473" s="2"/>
    </row>
    <row r="474" spans="79:108" x14ac:dyDescent="0.25">
      <c r="CA474" s="2" t="s">
        <v>174</v>
      </c>
      <c r="CB474" s="43">
        <v>0.53099280000000026</v>
      </c>
      <c r="CC474" s="19">
        <v>13</v>
      </c>
      <c r="CD474" s="19">
        <v>26</v>
      </c>
      <c r="CE474" s="20" t="s">
        <v>64</v>
      </c>
      <c r="CF474" s="5">
        <v>78</v>
      </c>
      <c r="CG474" s="5">
        <f t="shared" si="76"/>
        <v>2.7</v>
      </c>
      <c r="CH474" s="5">
        <f t="shared" si="77"/>
        <v>1.8</v>
      </c>
      <c r="CI474" s="5">
        <f t="shared" si="78"/>
        <v>0.5034237604590166</v>
      </c>
      <c r="CJ474" s="2">
        <f t="shared" si="79"/>
        <v>7930</v>
      </c>
      <c r="CK474" s="48"/>
      <c r="CZ474" s="2"/>
      <c r="DA474" s="2"/>
      <c r="DB474" s="2"/>
      <c r="DC474" s="2"/>
      <c r="DD474" s="2"/>
    </row>
    <row r="475" spans="79:108" x14ac:dyDescent="0.25">
      <c r="CA475" s="2" t="s">
        <v>175</v>
      </c>
      <c r="CB475" s="43">
        <v>0.58682000000000001</v>
      </c>
      <c r="CC475" s="19">
        <v>13</v>
      </c>
      <c r="CD475" s="19">
        <v>26</v>
      </c>
      <c r="CE475" s="20" t="s">
        <v>65</v>
      </c>
      <c r="CF475" s="5">
        <v>78</v>
      </c>
      <c r="CG475" s="5">
        <f t="shared" si="76"/>
        <v>3</v>
      </c>
      <c r="CH475" s="5">
        <f t="shared" si="77"/>
        <v>2</v>
      </c>
      <c r="CI475" s="5">
        <f t="shared" si="78"/>
        <v>0.55278414871483528</v>
      </c>
      <c r="CJ475" s="2">
        <f t="shared" si="79"/>
        <v>7930</v>
      </c>
      <c r="CK475" s="48"/>
      <c r="CZ475" s="2"/>
      <c r="DA475" s="2"/>
      <c r="DB475" s="2"/>
      <c r="DC475" s="2"/>
      <c r="DD475" s="2"/>
    </row>
    <row r="476" spans="79:108" x14ac:dyDescent="0.25">
      <c r="CA476" s="2" t="s">
        <v>176</v>
      </c>
      <c r="CB476" s="43">
        <v>0.64201279999999972</v>
      </c>
      <c r="CC476" s="19">
        <v>13</v>
      </c>
      <c r="CD476" s="19">
        <v>26</v>
      </c>
      <c r="CE476" s="20" t="s">
        <v>66</v>
      </c>
      <c r="CF476" s="5">
        <v>78</v>
      </c>
      <c r="CG476" s="5">
        <f t="shared" si="76"/>
        <v>3.3000000000000003</v>
      </c>
      <c r="CH476" s="5">
        <f t="shared" si="77"/>
        <v>2.2000000000000002</v>
      </c>
      <c r="CI476" s="5">
        <f t="shared" si="78"/>
        <v>0.60082941994495065</v>
      </c>
      <c r="CJ476" s="2">
        <f t="shared" si="79"/>
        <v>7930</v>
      </c>
      <c r="CK476" s="48"/>
      <c r="CZ476" s="2"/>
      <c r="DA476" s="2"/>
      <c r="DB476" s="2"/>
      <c r="DC476" s="2"/>
      <c r="DD476" s="2"/>
    </row>
    <row r="477" spans="79:108" x14ac:dyDescent="0.25">
      <c r="CA477" s="2" t="s">
        <v>177</v>
      </c>
      <c r="CB477" s="43">
        <v>0.69657119999999995</v>
      </c>
      <c r="CC477" s="19">
        <v>13</v>
      </c>
      <c r="CD477" s="19">
        <v>26</v>
      </c>
      <c r="CE477" s="20" t="s">
        <v>67</v>
      </c>
      <c r="CF477" s="5">
        <v>78</v>
      </c>
      <c r="CG477" s="5">
        <f t="shared" si="76"/>
        <v>3.5999999999999996</v>
      </c>
      <c r="CH477" s="5">
        <f t="shared" si="77"/>
        <v>2.4</v>
      </c>
      <c r="CI477" s="5">
        <f t="shared" si="78"/>
        <v>0.64755957414936283</v>
      </c>
      <c r="CJ477" s="2">
        <f t="shared" si="79"/>
        <v>7930</v>
      </c>
      <c r="CK477" s="48"/>
      <c r="CZ477" s="2"/>
      <c r="DA477" s="2"/>
      <c r="DB477" s="2"/>
      <c r="DC477" s="2"/>
      <c r="DD477" s="2"/>
    </row>
    <row r="478" spans="79:108" x14ac:dyDescent="0.25">
      <c r="CA478" s="2" t="s">
        <v>178</v>
      </c>
      <c r="CB478" s="43">
        <v>0.80378480000000008</v>
      </c>
      <c r="CC478" s="19">
        <v>13</v>
      </c>
      <c r="CD478" s="19">
        <v>26</v>
      </c>
      <c r="CE478" s="20" t="s">
        <v>68</v>
      </c>
      <c r="CF478" s="5">
        <v>78</v>
      </c>
      <c r="CG478" s="5">
        <f t="shared" si="76"/>
        <v>4.1999999999999993</v>
      </c>
      <c r="CH478" s="5">
        <f t="shared" si="77"/>
        <v>2.8</v>
      </c>
      <c r="CI478" s="5">
        <f t="shared" si="78"/>
        <v>0.73707453148107727</v>
      </c>
      <c r="CJ478" s="2">
        <f t="shared" si="79"/>
        <v>7930</v>
      </c>
      <c r="CK478" s="48"/>
      <c r="CZ478" s="2"/>
      <c r="DA478" s="2"/>
      <c r="DB478" s="2"/>
      <c r="DC478" s="2"/>
      <c r="DD478" s="2"/>
    </row>
    <row r="479" spans="79:108" x14ac:dyDescent="0.25">
      <c r="CA479" s="2" t="s">
        <v>179</v>
      </c>
      <c r="CB479" s="43">
        <v>0.85643999999999998</v>
      </c>
      <c r="CC479" s="19">
        <v>13</v>
      </c>
      <c r="CD479" s="19">
        <v>26</v>
      </c>
      <c r="CE479" s="20" t="s">
        <v>69</v>
      </c>
      <c r="CF479" s="5">
        <v>78</v>
      </c>
      <c r="CG479" s="5">
        <f t="shared" si="76"/>
        <v>4.5</v>
      </c>
      <c r="CH479" s="5">
        <f t="shared" si="77"/>
        <v>3</v>
      </c>
      <c r="CI479" s="5">
        <f t="shared" si="78"/>
        <v>0.77985933460837942</v>
      </c>
      <c r="CJ479" s="2">
        <f t="shared" si="79"/>
        <v>7930</v>
      </c>
      <c r="CK479" s="48"/>
      <c r="CZ479" s="2"/>
      <c r="DA479" s="2"/>
      <c r="DB479" s="2"/>
      <c r="DC479" s="2"/>
      <c r="DD479" s="2"/>
    </row>
    <row r="480" spans="79:108" x14ac:dyDescent="0.25">
      <c r="CA480" s="2" t="s">
        <v>180</v>
      </c>
      <c r="CB480" s="43">
        <v>0.90846079999999985</v>
      </c>
      <c r="CC480" s="19">
        <v>13</v>
      </c>
      <c r="CD480" s="19">
        <v>26</v>
      </c>
      <c r="CE480" s="20" t="s">
        <v>70</v>
      </c>
      <c r="CF480" s="5">
        <v>78</v>
      </c>
      <c r="CG480" s="5">
        <f t="shared" si="76"/>
        <v>4.8000000000000007</v>
      </c>
      <c r="CH480" s="5">
        <f t="shared" si="77"/>
        <v>3.2</v>
      </c>
      <c r="CI480" s="5">
        <f t="shared" si="78"/>
        <v>0.82132902070997837</v>
      </c>
      <c r="CJ480" s="2">
        <f t="shared" si="79"/>
        <v>7930</v>
      </c>
      <c r="CK480" s="48"/>
      <c r="CZ480" s="2"/>
      <c r="DA480" s="2"/>
      <c r="DB480" s="2"/>
      <c r="DC480" s="2"/>
      <c r="DD480" s="2"/>
    </row>
    <row r="481" spans="79:108" x14ac:dyDescent="0.25">
      <c r="CA481" s="2" t="s">
        <v>181</v>
      </c>
      <c r="CB481" s="43">
        <v>0.36922079999999979</v>
      </c>
      <c r="CC481" s="19">
        <v>10</v>
      </c>
      <c r="CD481" s="19">
        <v>30</v>
      </c>
      <c r="CE481" s="20" t="s">
        <v>61</v>
      </c>
      <c r="CF481" s="5">
        <v>80</v>
      </c>
      <c r="CG481" s="5">
        <f t="shared" si="76"/>
        <v>1.7999999999999998</v>
      </c>
      <c r="CH481" s="5">
        <f t="shared" si="77"/>
        <v>1.2</v>
      </c>
      <c r="CI481" s="5">
        <f t="shared" si="78"/>
        <v>0.35696789353734071</v>
      </c>
      <c r="CJ481" s="2">
        <f t="shared" si="79"/>
        <v>7930</v>
      </c>
      <c r="CK481" s="48"/>
      <c r="CZ481" s="2"/>
      <c r="DA481" s="2"/>
      <c r="DB481" s="2"/>
      <c r="DC481" s="2"/>
      <c r="DD481" s="2"/>
    </row>
    <row r="482" spans="79:108" x14ac:dyDescent="0.25">
      <c r="CA482" s="2" t="s">
        <v>182</v>
      </c>
      <c r="CB482" s="43">
        <v>0.42853719999999995</v>
      </c>
      <c r="CC482" s="19">
        <v>10</v>
      </c>
      <c r="CD482" s="19">
        <v>30</v>
      </c>
      <c r="CE482" s="20" t="s">
        <v>62</v>
      </c>
      <c r="CF482" s="5">
        <v>80</v>
      </c>
      <c r="CG482" s="5">
        <f t="shared" si="76"/>
        <v>2.0999999999999996</v>
      </c>
      <c r="CH482" s="5">
        <f t="shared" si="77"/>
        <v>1.4</v>
      </c>
      <c r="CI482" s="5">
        <f t="shared" si="78"/>
        <v>0.41185963287026933</v>
      </c>
      <c r="CJ482" s="2">
        <f t="shared" si="79"/>
        <v>7930</v>
      </c>
      <c r="CK482" s="48"/>
      <c r="CZ482" s="2"/>
      <c r="DA482" s="2"/>
      <c r="DB482" s="2"/>
      <c r="DC482" s="2"/>
      <c r="DD482" s="2"/>
    </row>
    <row r="483" spans="79:108" x14ac:dyDescent="0.25">
      <c r="CA483" s="2" t="s">
        <v>183</v>
      </c>
      <c r="CB483" s="43">
        <v>0.48721919999999996</v>
      </c>
      <c r="CC483" s="19">
        <v>10</v>
      </c>
      <c r="CD483" s="19">
        <v>30</v>
      </c>
      <c r="CE483" s="20" t="s">
        <v>63</v>
      </c>
      <c r="CF483" s="5">
        <v>80</v>
      </c>
      <c r="CG483" s="5">
        <f t="shared" si="76"/>
        <v>2.4000000000000004</v>
      </c>
      <c r="CH483" s="5">
        <f t="shared" si="77"/>
        <v>1.6</v>
      </c>
      <c r="CI483" s="5">
        <f t="shared" si="78"/>
        <v>0.4654362551774946</v>
      </c>
      <c r="CJ483" s="2">
        <f t="shared" si="79"/>
        <v>7930</v>
      </c>
      <c r="CK483" s="48"/>
      <c r="CZ483" s="2"/>
      <c r="DA483" s="2"/>
      <c r="DB483" s="2"/>
      <c r="DC483" s="2"/>
      <c r="DD483" s="2"/>
    </row>
    <row r="484" spans="79:108" x14ac:dyDescent="0.25">
      <c r="CA484" s="2" t="s">
        <v>184</v>
      </c>
      <c r="CB484" s="43">
        <v>0.54526680000000005</v>
      </c>
      <c r="CC484" s="19">
        <v>10</v>
      </c>
      <c r="CD484" s="19">
        <v>30</v>
      </c>
      <c r="CE484" s="20" t="s">
        <v>64</v>
      </c>
      <c r="CF484" s="5">
        <v>80</v>
      </c>
      <c r="CG484" s="5">
        <f t="shared" si="76"/>
        <v>2.7</v>
      </c>
      <c r="CH484" s="5">
        <f t="shared" si="77"/>
        <v>1.8</v>
      </c>
      <c r="CI484" s="5">
        <f t="shared" si="78"/>
        <v>0.51769776045901672</v>
      </c>
      <c r="CJ484" s="2">
        <f t="shared" si="79"/>
        <v>7930</v>
      </c>
      <c r="CK484" s="48"/>
      <c r="CZ484" s="2"/>
      <c r="DA484" s="2"/>
      <c r="DB484" s="2"/>
      <c r="DC484" s="2"/>
      <c r="DD484" s="2"/>
    </row>
    <row r="485" spans="79:108" x14ac:dyDescent="0.25">
      <c r="CA485" s="2" t="s">
        <v>185</v>
      </c>
      <c r="CB485" s="43">
        <v>0.60267999999999988</v>
      </c>
      <c r="CC485" s="19">
        <v>10</v>
      </c>
      <c r="CD485" s="19">
        <v>30</v>
      </c>
      <c r="CE485" s="20" t="s">
        <v>65</v>
      </c>
      <c r="CF485" s="5">
        <v>80</v>
      </c>
      <c r="CG485" s="5">
        <f t="shared" si="76"/>
        <v>3</v>
      </c>
      <c r="CH485" s="5">
        <f t="shared" si="77"/>
        <v>2</v>
      </c>
      <c r="CI485" s="5">
        <f t="shared" si="78"/>
        <v>0.56864414871483526</v>
      </c>
      <c r="CJ485" s="2">
        <f t="shared" si="79"/>
        <v>7930</v>
      </c>
      <c r="CK485" s="48"/>
      <c r="CZ485" s="2"/>
      <c r="DA485" s="2"/>
      <c r="DB485" s="2"/>
      <c r="DC485" s="2"/>
      <c r="DD485" s="2"/>
    </row>
    <row r="486" spans="79:108" x14ac:dyDescent="0.25">
      <c r="CA486" s="2" t="s">
        <v>186</v>
      </c>
      <c r="CB486" s="43">
        <v>0.65945880000000001</v>
      </c>
      <c r="CC486" s="19">
        <v>10</v>
      </c>
      <c r="CD486" s="19">
        <v>30</v>
      </c>
      <c r="CE486" s="20" t="s">
        <v>66</v>
      </c>
      <c r="CF486" s="5">
        <v>80</v>
      </c>
      <c r="CG486" s="5">
        <f t="shared" si="76"/>
        <v>3.3000000000000003</v>
      </c>
      <c r="CH486" s="5">
        <f t="shared" si="77"/>
        <v>2.2000000000000002</v>
      </c>
      <c r="CI486" s="5">
        <f t="shared" si="78"/>
        <v>0.61827541994495061</v>
      </c>
      <c r="CJ486" s="2">
        <f t="shared" si="79"/>
        <v>7930</v>
      </c>
      <c r="CK486" s="48"/>
      <c r="CZ486" s="2"/>
      <c r="DA486" s="2"/>
      <c r="DB486" s="2"/>
      <c r="DC486" s="2"/>
      <c r="DD486" s="2"/>
    </row>
    <row r="487" spans="79:108" x14ac:dyDescent="0.25">
      <c r="CA487" s="2" t="s">
        <v>187</v>
      </c>
      <c r="CB487" s="43">
        <v>0.71560319999999999</v>
      </c>
      <c r="CC487" s="19">
        <v>10</v>
      </c>
      <c r="CD487" s="19">
        <v>30</v>
      </c>
      <c r="CE487" s="20" t="s">
        <v>67</v>
      </c>
      <c r="CF487" s="5">
        <v>80</v>
      </c>
      <c r="CG487" s="5">
        <f t="shared" si="76"/>
        <v>3.5999999999999996</v>
      </c>
      <c r="CH487" s="5">
        <f t="shared" si="77"/>
        <v>2.4</v>
      </c>
      <c r="CI487" s="5">
        <f t="shared" si="78"/>
        <v>0.66659157414936276</v>
      </c>
      <c r="CJ487" s="2">
        <f t="shared" si="79"/>
        <v>7930</v>
      </c>
      <c r="CK487" s="48"/>
      <c r="CZ487" s="2"/>
      <c r="DA487" s="2"/>
      <c r="DB487" s="2"/>
      <c r="DC487" s="2"/>
      <c r="DD487" s="2"/>
    </row>
    <row r="488" spans="79:108" x14ac:dyDescent="0.25">
      <c r="CA488" s="2" t="s">
        <v>188</v>
      </c>
      <c r="CB488" s="43">
        <v>0.82598879999999997</v>
      </c>
      <c r="CC488" s="19">
        <v>10</v>
      </c>
      <c r="CD488" s="19">
        <v>30</v>
      </c>
      <c r="CE488" s="20" t="s">
        <v>68</v>
      </c>
      <c r="CF488" s="5">
        <v>80</v>
      </c>
      <c r="CG488" s="5">
        <f t="shared" si="76"/>
        <v>4.1999999999999993</v>
      </c>
      <c r="CH488" s="5">
        <f t="shared" si="77"/>
        <v>2.8</v>
      </c>
      <c r="CI488" s="5">
        <f t="shared" si="78"/>
        <v>0.75927853148107716</v>
      </c>
      <c r="CJ488" s="2">
        <f t="shared" si="79"/>
        <v>7930</v>
      </c>
      <c r="CK488" s="48"/>
      <c r="CZ488" s="2"/>
      <c r="DA488" s="2"/>
      <c r="DB488" s="2"/>
      <c r="DC488" s="2"/>
      <c r="DD488" s="2"/>
    </row>
    <row r="489" spans="79:108" x14ac:dyDescent="0.25">
      <c r="CA489" s="2" t="s">
        <v>189</v>
      </c>
      <c r="CB489" s="43">
        <v>0.88022999999999996</v>
      </c>
      <c r="CC489" s="19">
        <v>10</v>
      </c>
      <c r="CD489" s="19">
        <v>30</v>
      </c>
      <c r="CE489" s="20" t="s">
        <v>69</v>
      </c>
      <c r="CF489" s="5">
        <v>80</v>
      </c>
      <c r="CG489" s="5">
        <f t="shared" si="76"/>
        <v>4.5</v>
      </c>
      <c r="CH489" s="5">
        <f t="shared" si="77"/>
        <v>3</v>
      </c>
      <c r="CI489" s="5">
        <f t="shared" si="78"/>
        <v>0.80364933460837928</v>
      </c>
      <c r="CJ489" s="2">
        <f t="shared" si="79"/>
        <v>7930</v>
      </c>
      <c r="CK489" s="48"/>
      <c r="CZ489" s="2"/>
      <c r="DA489" s="2"/>
      <c r="DB489" s="2"/>
      <c r="DC489" s="2"/>
      <c r="DD489" s="2"/>
    </row>
    <row r="490" spans="79:108" x14ac:dyDescent="0.25">
      <c r="CA490" s="2" t="s">
        <v>190</v>
      </c>
      <c r="CB490" s="43">
        <v>0.93383679999999991</v>
      </c>
      <c r="CC490" s="19">
        <v>10</v>
      </c>
      <c r="CD490" s="19">
        <v>30</v>
      </c>
      <c r="CE490" s="20" t="s">
        <v>70</v>
      </c>
      <c r="CF490" s="5">
        <v>80</v>
      </c>
      <c r="CG490" s="5">
        <f t="shared" si="76"/>
        <v>4.8000000000000007</v>
      </c>
      <c r="CH490" s="5">
        <f t="shared" si="77"/>
        <v>3.2</v>
      </c>
      <c r="CI490" s="5">
        <f t="shared" si="78"/>
        <v>0.84670502070997833</v>
      </c>
      <c r="CJ490" s="2">
        <f t="shared" si="79"/>
        <v>7930</v>
      </c>
      <c r="CK490" s="48"/>
      <c r="CZ490" s="2"/>
      <c r="DA490" s="2"/>
      <c r="DB490" s="2"/>
      <c r="DC490" s="2"/>
      <c r="DD490" s="2"/>
    </row>
    <row r="491" spans="79:108" x14ac:dyDescent="0.25">
      <c r="CA491" s="2" t="s">
        <v>191</v>
      </c>
      <c r="CB491" s="43">
        <v>0.98680919999999994</v>
      </c>
      <c r="CC491" s="19">
        <v>10</v>
      </c>
      <c r="CD491" s="19">
        <v>30</v>
      </c>
      <c r="CE491" s="20" t="s">
        <v>71</v>
      </c>
      <c r="CF491" s="5">
        <v>80</v>
      </c>
      <c r="CG491" s="5">
        <f t="shared" si="76"/>
        <v>5.0999999999999996</v>
      </c>
      <c r="CH491" s="5">
        <f t="shared" si="77"/>
        <v>3.4</v>
      </c>
      <c r="CI491" s="5">
        <f t="shared" si="78"/>
        <v>0.88844558978587396</v>
      </c>
      <c r="CJ491" s="2">
        <f t="shared" si="79"/>
        <v>7930</v>
      </c>
      <c r="CK491" s="48"/>
      <c r="CZ491" s="2"/>
      <c r="DA491" s="2"/>
      <c r="DB491" s="2"/>
      <c r="DC491" s="2"/>
      <c r="DD491" s="2"/>
    </row>
    <row r="492" spans="79:108" x14ac:dyDescent="0.25">
      <c r="CA492" s="2" t="s">
        <v>192</v>
      </c>
      <c r="CB492" s="43">
        <v>1.0391471999999999</v>
      </c>
      <c r="CC492" s="19">
        <v>10</v>
      </c>
      <c r="CD492" s="19">
        <v>30</v>
      </c>
      <c r="CE492" s="20" t="s">
        <v>72</v>
      </c>
      <c r="CF492" s="5">
        <v>80</v>
      </c>
      <c r="CG492" s="5">
        <f t="shared" si="76"/>
        <v>5.4</v>
      </c>
      <c r="CH492" s="5">
        <f t="shared" si="77"/>
        <v>3.6</v>
      </c>
      <c r="CI492" s="5">
        <f t="shared" si="78"/>
        <v>0.92887104183606628</v>
      </c>
      <c r="CJ492" s="2">
        <f t="shared" si="79"/>
        <v>7930</v>
      </c>
      <c r="CK492" s="48"/>
      <c r="CZ492" s="2"/>
      <c r="DA492" s="2"/>
      <c r="DB492" s="2"/>
      <c r="DC492" s="2"/>
      <c r="DD492" s="2"/>
    </row>
    <row r="493" spans="79:108" x14ac:dyDescent="0.25">
      <c r="CA493" s="2" t="s">
        <v>193</v>
      </c>
      <c r="CB493" s="43">
        <v>1.0908508000000001</v>
      </c>
      <c r="CC493" s="19">
        <v>10</v>
      </c>
      <c r="CD493" s="19">
        <v>30</v>
      </c>
      <c r="CE493" s="20" t="s">
        <v>73</v>
      </c>
      <c r="CF493" s="5">
        <v>80</v>
      </c>
      <c r="CG493" s="5">
        <f t="shared" si="76"/>
        <v>5.6999999999999993</v>
      </c>
      <c r="CH493" s="5">
        <f t="shared" si="77"/>
        <v>3.8</v>
      </c>
      <c r="CI493" s="5">
        <f t="shared" si="78"/>
        <v>0.96798137686055541</v>
      </c>
      <c r="CJ493" s="2">
        <f t="shared" si="79"/>
        <v>7930</v>
      </c>
      <c r="CK493" s="48"/>
      <c r="CZ493" s="2"/>
      <c r="DA493" s="2"/>
      <c r="DB493" s="2"/>
      <c r="DC493" s="2"/>
      <c r="DD493" s="2"/>
    </row>
    <row r="494" spans="79:108" x14ac:dyDescent="0.25">
      <c r="CA494" s="2" t="s">
        <v>194</v>
      </c>
      <c r="CB494" s="43">
        <v>1.14192</v>
      </c>
      <c r="CC494" s="19">
        <v>10</v>
      </c>
      <c r="CD494" s="19">
        <v>30</v>
      </c>
      <c r="CE494" s="20" t="s">
        <v>74</v>
      </c>
      <c r="CF494" s="5">
        <v>80</v>
      </c>
      <c r="CG494" s="5">
        <f t="shared" si="76"/>
        <v>6</v>
      </c>
      <c r="CH494" s="5">
        <f t="shared" si="77"/>
        <v>4</v>
      </c>
      <c r="CI494" s="5">
        <f t="shared" si="78"/>
        <v>1.0057765948593411</v>
      </c>
      <c r="CJ494" s="2">
        <f t="shared" si="79"/>
        <v>7930</v>
      </c>
      <c r="CK494" s="48"/>
      <c r="CZ494" s="2"/>
      <c r="DA494" s="2"/>
      <c r="DB494" s="2"/>
      <c r="DC494" s="2"/>
      <c r="DD494" s="2"/>
    </row>
    <row r="495" spans="79:108" x14ac:dyDescent="0.25">
      <c r="CA495" s="2" t="s">
        <v>195</v>
      </c>
      <c r="CB495" s="43">
        <v>0.36922079999999952</v>
      </c>
      <c r="CC495" s="19">
        <v>20</v>
      </c>
      <c r="CD495" s="19">
        <v>20</v>
      </c>
      <c r="CE495" s="20" t="s">
        <v>61</v>
      </c>
      <c r="CF495" s="5">
        <v>80</v>
      </c>
      <c r="CG495" s="5">
        <f t="shared" si="76"/>
        <v>1.7999999999999998</v>
      </c>
      <c r="CH495" s="5">
        <f t="shared" si="77"/>
        <v>1.2</v>
      </c>
      <c r="CI495" s="5">
        <f t="shared" si="78"/>
        <v>0.35696789353734071</v>
      </c>
      <c r="CJ495" s="2">
        <f t="shared" si="79"/>
        <v>7930</v>
      </c>
      <c r="CK495" s="48"/>
      <c r="CZ495" s="2"/>
      <c r="DA495" s="2"/>
      <c r="DB495" s="2"/>
      <c r="DC495" s="2"/>
      <c r="DD495" s="2"/>
    </row>
    <row r="496" spans="79:108" x14ac:dyDescent="0.25">
      <c r="CA496" s="2" t="s">
        <v>196</v>
      </c>
      <c r="CB496" s="43">
        <v>0.42853719999999973</v>
      </c>
      <c r="CC496" s="19">
        <v>20</v>
      </c>
      <c r="CD496" s="19">
        <v>20</v>
      </c>
      <c r="CE496" s="20" t="s">
        <v>62</v>
      </c>
      <c r="CF496" s="5">
        <v>80</v>
      </c>
      <c r="CG496" s="5">
        <f t="shared" si="76"/>
        <v>2.0999999999999996</v>
      </c>
      <c r="CH496" s="5">
        <f t="shared" si="77"/>
        <v>1.4</v>
      </c>
      <c r="CI496" s="5">
        <f t="shared" si="78"/>
        <v>0.41185963287026933</v>
      </c>
      <c r="CJ496" s="2">
        <f t="shared" si="79"/>
        <v>7930</v>
      </c>
      <c r="CK496" s="48"/>
      <c r="CZ496" s="2"/>
      <c r="DA496" s="2"/>
      <c r="DB496" s="2"/>
      <c r="DC496" s="2"/>
      <c r="DD496" s="2"/>
    </row>
    <row r="497" spans="79:108" x14ac:dyDescent="0.25">
      <c r="CA497" s="2" t="s">
        <v>197</v>
      </c>
      <c r="CB497" s="43">
        <v>0.48721920000000041</v>
      </c>
      <c r="CC497" s="19">
        <v>20</v>
      </c>
      <c r="CD497" s="19">
        <v>20</v>
      </c>
      <c r="CE497" s="20" t="s">
        <v>63</v>
      </c>
      <c r="CF497" s="5">
        <v>80</v>
      </c>
      <c r="CG497" s="5">
        <f t="shared" si="76"/>
        <v>2.4000000000000004</v>
      </c>
      <c r="CH497" s="5">
        <f t="shared" si="77"/>
        <v>1.6</v>
      </c>
      <c r="CI497" s="5">
        <f t="shared" si="78"/>
        <v>0.4654362551774946</v>
      </c>
      <c r="CJ497" s="2">
        <f t="shared" si="79"/>
        <v>7930</v>
      </c>
      <c r="CK497" s="48"/>
      <c r="CZ497" s="2"/>
      <c r="DA497" s="2"/>
      <c r="DB497" s="2"/>
      <c r="DC497" s="2"/>
      <c r="DD497" s="2"/>
    </row>
    <row r="498" spans="79:108" x14ac:dyDescent="0.25">
      <c r="CA498" s="2" t="s">
        <v>198</v>
      </c>
      <c r="CB498" s="43">
        <v>0.54526680000000027</v>
      </c>
      <c r="CC498" s="19">
        <v>20</v>
      </c>
      <c r="CD498" s="19">
        <v>20</v>
      </c>
      <c r="CE498" s="20" t="s">
        <v>64</v>
      </c>
      <c r="CF498" s="5">
        <v>80</v>
      </c>
      <c r="CG498" s="5">
        <f t="shared" si="76"/>
        <v>2.7</v>
      </c>
      <c r="CH498" s="5">
        <f t="shared" si="77"/>
        <v>1.8</v>
      </c>
      <c r="CI498" s="5">
        <f t="shared" si="78"/>
        <v>0.51769776045901672</v>
      </c>
      <c r="CJ498" s="2">
        <f t="shared" si="79"/>
        <v>7930</v>
      </c>
      <c r="CK498" s="48"/>
      <c r="CZ498" s="2"/>
      <c r="DA498" s="2"/>
      <c r="DB498" s="2"/>
      <c r="DC498" s="2"/>
      <c r="DD498" s="2"/>
    </row>
    <row r="499" spans="79:108" x14ac:dyDescent="0.25">
      <c r="CA499" s="2" t="s">
        <v>199</v>
      </c>
      <c r="CB499" s="43">
        <v>0.60267999999999988</v>
      </c>
      <c r="CC499" s="19">
        <v>20</v>
      </c>
      <c r="CD499" s="19">
        <v>20</v>
      </c>
      <c r="CE499" s="20" t="s">
        <v>65</v>
      </c>
      <c r="CF499" s="5">
        <v>80</v>
      </c>
      <c r="CG499" s="5">
        <f t="shared" si="76"/>
        <v>3</v>
      </c>
      <c r="CH499" s="5">
        <f t="shared" si="77"/>
        <v>2</v>
      </c>
      <c r="CI499" s="5">
        <f t="shared" si="78"/>
        <v>0.56864414871483526</v>
      </c>
      <c r="CJ499" s="2">
        <f t="shared" si="79"/>
        <v>7930</v>
      </c>
      <c r="CK499" s="48"/>
      <c r="CZ499" s="2"/>
      <c r="DA499" s="2"/>
      <c r="DB499" s="2"/>
      <c r="DC499" s="2"/>
      <c r="DD499" s="2"/>
    </row>
    <row r="500" spans="79:108" x14ac:dyDescent="0.25">
      <c r="CA500" s="2" t="s">
        <v>200</v>
      </c>
      <c r="CB500" s="43">
        <v>0.65945879999999979</v>
      </c>
      <c r="CC500" s="19">
        <v>20</v>
      </c>
      <c r="CD500" s="19">
        <v>20</v>
      </c>
      <c r="CE500" s="20" t="s">
        <v>66</v>
      </c>
      <c r="CF500" s="5">
        <v>80</v>
      </c>
      <c r="CG500" s="5">
        <f t="shared" si="76"/>
        <v>3.3000000000000003</v>
      </c>
      <c r="CH500" s="5">
        <f t="shared" si="77"/>
        <v>2.2000000000000002</v>
      </c>
      <c r="CI500" s="5">
        <f t="shared" si="78"/>
        <v>0.61827541994495061</v>
      </c>
      <c r="CJ500" s="2">
        <f t="shared" si="79"/>
        <v>7930</v>
      </c>
      <c r="CK500" s="48"/>
      <c r="CZ500" s="2"/>
      <c r="DA500" s="2"/>
      <c r="DB500" s="2"/>
      <c r="DC500" s="2"/>
      <c r="DD500" s="2"/>
    </row>
    <row r="501" spans="79:108" x14ac:dyDescent="0.25">
      <c r="CA501" s="2" t="s">
        <v>201</v>
      </c>
      <c r="CB501" s="43">
        <v>0.71560319999999955</v>
      </c>
      <c r="CC501" s="19">
        <v>20</v>
      </c>
      <c r="CD501" s="19">
        <v>20</v>
      </c>
      <c r="CE501" s="20" t="s">
        <v>67</v>
      </c>
      <c r="CF501" s="5">
        <v>80</v>
      </c>
      <c r="CG501" s="5">
        <f t="shared" si="76"/>
        <v>3.5999999999999996</v>
      </c>
      <c r="CH501" s="5">
        <f t="shared" si="77"/>
        <v>2.4</v>
      </c>
      <c r="CI501" s="5">
        <f t="shared" si="78"/>
        <v>0.66659157414936276</v>
      </c>
      <c r="CJ501" s="2">
        <f t="shared" si="79"/>
        <v>7930</v>
      </c>
      <c r="CK501" s="48"/>
      <c r="CZ501" s="2"/>
      <c r="DA501" s="2"/>
      <c r="DB501" s="2"/>
      <c r="DC501" s="2"/>
      <c r="DD501" s="2"/>
    </row>
    <row r="502" spans="79:108" x14ac:dyDescent="0.25">
      <c r="CA502" s="2" t="s">
        <v>202</v>
      </c>
      <c r="CB502" s="43">
        <v>0.82598880000000019</v>
      </c>
      <c r="CC502" s="19">
        <v>20</v>
      </c>
      <c r="CD502" s="19">
        <v>20</v>
      </c>
      <c r="CE502" s="20" t="s">
        <v>68</v>
      </c>
      <c r="CF502" s="5">
        <v>80</v>
      </c>
      <c r="CG502" s="5">
        <f t="shared" si="76"/>
        <v>4.1999999999999993</v>
      </c>
      <c r="CH502" s="5">
        <f t="shared" si="77"/>
        <v>2.8</v>
      </c>
      <c r="CI502" s="5">
        <f t="shared" si="78"/>
        <v>0.75927853148107716</v>
      </c>
      <c r="CJ502" s="2">
        <f t="shared" si="79"/>
        <v>7930</v>
      </c>
      <c r="CK502" s="48"/>
      <c r="CZ502" s="2"/>
      <c r="DA502" s="2"/>
      <c r="DB502" s="2"/>
      <c r="DC502" s="2"/>
      <c r="DD502" s="2"/>
    </row>
    <row r="503" spans="79:108" x14ac:dyDescent="0.25">
      <c r="CA503" s="2" t="s">
        <v>203</v>
      </c>
      <c r="CB503" s="43">
        <v>0.88022999999999996</v>
      </c>
      <c r="CC503" s="19">
        <v>20</v>
      </c>
      <c r="CD503" s="19">
        <v>20</v>
      </c>
      <c r="CE503" s="20" t="s">
        <v>69</v>
      </c>
      <c r="CF503" s="5">
        <v>80</v>
      </c>
      <c r="CG503" s="5">
        <f t="shared" si="76"/>
        <v>4.5</v>
      </c>
      <c r="CH503" s="5">
        <f t="shared" si="77"/>
        <v>3</v>
      </c>
      <c r="CI503" s="5">
        <f t="shared" si="78"/>
        <v>0.80364933460837928</v>
      </c>
      <c r="CJ503" s="2">
        <f t="shared" si="79"/>
        <v>7930</v>
      </c>
      <c r="CK503" s="48"/>
      <c r="CZ503" s="2"/>
      <c r="DA503" s="2"/>
      <c r="DB503" s="2"/>
      <c r="DC503" s="2"/>
      <c r="DD503" s="2"/>
    </row>
    <row r="504" spans="79:108" x14ac:dyDescent="0.25">
      <c r="CA504" s="2" t="s">
        <v>204</v>
      </c>
      <c r="CB504" s="43">
        <v>0.93383679999999991</v>
      </c>
      <c r="CC504" s="19">
        <v>20</v>
      </c>
      <c r="CD504" s="19">
        <v>20</v>
      </c>
      <c r="CE504" s="20" t="s">
        <v>70</v>
      </c>
      <c r="CF504" s="5">
        <v>80</v>
      </c>
      <c r="CG504" s="5">
        <f t="shared" si="76"/>
        <v>4.8000000000000007</v>
      </c>
      <c r="CH504" s="5">
        <f t="shared" si="77"/>
        <v>3.2</v>
      </c>
      <c r="CI504" s="5">
        <f t="shared" si="78"/>
        <v>0.84670502070997833</v>
      </c>
      <c r="CJ504" s="2">
        <f t="shared" si="79"/>
        <v>7930</v>
      </c>
      <c r="CK504" s="48"/>
      <c r="CZ504" s="2"/>
      <c r="DA504" s="2"/>
      <c r="DB504" s="2"/>
      <c r="DC504" s="2"/>
      <c r="DD504" s="2"/>
    </row>
    <row r="505" spans="79:108" x14ac:dyDescent="0.25">
      <c r="CA505" s="2" t="s">
        <v>205</v>
      </c>
      <c r="CB505" s="43">
        <v>0.9868091999999995</v>
      </c>
      <c r="CC505" s="19">
        <v>20</v>
      </c>
      <c r="CD505" s="19">
        <v>20</v>
      </c>
      <c r="CE505" s="20" t="s">
        <v>71</v>
      </c>
      <c r="CF505" s="5">
        <v>80</v>
      </c>
      <c r="CG505" s="5">
        <f t="shared" si="76"/>
        <v>5.0999999999999996</v>
      </c>
      <c r="CH505" s="5">
        <f t="shared" si="77"/>
        <v>3.4</v>
      </c>
      <c r="CI505" s="5">
        <f t="shared" si="78"/>
        <v>0.88844558978587396</v>
      </c>
      <c r="CJ505" s="2">
        <f t="shared" si="79"/>
        <v>7930</v>
      </c>
      <c r="CK505" s="48"/>
      <c r="CZ505" s="2"/>
      <c r="DA505" s="2"/>
      <c r="DB505" s="2"/>
      <c r="DC505" s="2"/>
      <c r="DD505" s="2"/>
    </row>
    <row r="506" spans="79:108" x14ac:dyDescent="0.25">
      <c r="CA506" s="2" t="s">
        <v>206</v>
      </c>
      <c r="CB506" s="43">
        <v>1.0391472000000002</v>
      </c>
      <c r="CC506" s="19">
        <v>20</v>
      </c>
      <c r="CD506" s="19">
        <v>20</v>
      </c>
      <c r="CE506" s="20" t="s">
        <v>72</v>
      </c>
      <c r="CF506" s="5">
        <v>80</v>
      </c>
      <c r="CG506" s="5">
        <f t="shared" si="76"/>
        <v>5.4</v>
      </c>
      <c r="CH506" s="5">
        <f t="shared" si="77"/>
        <v>3.6</v>
      </c>
      <c r="CI506" s="5">
        <f t="shared" si="78"/>
        <v>0.92887104183606628</v>
      </c>
      <c r="CJ506" s="2">
        <f t="shared" si="79"/>
        <v>7930</v>
      </c>
      <c r="CK506" s="48"/>
      <c r="CZ506" s="2"/>
      <c r="DA506" s="2"/>
      <c r="DB506" s="2"/>
      <c r="DC506" s="2"/>
      <c r="DD506" s="2"/>
    </row>
    <row r="507" spans="79:108" x14ac:dyDescent="0.25">
      <c r="CA507" s="2" t="s">
        <v>207</v>
      </c>
      <c r="CB507" s="43">
        <v>1.0908508000000001</v>
      </c>
      <c r="CC507" s="19">
        <v>20</v>
      </c>
      <c r="CD507" s="19">
        <v>20</v>
      </c>
      <c r="CE507" s="20" t="s">
        <v>73</v>
      </c>
      <c r="CF507" s="5">
        <v>80</v>
      </c>
      <c r="CG507" s="5">
        <f t="shared" si="76"/>
        <v>5.6999999999999993</v>
      </c>
      <c r="CH507" s="5">
        <f t="shared" si="77"/>
        <v>3.8</v>
      </c>
      <c r="CI507" s="5">
        <f t="shared" si="78"/>
        <v>0.96798137686055541</v>
      </c>
      <c r="CJ507" s="2">
        <f t="shared" si="79"/>
        <v>7930</v>
      </c>
      <c r="CK507" s="48"/>
      <c r="CZ507" s="2"/>
      <c r="DA507" s="2"/>
      <c r="DB507" s="2"/>
      <c r="DC507" s="2"/>
      <c r="DD507" s="2"/>
    </row>
    <row r="508" spans="79:108" x14ac:dyDescent="0.25">
      <c r="CA508" s="2" t="s">
        <v>208</v>
      </c>
      <c r="CB508" s="43">
        <v>1.14192</v>
      </c>
      <c r="CC508" s="19">
        <v>20</v>
      </c>
      <c r="CD508" s="19">
        <v>20</v>
      </c>
      <c r="CE508" s="20" t="s">
        <v>74</v>
      </c>
      <c r="CF508" s="5">
        <v>80</v>
      </c>
      <c r="CG508" s="5">
        <f t="shared" si="76"/>
        <v>6</v>
      </c>
      <c r="CH508" s="5">
        <f t="shared" si="77"/>
        <v>4</v>
      </c>
      <c r="CI508" s="5">
        <f t="shared" si="78"/>
        <v>1.0057765948593411</v>
      </c>
      <c r="CJ508" s="2">
        <f t="shared" si="79"/>
        <v>7930</v>
      </c>
      <c r="CK508" s="48"/>
      <c r="CZ508" s="2"/>
      <c r="DA508" s="2"/>
      <c r="DB508" s="2"/>
      <c r="DC508" s="2"/>
      <c r="DD508" s="2"/>
    </row>
    <row r="509" spans="79:108" x14ac:dyDescent="0.25">
      <c r="CA509" s="2" t="s">
        <v>209</v>
      </c>
      <c r="CB509" s="43">
        <v>0.53955719999999974</v>
      </c>
      <c r="CC509" s="19">
        <v>20</v>
      </c>
      <c r="CD509" s="19">
        <v>30</v>
      </c>
      <c r="CE509" s="20" t="s">
        <v>62</v>
      </c>
      <c r="CF509" s="5">
        <v>100</v>
      </c>
      <c r="CG509" s="5">
        <f t="shared" si="76"/>
        <v>2.0999999999999996</v>
      </c>
      <c r="CH509" s="5">
        <f t="shared" si="77"/>
        <v>1.4</v>
      </c>
      <c r="CI509" s="5">
        <f t="shared" si="78"/>
        <v>0.52287963287026928</v>
      </c>
      <c r="CJ509" s="2">
        <f t="shared" si="79"/>
        <v>7930</v>
      </c>
      <c r="CK509" s="48"/>
      <c r="CZ509" s="2"/>
      <c r="DA509" s="2"/>
      <c r="DB509" s="2"/>
      <c r="DC509" s="2"/>
      <c r="DD509" s="2"/>
    </row>
    <row r="510" spans="79:108" x14ac:dyDescent="0.25">
      <c r="CA510" s="2" t="s">
        <v>210</v>
      </c>
      <c r="CB510" s="43">
        <v>0.6140992000000004</v>
      </c>
      <c r="CC510" s="19">
        <v>20</v>
      </c>
      <c r="CD510" s="19">
        <v>30</v>
      </c>
      <c r="CE510" s="20" t="s">
        <v>63</v>
      </c>
      <c r="CF510" s="5">
        <v>100</v>
      </c>
      <c r="CG510" s="5">
        <f t="shared" si="76"/>
        <v>2.4000000000000004</v>
      </c>
      <c r="CH510" s="5">
        <f t="shared" si="77"/>
        <v>1.6</v>
      </c>
      <c r="CI510" s="5">
        <f t="shared" si="78"/>
        <v>0.59231625517749464</v>
      </c>
      <c r="CJ510" s="2">
        <f t="shared" si="79"/>
        <v>7930</v>
      </c>
      <c r="CK510" s="48"/>
      <c r="CZ510" s="2"/>
      <c r="DA510" s="2"/>
      <c r="DB510" s="2"/>
      <c r="DC510" s="2"/>
      <c r="DD510" s="2"/>
    </row>
    <row r="511" spans="79:108" x14ac:dyDescent="0.25">
      <c r="CA511" s="2" t="s">
        <v>211</v>
      </c>
      <c r="CB511" s="43">
        <v>0.68800679999999992</v>
      </c>
      <c r="CC511" s="19">
        <v>20</v>
      </c>
      <c r="CD511" s="19">
        <v>30</v>
      </c>
      <c r="CE511" s="20" t="s">
        <v>64</v>
      </c>
      <c r="CF511" s="5">
        <v>100</v>
      </c>
      <c r="CG511" s="5">
        <f t="shared" si="76"/>
        <v>2.7</v>
      </c>
      <c r="CH511" s="5">
        <f t="shared" si="77"/>
        <v>1.8</v>
      </c>
      <c r="CI511" s="5">
        <f t="shared" si="78"/>
        <v>0.6604377604590167</v>
      </c>
      <c r="CJ511" s="2">
        <f t="shared" si="79"/>
        <v>7930</v>
      </c>
      <c r="CK511" s="48"/>
      <c r="CZ511" s="2"/>
      <c r="DA511" s="2"/>
      <c r="DB511" s="2"/>
      <c r="DC511" s="2"/>
      <c r="DD511" s="2"/>
    </row>
    <row r="512" spans="79:108" x14ac:dyDescent="0.25">
      <c r="CA512" s="2" t="s">
        <v>212</v>
      </c>
      <c r="CB512" s="43">
        <v>0.76128000000000007</v>
      </c>
      <c r="CC512" s="19">
        <v>20</v>
      </c>
      <c r="CD512" s="19">
        <v>30</v>
      </c>
      <c r="CE512" s="20" t="s">
        <v>65</v>
      </c>
      <c r="CF512" s="5">
        <v>100</v>
      </c>
      <c r="CG512" s="5">
        <f t="shared" si="76"/>
        <v>3</v>
      </c>
      <c r="CH512" s="5">
        <f t="shared" si="77"/>
        <v>2</v>
      </c>
      <c r="CI512" s="5">
        <f t="shared" si="78"/>
        <v>0.72724414871483534</v>
      </c>
      <c r="CJ512" s="2">
        <f t="shared" si="79"/>
        <v>7930</v>
      </c>
      <c r="CK512" s="48"/>
      <c r="CZ512" s="2"/>
      <c r="DA512" s="2"/>
      <c r="DB512" s="2"/>
      <c r="DC512" s="2"/>
      <c r="DD512" s="2"/>
    </row>
    <row r="513" spans="79:108" x14ac:dyDescent="0.25">
      <c r="CA513" s="2" t="s">
        <v>213</v>
      </c>
      <c r="CB513" s="43">
        <v>0.83391879999999974</v>
      </c>
      <c r="CC513" s="19">
        <v>20</v>
      </c>
      <c r="CD513" s="19">
        <v>30</v>
      </c>
      <c r="CE513" s="20" t="s">
        <v>66</v>
      </c>
      <c r="CF513" s="5">
        <v>100</v>
      </c>
      <c r="CG513" s="5">
        <f t="shared" si="76"/>
        <v>3.3000000000000003</v>
      </c>
      <c r="CH513" s="5">
        <f t="shared" si="77"/>
        <v>2.2000000000000002</v>
      </c>
      <c r="CI513" s="5">
        <f t="shared" si="78"/>
        <v>0.79273541994495067</v>
      </c>
      <c r="CJ513" s="2">
        <f t="shared" si="79"/>
        <v>7930</v>
      </c>
      <c r="CK513" s="48"/>
      <c r="CZ513" s="2"/>
      <c r="DA513" s="2"/>
      <c r="DB513" s="2"/>
      <c r="DC513" s="2"/>
      <c r="DD513" s="2"/>
    </row>
    <row r="514" spans="79:108" x14ac:dyDescent="0.25">
      <c r="CA514" s="2" t="s">
        <v>214</v>
      </c>
      <c r="CB514" s="43">
        <v>0.9059231999999996</v>
      </c>
      <c r="CC514" s="19">
        <v>20</v>
      </c>
      <c r="CD514" s="19">
        <v>30</v>
      </c>
      <c r="CE514" s="20" t="s">
        <v>67</v>
      </c>
      <c r="CF514" s="5">
        <v>100</v>
      </c>
      <c r="CG514" s="5">
        <f t="shared" si="76"/>
        <v>3.5999999999999996</v>
      </c>
      <c r="CH514" s="5">
        <f t="shared" si="77"/>
        <v>2.4</v>
      </c>
      <c r="CI514" s="5">
        <f t="shared" si="78"/>
        <v>0.85691157414936281</v>
      </c>
      <c r="CJ514" s="2">
        <f t="shared" si="79"/>
        <v>7930</v>
      </c>
      <c r="CK514" s="48"/>
      <c r="CZ514" s="2"/>
      <c r="DA514" s="2"/>
      <c r="DB514" s="2"/>
      <c r="DC514" s="2"/>
      <c r="DD514" s="2"/>
    </row>
    <row r="515" spans="79:108" x14ac:dyDescent="0.25">
      <c r="CA515" s="2" t="s">
        <v>215</v>
      </c>
      <c r="CB515" s="43">
        <v>1.0480288</v>
      </c>
      <c r="CC515" s="19">
        <v>20</v>
      </c>
      <c r="CD515" s="19">
        <v>30</v>
      </c>
      <c r="CE515" s="20" t="s">
        <v>68</v>
      </c>
      <c r="CF515" s="5">
        <v>100</v>
      </c>
      <c r="CG515" s="5">
        <f t="shared" si="76"/>
        <v>4.1999999999999993</v>
      </c>
      <c r="CH515" s="5">
        <f t="shared" si="77"/>
        <v>2.8</v>
      </c>
      <c r="CI515" s="5">
        <f t="shared" si="78"/>
        <v>0.98131853148107728</v>
      </c>
      <c r="CJ515" s="2">
        <f t="shared" si="79"/>
        <v>7930</v>
      </c>
      <c r="CK515" s="48"/>
      <c r="CZ515" s="2"/>
      <c r="DA515" s="2"/>
      <c r="DB515" s="2"/>
      <c r="DC515" s="2"/>
      <c r="DD515" s="2"/>
    </row>
    <row r="516" spans="79:108" x14ac:dyDescent="0.25">
      <c r="CA516" s="2" t="s">
        <v>216</v>
      </c>
      <c r="CB516" s="43">
        <v>1.1181299999999998</v>
      </c>
      <c r="CC516" s="19">
        <v>20</v>
      </c>
      <c r="CD516" s="19">
        <v>30</v>
      </c>
      <c r="CE516" s="20" t="s">
        <v>69</v>
      </c>
      <c r="CF516" s="5">
        <v>100</v>
      </c>
      <c r="CG516" s="5">
        <f t="shared" ref="CG516:CG579" si="80">IF(CE516&lt;=6,2,IF(CE516&lt;=10,2.5,3))*CE516</f>
        <v>4.5</v>
      </c>
      <c r="CH516" s="5">
        <f t="shared" ref="CH516:CH579" si="81">IF(CE516&lt;=6,1,IF(CE516&lt;=10,1.5,2))*CE516</f>
        <v>3</v>
      </c>
      <c r="CI516" s="5">
        <f t="shared" ref="CI516:CI579" si="82">(2*CE516*(CC516+CD516-2*CE516)-(4-PI())*(CG516^2-CH516^2))/1000000*CJ516</f>
        <v>1.0415493346083795</v>
      </c>
      <c r="CJ516" s="2">
        <f t="shared" ref="CJ516:CJ579" si="83">IF(LEFT(CA516,4)="Inox",7930,7850)</f>
        <v>7930</v>
      </c>
      <c r="CK516" s="48"/>
    </row>
    <row r="517" spans="79:108" x14ac:dyDescent="0.25">
      <c r="CA517" s="2" t="s">
        <v>217</v>
      </c>
      <c r="CB517" s="43">
        <v>1.1875967999999999</v>
      </c>
      <c r="CC517" s="19">
        <v>20</v>
      </c>
      <c r="CD517" s="19">
        <v>30</v>
      </c>
      <c r="CE517" s="20" t="s">
        <v>70</v>
      </c>
      <c r="CF517" s="5">
        <v>100</v>
      </c>
      <c r="CG517" s="5">
        <f t="shared" si="80"/>
        <v>4.8000000000000007</v>
      </c>
      <c r="CH517" s="5">
        <f t="shared" si="81"/>
        <v>3.2</v>
      </c>
      <c r="CI517" s="5">
        <f t="shared" si="82"/>
        <v>1.1004650207099784</v>
      </c>
      <c r="CJ517" s="2">
        <f t="shared" si="83"/>
        <v>7930</v>
      </c>
      <c r="CK517" s="48"/>
    </row>
    <row r="518" spans="79:108" x14ac:dyDescent="0.25">
      <c r="CA518" s="2" t="s">
        <v>218</v>
      </c>
      <c r="CB518" s="43">
        <v>1.2564291999999995</v>
      </c>
      <c r="CC518" s="19">
        <v>20</v>
      </c>
      <c r="CD518" s="19">
        <v>30</v>
      </c>
      <c r="CE518" s="20" t="s">
        <v>71</v>
      </c>
      <c r="CF518" s="5">
        <v>100</v>
      </c>
      <c r="CG518" s="5">
        <f t="shared" si="80"/>
        <v>5.0999999999999996</v>
      </c>
      <c r="CH518" s="5">
        <f t="shared" si="81"/>
        <v>3.4</v>
      </c>
      <c r="CI518" s="5">
        <f t="shared" si="82"/>
        <v>1.1580655897858743</v>
      </c>
      <c r="CJ518" s="2">
        <f t="shared" si="83"/>
        <v>7930</v>
      </c>
      <c r="CK518" s="48"/>
    </row>
    <row r="519" spans="79:108" x14ac:dyDescent="0.25">
      <c r="CA519" s="2" t="s">
        <v>219</v>
      </c>
      <c r="CB519" s="43">
        <v>1.3246272000000006</v>
      </c>
      <c r="CC519" s="19">
        <v>20</v>
      </c>
      <c r="CD519" s="19">
        <v>30</v>
      </c>
      <c r="CE519" s="20" t="s">
        <v>72</v>
      </c>
      <c r="CF519" s="5">
        <v>100</v>
      </c>
      <c r="CG519" s="5">
        <f t="shared" si="80"/>
        <v>5.4</v>
      </c>
      <c r="CH519" s="5">
        <f t="shared" si="81"/>
        <v>3.6</v>
      </c>
      <c r="CI519" s="5">
        <f t="shared" si="82"/>
        <v>1.2143510418360663</v>
      </c>
      <c r="CJ519" s="2">
        <f t="shared" si="83"/>
        <v>7930</v>
      </c>
      <c r="CK519" s="48"/>
    </row>
    <row r="520" spans="79:108" x14ac:dyDescent="0.25">
      <c r="CA520" s="2" t="s">
        <v>220</v>
      </c>
      <c r="CB520" s="43">
        <v>1.3921908000000001</v>
      </c>
      <c r="CC520" s="19">
        <v>20</v>
      </c>
      <c r="CD520" s="19">
        <v>30</v>
      </c>
      <c r="CE520" s="20" t="s">
        <v>73</v>
      </c>
      <c r="CF520" s="5">
        <v>100</v>
      </c>
      <c r="CG520" s="5">
        <f t="shared" si="80"/>
        <v>5.6999999999999993</v>
      </c>
      <c r="CH520" s="5">
        <f t="shared" si="81"/>
        <v>3.8</v>
      </c>
      <c r="CI520" s="5">
        <f t="shared" si="82"/>
        <v>1.2693213768605556</v>
      </c>
      <c r="CJ520" s="2">
        <f t="shared" si="83"/>
        <v>7930</v>
      </c>
      <c r="CK520" s="48"/>
    </row>
    <row r="521" spans="79:108" x14ac:dyDescent="0.25">
      <c r="CA521" s="2" t="s">
        <v>221</v>
      </c>
      <c r="CB521" s="43">
        <v>1.45912</v>
      </c>
      <c r="CC521" s="19">
        <v>20</v>
      </c>
      <c r="CD521" s="19">
        <v>30</v>
      </c>
      <c r="CE521" s="20" t="s">
        <v>74</v>
      </c>
      <c r="CF521" s="5">
        <v>100</v>
      </c>
      <c r="CG521" s="5">
        <f t="shared" si="80"/>
        <v>6</v>
      </c>
      <c r="CH521" s="5">
        <f t="shared" si="81"/>
        <v>4</v>
      </c>
      <c r="CI521" s="5">
        <f t="shared" si="82"/>
        <v>1.3229765948593413</v>
      </c>
      <c r="CJ521" s="2">
        <f t="shared" si="83"/>
        <v>7930</v>
      </c>
      <c r="CK521" s="48"/>
    </row>
    <row r="522" spans="79:108" x14ac:dyDescent="0.25">
      <c r="CA522" s="2" t="s">
        <v>222</v>
      </c>
      <c r="CB522" s="43">
        <v>0.53955719999999974</v>
      </c>
      <c r="CC522" s="19">
        <v>25</v>
      </c>
      <c r="CD522" s="19">
        <v>25</v>
      </c>
      <c r="CE522" s="20" t="s">
        <v>62</v>
      </c>
      <c r="CF522" s="5">
        <v>100</v>
      </c>
      <c r="CG522" s="5">
        <f t="shared" si="80"/>
        <v>2.0999999999999996</v>
      </c>
      <c r="CH522" s="5">
        <f t="shared" si="81"/>
        <v>1.4</v>
      </c>
      <c r="CI522" s="5">
        <f t="shared" si="82"/>
        <v>0.52287963287026928</v>
      </c>
      <c r="CJ522" s="2">
        <f t="shared" si="83"/>
        <v>7930</v>
      </c>
      <c r="CK522" s="48"/>
    </row>
    <row r="523" spans="79:108" x14ac:dyDescent="0.25">
      <c r="CA523" s="2" t="s">
        <v>223</v>
      </c>
      <c r="CB523" s="43">
        <v>0.6140992000000004</v>
      </c>
      <c r="CC523" s="19">
        <v>25</v>
      </c>
      <c r="CD523" s="19">
        <v>25</v>
      </c>
      <c r="CE523" s="20" t="s">
        <v>63</v>
      </c>
      <c r="CF523" s="5">
        <v>100</v>
      </c>
      <c r="CG523" s="5">
        <f t="shared" si="80"/>
        <v>2.4000000000000004</v>
      </c>
      <c r="CH523" s="5">
        <f t="shared" si="81"/>
        <v>1.6</v>
      </c>
      <c r="CI523" s="5">
        <f t="shared" si="82"/>
        <v>0.59231625517749464</v>
      </c>
      <c r="CJ523" s="2">
        <f t="shared" si="83"/>
        <v>7930</v>
      </c>
      <c r="CK523" s="48"/>
    </row>
    <row r="524" spans="79:108" x14ac:dyDescent="0.25">
      <c r="CA524" s="2" t="s">
        <v>224</v>
      </c>
      <c r="CB524" s="43">
        <v>0.68800679999999992</v>
      </c>
      <c r="CC524" s="19">
        <v>25</v>
      </c>
      <c r="CD524" s="19">
        <v>25</v>
      </c>
      <c r="CE524" s="20" t="s">
        <v>64</v>
      </c>
      <c r="CF524" s="5">
        <v>100</v>
      </c>
      <c r="CG524" s="5">
        <f t="shared" si="80"/>
        <v>2.7</v>
      </c>
      <c r="CH524" s="5">
        <f t="shared" si="81"/>
        <v>1.8</v>
      </c>
      <c r="CI524" s="5">
        <f t="shared" si="82"/>
        <v>0.6604377604590167</v>
      </c>
      <c r="CJ524" s="2">
        <f t="shared" si="83"/>
        <v>7930</v>
      </c>
      <c r="CK524" s="48"/>
    </row>
    <row r="525" spans="79:108" x14ac:dyDescent="0.25">
      <c r="CA525" s="2" t="s">
        <v>225</v>
      </c>
      <c r="CB525" s="43">
        <v>0.76128000000000007</v>
      </c>
      <c r="CC525" s="19">
        <v>25</v>
      </c>
      <c r="CD525" s="19">
        <v>25</v>
      </c>
      <c r="CE525" s="20" t="s">
        <v>65</v>
      </c>
      <c r="CF525" s="5">
        <v>100</v>
      </c>
      <c r="CG525" s="5">
        <f t="shared" si="80"/>
        <v>3</v>
      </c>
      <c r="CH525" s="5">
        <f t="shared" si="81"/>
        <v>2</v>
      </c>
      <c r="CI525" s="5">
        <f t="shared" si="82"/>
        <v>0.72724414871483534</v>
      </c>
      <c r="CJ525" s="2">
        <f t="shared" si="83"/>
        <v>7930</v>
      </c>
      <c r="CK525" s="48"/>
    </row>
    <row r="526" spans="79:108" x14ac:dyDescent="0.25">
      <c r="CA526" s="2" t="s">
        <v>226</v>
      </c>
      <c r="CB526" s="43">
        <v>0.83391879999999974</v>
      </c>
      <c r="CC526" s="19">
        <v>25</v>
      </c>
      <c r="CD526" s="19">
        <v>25</v>
      </c>
      <c r="CE526" s="20" t="s">
        <v>66</v>
      </c>
      <c r="CF526" s="5">
        <v>100</v>
      </c>
      <c r="CG526" s="5">
        <f t="shared" si="80"/>
        <v>3.3000000000000003</v>
      </c>
      <c r="CH526" s="5">
        <f t="shared" si="81"/>
        <v>2.2000000000000002</v>
      </c>
      <c r="CI526" s="5">
        <f t="shared" si="82"/>
        <v>0.79273541994495067</v>
      </c>
      <c r="CJ526" s="2">
        <f t="shared" si="83"/>
        <v>7930</v>
      </c>
      <c r="CK526" s="48"/>
    </row>
    <row r="527" spans="79:108" x14ac:dyDescent="0.25">
      <c r="CA527" s="2" t="s">
        <v>227</v>
      </c>
      <c r="CB527" s="43">
        <v>0.9059231999999996</v>
      </c>
      <c r="CC527" s="19">
        <v>25</v>
      </c>
      <c r="CD527" s="19">
        <v>25</v>
      </c>
      <c r="CE527" s="20" t="s">
        <v>67</v>
      </c>
      <c r="CF527" s="5">
        <v>100</v>
      </c>
      <c r="CG527" s="5">
        <f t="shared" si="80"/>
        <v>3.5999999999999996</v>
      </c>
      <c r="CH527" s="5">
        <f t="shared" si="81"/>
        <v>2.4</v>
      </c>
      <c r="CI527" s="5">
        <f t="shared" si="82"/>
        <v>0.85691157414936281</v>
      </c>
      <c r="CJ527" s="2">
        <f t="shared" si="83"/>
        <v>7930</v>
      </c>
      <c r="CK527" s="48"/>
    </row>
    <row r="528" spans="79:108" x14ac:dyDescent="0.25">
      <c r="CA528" s="2" t="s">
        <v>228</v>
      </c>
      <c r="CB528" s="43">
        <v>1.0480288</v>
      </c>
      <c r="CC528" s="19">
        <v>25</v>
      </c>
      <c r="CD528" s="19">
        <v>25</v>
      </c>
      <c r="CE528" s="20" t="s">
        <v>68</v>
      </c>
      <c r="CF528" s="5">
        <v>100</v>
      </c>
      <c r="CG528" s="5">
        <f t="shared" si="80"/>
        <v>4.1999999999999993</v>
      </c>
      <c r="CH528" s="5">
        <f t="shared" si="81"/>
        <v>2.8</v>
      </c>
      <c r="CI528" s="5">
        <f t="shared" si="82"/>
        <v>0.98131853148107728</v>
      </c>
      <c r="CJ528" s="2">
        <f t="shared" si="83"/>
        <v>7930</v>
      </c>
      <c r="CK528" s="48"/>
    </row>
    <row r="529" spans="79:89" x14ac:dyDescent="0.25">
      <c r="CA529" s="2" t="s">
        <v>229</v>
      </c>
      <c r="CB529" s="43">
        <v>1.1181299999999998</v>
      </c>
      <c r="CC529" s="19">
        <v>25</v>
      </c>
      <c r="CD529" s="19">
        <v>25</v>
      </c>
      <c r="CE529" s="20" t="s">
        <v>69</v>
      </c>
      <c r="CF529" s="5">
        <v>100</v>
      </c>
      <c r="CG529" s="5">
        <f t="shared" si="80"/>
        <v>4.5</v>
      </c>
      <c r="CH529" s="5">
        <f t="shared" si="81"/>
        <v>3</v>
      </c>
      <c r="CI529" s="5">
        <f t="shared" si="82"/>
        <v>1.0415493346083795</v>
      </c>
      <c r="CJ529" s="2">
        <f t="shared" si="83"/>
        <v>7930</v>
      </c>
      <c r="CK529" s="48"/>
    </row>
    <row r="530" spans="79:89" x14ac:dyDescent="0.25">
      <c r="CA530" s="2" t="s">
        <v>230</v>
      </c>
      <c r="CB530" s="43">
        <v>1.1875967999999999</v>
      </c>
      <c r="CC530" s="19">
        <v>25</v>
      </c>
      <c r="CD530" s="19">
        <v>25</v>
      </c>
      <c r="CE530" s="20" t="s">
        <v>70</v>
      </c>
      <c r="CF530" s="5">
        <v>100</v>
      </c>
      <c r="CG530" s="5">
        <f t="shared" si="80"/>
        <v>4.8000000000000007</v>
      </c>
      <c r="CH530" s="5">
        <f t="shared" si="81"/>
        <v>3.2</v>
      </c>
      <c r="CI530" s="5">
        <f t="shared" si="82"/>
        <v>1.1004650207099784</v>
      </c>
      <c r="CJ530" s="2">
        <f t="shared" si="83"/>
        <v>7930</v>
      </c>
      <c r="CK530" s="48"/>
    </row>
    <row r="531" spans="79:89" x14ac:dyDescent="0.25">
      <c r="CA531" s="2" t="s">
        <v>231</v>
      </c>
      <c r="CB531" s="43">
        <v>1.2564291999999995</v>
      </c>
      <c r="CC531" s="19">
        <v>25</v>
      </c>
      <c r="CD531" s="19">
        <v>25</v>
      </c>
      <c r="CE531" s="20" t="s">
        <v>71</v>
      </c>
      <c r="CF531" s="5">
        <v>100</v>
      </c>
      <c r="CG531" s="5">
        <f t="shared" si="80"/>
        <v>5.0999999999999996</v>
      </c>
      <c r="CH531" s="5">
        <f t="shared" si="81"/>
        <v>3.4</v>
      </c>
      <c r="CI531" s="5">
        <f t="shared" si="82"/>
        <v>1.1580655897858743</v>
      </c>
      <c r="CJ531" s="2">
        <f t="shared" si="83"/>
        <v>7930</v>
      </c>
      <c r="CK531" s="48"/>
    </row>
    <row r="532" spans="79:89" x14ac:dyDescent="0.25">
      <c r="CA532" s="2" t="s">
        <v>232</v>
      </c>
      <c r="CB532" s="43">
        <v>1.3246272000000006</v>
      </c>
      <c r="CC532" s="19">
        <v>25</v>
      </c>
      <c r="CD532" s="19">
        <v>25</v>
      </c>
      <c r="CE532" s="20" t="s">
        <v>72</v>
      </c>
      <c r="CF532" s="5">
        <v>100</v>
      </c>
      <c r="CG532" s="5">
        <f t="shared" si="80"/>
        <v>5.4</v>
      </c>
      <c r="CH532" s="5">
        <f t="shared" si="81"/>
        <v>3.6</v>
      </c>
      <c r="CI532" s="5">
        <f t="shared" si="82"/>
        <v>1.2143510418360663</v>
      </c>
      <c r="CJ532" s="2">
        <f t="shared" si="83"/>
        <v>7930</v>
      </c>
      <c r="CK532" s="48"/>
    </row>
    <row r="533" spans="79:89" x14ac:dyDescent="0.25">
      <c r="CA533" s="2" t="s">
        <v>233</v>
      </c>
      <c r="CB533" s="43">
        <v>1.3921908000000001</v>
      </c>
      <c r="CC533" s="19">
        <v>25</v>
      </c>
      <c r="CD533" s="19">
        <v>25</v>
      </c>
      <c r="CE533" s="20" t="s">
        <v>73</v>
      </c>
      <c r="CF533" s="5">
        <v>100</v>
      </c>
      <c r="CG533" s="5">
        <f t="shared" si="80"/>
        <v>5.6999999999999993</v>
      </c>
      <c r="CH533" s="5">
        <f t="shared" si="81"/>
        <v>3.8</v>
      </c>
      <c r="CI533" s="5">
        <f t="shared" si="82"/>
        <v>1.2693213768605556</v>
      </c>
      <c r="CJ533" s="2">
        <f t="shared" si="83"/>
        <v>7930</v>
      </c>
      <c r="CK533" s="48"/>
    </row>
    <row r="534" spans="79:89" x14ac:dyDescent="0.25">
      <c r="CA534" s="2" t="s">
        <v>234</v>
      </c>
      <c r="CB534" s="43">
        <v>1.45912</v>
      </c>
      <c r="CC534" s="19">
        <v>25</v>
      </c>
      <c r="CD534" s="19">
        <v>25</v>
      </c>
      <c r="CE534" s="20" t="s">
        <v>74</v>
      </c>
      <c r="CF534" s="5">
        <v>100</v>
      </c>
      <c r="CG534" s="5">
        <f t="shared" si="80"/>
        <v>6</v>
      </c>
      <c r="CH534" s="5">
        <f t="shared" si="81"/>
        <v>4</v>
      </c>
      <c r="CI534" s="5">
        <f t="shared" si="82"/>
        <v>1.3229765948593413</v>
      </c>
      <c r="CJ534" s="2">
        <f t="shared" si="83"/>
        <v>7930</v>
      </c>
      <c r="CK534" s="48"/>
    </row>
    <row r="535" spans="79:89" x14ac:dyDescent="0.25">
      <c r="CA535" s="2" t="s">
        <v>235</v>
      </c>
      <c r="CB535" s="43">
        <v>0.65057719999999974</v>
      </c>
      <c r="CC535" s="19">
        <v>20</v>
      </c>
      <c r="CD535" s="19">
        <v>40</v>
      </c>
      <c r="CE535" s="20" t="s">
        <v>62</v>
      </c>
      <c r="CF535" s="5">
        <v>120</v>
      </c>
      <c r="CG535" s="5">
        <f t="shared" si="80"/>
        <v>2.0999999999999996</v>
      </c>
      <c r="CH535" s="5">
        <f t="shared" si="81"/>
        <v>1.4</v>
      </c>
      <c r="CI535" s="5">
        <f t="shared" si="82"/>
        <v>0.63389963287026929</v>
      </c>
      <c r="CJ535" s="2">
        <f t="shared" si="83"/>
        <v>7930</v>
      </c>
      <c r="CK535" s="48"/>
    </row>
    <row r="536" spans="79:89" x14ac:dyDescent="0.25">
      <c r="CA536" s="2" t="s">
        <v>236</v>
      </c>
      <c r="CB536" s="43">
        <v>0.74097920000000039</v>
      </c>
      <c r="CC536" s="19">
        <v>20</v>
      </c>
      <c r="CD536" s="19">
        <v>40</v>
      </c>
      <c r="CE536" s="20" t="s">
        <v>63</v>
      </c>
      <c r="CF536" s="5">
        <v>120</v>
      </c>
      <c r="CG536" s="5">
        <f t="shared" si="80"/>
        <v>2.4000000000000004</v>
      </c>
      <c r="CH536" s="5">
        <f t="shared" si="81"/>
        <v>1.6</v>
      </c>
      <c r="CI536" s="5">
        <f t="shared" si="82"/>
        <v>0.71919625517749453</v>
      </c>
      <c r="CJ536" s="2">
        <f t="shared" si="83"/>
        <v>7930</v>
      </c>
      <c r="CK536" s="48"/>
    </row>
    <row r="537" spans="79:89" x14ac:dyDescent="0.25">
      <c r="CA537" s="2" t="s">
        <v>237</v>
      </c>
      <c r="CB537" s="43">
        <v>0.83074679999999979</v>
      </c>
      <c r="CC537" s="19">
        <v>20</v>
      </c>
      <c r="CD537" s="19">
        <v>40</v>
      </c>
      <c r="CE537" s="20" t="s">
        <v>64</v>
      </c>
      <c r="CF537" s="5">
        <v>120</v>
      </c>
      <c r="CG537" s="5">
        <f t="shared" si="80"/>
        <v>2.7</v>
      </c>
      <c r="CH537" s="5">
        <f t="shared" si="81"/>
        <v>1.8</v>
      </c>
      <c r="CI537" s="5">
        <f t="shared" si="82"/>
        <v>0.80317776045901668</v>
      </c>
      <c r="CJ537" s="2">
        <f t="shared" si="83"/>
        <v>7930</v>
      </c>
      <c r="CK537" s="48"/>
    </row>
    <row r="538" spans="79:89" x14ac:dyDescent="0.25">
      <c r="CA538" s="2" t="s">
        <v>238</v>
      </c>
      <c r="CB538" s="43">
        <v>0.91988000000000003</v>
      </c>
      <c r="CC538" s="19">
        <v>20</v>
      </c>
      <c r="CD538" s="19">
        <v>40</v>
      </c>
      <c r="CE538" s="20" t="s">
        <v>65</v>
      </c>
      <c r="CF538" s="5">
        <v>120</v>
      </c>
      <c r="CG538" s="5">
        <f t="shared" si="80"/>
        <v>3</v>
      </c>
      <c r="CH538" s="5">
        <f t="shared" si="81"/>
        <v>2</v>
      </c>
      <c r="CI538" s="5">
        <f t="shared" si="82"/>
        <v>0.88584414871483541</v>
      </c>
      <c r="CJ538" s="2">
        <f t="shared" si="83"/>
        <v>7930</v>
      </c>
      <c r="CK538" s="48"/>
    </row>
    <row r="539" spans="79:89" x14ac:dyDescent="0.25">
      <c r="CA539" s="2" t="s">
        <v>239</v>
      </c>
      <c r="CB539" s="43">
        <v>1.0083787999999998</v>
      </c>
      <c r="CC539" s="19">
        <v>20</v>
      </c>
      <c r="CD539" s="19">
        <v>40</v>
      </c>
      <c r="CE539" s="20" t="s">
        <v>66</v>
      </c>
      <c r="CF539" s="5">
        <v>120</v>
      </c>
      <c r="CG539" s="5">
        <f t="shared" si="80"/>
        <v>3.3000000000000003</v>
      </c>
      <c r="CH539" s="5">
        <f t="shared" si="81"/>
        <v>2.2000000000000002</v>
      </c>
      <c r="CI539" s="5">
        <f t="shared" si="82"/>
        <v>0.96719541994495073</v>
      </c>
      <c r="CJ539" s="2">
        <f t="shared" si="83"/>
        <v>7930</v>
      </c>
      <c r="CK539" s="48"/>
    </row>
    <row r="540" spans="79:89" x14ac:dyDescent="0.25">
      <c r="CA540" s="2" t="s">
        <v>240</v>
      </c>
      <c r="CB540" s="43">
        <v>1.0962431999999991</v>
      </c>
      <c r="CC540" s="19">
        <v>20</v>
      </c>
      <c r="CD540" s="19">
        <v>40</v>
      </c>
      <c r="CE540" s="20" t="s">
        <v>67</v>
      </c>
      <c r="CF540" s="5">
        <v>120</v>
      </c>
      <c r="CG540" s="5">
        <f t="shared" si="80"/>
        <v>3.5999999999999996</v>
      </c>
      <c r="CH540" s="5">
        <f t="shared" si="81"/>
        <v>2.4</v>
      </c>
      <c r="CI540" s="5">
        <f t="shared" si="82"/>
        <v>1.047231574149363</v>
      </c>
      <c r="CJ540" s="2">
        <f t="shared" si="83"/>
        <v>7930</v>
      </c>
      <c r="CK540" s="48"/>
    </row>
    <row r="541" spans="79:89" x14ac:dyDescent="0.25">
      <c r="CA541" s="2" t="s">
        <v>241</v>
      </c>
      <c r="CB541" s="43">
        <v>1.2700687999999996</v>
      </c>
      <c r="CC541" s="19">
        <v>20</v>
      </c>
      <c r="CD541" s="19">
        <v>40</v>
      </c>
      <c r="CE541" s="20" t="s">
        <v>68</v>
      </c>
      <c r="CF541" s="5">
        <v>120</v>
      </c>
      <c r="CG541" s="5">
        <f t="shared" si="80"/>
        <v>4.1999999999999993</v>
      </c>
      <c r="CH541" s="5">
        <f t="shared" si="81"/>
        <v>2.8</v>
      </c>
      <c r="CI541" s="5">
        <f t="shared" si="82"/>
        <v>1.2033585314810773</v>
      </c>
      <c r="CJ541" s="2">
        <f t="shared" si="83"/>
        <v>7930</v>
      </c>
      <c r="CK541" s="48"/>
    </row>
    <row r="542" spans="79:89" x14ac:dyDescent="0.25">
      <c r="CA542" s="2" t="s">
        <v>242</v>
      </c>
      <c r="CB542" s="43">
        <v>1.3560299999999998</v>
      </c>
      <c r="CC542" s="19">
        <v>20</v>
      </c>
      <c r="CD542" s="19">
        <v>40</v>
      </c>
      <c r="CE542" s="20" t="s">
        <v>69</v>
      </c>
      <c r="CF542" s="5">
        <v>120</v>
      </c>
      <c r="CG542" s="5">
        <f t="shared" si="80"/>
        <v>4.5</v>
      </c>
      <c r="CH542" s="5">
        <f t="shared" si="81"/>
        <v>3</v>
      </c>
      <c r="CI542" s="5">
        <f t="shared" si="82"/>
        <v>1.2794493346083795</v>
      </c>
      <c r="CJ542" s="2">
        <f t="shared" si="83"/>
        <v>7930</v>
      </c>
      <c r="CK542" s="48"/>
    </row>
    <row r="543" spans="79:89" x14ac:dyDescent="0.25">
      <c r="CA543" s="2" t="s">
        <v>243</v>
      </c>
      <c r="CB543" s="43">
        <v>1.4413567999999999</v>
      </c>
      <c r="CC543" s="19">
        <v>20</v>
      </c>
      <c r="CD543" s="19">
        <v>40</v>
      </c>
      <c r="CE543" s="20" t="s">
        <v>70</v>
      </c>
      <c r="CF543" s="5">
        <v>120</v>
      </c>
      <c r="CG543" s="5">
        <f t="shared" si="80"/>
        <v>4.8000000000000007</v>
      </c>
      <c r="CH543" s="5">
        <f t="shared" si="81"/>
        <v>3.2</v>
      </c>
      <c r="CI543" s="5">
        <f t="shared" si="82"/>
        <v>1.3542250207099784</v>
      </c>
      <c r="CJ543" s="2">
        <f t="shared" si="83"/>
        <v>7930</v>
      </c>
      <c r="CK543" s="48"/>
    </row>
    <row r="544" spans="79:89" x14ac:dyDescent="0.25">
      <c r="CA544" s="2" t="s">
        <v>244</v>
      </c>
      <c r="CB544" s="43">
        <v>1.5260491999999994</v>
      </c>
      <c r="CC544" s="19">
        <v>20</v>
      </c>
      <c r="CD544" s="19">
        <v>40</v>
      </c>
      <c r="CE544" s="20" t="s">
        <v>71</v>
      </c>
      <c r="CF544" s="5">
        <v>120</v>
      </c>
      <c r="CG544" s="5">
        <f t="shared" si="80"/>
        <v>5.0999999999999996</v>
      </c>
      <c r="CH544" s="5">
        <f t="shared" si="81"/>
        <v>3.4</v>
      </c>
      <c r="CI544" s="5">
        <f t="shared" si="82"/>
        <v>1.427685589785874</v>
      </c>
      <c r="CJ544" s="2">
        <f t="shared" si="83"/>
        <v>7930</v>
      </c>
      <c r="CK544" s="48"/>
    </row>
    <row r="545" spans="79:89" x14ac:dyDescent="0.25">
      <c r="CA545" s="2" t="s">
        <v>245</v>
      </c>
      <c r="CB545" s="43">
        <v>1.6101072000000005</v>
      </c>
      <c r="CC545" s="19">
        <v>20</v>
      </c>
      <c r="CD545" s="19">
        <v>40</v>
      </c>
      <c r="CE545" s="20" t="s">
        <v>72</v>
      </c>
      <c r="CF545" s="5">
        <v>120</v>
      </c>
      <c r="CG545" s="5">
        <f t="shared" si="80"/>
        <v>5.4</v>
      </c>
      <c r="CH545" s="5">
        <f t="shared" si="81"/>
        <v>3.6</v>
      </c>
      <c r="CI545" s="5">
        <f t="shared" si="82"/>
        <v>1.4998310418360661</v>
      </c>
      <c r="CJ545" s="2">
        <f t="shared" si="83"/>
        <v>7930</v>
      </c>
      <c r="CK545" s="48"/>
    </row>
    <row r="546" spans="79:89" x14ac:dyDescent="0.25">
      <c r="CA546" s="2" t="s">
        <v>246</v>
      </c>
      <c r="CB546" s="43">
        <v>1.6935307999999993</v>
      </c>
      <c r="CC546" s="19">
        <v>20</v>
      </c>
      <c r="CD546" s="19">
        <v>40</v>
      </c>
      <c r="CE546" s="20" t="s">
        <v>73</v>
      </c>
      <c r="CF546" s="5">
        <v>120</v>
      </c>
      <c r="CG546" s="5">
        <f t="shared" si="80"/>
        <v>5.6999999999999993</v>
      </c>
      <c r="CH546" s="5">
        <f t="shared" si="81"/>
        <v>3.8</v>
      </c>
      <c r="CI546" s="5">
        <f t="shared" si="82"/>
        <v>1.5706613768605555</v>
      </c>
      <c r="CJ546" s="2">
        <f t="shared" si="83"/>
        <v>7930</v>
      </c>
      <c r="CK546" s="48"/>
    </row>
    <row r="547" spans="79:89" x14ac:dyDescent="0.25">
      <c r="CA547" s="2" t="s">
        <v>247</v>
      </c>
      <c r="CB547" s="43">
        <v>1.7763199999999999</v>
      </c>
      <c r="CC547" s="19">
        <v>20</v>
      </c>
      <c r="CD547" s="19">
        <v>40</v>
      </c>
      <c r="CE547" s="20" t="s">
        <v>74</v>
      </c>
      <c r="CF547" s="5">
        <v>120</v>
      </c>
      <c r="CG547" s="5">
        <f t="shared" si="80"/>
        <v>6</v>
      </c>
      <c r="CH547" s="5">
        <f t="shared" si="81"/>
        <v>4</v>
      </c>
      <c r="CI547" s="5">
        <f t="shared" si="82"/>
        <v>1.6401765948593414</v>
      </c>
      <c r="CJ547" s="2">
        <f t="shared" si="83"/>
        <v>7930</v>
      </c>
      <c r="CK547" s="48"/>
    </row>
    <row r="548" spans="79:89" x14ac:dyDescent="0.25">
      <c r="CA548" s="2" t="s">
        <v>248</v>
      </c>
      <c r="CB548" s="43">
        <v>1.8584748</v>
      </c>
      <c r="CC548" s="19">
        <v>20</v>
      </c>
      <c r="CD548" s="19">
        <v>40</v>
      </c>
      <c r="CE548" s="20" t="s">
        <v>75</v>
      </c>
      <c r="CF548" s="5">
        <v>120</v>
      </c>
      <c r="CG548" s="5">
        <f t="shared" si="80"/>
        <v>6.3000000000000007</v>
      </c>
      <c r="CH548" s="5">
        <f t="shared" si="81"/>
        <v>4.2</v>
      </c>
      <c r="CI548" s="5">
        <f t="shared" si="82"/>
        <v>1.7083766958324234</v>
      </c>
      <c r="CJ548" s="2">
        <f t="shared" si="83"/>
        <v>7930</v>
      </c>
      <c r="CK548" s="48"/>
    </row>
    <row r="549" spans="79:89" x14ac:dyDescent="0.25">
      <c r="CA549" s="2" t="s">
        <v>249</v>
      </c>
      <c r="CB549" s="43">
        <v>1.9399951999999996</v>
      </c>
      <c r="CC549" s="19">
        <v>20</v>
      </c>
      <c r="CD549" s="19">
        <v>40</v>
      </c>
      <c r="CE549" s="20" t="s">
        <v>76</v>
      </c>
      <c r="CF549" s="5">
        <v>120</v>
      </c>
      <c r="CG549" s="5">
        <f t="shared" si="80"/>
        <v>6.6000000000000005</v>
      </c>
      <c r="CH549" s="5">
        <f t="shared" si="81"/>
        <v>4.4000000000000004</v>
      </c>
      <c r="CI549" s="5">
        <f t="shared" si="82"/>
        <v>1.7752616797798029</v>
      </c>
      <c r="CJ549" s="2">
        <f t="shared" si="83"/>
        <v>7930</v>
      </c>
      <c r="CK549" s="48"/>
    </row>
    <row r="550" spans="79:89" x14ac:dyDescent="0.25">
      <c r="CA550" s="2" t="s">
        <v>250</v>
      </c>
      <c r="CB550" s="43">
        <v>2.0208812000000003</v>
      </c>
      <c r="CC550" s="19">
        <v>20</v>
      </c>
      <c r="CD550" s="19">
        <v>40</v>
      </c>
      <c r="CE550" s="20" t="s">
        <v>77</v>
      </c>
      <c r="CF550" s="5">
        <v>120</v>
      </c>
      <c r="CG550" s="5">
        <f t="shared" si="80"/>
        <v>6.8999999999999995</v>
      </c>
      <c r="CH550" s="5">
        <f t="shared" si="81"/>
        <v>4.5999999999999996</v>
      </c>
      <c r="CI550" s="5">
        <f t="shared" si="82"/>
        <v>1.8408315467014784</v>
      </c>
      <c r="CJ550" s="2">
        <f t="shared" si="83"/>
        <v>7930</v>
      </c>
      <c r="CK550" s="48"/>
    </row>
    <row r="551" spans="79:89" x14ac:dyDescent="0.25">
      <c r="CA551" s="2" t="s">
        <v>251</v>
      </c>
      <c r="CB551" s="43">
        <v>2.1011328000000002</v>
      </c>
      <c r="CC551" s="19">
        <v>20</v>
      </c>
      <c r="CD551" s="19">
        <v>40</v>
      </c>
      <c r="CE551" s="20" t="s">
        <v>78</v>
      </c>
      <c r="CF551" s="5">
        <v>120</v>
      </c>
      <c r="CG551" s="5">
        <f t="shared" si="80"/>
        <v>7.1999999999999993</v>
      </c>
      <c r="CH551" s="5">
        <f t="shared" si="81"/>
        <v>4.8</v>
      </c>
      <c r="CI551" s="5">
        <f t="shared" si="82"/>
        <v>1.9050862965974513</v>
      </c>
      <c r="CJ551" s="2">
        <f t="shared" si="83"/>
        <v>7930</v>
      </c>
      <c r="CK551" s="48"/>
    </row>
    <row r="552" spans="79:89" x14ac:dyDescent="0.25">
      <c r="CA552" s="2" t="s">
        <v>252</v>
      </c>
      <c r="CB552" s="43">
        <v>0.65057719999999974</v>
      </c>
      <c r="CC552" s="19">
        <v>30</v>
      </c>
      <c r="CD552" s="19">
        <v>30</v>
      </c>
      <c r="CE552" s="20" t="s">
        <v>62</v>
      </c>
      <c r="CF552" s="5">
        <v>120</v>
      </c>
      <c r="CG552" s="5">
        <f t="shared" si="80"/>
        <v>2.0999999999999996</v>
      </c>
      <c r="CH552" s="5">
        <f t="shared" si="81"/>
        <v>1.4</v>
      </c>
      <c r="CI552" s="5">
        <f t="shared" si="82"/>
        <v>0.63389963287026929</v>
      </c>
      <c r="CJ552" s="2">
        <f t="shared" si="83"/>
        <v>7930</v>
      </c>
      <c r="CK552" s="48"/>
    </row>
    <row r="553" spans="79:89" x14ac:dyDescent="0.25">
      <c r="CA553" s="2" t="s">
        <v>253</v>
      </c>
      <c r="CB553" s="43">
        <v>0.74097920000000039</v>
      </c>
      <c r="CC553" s="19">
        <v>30</v>
      </c>
      <c r="CD553" s="19">
        <v>30</v>
      </c>
      <c r="CE553" s="20" t="s">
        <v>63</v>
      </c>
      <c r="CF553" s="5">
        <v>120</v>
      </c>
      <c r="CG553" s="5">
        <f t="shared" si="80"/>
        <v>2.4000000000000004</v>
      </c>
      <c r="CH553" s="5">
        <f t="shared" si="81"/>
        <v>1.6</v>
      </c>
      <c r="CI553" s="5">
        <f t="shared" si="82"/>
        <v>0.71919625517749453</v>
      </c>
      <c r="CJ553" s="2">
        <f t="shared" si="83"/>
        <v>7930</v>
      </c>
      <c r="CK553" s="48"/>
    </row>
    <row r="554" spans="79:89" x14ac:dyDescent="0.25">
      <c r="CA554" s="2" t="s">
        <v>254</v>
      </c>
      <c r="CB554" s="43">
        <v>0.83074679999999979</v>
      </c>
      <c r="CC554" s="19">
        <v>30</v>
      </c>
      <c r="CD554" s="19">
        <v>30</v>
      </c>
      <c r="CE554" s="20" t="s">
        <v>64</v>
      </c>
      <c r="CF554" s="5">
        <v>120</v>
      </c>
      <c r="CG554" s="5">
        <f t="shared" si="80"/>
        <v>2.7</v>
      </c>
      <c r="CH554" s="5">
        <f t="shared" si="81"/>
        <v>1.8</v>
      </c>
      <c r="CI554" s="5">
        <f t="shared" si="82"/>
        <v>0.80317776045901668</v>
      </c>
      <c r="CJ554" s="2">
        <f t="shared" si="83"/>
        <v>7930</v>
      </c>
      <c r="CK554" s="48"/>
    </row>
    <row r="555" spans="79:89" x14ac:dyDescent="0.25">
      <c r="CA555" s="2" t="s">
        <v>255</v>
      </c>
      <c r="CB555" s="43">
        <v>0.91988000000000003</v>
      </c>
      <c r="CC555" s="19">
        <v>30</v>
      </c>
      <c r="CD555" s="19">
        <v>30</v>
      </c>
      <c r="CE555" s="20" t="s">
        <v>65</v>
      </c>
      <c r="CF555" s="5">
        <v>120</v>
      </c>
      <c r="CG555" s="5">
        <f t="shared" si="80"/>
        <v>3</v>
      </c>
      <c r="CH555" s="5">
        <f t="shared" si="81"/>
        <v>2</v>
      </c>
      <c r="CI555" s="5">
        <f t="shared" si="82"/>
        <v>0.88584414871483541</v>
      </c>
      <c r="CJ555" s="2">
        <f t="shared" si="83"/>
        <v>7930</v>
      </c>
      <c r="CK555" s="48"/>
    </row>
    <row r="556" spans="79:89" x14ac:dyDescent="0.25">
      <c r="CA556" s="2" t="s">
        <v>256</v>
      </c>
      <c r="CB556" s="43">
        <v>1.0083787999999998</v>
      </c>
      <c r="CC556" s="19">
        <v>30</v>
      </c>
      <c r="CD556" s="19">
        <v>30</v>
      </c>
      <c r="CE556" s="20" t="s">
        <v>66</v>
      </c>
      <c r="CF556" s="5">
        <v>120</v>
      </c>
      <c r="CG556" s="5">
        <f t="shared" si="80"/>
        <v>3.3000000000000003</v>
      </c>
      <c r="CH556" s="5">
        <f t="shared" si="81"/>
        <v>2.2000000000000002</v>
      </c>
      <c r="CI556" s="5">
        <f t="shared" si="82"/>
        <v>0.96719541994495073</v>
      </c>
      <c r="CJ556" s="2">
        <f t="shared" si="83"/>
        <v>7930</v>
      </c>
      <c r="CK556" s="48"/>
    </row>
    <row r="557" spans="79:89" x14ac:dyDescent="0.25">
      <c r="CA557" s="2" t="s">
        <v>257</v>
      </c>
      <c r="CB557" s="43">
        <v>1.0962431999999991</v>
      </c>
      <c r="CC557" s="19">
        <v>30</v>
      </c>
      <c r="CD557" s="19">
        <v>30</v>
      </c>
      <c r="CE557" s="20" t="s">
        <v>67</v>
      </c>
      <c r="CF557" s="5">
        <v>120</v>
      </c>
      <c r="CG557" s="5">
        <f t="shared" si="80"/>
        <v>3.5999999999999996</v>
      </c>
      <c r="CH557" s="5">
        <f t="shared" si="81"/>
        <v>2.4</v>
      </c>
      <c r="CI557" s="5">
        <f t="shared" si="82"/>
        <v>1.047231574149363</v>
      </c>
      <c r="CJ557" s="2">
        <f t="shared" si="83"/>
        <v>7930</v>
      </c>
      <c r="CK557" s="48"/>
    </row>
    <row r="558" spans="79:89" x14ac:dyDescent="0.25">
      <c r="CA558" s="2" t="s">
        <v>258</v>
      </c>
      <c r="CB558" s="43">
        <v>1.2700688000000004</v>
      </c>
      <c r="CC558" s="19">
        <v>30</v>
      </c>
      <c r="CD558" s="19">
        <v>30</v>
      </c>
      <c r="CE558" s="20" t="s">
        <v>68</v>
      </c>
      <c r="CF558" s="5">
        <v>120</v>
      </c>
      <c r="CG558" s="5">
        <f t="shared" si="80"/>
        <v>4.1999999999999993</v>
      </c>
      <c r="CH558" s="5">
        <f t="shared" si="81"/>
        <v>2.8</v>
      </c>
      <c r="CI558" s="5">
        <f t="shared" si="82"/>
        <v>1.2033585314810773</v>
      </c>
      <c r="CJ558" s="2">
        <f t="shared" si="83"/>
        <v>7930</v>
      </c>
      <c r="CK558" s="48"/>
    </row>
    <row r="559" spans="79:89" x14ac:dyDescent="0.25">
      <c r="CA559" s="2" t="s">
        <v>259</v>
      </c>
      <c r="CB559" s="43">
        <v>1.3560299999999998</v>
      </c>
      <c r="CC559" s="19">
        <v>30</v>
      </c>
      <c r="CD559" s="19">
        <v>30</v>
      </c>
      <c r="CE559" s="20" t="s">
        <v>69</v>
      </c>
      <c r="CF559" s="5">
        <v>120</v>
      </c>
      <c r="CG559" s="5">
        <f t="shared" si="80"/>
        <v>4.5</v>
      </c>
      <c r="CH559" s="5">
        <f t="shared" si="81"/>
        <v>3</v>
      </c>
      <c r="CI559" s="5">
        <f t="shared" si="82"/>
        <v>1.2794493346083795</v>
      </c>
      <c r="CJ559" s="2">
        <f t="shared" si="83"/>
        <v>7930</v>
      </c>
      <c r="CK559" s="48"/>
    </row>
    <row r="560" spans="79:89" x14ac:dyDescent="0.25">
      <c r="CA560" s="2" t="s">
        <v>260</v>
      </c>
      <c r="CB560" s="43">
        <v>1.4413567999999999</v>
      </c>
      <c r="CC560" s="19">
        <v>30</v>
      </c>
      <c r="CD560" s="19">
        <v>30</v>
      </c>
      <c r="CE560" s="20" t="s">
        <v>70</v>
      </c>
      <c r="CF560" s="5">
        <v>120</v>
      </c>
      <c r="CG560" s="5">
        <f t="shared" si="80"/>
        <v>4.8000000000000007</v>
      </c>
      <c r="CH560" s="5">
        <f t="shared" si="81"/>
        <v>3.2</v>
      </c>
      <c r="CI560" s="5">
        <f t="shared" si="82"/>
        <v>1.3542250207099784</v>
      </c>
      <c r="CJ560" s="2">
        <f t="shared" si="83"/>
        <v>7930</v>
      </c>
      <c r="CK560" s="48"/>
    </row>
    <row r="561" spans="79:89" x14ac:dyDescent="0.25">
      <c r="CA561" s="2" t="s">
        <v>261</v>
      </c>
      <c r="CB561" s="43">
        <v>1.5260491999999994</v>
      </c>
      <c r="CC561" s="19">
        <v>30</v>
      </c>
      <c r="CD561" s="19">
        <v>30</v>
      </c>
      <c r="CE561" s="20" t="s">
        <v>71</v>
      </c>
      <c r="CF561" s="5">
        <v>120</v>
      </c>
      <c r="CG561" s="5">
        <f t="shared" si="80"/>
        <v>5.0999999999999996</v>
      </c>
      <c r="CH561" s="5">
        <f t="shared" si="81"/>
        <v>3.4</v>
      </c>
      <c r="CI561" s="5">
        <f t="shared" si="82"/>
        <v>1.427685589785874</v>
      </c>
      <c r="CJ561" s="2">
        <f t="shared" si="83"/>
        <v>7930</v>
      </c>
      <c r="CK561" s="48"/>
    </row>
    <row r="562" spans="79:89" x14ac:dyDescent="0.25">
      <c r="CA562" s="2" t="s">
        <v>262</v>
      </c>
      <c r="CB562" s="43">
        <v>1.6101072000000005</v>
      </c>
      <c r="CC562" s="19">
        <v>30</v>
      </c>
      <c r="CD562" s="19">
        <v>30</v>
      </c>
      <c r="CE562" s="20" t="s">
        <v>72</v>
      </c>
      <c r="CF562" s="5">
        <v>120</v>
      </c>
      <c r="CG562" s="5">
        <f t="shared" si="80"/>
        <v>5.4</v>
      </c>
      <c r="CH562" s="5">
        <f t="shared" si="81"/>
        <v>3.6</v>
      </c>
      <c r="CI562" s="5">
        <f t="shared" si="82"/>
        <v>1.4998310418360661</v>
      </c>
      <c r="CJ562" s="2">
        <f t="shared" si="83"/>
        <v>7930</v>
      </c>
      <c r="CK562" s="48"/>
    </row>
    <row r="563" spans="79:89" x14ac:dyDescent="0.25">
      <c r="CA563" s="2" t="s">
        <v>263</v>
      </c>
      <c r="CB563" s="43">
        <v>1.6935308000000004</v>
      </c>
      <c r="CC563" s="19">
        <v>30</v>
      </c>
      <c r="CD563" s="19">
        <v>30</v>
      </c>
      <c r="CE563" s="20" t="s">
        <v>73</v>
      </c>
      <c r="CF563" s="5">
        <v>120</v>
      </c>
      <c r="CG563" s="5">
        <f t="shared" si="80"/>
        <v>5.6999999999999993</v>
      </c>
      <c r="CH563" s="5">
        <f t="shared" si="81"/>
        <v>3.8</v>
      </c>
      <c r="CI563" s="5">
        <f t="shared" si="82"/>
        <v>1.5706613768605555</v>
      </c>
      <c r="CJ563" s="2">
        <f t="shared" si="83"/>
        <v>7930</v>
      </c>
      <c r="CK563" s="48"/>
    </row>
    <row r="564" spans="79:89" x14ac:dyDescent="0.25">
      <c r="CA564" s="2" t="s">
        <v>264</v>
      </c>
      <c r="CB564" s="43">
        <v>1.7763199999999999</v>
      </c>
      <c r="CC564" s="19">
        <v>30</v>
      </c>
      <c r="CD564" s="19">
        <v>30</v>
      </c>
      <c r="CE564" s="20" t="s">
        <v>74</v>
      </c>
      <c r="CF564" s="5">
        <v>120</v>
      </c>
      <c r="CG564" s="5">
        <f t="shared" si="80"/>
        <v>6</v>
      </c>
      <c r="CH564" s="5">
        <f t="shared" si="81"/>
        <v>4</v>
      </c>
      <c r="CI564" s="5">
        <f t="shared" si="82"/>
        <v>1.6401765948593414</v>
      </c>
      <c r="CJ564" s="2">
        <f t="shared" si="83"/>
        <v>7930</v>
      </c>
      <c r="CK564" s="48"/>
    </row>
    <row r="565" spans="79:89" x14ac:dyDescent="0.25">
      <c r="CA565" s="2" t="s">
        <v>265</v>
      </c>
      <c r="CB565" s="43">
        <v>1.8584748</v>
      </c>
      <c r="CC565" s="19">
        <v>30</v>
      </c>
      <c r="CD565" s="19">
        <v>30</v>
      </c>
      <c r="CE565" s="20" t="s">
        <v>75</v>
      </c>
      <c r="CF565" s="5">
        <v>120</v>
      </c>
      <c r="CG565" s="5">
        <f t="shared" si="80"/>
        <v>6.3000000000000007</v>
      </c>
      <c r="CH565" s="5">
        <f t="shared" si="81"/>
        <v>4.2</v>
      </c>
      <c r="CI565" s="5">
        <f t="shared" si="82"/>
        <v>1.7083766958324234</v>
      </c>
      <c r="CJ565" s="2">
        <f t="shared" si="83"/>
        <v>7930</v>
      </c>
      <c r="CK565" s="48"/>
    </row>
    <row r="566" spans="79:89" x14ac:dyDescent="0.25">
      <c r="CA566" s="2" t="s">
        <v>266</v>
      </c>
      <c r="CB566" s="43">
        <v>1.9399951999999989</v>
      </c>
      <c r="CC566" s="19">
        <v>30</v>
      </c>
      <c r="CD566" s="19">
        <v>30</v>
      </c>
      <c r="CE566" s="20" t="s">
        <v>76</v>
      </c>
      <c r="CF566" s="5">
        <v>120</v>
      </c>
      <c r="CG566" s="5">
        <f t="shared" si="80"/>
        <v>6.6000000000000005</v>
      </c>
      <c r="CH566" s="5">
        <f t="shared" si="81"/>
        <v>4.4000000000000004</v>
      </c>
      <c r="CI566" s="5">
        <f t="shared" si="82"/>
        <v>1.7752616797798029</v>
      </c>
      <c r="CJ566" s="2">
        <f t="shared" si="83"/>
        <v>7930</v>
      </c>
      <c r="CK566" s="48"/>
    </row>
    <row r="567" spans="79:89" x14ac:dyDescent="0.25">
      <c r="CA567" s="2" t="s">
        <v>267</v>
      </c>
      <c r="CB567" s="43">
        <v>2.0208812000000003</v>
      </c>
      <c r="CC567" s="19">
        <v>30</v>
      </c>
      <c r="CD567" s="19">
        <v>30</v>
      </c>
      <c r="CE567" s="20" t="s">
        <v>77</v>
      </c>
      <c r="CF567" s="5">
        <v>120</v>
      </c>
      <c r="CG567" s="5">
        <f t="shared" si="80"/>
        <v>6.8999999999999995</v>
      </c>
      <c r="CH567" s="5">
        <f t="shared" si="81"/>
        <v>4.5999999999999996</v>
      </c>
      <c r="CI567" s="5">
        <f t="shared" si="82"/>
        <v>1.8408315467014784</v>
      </c>
      <c r="CJ567" s="2">
        <f t="shared" si="83"/>
        <v>7930</v>
      </c>
      <c r="CK567" s="48"/>
    </row>
    <row r="568" spans="79:89" x14ac:dyDescent="0.25">
      <c r="CA568" s="2" t="s">
        <v>268</v>
      </c>
      <c r="CB568" s="43">
        <v>2.1011328000000002</v>
      </c>
      <c r="CC568" s="19">
        <v>30</v>
      </c>
      <c r="CD568" s="19">
        <v>30</v>
      </c>
      <c r="CE568" s="20" t="s">
        <v>78</v>
      </c>
      <c r="CF568" s="5">
        <v>120</v>
      </c>
      <c r="CG568" s="5">
        <f t="shared" si="80"/>
        <v>7.1999999999999993</v>
      </c>
      <c r="CH568" s="5">
        <f t="shared" si="81"/>
        <v>4.8</v>
      </c>
      <c r="CI568" s="5">
        <f t="shared" si="82"/>
        <v>1.9050862965974513</v>
      </c>
      <c r="CJ568" s="2">
        <f t="shared" si="83"/>
        <v>7930</v>
      </c>
      <c r="CK568" s="48"/>
    </row>
    <row r="569" spans="79:89" x14ac:dyDescent="0.25">
      <c r="CA569" s="2" t="s">
        <v>269</v>
      </c>
      <c r="CB569" s="43">
        <v>0.8171071999999997</v>
      </c>
      <c r="CC569" s="19">
        <v>25</v>
      </c>
      <c r="CD569" s="19">
        <v>50</v>
      </c>
      <c r="CE569" s="20" t="s">
        <v>62</v>
      </c>
      <c r="CF569" s="5">
        <v>150</v>
      </c>
      <c r="CG569" s="5">
        <f t="shared" si="80"/>
        <v>2.0999999999999996</v>
      </c>
      <c r="CH569" s="5">
        <f t="shared" si="81"/>
        <v>1.4</v>
      </c>
      <c r="CI569" s="5">
        <f t="shared" si="82"/>
        <v>0.80042963287026925</v>
      </c>
      <c r="CJ569" s="2">
        <f t="shared" si="83"/>
        <v>7930</v>
      </c>
      <c r="CK569" s="48"/>
    </row>
    <row r="570" spans="79:89" x14ac:dyDescent="0.25">
      <c r="CA570" s="2" t="s">
        <v>270</v>
      </c>
      <c r="CB570" s="43">
        <v>0.93129920000000044</v>
      </c>
      <c r="CC570" s="19">
        <v>25</v>
      </c>
      <c r="CD570" s="19">
        <v>50</v>
      </c>
      <c r="CE570" s="20" t="s">
        <v>63</v>
      </c>
      <c r="CF570" s="5">
        <v>150</v>
      </c>
      <c r="CG570" s="5">
        <f t="shared" si="80"/>
        <v>2.4000000000000004</v>
      </c>
      <c r="CH570" s="5">
        <f t="shared" si="81"/>
        <v>1.6</v>
      </c>
      <c r="CI570" s="5">
        <f t="shared" si="82"/>
        <v>0.90951625517749468</v>
      </c>
      <c r="CJ570" s="2">
        <f t="shared" si="83"/>
        <v>7930</v>
      </c>
      <c r="CK570" s="48"/>
    </row>
    <row r="571" spans="79:89" x14ac:dyDescent="0.25">
      <c r="CA571" s="2" t="s">
        <v>271</v>
      </c>
      <c r="CB571" s="43">
        <v>1.0448567999999998</v>
      </c>
      <c r="CC571" s="19">
        <v>25</v>
      </c>
      <c r="CD571" s="19">
        <v>50</v>
      </c>
      <c r="CE571" s="20" t="s">
        <v>64</v>
      </c>
      <c r="CF571" s="5">
        <v>150</v>
      </c>
      <c r="CG571" s="5">
        <f t="shared" si="80"/>
        <v>2.7</v>
      </c>
      <c r="CH571" s="5">
        <f t="shared" si="81"/>
        <v>1.8</v>
      </c>
      <c r="CI571" s="5">
        <f t="shared" si="82"/>
        <v>1.0172877604590165</v>
      </c>
      <c r="CJ571" s="2">
        <f t="shared" si="83"/>
        <v>7930</v>
      </c>
      <c r="CK571" s="48"/>
    </row>
    <row r="572" spans="79:89" x14ac:dyDescent="0.25">
      <c r="CA572" s="2" t="s">
        <v>272</v>
      </c>
      <c r="CB572" s="43">
        <v>1.15778</v>
      </c>
      <c r="CC572" s="19">
        <v>25</v>
      </c>
      <c r="CD572" s="19">
        <v>50</v>
      </c>
      <c r="CE572" s="20" t="s">
        <v>65</v>
      </c>
      <c r="CF572" s="5">
        <v>150</v>
      </c>
      <c r="CG572" s="5">
        <f t="shared" si="80"/>
        <v>3</v>
      </c>
      <c r="CH572" s="5">
        <f t="shared" si="81"/>
        <v>2</v>
      </c>
      <c r="CI572" s="5">
        <f t="shared" si="82"/>
        <v>1.1237441487148354</v>
      </c>
      <c r="CJ572" s="2">
        <f t="shared" si="83"/>
        <v>7930</v>
      </c>
      <c r="CK572" s="48"/>
    </row>
    <row r="573" spans="79:89" x14ac:dyDescent="0.25">
      <c r="CA573" s="2" t="s">
        <v>273</v>
      </c>
      <c r="CB573" s="43">
        <v>1.2700688000000004</v>
      </c>
      <c r="CC573" s="19">
        <v>25</v>
      </c>
      <c r="CD573" s="19">
        <v>50</v>
      </c>
      <c r="CE573" s="20" t="s">
        <v>66</v>
      </c>
      <c r="CF573" s="5">
        <v>150</v>
      </c>
      <c r="CG573" s="5">
        <f t="shared" si="80"/>
        <v>3.3000000000000003</v>
      </c>
      <c r="CH573" s="5">
        <f t="shared" si="81"/>
        <v>2.2000000000000002</v>
      </c>
      <c r="CI573" s="5">
        <f t="shared" si="82"/>
        <v>1.2288854199449508</v>
      </c>
      <c r="CJ573" s="2">
        <f t="shared" si="83"/>
        <v>7930</v>
      </c>
      <c r="CK573" s="48"/>
    </row>
    <row r="574" spans="79:89" x14ac:dyDescent="0.25">
      <c r="CA574" s="2" t="s">
        <v>274</v>
      </c>
      <c r="CB574" s="43">
        <v>1.3817232000000002</v>
      </c>
      <c r="CC574" s="19">
        <v>25</v>
      </c>
      <c r="CD574" s="19">
        <v>50</v>
      </c>
      <c r="CE574" s="20" t="s">
        <v>67</v>
      </c>
      <c r="CF574" s="5">
        <v>150</v>
      </c>
      <c r="CG574" s="5">
        <f t="shared" si="80"/>
        <v>3.5999999999999996</v>
      </c>
      <c r="CH574" s="5">
        <f t="shared" si="81"/>
        <v>2.4</v>
      </c>
      <c r="CI574" s="5">
        <f t="shared" si="82"/>
        <v>1.3327115741493627</v>
      </c>
      <c r="CJ574" s="2">
        <f t="shared" si="83"/>
        <v>7930</v>
      </c>
      <c r="CK574" s="48"/>
    </row>
    <row r="575" spans="79:89" x14ac:dyDescent="0.25">
      <c r="CA575" s="2" t="s">
        <v>275</v>
      </c>
      <c r="CB575" s="43">
        <v>1.6031288000000006</v>
      </c>
      <c r="CC575" s="19">
        <v>25</v>
      </c>
      <c r="CD575" s="19">
        <v>50</v>
      </c>
      <c r="CE575" s="20" t="s">
        <v>68</v>
      </c>
      <c r="CF575" s="5">
        <v>150</v>
      </c>
      <c r="CG575" s="5">
        <f t="shared" si="80"/>
        <v>4.1999999999999993</v>
      </c>
      <c r="CH575" s="5">
        <f t="shared" si="81"/>
        <v>2.8</v>
      </c>
      <c r="CI575" s="5">
        <f t="shared" si="82"/>
        <v>1.5364185314810772</v>
      </c>
      <c r="CJ575" s="2">
        <f t="shared" si="83"/>
        <v>7930</v>
      </c>
      <c r="CK575" s="48"/>
    </row>
    <row r="576" spans="79:89" x14ac:dyDescent="0.25">
      <c r="CA576" s="2" t="s">
        <v>276</v>
      </c>
      <c r="CB576" s="43">
        <v>1.71288</v>
      </c>
      <c r="CC576" s="19">
        <v>25</v>
      </c>
      <c r="CD576" s="19">
        <v>50</v>
      </c>
      <c r="CE576" s="20" t="s">
        <v>69</v>
      </c>
      <c r="CF576" s="5">
        <v>150</v>
      </c>
      <c r="CG576" s="5">
        <f t="shared" si="80"/>
        <v>4.5</v>
      </c>
      <c r="CH576" s="5">
        <f t="shared" si="81"/>
        <v>3</v>
      </c>
      <c r="CI576" s="5">
        <f t="shared" si="82"/>
        <v>1.6362993346083792</v>
      </c>
      <c r="CJ576" s="2">
        <f t="shared" si="83"/>
        <v>7930</v>
      </c>
      <c r="CK576" s="48"/>
    </row>
    <row r="577" spans="79:89" x14ac:dyDescent="0.25">
      <c r="CA577" s="2" t="s">
        <v>277</v>
      </c>
      <c r="CB577" s="43">
        <v>1.8219967999999997</v>
      </c>
      <c r="CC577" s="19">
        <v>25</v>
      </c>
      <c r="CD577" s="19">
        <v>50</v>
      </c>
      <c r="CE577" s="20" t="s">
        <v>70</v>
      </c>
      <c r="CF577" s="5">
        <v>150</v>
      </c>
      <c r="CG577" s="5">
        <f t="shared" si="80"/>
        <v>4.8000000000000007</v>
      </c>
      <c r="CH577" s="5">
        <f t="shared" si="81"/>
        <v>3.2</v>
      </c>
      <c r="CI577" s="5">
        <f t="shared" si="82"/>
        <v>1.7348650207099785</v>
      </c>
      <c r="CJ577" s="2">
        <f t="shared" si="83"/>
        <v>7930</v>
      </c>
      <c r="CK577" s="48"/>
    </row>
    <row r="578" spans="79:89" x14ac:dyDescent="0.25">
      <c r="CA578" s="2" t="s">
        <v>278</v>
      </c>
      <c r="CB578" s="43">
        <v>1.9304791999999995</v>
      </c>
      <c r="CC578" s="19">
        <v>25</v>
      </c>
      <c r="CD578" s="19">
        <v>50</v>
      </c>
      <c r="CE578" s="20" t="s">
        <v>71</v>
      </c>
      <c r="CF578" s="5">
        <v>150</v>
      </c>
      <c r="CG578" s="5">
        <f t="shared" si="80"/>
        <v>5.0999999999999996</v>
      </c>
      <c r="CH578" s="5">
        <f t="shared" si="81"/>
        <v>3.4</v>
      </c>
      <c r="CI578" s="5">
        <f t="shared" si="82"/>
        <v>1.8321155897858739</v>
      </c>
      <c r="CJ578" s="2">
        <f t="shared" si="83"/>
        <v>7930</v>
      </c>
      <c r="CK578" s="48"/>
    </row>
    <row r="579" spans="79:89" x14ac:dyDescent="0.25">
      <c r="CA579" s="2" t="s">
        <v>279</v>
      </c>
      <c r="CB579" s="43">
        <v>2.0383272000000003</v>
      </c>
      <c r="CC579" s="19">
        <v>25</v>
      </c>
      <c r="CD579" s="19">
        <v>50</v>
      </c>
      <c r="CE579" s="20" t="s">
        <v>72</v>
      </c>
      <c r="CF579" s="5">
        <v>150</v>
      </c>
      <c r="CG579" s="5">
        <f t="shared" si="80"/>
        <v>5.4</v>
      </c>
      <c r="CH579" s="5">
        <f t="shared" si="81"/>
        <v>3.6</v>
      </c>
      <c r="CI579" s="5">
        <f t="shared" si="82"/>
        <v>1.9280510418360663</v>
      </c>
      <c r="CJ579" s="2">
        <f t="shared" si="83"/>
        <v>7930</v>
      </c>
      <c r="CK579" s="48"/>
    </row>
    <row r="580" spans="79:89" x14ac:dyDescent="0.25">
      <c r="CA580" s="2" t="s">
        <v>280</v>
      </c>
      <c r="CB580" s="43">
        <v>2.1455407999999996</v>
      </c>
      <c r="CC580" s="19">
        <v>25</v>
      </c>
      <c r="CD580" s="19">
        <v>50</v>
      </c>
      <c r="CE580" s="20" t="s">
        <v>73</v>
      </c>
      <c r="CF580" s="5">
        <v>150</v>
      </c>
      <c r="CG580" s="5">
        <f t="shared" ref="CG580:CG643" si="84">IF(CE580&lt;=6,2,IF(CE580&lt;=10,2.5,3))*CE580</f>
        <v>5.6999999999999993</v>
      </c>
      <c r="CH580" s="5">
        <f t="shared" ref="CH580:CH643" si="85">IF(CE580&lt;=6,1,IF(CE580&lt;=10,1.5,2))*CE580</f>
        <v>3.8</v>
      </c>
      <c r="CI580" s="5">
        <f t="shared" ref="CI580:CI643" si="86">(2*CE580*(CC580+CD580-2*CE580)-(4-PI())*(CG580^2-CH580^2))/1000000*CJ580</f>
        <v>2.0226713768605555</v>
      </c>
      <c r="CJ580" s="2">
        <f t="shared" ref="CJ580:CJ643" si="87">IF(LEFT(CA580,4)="Inox",7930,7850)</f>
        <v>7930</v>
      </c>
      <c r="CK580" s="48"/>
    </row>
    <row r="581" spans="79:89" x14ac:dyDescent="0.25">
      <c r="CA581" s="2" t="s">
        <v>281</v>
      </c>
      <c r="CB581" s="43">
        <v>2.2521199999999997</v>
      </c>
      <c r="CC581" s="19">
        <v>25</v>
      </c>
      <c r="CD581" s="19">
        <v>50</v>
      </c>
      <c r="CE581" s="20" t="s">
        <v>74</v>
      </c>
      <c r="CF581" s="5">
        <v>150</v>
      </c>
      <c r="CG581" s="5">
        <f t="shared" si="84"/>
        <v>6</v>
      </c>
      <c r="CH581" s="5">
        <f t="shared" si="85"/>
        <v>4</v>
      </c>
      <c r="CI581" s="5">
        <f t="shared" si="86"/>
        <v>2.1159765948593412</v>
      </c>
      <c r="CJ581" s="2">
        <f t="shared" si="87"/>
        <v>7930</v>
      </c>
      <c r="CK581" s="48"/>
    </row>
    <row r="582" spans="79:89" x14ac:dyDescent="0.25">
      <c r="CA582" s="2" t="s">
        <v>282</v>
      </c>
      <c r="CB582" s="43">
        <v>2.3580647999999997</v>
      </c>
      <c r="CC582" s="19">
        <v>25</v>
      </c>
      <c r="CD582" s="19">
        <v>50</v>
      </c>
      <c r="CE582" s="20" t="s">
        <v>75</v>
      </c>
      <c r="CF582" s="5">
        <v>150</v>
      </c>
      <c r="CG582" s="5">
        <f t="shared" si="84"/>
        <v>6.3000000000000007</v>
      </c>
      <c r="CH582" s="5">
        <f t="shared" si="85"/>
        <v>4.2</v>
      </c>
      <c r="CI582" s="5">
        <f t="shared" si="86"/>
        <v>2.2079666958324236</v>
      </c>
      <c r="CJ582" s="2">
        <f t="shared" si="87"/>
        <v>7930</v>
      </c>
      <c r="CK582" s="48"/>
    </row>
    <row r="583" spans="79:89" x14ac:dyDescent="0.25">
      <c r="CA583" s="2" t="s">
        <v>283</v>
      </c>
      <c r="CB583" s="43">
        <v>2.4633751999999989</v>
      </c>
      <c r="CC583" s="19">
        <v>25</v>
      </c>
      <c r="CD583" s="19">
        <v>50</v>
      </c>
      <c r="CE583" s="20" t="s">
        <v>76</v>
      </c>
      <c r="CF583" s="5">
        <v>150</v>
      </c>
      <c r="CG583" s="5">
        <f t="shared" si="84"/>
        <v>6.6000000000000005</v>
      </c>
      <c r="CH583" s="5">
        <f t="shared" si="85"/>
        <v>4.4000000000000004</v>
      </c>
      <c r="CI583" s="5">
        <f t="shared" si="86"/>
        <v>2.2986416797798026</v>
      </c>
      <c r="CJ583" s="2">
        <f t="shared" si="87"/>
        <v>7930</v>
      </c>
      <c r="CK583" s="48"/>
    </row>
    <row r="584" spans="79:89" x14ac:dyDescent="0.25">
      <c r="CA584" s="2" t="s">
        <v>284</v>
      </c>
      <c r="CB584" s="43">
        <v>2.5680512000000011</v>
      </c>
      <c r="CC584" s="19">
        <v>25</v>
      </c>
      <c r="CD584" s="19">
        <v>50</v>
      </c>
      <c r="CE584" s="20" t="s">
        <v>77</v>
      </c>
      <c r="CF584" s="5">
        <v>150</v>
      </c>
      <c r="CG584" s="5">
        <f t="shared" si="84"/>
        <v>6.8999999999999995</v>
      </c>
      <c r="CH584" s="5">
        <f t="shared" si="85"/>
        <v>4.5999999999999996</v>
      </c>
      <c r="CI584" s="5">
        <f t="shared" si="86"/>
        <v>2.3880015467014784</v>
      </c>
      <c r="CJ584" s="2">
        <f t="shared" si="87"/>
        <v>7930</v>
      </c>
      <c r="CK584" s="48"/>
    </row>
    <row r="585" spans="79:89" x14ac:dyDescent="0.25">
      <c r="CA585" s="2" t="s">
        <v>285</v>
      </c>
      <c r="CB585" s="43">
        <v>2.6720927999999993</v>
      </c>
      <c r="CC585" s="19">
        <v>25</v>
      </c>
      <c r="CD585" s="19">
        <v>50</v>
      </c>
      <c r="CE585" s="20" t="s">
        <v>78</v>
      </c>
      <c r="CF585" s="5">
        <v>150</v>
      </c>
      <c r="CG585" s="5">
        <f t="shared" si="84"/>
        <v>7.1999999999999993</v>
      </c>
      <c r="CH585" s="5">
        <f t="shared" si="85"/>
        <v>4.8</v>
      </c>
      <c r="CI585" s="5">
        <f t="shared" si="86"/>
        <v>2.4760462965974512</v>
      </c>
      <c r="CJ585" s="2">
        <f t="shared" si="87"/>
        <v>7930</v>
      </c>
      <c r="CK585" s="48"/>
    </row>
    <row r="586" spans="79:89" x14ac:dyDescent="0.25">
      <c r="CA586" s="2" t="s">
        <v>286</v>
      </c>
      <c r="CB586" s="43">
        <v>2.7755000000000001</v>
      </c>
      <c r="CC586" s="19">
        <v>25</v>
      </c>
      <c r="CD586" s="19">
        <v>50</v>
      </c>
      <c r="CE586" s="20" t="s">
        <v>79</v>
      </c>
      <c r="CF586" s="5">
        <v>150</v>
      </c>
      <c r="CG586" s="5">
        <f t="shared" si="84"/>
        <v>7.5</v>
      </c>
      <c r="CH586" s="5">
        <f t="shared" si="85"/>
        <v>5</v>
      </c>
      <c r="CI586" s="5">
        <f t="shared" si="86"/>
        <v>2.5627759294677204</v>
      </c>
      <c r="CJ586" s="2">
        <f t="shared" si="87"/>
        <v>7930</v>
      </c>
      <c r="CK586" s="48"/>
    </row>
    <row r="587" spans="79:89" x14ac:dyDescent="0.25">
      <c r="CA587" s="2" t="s">
        <v>287</v>
      </c>
      <c r="CB587" s="43">
        <v>2.9804111999999994</v>
      </c>
      <c r="CC587" s="19">
        <v>25</v>
      </c>
      <c r="CD587" s="19">
        <v>50</v>
      </c>
      <c r="CE587" s="20" t="s">
        <v>80</v>
      </c>
      <c r="CF587" s="5">
        <v>150</v>
      </c>
      <c r="CG587" s="5">
        <f t="shared" si="84"/>
        <v>8.1000000000000014</v>
      </c>
      <c r="CH587" s="5">
        <f t="shared" si="85"/>
        <v>5.4</v>
      </c>
      <c r="CI587" s="5">
        <f t="shared" si="86"/>
        <v>2.7322898441311492</v>
      </c>
      <c r="CJ587" s="2">
        <f t="shared" si="87"/>
        <v>7930</v>
      </c>
      <c r="CK587" s="48"/>
    </row>
    <row r="588" spans="79:89" x14ac:dyDescent="0.25">
      <c r="CA588" s="2" t="s">
        <v>288</v>
      </c>
      <c r="CB588" s="43">
        <v>3.081915200000001</v>
      </c>
      <c r="CC588" s="19">
        <v>25</v>
      </c>
      <c r="CD588" s="19">
        <v>50</v>
      </c>
      <c r="CE588" s="20" t="s">
        <v>81</v>
      </c>
      <c r="CF588" s="5">
        <v>150</v>
      </c>
      <c r="CG588" s="5">
        <f t="shared" si="84"/>
        <v>8.3999999999999986</v>
      </c>
      <c r="CH588" s="5">
        <f t="shared" si="85"/>
        <v>5.6</v>
      </c>
      <c r="CI588" s="5">
        <f t="shared" si="86"/>
        <v>2.8150741259243088</v>
      </c>
      <c r="CJ588" s="2">
        <f t="shared" si="87"/>
        <v>7930</v>
      </c>
      <c r="CK588" s="48"/>
    </row>
    <row r="589" spans="79:89" x14ac:dyDescent="0.25">
      <c r="CA589" s="2" t="s">
        <v>289</v>
      </c>
      <c r="CB589" s="43">
        <v>3.1827848000000003</v>
      </c>
      <c r="CC589" s="19">
        <v>25</v>
      </c>
      <c r="CD589" s="19">
        <v>50</v>
      </c>
      <c r="CE589" s="20" t="s">
        <v>82</v>
      </c>
      <c r="CF589" s="5">
        <v>150</v>
      </c>
      <c r="CG589" s="5">
        <f t="shared" si="84"/>
        <v>8.6999999999999993</v>
      </c>
      <c r="CH589" s="5">
        <f t="shared" si="85"/>
        <v>5.8</v>
      </c>
      <c r="CI589" s="5">
        <f t="shared" si="86"/>
        <v>2.8965432906917652</v>
      </c>
      <c r="CJ589" s="2">
        <f t="shared" si="87"/>
        <v>7930</v>
      </c>
      <c r="CK589" s="48"/>
    </row>
    <row r="590" spans="79:89" x14ac:dyDescent="0.25">
      <c r="CA590" s="2" t="s">
        <v>290</v>
      </c>
      <c r="CB590" s="43">
        <v>3.28302</v>
      </c>
      <c r="CC590" s="19">
        <v>25</v>
      </c>
      <c r="CD590" s="19">
        <v>50</v>
      </c>
      <c r="CE590" s="20" t="s">
        <v>83</v>
      </c>
      <c r="CF590" s="5">
        <v>150</v>
      </c>
      <c r="CG590" s="5">
        <f t="shared" si="84"/>
        <v>9</v>
      </c>
      <c r="CH590" s="5">
        <f t="shared" si="85"/>
        <v>6</v>
      </c>
      <c r="CI590" s="5">
        <f t="shared" si="86"/>
        <v>2.9766973384335178</v>
      </c>
      <c r="CJ590" s="2">
        <f t="shared" si="87"/>
        <v>7930</v>
      </c>
      <c r="CK590" s="48"/>
    </row>
    <row r="591" spans="79:89" x14ac:dyDescent="0.25">
      <c r="CA591" s="2" t="s">
        <v>291</v>
      </c>
      <c r="CB591" s="43">
        <v>1.1216192000000005</v>
      </c>
      <c r="CC591" s="19">
        <v>30</v>
      </c>
      <c r="CD591" s="19">
        <v>60</v>
      </c>
      <c r="CE591" s="20" t="s">
        <v>63</v>
      </c>
      <c r="CF591" s="5">
        <v>180</v>
      </c>
      <c r="CG591" s="5">
        <f t="shared" si="84"/>
        <v>2.4000000000000004</v>
      </c>
      <c r="CH591" s="5">
        <f t="shared" si="85"/>
        <v>1.6</v>
      </c>
      <c r="CI591" s="5">
        <f t="shared" si="86"/>
        <v>1.0998362551774947</v>
      </c>
      <c r="CJ591" s="2">
        <f t="shared" si="87"/>
        <v>7930</v>
      </c>
      <c r="CK591" s="48"/>
    </row>
    <row r="592" spans="79:89" x14ac:dyDescent="0.25">
      <c r="CA592" s="2" t="s">
        <v>292</v>
      </c>
      <c r="CB592" s="43">
        <v>1.2589667999999998</v>
      </c>
      <c r="CC592" s="19">
        <v>30</v>
      </c>
      <c r="CD592" s="19">
        <v>60</v>
      </c>
      <c r="CE592" s="20" t="s">
        <v>64</v>
      </c>
      <c r="CF592" s="5">
        <v>180</v>
      </c>
      <c r="CG592" s="5">
        <f t="shared" si="84"/>
        <v>2.7</v>
      </c>
      <c r="CH592" s="5">
        <f t="shared" si="85"/>
        <v>1.8</v>
      </c>
      <c r="CI592" s="5">
        <f t="shared" si="86"/>
        <v>1.2313977604590167</v>
      </c>
      <c r="CJ592" s="2">
        <f t="shared" si="87"/>
        <v>7930</v>
      </c>
      <c r="CK592" s="48"/>
    </row>
    <row r="593" spans="79:89" x14ac:dyDescent="0.25">
      <c r="CA593" s="2" t="s">
        <v>293</v>
      </c>
      <c r="CB593" s="43">
        <v>1.39568</v>
      </c>
      <c r="CC593" s="19">
        <v>30</v>
      </c>
      <c r="CD593" s="19">
        <v>60</v>
      </c>
      <c r="CE593" s="20" t="s">
        <v>65</v>
      </c>
      <c r="CF593" s="5">
        <v>180</v>
      </c>
      <c r="CG593" s="5">
        <f t="shared" si="84"/>
        <v>3</v>
      </c>
      <c r="CH593" s="5">
        <f t="shared" si="85"/>
        <v>2</v>
      </c>
      <c r="CI593" s="5">
        <f t="shared" si="86"/>
        <v>1.3616441487148354</v>
      </c>
      <c r="CJ593" s="2">
        <f t="shared" si="87"/>
        <v>7930</v>
      </c>
      <c r="CK593" s="48"/>
    </row>
    <row r="594" spans="79:89" x14ac:dyDescent="0.25">
      <c r="CA594" s="2" t="s">
        <v>294</v>
      </c>
      <c r="CB594" s="43">
        <v>1.5317588000000006</v>
      </c>
      <c r="CC594" s="19">
        <v>30</v>
      </c>
      <c r="CD594" s="19">
        <v>60</v>
      </c>
      <c r="CE594" s="20" t="s">
        <v>66</v>
      </c>
      <c r="CF594" s="5">
        <v>180</v>
      </c>
      <c r="CG594" s="5">
        <f t="shared" si="84"/>
        <v>3.3000000000000003</v>
      </c>
      <c r="CH594" s="5">
        <f t="shared" si="85"/>
        <v>2.2000000000000002</v>
      </c>
      <c r="CI594" s="5">
        <f t="shared" si="86"/>
        <v>1.4905754199449506</v>
      </c>
      <c r="CJ594" s="2">
        <f t="shared" si="87"/>
        <v>7930</v>
      </c>
      <c r="CK594" s="48"/>
    </row>
    <row r="595" spans="79:89" x14ac:dyDescent="0.25">
      <c r="CA595" s="2" t="s">
        <v>295</v>
      </c>
      <c r="CB595" s="43">
        <v>1.6672031999999983</v>
      </c>
      <c r="CC595" s="19">
        <v>30</v>
      </c>
      <c r="CD595" s="19">
        <v>60</v>
      </c>
      <c r="CE595" s="20" t="s">
        <v>67</v>
      </c>
      <c r="CF595" s="5">
        <v>180</v>
      </c>
      <c r="CG595" s="5">
        <f t="shared" si="84"/>
        <v>3.5999999999999996</v>
      </c>
      <c r="CH595" s="5">
        <f t="shared" si="85"/>
        <v>2.4</v>
      </c>
      <c r="CI595" s="5">
        <f t="shared" si="86"/>
        <v>1.6181915741493627</v>
      </c>
      <c r="CJ595" s="2">
        <f t="shared" si="87"/>
        <v>7930</v>
      </c>
      <c r="CK595" s="48"/>
    </row>
    <row r="596" spans="79:89" x14ac:dyDescent="0.25">
      <c r="CA596" s="2" t="s">
        <v>296</v>
      </c>
      <c r="CB596" s="43">
        <v>1.9361887999999987</v>
      </c>
      <c r="CC596" s="19">
        <v>30</v>
      </c>
      <c r="CD596" s="19">
        <v>60</v>
      </c>
      <c r="CE596" s="20" t="s">
        <v>68</v>
      </c>
      <c r="CF596" s="5">
        <v>180</v>
      </c>
      <c r="CG596" s="5">
        <f t="shared" si="84"/>
        <v>4.1999999999999993</v>
      </c>
      <c r="CH596" s="5">
        <f t="shared" si="85"/>
        <v>2.8</v>
      </c>
      <c r="CI596" s="5">
        <f t="shared" si="86"/>
        <v>1.8694785314810773</v>
      </c>
      <c r="CJ596" s="2">
        <f t="shared" si="87"/>
        <v>7930</v>
      </c>
      <c r="CK596" s="48"/>
    </row>
    <row r="597" spans="79:89" x14ac:dyDescent="0.25">
      <c r="CA597" s="2" t="s">
        <v>297</v>
      </c>
      <c r="CB597" s="43">
        <v>2.0697299999999998</v>
      </c>
      <c r="CC597" s="19">
        <v>30</v>
      </c>
      <c r="CD597" s="19">
        <v>60</v>
      </c>
      <c r="CE597" s="20" t="s">
        <v>69</v>
      </c>
      <c r="CF597" s="5">
        <v>180</v>
      </c>
      <c r="CG597" s="5">
        <f t="shared" si="84"/>
        <v>4.5</v>
      </c>
      <c r="CH597" s="5">
        <f t="shared" si="85"/>
        <v>3</v>
      </c>
      <c r="CI597" s="5">
        <f t="shared" si="86"/>
        <v>1.9931493346083793</v>
      </c>
      <c r="CJ597" s="2">
        <f t="shared" si="87"/>
        <v>7930</v>
      </c>
      <c r="CK597" s="48"/>
    </row>
    <row r="598" spans="79:89" x14ac:dyDescent="0.25">
      <c r="CA598" s="2" t="s">
        <v>298</v>
      </c>
      <c r="CB598" s="43">
        <v>2.2026368000000001</v>
      </c>
      <c r="CC598" s="19">
        <v>30</v>
      </c>
      <c r="CD598" s="19">
        <v>60</v>
      </c>
      <c r="CE598" s="20" t="s">
        <v>70</v>
      </c>
      <c r="CF598" s="5">
        <v>180</v>
      </c>
      <c r="CG598" s="5">
        <f t="shared" si="84"/>
        <v>4.8000000000000007</v>
      </c>
      <c r="CH598" s="5">
        <f t="shared" si="85"/>
        <v>3.2</v>
      </c>
      <c r="CI598" s="5">
        <f t="shared" si="86"/>
        <v>2.1155050207099784</v>
      </c>
      <c r="CJ598" s="2">
        <f t="shared" si="87"/>
        <v>7930</v>
      </c>
      <c r="CK598" s="48"/>
    </row>
    <row r="599" spans="79:89" x14ac:dyDescent="0.25">
      <c r="CA599" s="2" t="s">
        <v>299</v>
      </c>
      <c r="CB599" s="43">
        <v>2.3349091999999985</v>
      </c>
      <c r="CC599" s="19">
        <v>30</v>
      </c>
      <c r="CD599" s="19">
        <v>60</v>
      </c>
      <c r="CE599" s="20" t="s">
        <v>71</v>
      </c>
      <c r="CF599" s="5">
        <v>180</v>
      </c>
      <c r="CG599" s="5">
        <f t="shared" si="84"/>
        <v>5.0999999999999996</v>
      </c>
      <c r="CH599" s="5">
        <f t="shared" si="85"/>
        <v>3.4</v>
      </c>
      <c r="CI599" s="5">
        <f t="shared" si="86"/>
        <v>2.2365455897858744</v>
      </c>
      <c r="CJ599" s="2">
        <f t="shared" si="87"/>
        <v>7930</v>
      </c>
      <c r="CK599" s="48"/>
    </row>
    <row r="600" spans="79:89" x14ac:dyDescent="0.25">
      <c r="CA600" s="2" t="s">
        <v>300</v>
      </c>
      <c r="CB600" s="43">
        <v>2.4665472000000013</v>
      </c>
      <c r="CC600" s="19">
        <v>30</v>
      </c>
      <c r="CD600" s="19">
        <v>60</v>
      </c>
      <c r="CE600" s="20" t="s">
        <v>72</v>
      </c>
      <c r="CF600" s="5">
        <v>180</v>
      </c>
      <c r="CG600" s="5">
        <f t="shared" si="84"/>
        <v>5.4</v>
      </c>
      <c r="CH600" s="5">
        <f t="shared" si="85"/>
        <v>3.6</v>
      </c>
      <c r="CI600" s="5">
        <f t="shared" si="86"/>
        <v>2.3562710418360666</v>
      </c>
      <c r="CJ600" s="2">
        <f t="shared" si="87"/>
        <v>7930</v>
      </c>
      <c r="CK600" s="48"/>
    </row>
    <row r="601" spans="79:89" x14ac:dyDescent="0.25">
      <c r="CA601" s="2" t="s">
        <v>301</v>
      </c>
      <c r="CB601" s="43">
        <v>2.5975507999999992</v>
      </c>
      <c r="CC601" s="19">
        <v>30</v>
      </c>
      <c r="CD601" s="19">
        <v>60</v>
      </c>
      <c r="CE601" s="20" t="s">
        <v>73</v>
      </c>
      <c r="CF601" s="5">
        <v>180</v>
      </c>
      <c r="CG601" s="5">
        <f t="shared" si="84"/>
        <v>5.6999999999999993</v>
      </c>
      <c r="CH601" s="5">
        <f t="shared" si="85"/>
        <v>3.8</v>
      </c>
      <c r="CI601" s="5">
        <f t="shared" si="86"/>
        <v>2.4746813768605551</v>
      </c>
      <c r="CJ601" s="2">
        <f t="shared" si="87"/>
        <v>7930</v>
      </c>
      <c r="CK601" s="48"/>
    </row>
    <row r="602" spans="79:89" x14ac:dyDescent="0.25">
      <c r="CA602" s="2" t="s">
        <v>302</v>
      </c>
      <c r="CB602" s="43">
        <v>2.7279199999999997</v>
      </c>
      <c r="CC602" s="19">
        <v>30</v>
      </c>
      <c r="CD602" s="19">
        <v>60</v>
      </c>
      <c r="CE602" s="20" t="s">
        <v>74</v>
      </c>
      <c r="CF602" s="5">
        <v>180</v>
      </c>
      <c r="CG602" s="5">
        <f t="shared" si="84"/>
        <v>6</v>
      </c>
      <c r="CH602" s="5">
        <f t="shared" si="85"/>
        <v>4</v>
      </c>
      <c r="CI602" s="5">
        <f t="shared" si="86"/>
        <v>2.5917765948593412</v>
      </c>
      <c r="CJ602" s="2">
        <f t="shared" si="87"/>
        <v>7930</v>
      </c>
      <c r="CK602" s="48"/>
    </row>
    <row r="603" spans="79:89" x14ac:dyDescent="0.25">
      <c r="CA603" s="2" t="s">
        <v>303</v>
      </c>
      <c r="CB603" s="43">
        <v>2.857654800000001</v>
      </c>
      <c r="CC603" s="19">
        <v>30</v>
      </c>
      <c r="CD603" s="19">
        <v>60</v>
      </c>
      <c r="CE603" s="20" t="s">
        <v>75</v>
      </c>
      <c r="CF603" s="5">
        <v>180</v>
      </c>
      <c r="CG603" s="5">
        <f t="shared" si="84"/>
        <v>6.3000000000000007</v>
      </c>
      <c r="CH603" s="5">
        <f t="shared" si="85"/>
        <v>4.2</v>
      </c>
      <c r="CI603" s="5">
        <f t="shared" si="86"/>
        <v>2.7075566958324235</v>
      </c>
      <c r="CJ603" s="2">
        <f t="shared" si="87"/>
        <v>7930</v>
      </c>
      <c r="CK603" s="48"/>
    </row>
    <row r="604" spans="79:89" x14ac:dyDescent="0.25">
      <c r="CA604" s="2" t="s">
        <v>304</v>
      </c>
      <c r="CB604" s="43">
        <v>2.9867551999999988</v>
      </c>
      <c r="CC604" s="19">
        <v>30</v>
      </c>
      <c r="CD604" s="19">
        <v>60</v>
      </c>
      <c r="CE604" s="20" t="s">
        <v>76</v>
      </c>
      <c r="CF604" s="5">
        <v>180</v>
      </c>
      <c r="CG604" s="5">
        <f t="shared" si="84"/>
        <v>6.6000000000000005</v>
      </c>
      <c r="CH604" s="5">
        <f t="shared" si="85"/>
        <v>4.4000000000000004</v>
      </c>
      <c r="CI604" s="5">
        <f t="shared" si="86"/>
        <v>2.8220216797798026</v>
      </c>
      <c r="CJ604" s="2">
        <f t="shared" si="87"/>
        <v>7930</v>
      </c>
      <c r="CK604" s="48"/>
    </row>
    <row r="605" spans="79:89" x14ac:dyDescent="0.25">
      <c r="CA605" s="2" t="s">
        <v>305</v>
      </c>
      <c r="CB605" s="43">
        <v>3.115221200000001</v>
      </c>
      <c r="CC605" s="19">
        <v>30</v>
      </c>
      <c r="CD605" s="19">
        <v>60</v>
      </c>
      <c r="CE605" s="20" t="s">
        <v>77</v>
      </c>
      <c r="CF605" s="5">
        <v>180</v>
      </c>
      <c r="CG605" s="5">
        <f t="shared" si="84"/>
        <v>6.8999999999999995</v>
      </c>
      <c r="CH605" s="5">
        <f t="shared" si="85"/>
        <v>4.5999999999999996</v>
      </c>
      <c r="CI605" s="5">
        <f t="shared" si="86"/>
        <v>2.9351715467014783</v>
      </c>
      <c r="CJ605" s="2">
        <f t="shared" si="87"/>
        <v>7930</v>
      </c>
      <c r="CK605" s="48"/>
    </row>
    <row r="606" spans="79:89" x14ac:dyDescent="0.25">
      <c r="CA606" s="2" t="s">
        <v>306</v>
      </c>
      <c r="CB606" s="43">
        <v>3.2430528000000005</v>
      </c>
      <c r="CC606" s="19">
        <v>30</v>
      </c>
      <c r="CD606" s="19">
        <v>60</v>
      </c>
      <c r="CE606" s="20" t="s">
        <v>78</v>
      </c>
      <c r="CF606" s="5">
        <v>180</v>
      </c>
      <c r="CG606" s="5">
        <f t="shared" si="84"/>
        <v>7.1999999999999993</v>
      </c>
      <c r="CH606" s="5">
        <f t="shared" si="85"/>
        <v>4.8</v>
      </c>
      <c r="CI606" s="5">
        <f t="shared" si="86"/>
        <v>3.0470062965974511</v>
      </c>
      <c r="CJ606" s="2">
        <f t="shared" si="87"/>
        <v>7930</v>
      </c>
      <c r="CK606" s="48"/>
    </row>
    <row r="607" spans="79:89" x14ac:dyDescent="0.25">
      <c r="CA607" s="2" t="s">
        <v>307</v>
      </c>
      <c r="CB607" s="43">
        <v>3.37025</v>
      </c>
      <c r="CC607" s="19">
        <v>30</v>
      </c>
      <c r="CD607" s="19">
        <v>60</v>
      </c>
      <c r="CE607" s="20" t="s">
        <v>79</v>
      </c>
      <c r="CF607" s="5">
        <v>180</v>
      </c>
      <c r="CG607" s="5">
        <f t="shared" si="84"/>
        <v>7.5</v>
      </c>
      <c r="CH607" s="5">
        <f t="shared" si="85"/>
        <v>5</v>
      </c>
      <c r="CI607" s="5">
        <f t="shared" si="86"/>
        <v>3.1575259294677207</v>
      </c>
      <c r="CJ607" s="2">
        <f t="shared" si="87"/>
        <v>7930</v>
      </c>
      <c r="CK607" s="48"/>
    </row>
    <row r="608" spans="79:89" x14ac:dyDescent="0.25">
      <c r="CA608" s="2" t="s">
        <v>308</v>
      </c>
      <c r="CB608" s="43">
        <v>3.6227411999999992</v>
      </c>
      <c r="CC608" s="19">
        <v>30</v>
      </c>
      <c r="CD608" s="19">
        <v>60</v>
      </c>
      <c r="CE608" s="20" t="s">
        <v>80</v>
      </c>
      <c r="CF608" s="5">
        <v>180</v>
      </c>
      <c r="CG608" s="5">
        <f t="shared" si="84"/>
        <v>8.1000000000000014</v>
      </c>
      <c r="CH608" s="5">
        <f t="shared" si="85"/>
        <v>5.4</v>
      </c>
      <c r="CI608" s="5">
        <f t="shared" si="86"/>
        <v>3.374619844131149</v>
      </c>
      <c r="CJ608" s="2">
        <f t="shared" si="87"/>
        <v>7930</v>
      </c>
      <c r="CK608" s="48"/>
    </row>
    <row r="609" spans="79:89" x14ac:dyDescent="0.25">
      <c r="CA609" s="2" t="s">
        <v>309</v>
      </c>
      <c r="CB609" s="43">
        <v>3.7480352000000008</v>
      </c>
      <c r="CC609" s="19">
        <v>30</v>
      </c>
      <c r="CD609" s="19">
        <v>60</v>
      </c>
      <c r="CE609" s="20" t="s">
        <v>81</v>
      </c>
      <c r="CF609" s="5">
        <v>180</v>
      </c>
      <c r="CG609" s="5">
        <f t="shared" si="84"/>
        <v>8.3999999999999986</v>
      </c>
      <c r="CH609" s="5">
        <f t="shared" si="85"/>
        <v>5.6</v>
      </c>
      <c r="CI609" s="5">
        <f t="shared" si="86"/>
        <v>3.4811941259243087</v>
      </c>
      <c r="CJ609" s="2">
        <f t="shared" si="87"/>
        <v>7930</v>
      </c>
      <c r="CK609" s="48"/>
    </row>
    <row r="610" spans="79:89" x14ac:dyDescent="0.25">
      <c r="CA610" s="2" t="s">
        <v>310</v>
      </c>
      <c r="CB610" s="43">
        <v>3.8726947999999988</v>
      </c>
      <c r="CC610" s="19">
        <v>30</v>
      </c>
      <c r="CD610" s="19">
        <v>60</v>
      </c>
      <c r="CE610" s="20" t="s">
        <v>82</v>
      </c>
      <c r="CF610" s="5">
        <v>180</v>
      </c>
      <c r="CG610" s="5">
        <f t="shared" si="84"/>
        <v>8.6999999999999993</v>
      </c>
      <c r="CH610" s="5">
        <f t="shared" si="85"/>
        <v>5.8</v>
      </c>
      <c r="CI610" s="5">
        <f t="shared" si="86"/>
        <v>3.5864532906917654</v>
      </c>
      <c r="CJ610" s="2">
        <f t="shared" si="87"/>
        <v>7930</v>
      </c>
      <c r="CK610" s="48"/>
    </row>
    <row r="611" spans="79:89" x14ac:dyDescent="0.25">
      <c r="CA611" s="2" t="s">
        <v>311</v>
      </c>
      <c r="CB611" s="43">
        <v>3.9967199999999998</v>
      </c>
      <c r="CC611" s="19">
        <v>30</v>
      </c>
      <c r="CD611" s="19">
        <v>60</v>
      </c>
      <c r="CE611" s="20" t="s">
        <v>83</v>
      </c>
      <c r="CF611" s="5">
        <v>180</v>
      </c>
      <c r="CG611" s="5">
        <f t="shared" si="84"/>
        <v>9</v>
      </c>
      <c r="CH611" s="5">
        <f t="shared" si="85"/>
        <v>6</v>
      </c>
      <c r="CI611" s="5">
        <f t="shared" si="86"/>
        <v>3.6903973384335171</v>
      </c>
      <c r="CJ611" s="2">
        <f t="shared" si="87"/>
        <v>7930</v>
      </c>
      <c r="CK611" s="48"/>
    </row>
    <row r="612" spans="79:89" x14ac:dyDescent="0.25">
      <c r="CA612" s="2" t="s">
        <v>312</v>
      </c>
      <c r="CB612" s="43">
        <v>4.1201108</v>
      </c>
      <c r="CC612" s="19">
        <v>30</v>
      </c>
      <c r="CD612" s="19">
        <v>60</v>
      </c>
      <c r="CE612" s="20" t="s">
        <v>84</v>
      </c>
      <c r="CF612" s="5">
        <v>180</v>
      </c>
      <c r="CG612" s="5">
        <f t="shared" si="84"/>
        <v>9.3000000000000007</v>
      </c>
      <c r="CH612" s="5">
        <f t="shared" si="85"/>
        <v>6.2</v>
      </c>
      <c r="CI612" s="5">
        <f t="shared" si="86"/>
        <v>3.7930262691495669</v>
      </c>
      <c r="CJ612" s="2">
        <f t="shared" si="87"/>
        <v>7930</v>
      </c>
      <c r="CK612" s="48"/>
    </row>
    <row r="613" spans="79:89" x14ac:dyDescent="0.25">
      <c r="CA613" s="2" t="s">
        <v>313</v>
      </c>
      <c r="CB613" s="43">
        <v>0.99473920000000038</v>
      </c>
      <c r="CC613" s="19">
        <v>30</v>
      </c>
      <c r="CD613" s="19">
        <v>50</v>
      </c>
      <c r="CE613" s="20" t="s">
        <v>63</v>
      </c>
      <c r="CF613" s="5">
        <v>160</v>
      </c>
      <c r="CG613" s="5">
        <f t="shared" si="84"/>
        <v>2.4000000000000004</v>
      </c>
      <c r="CH613" s="5">
        <f t="shared" si="85"/>
        <v>1.6</v>
      </c>
      <c r="CI613" s="5">
        <f t="shared" si="86"/>
        <v>0.97295625517749473</v>
      </c>
      <c r="CJ613" s="2">
        <f t="shared" si="87"/>
        <v>7930</v>
      </c>
      <c r="CK613" s="48"/>
    </row>
    <row r="614" spans="79:89" x14ac:dyDescent="0.25">
      <c r="CA614" s="2" t="s">
        <v>314</v>
      </c>
      <c r="CB614" s="43">
        <v>1.1162267999999997</v>
      </c>
      <c r="CC614" s="19">
        <v>30</v>
      </c>
      <c r="CD614" s="19">
        <v>50</v>
      </c>
      <c r="CE614" s="20" t="s">
        <v>64</v>
      </c>
      <c r="CF614" s="5">
        <v>160</v>
      </c>
      <c r="CG614" s="5">
        <f t="shared" si="84"/>
        <v>2.7</v>
      </c>
      <c r="CH614" s="5">
        <f t="shared" si="85"/>
        <v>1.8</v>
      </c>
      <c r="CI614" s="5">
        <f t="shared" si="86"/>
        <v>1.0886577604590166</v>
      </c>
      <c r="CJ614" s="2">
        <f t="shared" si="87"/>
        <v>7930</v>
      </c>
      <c r="CK614" s="48"/>
    </row>
    <row r="615" spans="79:89" x14ac:dyDescent="0.25">
      <c r="CA615" s="2" t="s">
        <v>315</v>
      </c>
      <c r="CB615" s="43">
        <v>1.23708</v>
      </c>
      <c r="CC615" s="19">
        <v>30</v>
      </c>
      <c r="CD615" s="19">
        <v>50</v>
      </c>
      <c r="CE615" s="20" t="s">
        <v>65</v>
      </c>
      <c r="CF615" s="5">
        <v>160</v>
      </c>
      <c r="CG615" s="5">
        <f t="shared" si="84"/>
        <v>3</v>
      </c>
      <c r="CH615" s="5">
        <f t="shared" si="85"/>
        <v>2</v>
      </c>
      <c r="CI615" s="5">
        <f t="shared" si="86"/>
        <v>1.2030441487148353</v>
      </c>
      <c r="CJ615" s="2">
        <f t="shared" si="87"/>
        <v>7930</v>
      </c>
      <c r="CK615" s="48"/>
    </row>
    <row r="616" spans="79:89" x14ac:dyDescent="0.25">
      <c r="CA616" s="2" t="s">
        <v>316</v>
      </c>
      <c r="CB616" s="43">
        <v>1.3572988000000006</v>
      </c>
      <c r="CC616" s="19">
        <v>30</v>
      </c>
      <c r="CD616" s="19">
        <v>50</v>
      </c>
      <c r="CE616" s="20" t="s">
        <v>66</v>
      </c>
      <c r="CF616" s="5">
        <v>160</v>
      </c>
      <c r="CG616" s="5">
        <f t="shared" si="84"/>
        <v>3.3000000000000003</v>
      </c>
      <c r="CH616" s="5">
        <f t="shared" si="85"/>
        <v>2.2000000000000002</v>
      </c>
      <c r="CI616" s="5">
        <f t="shared" si="86"/>
        <v>1.3161154199449507</v>
      </c>
      <c r="CJ616" s="2">
        <f t="shared" si="87"/>
        <v>7930</v>
      </c>
      <c r="CK616" s="48"/>
    </row>
    <row r="617" spans="79:89" x14ac:dyDescent="0.25">
      <c r="CA617" s="2" t="s">
        <v>317</v>
      </c>
      <c r="CB617" s="43">
        <v>1.4768831999999981</v>
      </c>
      <c r="CC617" s="19">
        <v>30</v>
      </c>
      <c r="CD617" s="19">
        <v>50</v>
      </c>
      <c r="CE617" s="20" t="s">
        <v>67</v>
      </c>
      <c r="CF617" s="5">
        <v>160</v>
      </c>
      <c r="CG617" s="5">
        <f t="shared" si="84"/>
        <v>3.5999999999999996</v>
      </c>
      <c r="CH617" s="5">
        <f t="shared" si="85"/>
        <v>2.4</v>
      </c>
      <c r="CI617" s="5">
        <f t="shared" si="86"/>
        <v>1.4278715741493628</v>
      </c>
      <c r="CJ617" s="2">
        <f t="shared" si="87"/>
        <v>7930</v>
      </c>
      <c r="CK617" s="48"/>
    </row>
    <row r="618" spans="79:89" x14ac:dyDescent="0.25">
      <c r="CA618" s="2" t="s">
        <v>318</v>
      </c>
      <c r="CB618" s="43">
        <v>1.7141487999999989</v>
      </c>
      <c r="CC618" s="19">
        <v>30</v>
      </c>
      <c r="CD618" s="19">
        <v>50</v>
      </c>
      <c r="CE618" s="20" t="s">
        <v>68</v>
      </c>
      <c r="CF618" s="5">
        <v>160</v>
      </c>
      <c r="CG618" s="5">
        <f t="shared" si="84"/>
        <v>4.1999999999999993</v>
      </c>
      <c r="CH618" s="5">
        <f t="shared" si="85"/>
        <v>2.8</v>
      </c>
      <c r="CI618" s="5">
        <f t="shared" si="86"/>
        <v>1.6474385314810773</v>
      </c>
      <c r="CJ618" s="2">
        <f t="shared" si="87"/>
        <v>7930</v>
      </c>
      <c r="CK618" s="48"/>
    </row>
    <row r="619" spans="79:89" x14ac:dyDescent="0.25">
      <c r="CA619" s="2" t="s">
        <v>319</v>
      </c>
      <c r="CB619" s="43">
        <v>1.8318299999999998</v>
      </c>
      <c r="CC619" s="19">
        <v>30</v>
      </c>
      <c r="CD619" s="19">
        <v>50</v>
      </c>
      <c r="CE619" s="20" t="s">
        <v>69</v>
      </c>
      <c r="CF619" s="5">
        <v>160</v>
      </c>
      <c r="CG619" s="5">
        <f t="shared" si="84"/>
        <v>4.5</v>
      </c>
      <c r="CH619" s="5">
        <f t="shared" si="85"/>
        <v>3</v>
      </c>
      <c r="CI619" s="5">
        <f t="shared" si="86"/>
        <v>1.7552493346083793</v>
      </c>
      <c r="CJ619" s="2">
        <f t="shared" si="87"/>
        <v>7930</v>
      </c>
      <c r="CK619" s="48"/>
    </row>
    <row r="620" spans="79:89" x14ac:dyDescent="0.25">
      <c r="CA620" s="2" t="s">
        <v>320</v>
      </c>
      <c r="CB620" s="43">
        <v>1.9488767999999999</v>
      </c>
      <c r="CC620" s="19">
        <v>30</v>
      </c>
      <c r="CD620" s="19">
        <v>50</v>
      </c>
      <c r="CE620" s="20" t="s">
        <v>70</v>
      </c>
      <c r="CF620" s="5">
        <v>160</v>
      </c>
      <c r="CG620" s="5">
        <f t="shared" si="84"/>
        <v>4.8000000000000007</v>
      </c>
      <c r="CH620" s="5">
        <f t="shared" si="85"/>
        <v>3.2</v>
      </c>
      <c r="CI620" s="5">
        <f t="shared" si="86"/>
        <v>1.8617450207099784</v>
      </c>
      <c r="CJ620" s="2">
        <f t="shared" si="87"/>
        <v>7930</v>
      </c>
      <c r="CK620" s="48"/>
    </row>
    <row r="621" spans="79:89" x14ac:dyDescent="0.25">
      <c r="CA621" s="2" t="s">
        <v>321</v>
      </c>
      <c r="CB621" s="43">
        <v>2.0652891999999983</v>
      </c>
      <c r="CC621" s="19">
        <v>30</v>
      </c>
      <c r="CD621" s="19">
        <v>50</v>
      </c>
      <c r="CE621" s="20" t="s">
        <v>71</v>
      </c>
      <c r="CF621" s="5">
        <v>160</v>
      </c>
      <c r="CG621" s="5">
        <f t="shared" si="84"/>
        <v>5.0999999999999996</v>
      </c>
      <c r="CH621" s="5">
        <f t="shared" si="85"/>
        <v>3.4</v>
      </c>
      <c r="CI621" s="5">
        <f t="shared" si="86"/>
        <v>1.966925589785874</v>
      </c>
      <c r="CJ621" s="2">
        <f t="shared" si="87"/>
        <v>7930</v>
      </c>
      <c r="CK621" s="48"/>
    </row>
    <row r="622" spans="79:89" x14ac:dyDescent="0.25">
      <c r="CA622" s="2" t="s">
        <v>322</v>
      </c>
      <c r="CB622" s="43">
        <v>2.1810672000000011</v>
      </c>
      <c r="CC622" s="19">
        <v>30</v>
      </c>
      <c r="CD622" s="19">
        <v>50</v>
      </c>
      <c r="CE622" s="20" t="s">
        <v>72</v>
      </c>
      <c r="CF622" s="5">
        <v>160</v>
      </c>
      <c r="CG622" s="5">
        <f t="shared" si="84"/>
        <v>5.4</v>
      </c>
      <c r="CH622" s="5">
        <f t="shared" si="85"/>
        <v>3.6</v>
      </c>
      <c r="CI622" s="5">
        <f t="shared" si="86"/>
        <v>2.0707910418360669</v>
      </c>
      <c r="CJ622" s="2">
        <f t="shared" si="87"/>
        <v>7930</v>
      </c>
      <c r="CK622" s="48"/>
    </row>
    <row r="623" spans="79:89" x14ac:dyDescent="0.25">
      <c r="CA623" s="2" t="s">
        <v>323</v>
      </c>
      <c r="CB623" s="43">
        <v>2.2962107999999999</v>
      </c>
      <c r="CC623" s="19">
        <v>30</v>
      </c>
      <c r="CD623" s="19">
        <v>50</v>
      </c>
      <c r="CE623" s="20" t="s">
        <v>73</v>
      </c>
      <c r="CF623" s="5">
        <v>160</v>
      </c>
      <c r="CG623" s="5">
        <f t="shared" si="84"/>
        <v>5.6999999999999993</v>
      </c>
      <c r="CH623" s="5">
        <f t="shared" si="85"/>
        <v>3.8</v>
      </c>
      <c r="CI623" s="5">
        <f t="shared" si="86"/>
        <v>2.173341376860555</v>
      </c>
      <c r="CJ623" s="2">
        <f t="shared" si="87"/>
        <v>7930</v>
      </c>
      <c r="CK623" s="48"/>
    </row>
    <row r="624" spans="79:89" x14ac:dyDescent="0.25">
      <c r="CA624" s="2" t="s">
        <v>324</v>
      </c>
      <c r="CB624" s="43">
        <v>2.4107199999999995</v>
      </c>
      <c r="CC624" s="19">
        <v>30</v>
      </c>
      <c r="CD624" s="19">
        <v>50</v>
      </c>
      <c r="CE624" s="20" t="s">
        <v>74</v>
      </c>
      <c r="CF624" s="5">
        <v>160</v>
      </c>
      <c r="CG624" s="5">
        <f t="shared" si="84"/>
        <v>6</v>
      </c>
      <c r="CH624" s="5">
        <f t="shared" si="85"/>
        <v>4</v>
      </c>
      <c r="CI624" s="5">
        <f t="shared" si="86"/>
        <v>2.274576594859341</v>
      </c>
      <c r="CJ624" s="2">
        <f t="shared" si="87"/>
        <v>7930</v>
      </c>
      <c r="CK624" s="48"/>
    </row>
    <row r="625" spans="79:89" x14ac:dyDescent="0.25">
      <c r="CA625" s="2" t="s">
        <v>325</v>
      </c>
      <c r="CB625" s="43">
        <v>2.5245948000000009</v>
      </c>
      <c r="CC625" s="19">
        <v>30</v>
      </c>
      <c r="CD625" s="19">
        <v>50</v>
      </c>
      <c r="CE625" s="20" t="s">
        <v>75</v>
      </c>
      <c r="CF625" s="5">
        <v>160</v>
      </c>
      <c r="CG625" s="5">
        <f t="shared" si="84"/>
        <v>6.3000000000000007</v>
      </c>
      <c r="CH625" s="5">
        <f t="shared" si="85"/>
        <v>4.2</v>
      </c>
      <c r="CI625" s="5">
        <f t="shared" si="86"/>
        <v>2.3744966958324238</v>
      </c>
      <c r="CJ625" s="2">
        <f t="shared" si="87"/>
        <v>7930</v>
      </c>
      <c r="CK625" s="48"/>
    </row>
    <row r="626" spans="79:89" x14ac:dyDescent="0.25">
      <c r="CA626" s="2" t="s">
        <v>326</v>
      </c>
      <c r="CB626" s="43">
        <v>2.6378351999999992</v>
      </c>
      <c r="CC626" s="19">
        <v>30</v>
      </c>
      <c r="CD626" s="19">
        <v>50</v>
      </c>
      <c r="CE626" s="20" t="s">
        <v>76</v>
      </c>
      <c r="CF626" s="5">
        <v>160</v>
      </c>
      <c r="CG626" s="5">
        <f t="shared" si="84"/>
        <v>6.6000000000000005</v>
      </c>
      <c r="CH626" s="5">
        <f t="shared" si="85"/>
        <v>4.4000000000000004</v>
      </c>
      <c r="CI626" s="5">
        <f t="shared" si="86"/>
        <v>2.4731016797798024</v>
      </c>
      <c r="CJ626" s="2">
        <f t="shared" si="87"/>
        <v>7930</v>
      </c>
      <c r="CK626" s="48"/>
    </row>
    <row r="627" spans="79:89" x14ac:dyDescent="0.25">
      <c r="CA627" s="2" t="s">
        <v>327</v>
      </c>
      <c r="CB627" s="43">
        <v>2.7504412000000009</v>
      </c>
      <c r="CC627" s="19">
        <v>30</v>
      </c>
      <c r="CD627" s="19">
        <v>50</v>
      </c>
      <c r="CE627" s="20" t="s">
        <v>77</v>
      </c>
      <c r="CF627" s="5">
        <v>160</v>
      </c>
      <c r="CG627" s="5">
        <f t="shared" si="84"/>
        <v>6.8999999999999995</v>
      </c>
      <c r="CH627" s="5">
        <f t="shared" si="85"/>
        <v>4.5999999999999996</v>
      </c>
      <c r="CI627" s="5">
        <f t="shared" si="86"/>
        <v>2.5703915467014786</v>
      </c>
      <c r="CJ627" s="2">
        <f t="shared" si="87"/>
        <v>7930</v>
      </c>
      <c r="CK627" s="48"/>
    </row>
    <row r="628" spans="79:89" x14ac:dyDescent="0.25">
      <c r="CA628" s="2" t="s">
        <v>328</v>
      </c>
      <c r="CB628" s="43">
        <v>2.8624128</v>
      </c>
      <c r="CC628" s="19">
        <v>30</v>
      </c>
      <c r="CD628" s="19">
        <v>50</v>
      </c>
      <c r="CE628" s="20" t="s">
        <v>78</v>
      </c>
      <c r="CF628" s="5">
        <v>160</v>
      </c>
      <c r="CG628" s="5">
        <f t="shared" si="84"/>
        <v>7.1999999999999993</v>
      </c>
      <c r="CH628" s="5">
        <f t="shared" si="85"/>
        <v>4.8</v>
      </c>
      <c r="CI628" s="5">
        <f t="shared" si="86"/>
        <v>2.6663662965974511</v>
      </c>
      <c r="CJ628" s="2">
        <f t="shared" si="87"/>
        <v>7930</v>
      </c>
      <c r="CK628" s="48"/>
    </row>
    <row r="629" spans="79:89" x14ac:dyDescent="0.25">
      <c r="CA629" s="2" t="s">
        <v>329</v>
      </c>
      <c r="CB629" s="43">
        <v>2.9737499999999999</v>
      </c>
      <c r="CC629" s="19">
        <v>30</v>
      </c>
      <c r="CD629" s="19">
        <v>50</v>
      </c>
      <c r="CE629" s="20" t="s">
        <v>79</v>
      </c>
      <c r="CF629" s="5">
        <v>160</v>
      </c>
      <c r="CG629" s="5">
        <f t="shared" si="84"/>
        <v>7.5</v>
      </c>
      <c r="CH629" s="5">
        <f t="shared" si="85"/>
        <v>5</v>
      </c>
      <c r="CI629" s="5">
        <f t="shared" si="86"/>
        <v>2.7610259294677202</v>
      </c>
      <c r="CJ629" s="2">
        <f t="shared" si="87"/>
        <v>7930</v>
      </c>
      <c r="CK629" s="48"/>
    </row>
    <row r="630" spans="79:89" x14ac:dyDescent="0.25">
      <c r="CA630" s="2" t="s">
        <v>330</v>
      </c>
      <c r="CB630" s="43">
        <v>3.1945211999999992</v>
      </c>
      <c r="CC630" s="19">
        <v>30</v>
      </c>
      <c r="CD630" s="19">
        <v>50</v>
      </c>
      <c r="CE630" s="20" t="s">
        <v>80</v>
      </c>
      <c r="CF630" s="5">
        <v>160</v>
      </c>
      <c r="CG630" s="5">
        <f t="shared" si="84"/>
        <v>8.1000000000000014</v>
      </c>
      <c r="CH630" s="5">
        <f t="shared" si="85"/>
        <v>5.4</v>
      </c>
      <c r="CI630" s="5">
        <f t="shared" si="86"/>
        <v>2.9463998441311494</v>
      </c>
      <c r="CJ630" s="2">
        <f t="shared" si="87"/>
        <v>7930</v>
      </c>
      <c r="CK630" s="48"/>
    </row>
    <row r="631" spans="79:89" x14ac:dyDescent="0.25">
      <c r="CA631" s="2" t="s">
        <v>331</v>
      </c>
      <c r="CB631" s="43">
        <v>3.3039552000000008</v>
      </c>
      <c r="CC631" s="19">
        <v>30</v>
      </c>
      <c r="CD631" s="19">
        <v>50</v>
      </c>
      <c r="CE631" s="20" t="s">
        <v>81</v>
      </c>
      <c r="CF631" s="5">
        <v>160</v>
      </c>
      <c r="CG631" s="5">
        <f t="shared" si="84"/>
        <v>8.3999999999999986</v>
      </c>
      <c r="CH631" s="5">
        <f t="shared" si="85"/>
        <v>5.6</v>
      </c>
      <c r="CI631" s="5">
        <f t="shared" si="86"/>
        <v>3.0371141259243086</v>
      </c>
      <c r="CJ631" s="2">
        <f t="shared" si="87"/>
        <v>7930</v>
      </c>
      <c r="CK631" s="48"/>
    </row>
    <row r="632" spans="79:89" x14ac:dyDescent="0.25">
      <c r="CA632" s="2" t="s">
        <v>332</v>
      </c>
      <c r="CB632" s="43">
        <v>3.4127547999999988</v>
      </c>
      <c r="CC632" s="19">
        <v>30</v>
      </c>
      <c r="CD632" s="19">
        <v>50</v>
      </c>
      <c r="CE632" s="20" t="s">
        <v>82</v>
      </c>
      <c r="CF632" s="5">
        <v>160</v>
      </c>
      <c r="CG632" s="5">
        <f t="shared" si="84"/>
        <v>8.6999999999999993</v>
      </c>
      <c r="CH632" s="5">
        <f t="shared" si="85"/>
        <v>5.8</v>
      </c>
      <c r="CI632" s="5">
        <f t="shared" si="86"/>
        <v>3.1265132906917654</v>
      </c>
      <c r="CJ632" s="2">
        <f t="shared" si="87"/>
        <v>7930</v>
      </c>
      <c r="CK632" s="48"/>
    </row>
    <row r="633" spans="79:89" x14ac:dyDescent="0.25">
      <c r="CA633" s="2" t="s">
        <v>333</v>
      </c>
      <c r="CB633" s="43">
        <v>3.5209199999999998</v>
      </c>
      <c r="CC633" s="19">
        <v>30</v>
      </c>
      <c r="CD633" s="19">
        <v>50</v>
      </c>
      <c r="CE633" s="20" t="s">
        <v>83</v>
      </c>
      <c r="CF633" s="5">
        <v>160</v>
      </c>
      <c r="CG633" s="5">
        <f t="shared" si="84"/>
        <v>9</v>
      </c>
      <c r="CH633" s="5">
        <f t="shared" si="85"/>
        <v>6</v>
      </c>
      <c r="CI633" s="5">
        <f t="shared" si="86"/>
        <v>3.2145973384335171</v>
      </c>
      <c r="CJ633" s="2">
        <f t="shared" si="87"/>
        <v>7930</v>
      </c>
      <c r="CK633" s="48"/>
    </row>
    <row r="634" spans="79:89" x14ac:dyDescent="0.25">
      <c r="CA634" s="2" t="s">
        <v>334</v>
      </c>
      <c r="CB634" s="43">
        <v>3.6284507999999995</v>
      </c>
      <c r="CC634" s="19">
        <v>30</v>
      </c>
      <c r="CD634" s="19">
        <v>50</v>
      </c>
      <c r="CE634" s="20" t="s">
        <v>84</v>
      </c>
      <c r="CF634" s="5">
        <v>160</v>
      </c>
      <c r="CG634" s="5">
        <f t="shared" si="84"/>
        <v>9.3000000000000007</v>
      </c>
      <c r="CH634" s="5">
        <f t="shared" si="85"/>
        <v>6.2</v>
      </c>
      <c r="CI634" s="5">
        <f t="shared" si="86"/>
        <v>3.3013662691495673</v>
      </c>
      <c r="CJ634" s="2">
        <f t="shared" si="87"/>
        <v>7930</v>
      </c>
      <c r="CK634" s="48"/>
    </row>
    <row r="635" spans="79:89" x14ac:dyDescent="0.25">
      <c r="CA635" s="2" t="s">
        <v>335</v>
      </c>
      <c r="CB635" s="43">
        <v>0.99473920000000038</v>
      </c>
      <c r="CC635" s="19">
        <v>40</v>
      </c>
      <c r="CD635" s="19">
        <v>40</v>
      </c>
      <c r="CE635" s="20" t="s">
        <v>63</v>
      </c>
      <c r="CF635" s="5">
        <v>160</v>
      </c>
      <c r="CG635" s="5">
        <f t="shared" si="84"/>
        <v>2.4000000000000004</v>
      </c>
      <c r="CH635" s="5">
        <f t="shared" si="85"/>
        <v>1.6</v>
      </c>
      <c r="CI635" s="5">
        <f t="shared" si="86"/>
        <v>0.97295625517749473</v>
      </c>
      <c r="CJ635" s="2">
        <f t="shared" si="87"/>
        <v>7930</v>
      </c>
      <c r="CK635" s="48"/>
    </row>
    <row r="636" spans="79:89" x14ac:dyDescent="0.25">
      <c r="CA636" s="2" t="s">
        <v>336</v>
      </c>
      <c r="CB636" s="43">
        <v>1.116226799999998</v>
      </c>
      <c r="CC636" s="19">
        <v>40</v>
      </c>
      <c r="CD636" s="19">
        <v>40</v>
      </c>
      <c r="CE636" s="20" t="s">
        <v>64</v>
      </c>
      <c r="CF636" s="5">
        <v>160</v>
      </c>
      <c r="CG636" s="5">
        <f t="shared" si="84"/>
        <v>2.7</v>
      </c>
      <c r="CH636" s="5">
        <f t="shared" si="85"/>
        <v>1.8</v>
      </c>
      <c r="CI636" s="5">
        <f t="shared" si="86"/>
        <v>1.0886577604590166</v>
      </c>
      <c r="CJ636" s="2">
        <f t="shared" si="87"/>
        <v>7930</v>
      </c>
      <c r="CK636" s="48"/>
    </row>
    <row r="637" spans="79:89" x14ac:dyDescent="0.25">
      <c r="CA637" s="2" t="s">
        <v>337</v>
      </c>
      <c r="CB637" s="43">
        <v>1.23708</v>
      </c>
      <c r="CC637" s="19">
        <v>40</v>
      </c>
      <c r="CD637" s="19">
        <v>40</v>
      </c>
      <c r="CE637" s="20" t="s">
        <v>65</v>
      </c>
      <c r="CF637" s="5">
        <v>160</v>
      </c>
      <c r="CG637" s="5">
        <f t="shared" si="84"/>
        <v>3</v>
      </c>
      <c r="CH637" s="5">
        <f t="shared" si="85"/>
        <v>2</v>
      </c>
      <c r="CI637" s="5">
        <f t="shared" si="86"/>
        <v>1.2030441487148353</v>
      </c>
      <c r="CJ637" s="2">
        <f t="shared" si="87"/>
        <v>7930</v>
      </c>
      <c r="CK637" s="48"/>
    </row>
    <row r="638" spans="79:89" x14ac:dyDescent="0.25">
      <c r="CA638" s="2" t="s">
        <v>338</v>
      </c>
      <c r="CB638" s="43">
        <v>1.3572988000000024</v>
      </c>
      <c r="CC638" s="19">
        <v>40</v>
      </c>
      <c r="CD638" s="19">
        <v>40</v>
      </c>
      <c r="CE638" s="20" t="s">
        <v>66</v>
      </c>
      <c r="CF638" s="5">
        <v>160</v>
      </c>
      <c r="CG638" s="5">
        <f t="shared" si="84"/>
        <v>3.3000000000000003</v>
      </c>
      <c r="CH638" s="5">
        <f t="shared" si="85"/>
        <v>2.2000000000000002</v>
      </c>
      <c r="CI638" s="5">
        <f t="shared" si="86"/>
        <v>1.3161154199449507</v>
      </c>
      <c r="CJ638" s="2">
        <f t="shared" si="87"/>
        <v>7930</v>
      </c>
      <c r="CK638" s="48"/>
    </row>
    <row r="639" spans="79:89" x14ac:dyDescent="0.25">
      <c r="CA639" s="2" t="s">
        <v>339</v>
      </c>
      <c r="CB639" s="43">
        <v>1.4768831999999981</v>
      </c>
      <c r="CC639" s="19">
        <v>40</v>
      </c>
      <c r="CD639" s="19">
        <v>40</v>
      </c>
      <c r="CE639" s="20" t="s">
        <v>67</v>
      </c>
      <c r="CF639" s="5">
        <v>160</v>
      </c>
      <c r="CG639" s="5">
        <f t="shared" si="84"/>
        <v>3.5999999999999996</v>
      </c>
      <c r="CH639" s="5">
        <f t="shared" si="85"/>
        <v>2.4</v>
      </c>
      <c r="CI639" s="5">
        <f t="shared" si="86"/>
        <v>1.4278715741493628</v>
      </c>
      <c r="CJ639" s="2">
        <f t="shared" si="87"/>
        <v>7930</v>
      </c>
      <c r="CK639" s="48"/>
    </row>
    <row r="640" spans="79:89" x14ac:dyDescent="0.25">
      <c r="CA640" s="2" t="s">
        <v>340</v>
      </c>
      <c r="CB640" s="43">
        <v>1.7141487999999989</v>
      </c>
      <c r="CC640" s="19">
        <v>40</v>
      </c>
      <c r="CD640" s="19">
        <v>40</v>
      </c>
      <c r="CE640" s="20" t="s">
        <v>68</v>
      </c>
      <c r="CF640" s="5">
        <v>160</v>
      </c>
      <c r="CG640" s="5">
        <f t="shared" si="84"/>
        <v>4.1999999999999993</v>
      </c>
      <c r="CH640" s="5">
        <f t="shared" si="85"/>
        <v>2.8</v>
      </c>
      <c r="CI640" s="5">
        <f t="shared" si="86"/>
        <v>1.6474385314810773</v>
      </c>
      <c r="CJ640" s="2">
        <f t="shared" si="87"/>
        <v>7930</v>
      </c>
      <c r="CK640" s="48"/>
    </row>
    <row r="641" spans="79:89" x14ac:dyDescent="0.25">
      <c r="CA641" s="2" t="s">
        <v>341</v>
      </c>
      <c r="CB641" s="43">
        <v>1.8318299999999998</v>
      </c>
      <c r="CC641" s="19">
        <v>40</v>
      </c>
      <c r="CD641" s="19">
        <v>40</v>
      </c>
      <c r="CE641" s="20" t="s">
        <v>69</v>
      </c>
      <c r="CF641" s="5">
        <v>160</v>
      </c>
      <c r="CG641" s="5">
        <f t="shared" si="84"/>
        <v>4.5</v>
      </c>
      <c r="CH641" s="5">
        <f t="shared" si="85"/>
        <v>3</v>
      </c>
      <c r="CI641" s="5">
        <f t="shared" si="86"/>
        <v>1.7552493346083793</v>
      </c>
      <c r="CJ641" s="2">
        <f t="shared" si="87"/>
        <v>7930</v>
      </c>
      <c r="CK641" s="48"/>
    </row>
    <row r="642" spans="79:89" x14ac:dyDescent="0.25">
      <c r="CA642" s="2" t="s">
        <v>342</v>
      </c>
      <c r="CB642" s="43">
        <v>1.9488768000000016</v>
      </c>
      <c r="CC642" s="19">
        <v>40</v>
      </c>
      <c r="CD642" s="19">
        <v>40</v>
      </c>
      <c r="CE642" s="20" t="s">
        <v>70</v>
      </c>
      <c r="CF642" s="5">
        <v>160</v>
      </c>
      <c r="CG642" s="5">
        <f t="shared" si="84"/>
        <v>4.8000000000000007</v>
      </c>
      <c r="CH642" s="5">
        <f t="shared" si="85"/>
        <v>3.2</v>
      </c>
      <c r="CI642" s="5">
        <f t="shared" si="86"/>
        <v>1.8617450207099784</v>
      </c>
      <c r="CJ642" s="2">
        <f t="shared" si="87"/>
        <v>7930</v>
      </c>
      <c r="CK642" s="48"/>
    </row>
    <row r="643" spans="79:89" x14ac:dyDescent="0.25">
      <c r="CA643" s="2" t="s">
        <v>343</v>
      </c>
      <c r="CB643" s="43">
        <v>2.0652891999999983</v>
      </c>
      <c r="CC643" s="19">
        <v>40</v>
      </c>
      <c r="CD643" s="19">
        <v>40</v>
      </c>
      <c r="CE643" s="20" t="s">
        <v>71</v>
      </c>
      <c r="CF643" s="5">
        <v>160</v>
      </c>
      <c r="CG643" s="5">
        <f t="shared" si="84"/>
        <v>5.0999999999999996</v>
      </c>
      <c r="CH643" s="5">
        <f t="shared" si="85"/>
        <v>3.4</v>
      </c>
      <c r="CI643" s="5">
        <f t="shared" si="86"/>
        <v>1.966925589785874</v>
      </c>
      <c r="CJ643" s="2">
        <f t="shared" si="87"/>
        <v>7930</v>
      </c>
      <c r="CK643" s="48"/>
    </row>
    <row r="644" spans="79:89" x14ac:dyDescent="0.25">
      <c r="CA644" s="2" t="s">
        <v>344</v>
      </c>
      <c r="CB644" s="43">
        <v>2.1810672000000011</v>
      </c>
      <c r="CC644" s="19">
        <v>40</v>
      </c>
      <c r="CD644" s="19">
        <v>40</v>
      </c>
      <c r="CE644" s="20" t="s">
        <v>72</v>
      </c>
      <c r="CF644" s="5">
        <v>160</v>
      </c>
      <c r="CG644" s="5">
        <f t="shared" ref="CG644:CG707" si="88">IF(CE644&lt;=6,2,IF(CE644&lt;=10,2.5,3))*CE644</f>
        <v>5.4</v>
      </c>
      <c r="CH644" s="5">
        <f t="shared" ref="CH644:CH707" si="89">IF(CE644&lt;=6,1,IF(CE644&lt;=10,1.5,2))*CE644</f>
        <v>3.6</v>
      </c>
      <c r="CI644" s="5">
        <f t="shared" ref="CI644:CI707" si="90">(2*CE644*(CC644+CD644-2*CE644)-(4-PI())*(CG644^2-CH644^2))/1000000*CJ644</f>
        <v>2.0707910418360669</v>
      </c>
      <c r="CJ644" s="2">
        <f t="shared" ref="CJ644:CJ707" si="91">IF(LEFT(CA644,4)="Inox",7930,7850)</f>
        <v>7930</v>
      </c>
      <c r="CK644" s="48"/>
    </row>
    <row r="645" spans="79:89" x14ac:dyDescent="0.25">
      <c r="CA645" s="2" t="s">
        <v>345</v>
      </c>
      <c r="CB645" s="43">
        <v>2.2962107999999977</v>
      </c>
      <c r="CC645" s="19">
        <v>40</v>
      </c>
      <c r="CD645" s="19">
        <v>40</v>
      </c>
      <c r="CE645" s="20" t="s">
        <v>73</v>
      </c>
      <c r="CF645" s="5">
        <v>160</v>
      </c>
      <c r="CG645" s="5">
        <f t="shared" si="88"/>
        <v>5.6999999999999993</v>
      </c>
      <c r="CH645" s="5">
        <f t="shared" si="89"/>
        <v>3.8</v>
      </c>
      <c r="CI645" s="5">
        <f t="shared" si="90"/>
        <v>2.173341376860555</v>
      </c>
      <c r="CJ645" s="2">
        <f t="shared" si="91"/>
        <v>7930</v>
      </c>
      <c r="CK645" s="48"/>
    </row>
    <row r="646" spans="79:89" x14ac:dyDescent="0.25">
      <c r="CA646" s="2" t="s">
        <v>346</v>
      </c>
      <c r="CB646" s="43">
        <v>2.4107199999999995</v>
      </c>
      <c r="CC646" s="19">
        <v>40</v>
      </c>
      <c r="CD646" s="19">
        <v>40</v>
      </c>
      <c r="CE646" s="20" t="s">
        <v>74</v>
      </c>
      <c r="CF646" s="5">
        <v>160</v>
      </c>
      <c r="CG646" s="5">
        <f t="shared" si="88"/>
        <v>6</v>
      </c>
      <c r="CH646" s="5">
        <f t="shared" si="89"/>
        <v>4</v>
      </c>
      <c r="CI646" s="5">
        <f t="shared" si="90"/>
        <v>2.274576594859341</v>
      </c>
      <c r="CJ646" s="2">
        <f t="shared" si="91"/>
        <v>7930</v>
      </c>
      <c r="CK646" s="48"/>
    </row>
    <row r="647" spans="79:89" x14ac:dyDescent="0.25">
      <c r="CA647" s="2" t="s">
        <v>347</v>
      </c>
      <c r="CB647" s="43">
        <v>2.5245948000000009</v>
      </c>
      <c r="CC647" s="19">
        <v>40</v>
      </c>
      <c r="CD647" s="19">
        <v>40</v>
      </c>
      <c r="CE647" s="20" t="s">
        <v>75</v>
      </c>
      <c r="CF647" s="5">
        <v>160</v>
      </c>
      <c r="CG647" s="5">
        <f t="shared" si="88"/>
        <v>6.3000000000000007</v>
      </c>
      <c r="CH647" s="5">
        <f t="shared" si="89"/>
        <v>4.2</v>
      </c>
      <c r="CI647" s="5">
        <f t="shared" si="90"/>
        <v>2.3744966958324238</v>
      </c>
      <c r="CJ647" s="2">
        <f t="shared" si="91"/>
        <v>7930</v>
      </c>
      <c r="CK647" s="48"/>
    </row>
    <row r="648" spans="79:89" x14ac:dyDescent="0.25">
      <c r="CA648" s="2" t="s">
        <v>348</v>
      </c>
      <c r="CB648" s="43">
        <v>2.6378351999999992</v>
      </c>
      <c r="CC648" s="19">
        <v>40</v>
      </c>
      <c r="CD648" s="19">
        <v>40</v>
      </c>
      <c r="CE648" s="20" t="s">
        <v>76</v>
      </c>
      <c r="CF648" s="5">
        <v>160</v>
      </c>
      <c r="CG648" s="5">
        <f t="shared" si="88"/>
        <v>6.6000000000000005</v>
      </c>
      <c r="CH648" s="5">
        <f t="shared" si="89"/>
        <v>4.4000000000000004</v>
      </c>
      <c r="CI648" s="5">
        <f t="shared" si="90"/>
        <v>2.4731016797798024</v>
      </c>
      <c r="CJ648" s="2">
        <f t="shared" si="91"/>
        <v>7930</v>
      </c>
      <c r="CK648" s="48"/>
    </row>
    <row r="649" spans="79:89" x14ac:dyDescent="0.25">
      <c r="CA649" s="2" t="s">
        <v>349</v>
      </c>
      <c r="CB649" s="43">
        <v>2.7504412000000009</v>
      </c>
      <c r="CC649" s="19">
        <v>40</v>
      </c>
      <c r="CD649" s="19">
        <v>40</v>
      </c>
      <c r="CE649" s="20" t="s">
        <v>77</v>
      </c>
      <c r="CF649" s="5">
        <v>160</v>
      </c>
      <c r="CG649" s="5">
        <f t="shared" si="88"/>
        <v>6.8999999999999995</v>
      </c>
      <c r="CH649" s="5">
        <f t="shared" si="89"/>
        <v>4.5999999999999996</v>
      </c>
      <c r="CI649" s="5">
        <f t="shared" si="90"/>
        <v>2.5703915467014786</v>
      </c>
      <c r="CJ649" s="2">
        <f t="shared" si="91"/>
        <v>7930</v>
      </c>
      <c r="CK649" s="48"/>
    </row>
    <row r="650" spans="79:89" x14ac:dyDescent="0.25">
      <c r="CA650" s="2" t="s">
        <v>350</v>
      </c>
      <c r="CB650" s="43">
        <v>2.8624127999999982</v>
      </c>
      <c r="CC650" s="19">
        <v>40</v>
      </c>
      <c r="CD650" s="19">
        <v>40</v>
      </c>
      <c r="CE650" s="20" t="s">
        <v>78</v>
      </c>
      <c r="CF650" s="5">
        <v>160</v>
      </c>
      <c r="CG650" s="5">
        <f t="shared" si="88"/>
        <v>7.1999999999999993</v>
      </c>
      <c r="CH650" s="5">
        <f t="shared" si="89"/>
        <v>4.8</v>
      </c>
      <c r="CI650" s="5">
        <f t="shared" si="90"/>
        <v>2.6663662965974511</v>
      </c>
      <c r="CJ650" s="2">
        <f t="shared" si="91"/>
        <v>7930</v>
      </c>
      <c r="CK650" s="48"/>
    </row>
    <row r="651" spans="79:89" x14ac:dyDescent="0.25">
      <c r="CA651" s="2" t="s">
        <v>351</v>
      </c>
      <c r="CB651" s="43">
        <v>2.9737499999999999</v>
      </c>
      <c r="CC651" s="19">
        <v>40</v>
      </c>
      <c r="CD651" s="19">
        <v>40</v>
      </c>
      <c r="CE651" s="20" t="s">
        <v>79</v>
      </c>
      <c r="CF651" s="5">
        <v>160</v>
      </c>
      <c r="CG651" s="5">
        <f t="shared" si="88"/>
        <v>7.5</v>
      </c>
      <c r="CH651" s="5">
        <f t="shared" si="89"/>
        <v>5</v>
      </c>
      <c r="CI651" s="5">
        <f t="shared" si="90"/>
        <v>2.7610259294677202</v>
      </c>
      <c r="CJ651" s="2">
        <f t="shared" si="91"/>
        <v>7930</v>
      </c>
      <c r="CK651" s="48"/>
    </row>
    <row r="652" spans="79:89" x14ac:dyDescent="0.25">
      <c r="CA652" s="2" t="s">
        <v>352</v>
      </c>
      <c r="CB652" s="43">
        <v>3.1945211999999992</v>
      </c>
      <c r="CC652" s="19">
        <v>40</v>
      </c>
      <c r="CD652" s="19">
        <v>40</v>
      </c>
      <c r="CE652" s="20" t="s">
        <v>80</v>
      </c>
      <c r="CF652" s="5">
        <v>160</v>
      </c>
      <c r="CG652" s="5">
        <f t="shared" si="88"/>
        <v>8.1000000000000014</v>
      </c>
      <c r="CH652" s="5">
        <f t="shared" si="89"/>
        <v>5.4</v>
      </c>
      <c r="CI652" s="5">
        <f t="shared" si="90"/>
        <v>2.9463998441311494</v>
      </c>
      <c r="CJ652" s="2">
        <f t="shared" si="91"/>
        <v>7930</v>
      </c>
      <c r="CK652" s="48"/>
    </row>
    <row r="653" spans="79:89" x14ac:dyDescent="0.25">
      <c r="CA653" s="2" t="s">
        <v>353</v>
      </c>
      <c r="CB653" s="43">
        <v>3.3039552000000008</v>
      </c>
      <c r="CC653" s="19">
        <v>40</v>
      </c>
      <c r="CD653" s="19">
        <v>40</v>
      </c>
      <c r="CE653" s="20" t="s">
        <v>81</v>
      </c>
      <c r="CF653" s="5">
        <v>160</v>
      </c>
      <c r="CG653" s="5">
        <f t="shared" si="88"/>
        <v>8.3999999999999986</v>
      </c>
      <c r="CH653" s="5">
        <f t="shared" si="89"/>
        <v>5.6</v>
      </c>
      <c r="CI653" s="5">
        <f t="shared" si="90"/>
        <v>3.0371141259243086</v>
      </c>
      <c r="CJ653" s="2">
        <f t="shared" si="91"/>
        <v>7930</v>
      </c>
      <c r="CK653" s="48"/>
    </row>
    <row r="654" spans="79:89" x14ac:dyDescent="0.25">
      <c r="CA654" s="2" t="s">
        <v>354</v>
      </c>
      <c r="CB654" s="43">
        <v>3.4127547999999988</v>
      </c>
      <c r="CC654" s="19">
        <v>40</v>
      </c>
      <c r="CD654" s="19">
        <v>40</v>
      </c>
      <c r="CE654" s="20" t="s">
        <v>82</v>
      </c>
      <c r="CF654" s="5">
        <v>160</v>
      </c>
      <c r="CG654" s="5">
        <f t="shared" si="88"/>
        <v>8.6999999999999993</v>
      </c>
      <c r="CH654" s="5">
        <f t="shared" si="89"/>
        <v>5.8</v>
      </c>
      <c r="CI654" s="5">
        <f t="shared" si="90"/>
        <v>3.1265132906917654</v>
      </c>
      <c r="CJ654" s="2">
        <f t="shared" si="91"/>
        <v>7930</v>
      </c>
      <c r="CK654" s="48"/>
    </row>
    <row r="655" spans="79:89" x14ac:dyDescent="0.25">
      <c r="CA655" s="2" t="s">
        <v>355</v>
      </c>
      <c r="CB655" s="43">
        <v>3.5209199999999998</v>
      </c>
      <c r="CC655" s="19">
        <v>40</v>
      </c>
      <c r="CD655" s="19">
        <v>40</v>
      </c>
      <c r="CE655" s="20" t="s">
        <v>83</v>
      </c>
      <c r="CF655" s="5">
        <v>160</v>
      </c>
      <c r="CG655" s="5">
        <f t="shared" si="88"/>
        <v>9</v>
      </c>
      <c r="CH655" s="5">
        <f t="shared" si="89"/>
        <v>6</v>
      </c>
      <c r="CI655" s="5">
        <f t="shared" si="90"/>
        <v>3.2145973384335171</v>
      </c>
      <c r="CJ655" s="2">
        <f t="shared" si="91"/>
        <v>7930</v>
      </c>
      <c r="CK655" s="48"/>
    </row>
    <row r="656" spans="79:89" x14ac:dyDescent="0.25">
      <c r="CA656" s="2" t="s">
        <v>356</v>
      </c>
      <c r="CB656" s="43">
        <v>3.6284508000000013</v>
      </c>
      <c r="CC656" s="19">
        <v>40</v>
      </c>
      <c r="CD656" s="19">
        <v>40</v>
      </c>
      <c r="CE656" s="20" t="s">
        <v>84</v>
      </c>
      <c r="CF656" s="5">
        <v>160</v>
      </c>
      <c r="CG656" s="5">
        <f t="shared" si="88"/>
        <v>9.3000000000000007</v>
      </c>
      <c r="CH656" s="5">
        <f t="shared" si="89"/>
        <v>6.2</v>
      </c>
      <c r="CI656" s="5">
        <f t="shared" si="90"/>
        <v>3.3013662691495673</v>
      </c>
      <c r="CJ656" s="2">
        <f t="shared" si="91"/>
        <v>7930</v>
      </c>
      <c r="CK656" s="48"/>
    </row>
    <row r="657" spans="79:89" x14ac:dyDescent="0.25">
      <c r="CA657" s="2" t="s">
        <v>357</v>
      </c>
      <c r="CB657" s="43">
        <v>1.5542799999999999</v>
      </c>
      <c r="CC657" s="19">
        <v>40</v>
      </c>
      <c r="CD657" s="19">
        <v>60</v>
      </c>
      <c r="CE657" s="20" t="s">
        <v>65</v>
      </c>
      <c r="CF657" s="5">
        <v>200</v>
      </c>
      <c r="CG657" s="5">
        <f t="shared" si="88"/>
        <v>3</v>
      </c>
      <c r="CH657" s="5">
        <f t="shared" si="89"/>
        <v>2</v>
      </c>
      <c r="CI657" s="5">
        <f t="shared" si="90"/>
        <v>1.5202441487148353</v>
      </c>
      <c r="CJ657" s="2">
        <f t="shared" si="91"/>
        <v>7930</v>
      </c>
      <c r="CK657" s="48"/>
    </row>
    <row r="658" spans="79:89" x14ac:dyDescent="0.25">
      <c r="CA658" s="2" t="s">
        <v>358</v>
      </c>
      <c r="CB658" s="43">
        <v>1.7062188000000023</v>
      </c>
      <c r="CC658" s="19">
        <v>40</v>
      </c>
      <c r="CD658" s="19">
        <v>60</v>
      </c>
      <c r="CE658" s="20" t="s">
        <v>66</v>
      </c>
      <c r="CF658" s="5">
        <v>200</v>
      </c>
      <c r="CG658" s="5">
        <f t="shared" si="88"/>
        <v>3.3000000000000003</v>
      </c>
      <c r="CH658" s="5">
        <f t="shared" si="89"/>
        <v>2.2000000000000002</v>
      </c>
      <c r="CI658" s="5">
        <f t="shared" si="90"/>
        <v>1.6650354199449509</v>
      </c>
      <c r="CJ658" s="2">
        <f t="shared" si="91"/>
        <v>7930</v>
      </c>
      <c r="CK658" s="48"/>
    </row>
    <row r="659" spans="79:89" x14ac:dyDescent="0.25">
      <c r="CA659" s="2" t="s">
        <v>359</v>
      </c>
      <c r="CB659" s="43">
        <v>1.8575231999999982</v>
      </c>
      <c r="CC659" s="19">
        <v>40</v>
      </c>
      <c r="CD659" s="19">
        <v>60</v>
      </c>
      <c r="CE659" s="20" t="s">
        <v>67</v>
      </c>
      <c r="CF659" s="5">
        <v>200</v>
      </c>
      <c r="CG659" s="5">
        <f t="shared" si="88"/>
        <v>3.5999999999999996</v>
      </c>
      <c r="CH659" s="5">
        <f t="shared" si="89"/>
        <v>2.4</v>
      </c>
      <c r="CI659" s="5">
        <f t="shared" si="90"/>
        <v>1.8085115741493627</v>
      </c>
      <c r="CJ659" s="2">
        <f t="shared" si="91"/>
        <v>7930</v>
      </c>
      <c r="CK659" s="48"/>
    </row>
    <row r="660" spans="79:89" x14ac:dyDescent="0.25">
      <c r="CA660" s="2" t="s">
        <v>360</v>
      </c>
      <c r="CB660" s="43">
        <v>2.1582287999999989</v>
      </c>
      <c r="CC660" s="19">
        <v>40</v>
      </c>
      <c r="CD660" s="19">
        <v>60</v>
      </c>
      <c r="CE660" s="20" t="s">
        <v>68</v>
      </c>
      <c r="CF660" s="5">
        <v>200</v>
      </c>
      <c r="CG660" s="5">
        <f t="shared" si="88"/>
        <v>4.1999999999999993</v>
      </c>
      <c r="CH660" s="5">
        <f t="shared" si="89"/>
        <v>2.8</v>
      </c>
      <c r="CI660" s="5">
        <f t="shared" si="90"/>
        <v>2.0915185314810771</v>
      </c>
      <c r="CJ660" s="2">
        <f t="shared" si="91"/>
        <v>7930</v>
      </c>
      <c r="CK660" s="48"/>
    </row>
    <row r="661" spans="79:89" x14ac:dyDescent="0.25">
      <c r="CA661" s="2" t="s">
        <v>361</v>
      </c>
      <c r="CB661" s="43">
        <v>2.3076299999999996</v>
      </c>
      <c r="CC661" s="19">
        <v>40</v>
      </c>
      <c r="CD661" s="19">
        <v>60</v>
      </c>
      <c r="CE661" s="20" t="s">
        <v>69</v>
      </c>
      <c r="CF661" s="5">
        <v>200</v>
      </c>
      <c r="CG661" s="5">
        <f t="shared" si="88"/>
        <v>4.5</v>
      </c>
      <c r="CH661" s="5">
        <f t="shared" si="89"/>
        <v>3</v>
      </c>
      <c r="CI661" s="5">
        <f t="shared" si="90"/>
        <v>2.2310493346083797</v>
      </c>
      <c r="CJ661" s="2">
        <f t="shared" si="91"/>
        <v>7930</v>
      </c>
      <c r="CK661" s="48"/>
    </row>
    <row r="662" spans="79:89" x14ac:dyDescent="0.25">
      <c r="CA662" s="2" t="s">
        <v>362</v>
      </c>
      <c r="CB662" s="43">
        <v>2.4563968000000016</v>
      </c>
      <c r="CC662" s="19">
        <v>40</v>
      </c>
      <c r="CD662" s="19">
        <v>60</v>
      </c>
      <c r="CE662" s="20" t="s">
        <v>70</v>
      </c>
      <c r="CF662" s="5">
        <v>200</v>
      </c>
      <c r="CG662" s="5">
        <f t="shared" si="88"/>
        <v>4.8000000000000007</v>
      </c>
      <c r="CH662" s="5">
        <f t="shared" si="89"/>
        <v>3.2</v>
      </c>
      <c r="CI662" s="5">
        <f t="shared" si="90"/>
        <v>2.3692650207099786</v>
      </c>
      <c r="CJ662" s="2">
        <f t="shared" si="91"/>
        <v>7930</v>
      </c>
      <c r="CK662" s="48"/>
    </row>
    <row r="663" spans="79:89" x14ac:dyDescent="0.25">
      <c r="CA663" s="2" t="s">
        <v>363</v>
      </c>
      <c r="CB663" s="43">
        <v>2.6045292000000004</v>
      </c>
      <c r="CC663" s="19">
        <v>40</v>
      </c>
      <c r="CD663" s="19">
        <v>60</v>
      </c>
      <c r="CE663" s="20" t="s">
        <v>71</v>
      </c>
      <c r="CF663" s="5">
        <v>200</v>
      </c>
      <c r="CG663" s="5">
        <f t="shared" si="88"/>
        <v>5.0999999999999996</v>
      </c>
      <c r="CH663" s="5">
        <f t="shared" si="89"/>
        <v>3.4</v>
      </c>
      <c r="CI663" s="5">
        <f t="shared" si="90"/>
        <v>2.5061655897858741</v>
      </c>
      <c r="CJ663" s="2">
        <f t="shared" si="91"/>
        <v>7930</v>
      </c>
      <c r="CK663" s="48"/>
    </row>
    <row r="664" spans="79:89" x14ac:dyDescent="0.25">
      <c r="CA664" s="2" t="s">
        <v>364</v>
      </c>
      <c r="CB664" s="43">
        <v>2.7520271999999997</v>
      </c>
      <c r="CC664" s="19">
        <v>40</v>
      </c>
      <c r="CD664" s="19">
        <v>60</v>
      </c>
      <c r="CE664" s="20" t="s">
        <v>72</v>
      </c>
      <c r="CF664" s="5">
        <v>200</v>
      </c>
      <c r="CG664" s="5">
        <f t="shared" si="88"/>
        <v>5.4</v>
      </c>
      <c r="CH664" s="5">
        <f t="shared" si="89"/>
        <v>3.6</v>
      </c>
      <c r="CI664" s="5">
        <f t="shared" si="90"/>
        <v>2.6417510418360668</v>
      </c>
      <c r="CJ664" s="2">
        <f t="shared" si="91"/>
        <v>7930</v>
      </c>
      <c r="CK664" s="48"/>
    </row>
    <row r="665" spans="79:89" x14ac:dyDescent="0.25">
      <c r="CA665" s="2" t="s">
        <v>365</v>
      </c>
      <c r="CB665" s="43">
        <v>2.8988907999999975</v>
      </c>
      <c r="CC665" s="19">
        <v>40</v>
      </c>
      <c r="CD665" s="19">
        <v>60</v>
      </c>
      <c r="CE665" s="20" t="s">
        <v>73</v>
      </c>
      <c r="CF665" s="5">
        <v>200</v>
      </c>
      <c r="CG665" s="5">
        <f t="shared" si="88"/>
        <v>5.6999999999999993</v>
      </c>
      <c r="CH665" s="5">
        <f t="shared" si="89"/>
        <v>3.8</v>
      </c>
      <c r="CI665" s="5">
        <f t="shared" si="90"/>
        <v>2.7760213768605553</v>
      </c>
      <c r="CJ665" s="2">
        <f t="shared" si="91"/>
        <v>7930</v>
      </c>
      <c r="CK665" s="48"/>
    </row>
    <row r="666" spans="79:89" x14ac:dyDescent="0.25">
      <c r="CA666" s="2" t="s">
        <v>366</v>
      </c>
      <c r="CB666" s="43">
        <v>3.0451200000000003</v>
      </c>
      <c r="CC666" s="19">
        <v>40</v>
      </c>
      <c r="CD666" s="19">
        <v>60</v>
      </c>
      <c r="CE666" s="20" t="s">
        <v>74</v>
      </c>
      <c r="CF666" s="5">
        <v>200</v>
      </c>
      <c r="CG666" s="5">
        <f t="shared" si="88"/>
        <v>6</v>
      </c>
      <c r="CH666" s="5">
        <f t="shared" si="89"/>
        <v>4</v>
      </c>
      <c r="CI666" s="5">
        <f t="shared" si="90"/>
        <v>2.9089765948593413</v>
      </c>
      <c r="CJ666" s="2">
        <f t="shared" si="91"/>
        <v>7930</v>
      </c>
      <c r="CK666" s="48"/>
    </row>
    <row r="667" spans="79:89" x14ac:dyDescent="0.25">
      <c r="CA667" s="2" t="s">
        <v>367</v>
      </c>
      <c r="CB667" s="43">
        <v>3.1907148000000025</v>
      </c>
      <c r="CC667" s="19">
        <v>40</v>
      </c>
      <c r="CD667" s="19">
        <v>60</v>
      </c>
      <c r="CE667" s="20" t="s">
        <v>75</v>
      </c>
      <c r="CF667" s="5">
        <v>200</v>
      </c>
      <c r="CG667" s="5">
        <f t="shared" si="88"/>
        <v>6.3000000000000007</v>
      </c>
      <c r="CH667" s="5">
        <f t="shared" si="89"/>
        <v>4.2</v>
      </c>
      <c r="CI667" s="5">
        <f t="shared" si="90"/>
        <v>3.0406166958324237</v>
      </c>
      <c r="CJ667" s="2">
        <f t="shared" si="91"/>
        <v>7930</v>
      </c>
      <c r="CK667" s="48"/>
    </row>
    <row r="668" spans="79:89" x14ac:dyDescent="0.25">
      <c r="CA668" s="2" t="s">
        <v>368</v>
      </c>
      <c r="CB668" s="43">
        <v>3.335675199999999</v>
      </c>
      <c r="CC668" s="19">
        <v>40</v>
      </c>
      <c r="CD668" s="19">
        <v>60</v>
      </c>
      <c r="CE668" s="20" t="s">
        <v>76</v>
      </c>
      <c r="CF668" s="5">
        <v>200</v>
      </c>
      <c r="CG668" s="5">
        <f t="shared" si="88"/>
        <v>6.6000000000000005</v>
      </c>
      <c r="CH668" s="5">
        <f t="shared" si="89"/>
        <v>4.4000000000000004</v>
      </c>
      <c r="CI668" s="5">
        <f t="shared" si="90"/>
        <v>3.1709416797798027</v>
      </c>
      <c r="CJ668" s="2">
        <f t="shared" si="91"/>
        <v>7930</v>
      </c>
      <c r="CK668" s="48"/>
    </row>
    <row r="669" spans="79:89" x14ac:dyDescent="0.25">
      <c r="CA669" s="2" t="s">
        <v>369</v>
      </c>
      <c r="CB669" s="43">
        <v>3.4800012000000011</v>
      </c>
      <c r="CC669" s="19">
        <v>40</v>
      </c>
      <c r="CD669" s="19">
        <v>60</v>
      </c>
      <c r="CE669" s="20" t="s">
        <v>77</v>
      </c>
      <c r="CF669" s="5">
        <v>200</v>
      </c>
      <c r="CG669" s="5">
        <f t="shared" si="88"/>
        <v>6.8999999999999995</v>
      </c>
      <c r="CH669" s="5">
        <f t="shared" si="89"/>
        <v>4.5999999999999996</v>
      </c>
      <c r="CI669" s="5">
        <f t="shared" si="90"/>
        <v>3.2999515467014788</v>
      </c>
      <c r="CJ669" s="2">
        <f t="shared" si="91"/>
        <v>7930</v>
      </c>
      <c r="CK669" s="48"/>
    </row>
    <row r="670" spans="79:89" x14ac:dyDescent="0.25">
      <c r="CA670" s="2" t="s">
        <v>370</v>
      </c>
      <c r="CB670" s="43">
        <v>3.6236927999999984</v>
      </c>
      <c r="CC670" s="19">
        <v>40</v>
      </c>
      <c r="CD670" s="19">
        <v>60</v>
      </c>
      <c r="CE670" s="20" t="s">
        <v>78</v>
      </c>
      <c r="CF670" s="5">
        <v>200</v>
      </c>
      <c r="CG670" s="5">
        <f t="shared" si="88"/>
        <v>7.1999999999999993</v>
      </c>
      <c r="CH670" s="5">
        <f t="shared" si="89"/>
        <v>4.8</v>
      </c>
      <c r="CI670" s="5">
        <f t="shared" si="90"/>
        <v>3.4276462965974512</v>
      </c>
      <c r="CJ670" s="2">
        <f t="shared" si="91"/>
        <v>7930</v>
      </c>
      <c r="CK670" s="48"/>
    </row>
    <row r="671" spans="79:89" x14ac:dyDescent="0.25">
      <c r="CA671" s="2" t="s">
        <v>371</v>
      </c>
      <c r="CB671" s="43">
        <v>3.76675</v>
      </c>
      <c r="CC671" s="19">
        <v>40</v>
      </c>
      <c r="CD671" s="19">
        <v>60</v>
      </c>
      <c r="CE671" s="20" t="s">
        <v>79</v>
      </c>
      <c r="CF671" s="5">
        <v>200</v>
      </c>
      <c r="CG671" s="5">
        <f t="shared" si="88"/>
        <v>7.5</v>
      </c>
      <c r="CH671" s="5">
        <f t="shared" si="89"/>
        <v>5</v>
      </c>
      <c r="CI671" s="5">
        <f t="shared" si="90"/>
        <v>3.5540259294677203</v>
      </c>
      <c r="CJ671" s="2">
        <f t="shared" si="91"/>
        <v>7930</v>
      </c>
      <c r="CK671" s="48"/>
    </row>
    <row r="672" spans="79:89" x14ac:dyDescent="0.25">
      <c r="CA672" s="2" t="s">
        <v>372</v>
      </c>
      <c r="CB672" s="43">
        <v>4.0509611999999997</v>
      </c>
      <c r="CC672" s="19">
        <v>40</v>
      </c>
      <c r="CD672" s="19">
        <v>60</v>
      </c>
      <c r="CE672" s="20" t="s">
        <v>80</v>
      </c>
      <c r="CF672" s="5">
        <v>200</v>
      </c>
      <c r="CG672" s="5">
        <f t="shared" si="88"/>
        <v>8.1000000000000014</v>
      </c>
      <c r="CH672" s="5">
        <f t="shared" si="89"/>
        <v>5.4</v>
      </c>
      <c r="CI672" s="5">
        <f t="shared" si="90"/>
        <v>3.8028398441311491</v>
      </c>
      <c r="CJ672" s="2">
        <f t="shared" si="91"/>
        <v>7930</v>
      </c>
      <c r="CK672" s="48"/>
    </row>
    <row r="673" spans="79:89" x14ac:dyDescent="0.25">
      <c r="CA673" s="2" t="s">
        <v>373</v>
      </c>
      <c r="CB673" s="43">
        <v>4.1921151999999999</v>
      </c>
      <c r="CC673" s="19">
        <v>40</v>
      </c>
      <c r="CD673" s="19">
        <v>60</v>
      </c>
      <c r="CE673" s="20" t="s">
        <v>81</v>
      </c>
      <c r="CF673" s="5">
        <v>200</v>
      </c>
      <c r="CG673" s="5">
        <f t="shared" si="88"/>
        <v>8.3999999999999986</v>
      </c>
      <c r="CH673" s="5">
        <f t="shared" si="89"/>
        <v>5.6</v>
      </c>
      <c r="CI673" s="5">
        <f t="shared" si="90"/>
        <v>3.9252741259243091</v>
      </c>
      <c r="CJ673" s="2">
        <f t="shared" si="91"/>
        <v>7930</v>
      </c>
      <c r="CK673" s="48"/>
    </row>
    <row r="674" spans="79:89" x14ac:dyDescent="0.25">
      <c r="CA674" s="2" t="s">
        <v>374</v>
      </c>
      <c r="CB674" s="43">
        <v>4.3326347999999975</v>
      </c>
      <c r="CC674" s="19">
        <v>40</v>
      </c>
      <c r="CD674" s="19">
        <v>60</v>
      </c>
      <c r="CE674" s="20" t="s">
        <v>82</v>
      </c>
      <c r="CF674" s="5">
        <v>200</v>
      </c>
      <c r="CG674" s="5">
        <f t="shared" si="88"/>
        <v>8.6999999999999993</v>
      </c>
      <c r="CH674" s="5">
        <f t="shared" si="89"/>
        <v>5.8</v>
      </c>
      <c r="CI674" s="5">
        <f t="shared" si="90"/>
        <v>4.046393290691765</v>
      </c>
      <c r="CJ674" s="2">
        <f t="shared" si="91"/>
        <v>7930</v>
      </c>
      <c r="CK674" s="48"/>
    </row>
    <row r="675" spans="79:89" x14ac:dyDescent="0.25">
      <c r="CA675" s="2" t="s">
        <v>375</v>
      </c>
      <c r="CB675" s="43">
        <v>4.4725199999999994</v>
      </c>
      <c r="CC675" s="19">
        <v>40</v>
      </c>
      <c r="CD675" s="19">
        <v>60</v>
      </c>
      <c r="CE675" s="20" t="s">
        <v>83</v>
      </c>
      <c r="CF675" s="5">
        <v>200</v>
      </c>
      <c r="CG675" s="5">
        <f t="shared" si="88"/>
        <v>9</v>
      </c>
      <c r="CH675" s="5">
        <f t="shared" si="89"/>
        <v>6</v>
      </c>
      <c r="CI675" s="5">
        <f t="shared" si="90"/>
        <v>4.166197338433518</v>
      </c>
      <c r="CJ675" s="2">
        <f t="shared" si="91"/>
        <v>7930</v>
      </c>
      <c r="CK675" s="48"/>
    </row>
    <row r="676" spans="79:89" x14ac:dyDescent="0.25">
      <c r="CA676" s="2" t="s">
        <v>376</v>
      </c>
      <c r="CB676" s="43">
        <v>4.6117708000000013</v>
      </c>
      <c r="CC676" s="19">
        <v>40</v>
      </c>
      <c r="CD676" s="19">
        <v>60</v>
      </c>
      <c r="CE676" s="20" t="s">
        <v>84</v>
      </c>
      <c r="CF676" s="5">
        <v>200</v>
      </c>
      <c r="CG676" s="5">
        <f t="shared" si="88"/>
        <v>9.3000000000000007</v>
      </c>
      <c r="CH676" s="5">
        <f t="shared" si="89"/>
        <v>6.2</v>
      </c>
      <c r="CI676" s="5">
        <f t="shared" si="90"/>
        <v>4.2846862691495664</v>
      </c>
      <c r="CJ676" s="2">
        <f t="shared" si="91"/>
        <v>7930</v>
      </c>
      <c r="CK676" s="48"/>
    </row>
    <row r="677" spans="79:89" x14ac:dyDescent="0.25">
      <c r="CA677" s="2" t="s">
        <v>377</v>
      </c>
      <c r="CB677" s="43">
        <v>4.7503871999999996</v>
      </c>
      <c r="CC677" s="19">
        <v>40</v>
      </c>
      <c r="CD677" s="19">
        <v>60</v>
      </c>
      <c r="CE677" s="20" t="s">
        <v>85</v>
      </c>
      <c r="CF677" s="5">
        <v>200</v>
      </c>
      <c r="CG677" s="5">
        <f t="shared" si="88"/>
        <v>9.6000000000000014</v>
      </c>
      <c r="CH677" s="5">
        <f t="shared" si="89"/>
        <v>6.4</v>
      </c>
      <c r="CI677" s="5">
        <f t="shared" si="90"/>
        <v>4.4018600828399137</v>
      </c>
      <c r="CJ677" s="2">
        <f t="shared" si="91"/>
        <v>7930</v>
      </c>
      <c r="CK677" s="48"/>
    </row>
    <row r="678" spans="79:89" x14ac:dyDescent="0.25">
      <c r="CA678" s="2" t="s">
        <v>378</v>
      </c>
      <c r="CB678" s="43">
        <v>4.8883691999999996</v>
      </c>
      <c r="CC678" s="19">
        <v>40</v>
      </c>
      <c r="CD678" s="19">
        <v>60</v>
      </c>
      <c r="CE678" s="20" t="s">
        <v>86</v>
      </c>
      <c r="CF678" s="5">
        <v>200</v>
      </c>
      <c r="CG678" s="5">
        <f t="shared" si="88"/>
        <v>9.8999999999999986</v>
      </c>
      <c r="CH678" s="5">
        <f t="shared" si="89"/>
        <v>6.6</v>
      </c>
      <c r="CI678" s="5">
        <f t="shared" si="90"/>
        <v>4.5177187795045564</v>
      </c>
      <c r="CJ678" s="2">
        <f t="shared" si="91"/>
        <v>7930</v>
      </c>
      <c r="CK678" s="48"/>
    </row>
    <row r="679" spans="79:89" x14ac:dyDescent="0.25">
      <c r="CA679" s="2" t="s">
        <v>379</v>
      </c>
      <c r="CB679" s="43">
        <v>5.0257167999999979</v>
      </c>
      <c r="CC679" s="19">
        <v>40</v>
      </c>
      <c r="CD679" s="19">
        <v>60</v>
      </c>
      <c r="CE679" s="20" t="s">
        <v>87</v>
      </c>
      <c r="CF679" s="5">
        <v>200</v>
      </c>
      <c r="CG679" s="5">
        <f t="shared" si="88"/>
        <v>10.199999999999999</v>
      </c>
      <c r="CH679" s="5">
        <f t="shared" si="89"/>
        <v>6.8</v>
      </c>
      <c r="CI679" s="5">
        <f t="shared" si="90"/>
        <v>4.632262359143497</v>
      </c>
      <c r="CJ679" s="2">
        <f t="shared" si="91"/>
        <v>7930</v>
      </c>
      <c r="CK679" s="48"/>
    </row>
    <row r="680" spans="79:89" x14ac:dyDescent="0.25">
      <c r="CA680" s="2" t="s">
        <v>380</v>
      </c>
      <c r="CB680" s="43">
        <v>1.5542799999999999</v>
      </c>
      <c r="CC680" s="19">
        <v>50</v>
      </c>
      <c r="CD680" s="19">
        <v>50</v>
      </c>
      <c r="CE680" s="20" t="s">
        <v>65</v>
      </c>
      <c r="CF680" s="5">
        <v>200</v>
      </c>
      <c r="CG680" s="5">
        <f t="shared" si="88"/>
        <v>3</v>
      </c>
      <c r="CH680" s="5">
        <f t="shared" si="89"/>
        <v>2</v>
      </c>
      <c r="CI680" s="5">
        <f t="shared" si="90"/>
        <v>1.5202441487148353</v>
      </c>
      <c r="CJ680" s="2">
        <f t="shared" si="91"/>
        <v>7930</v>
      </c>
      <c r="CK680" s="48"/>
    </row>
    <row r="681" spans="79:89" x14ac:dyDescent="0.25">
      <c r="CA681" s="2" t="s">
        <v>381</v>
      </c>
      <c r="CB681" s="43">
        <v>1.7062188000000023</v>
      </c>
      <c r="CC681" s="19">
        <v>50</v>
      </c>
      <c r="CD681" s="19">
        <v>50</v>
      </c>
      <c r="CE681" s="20" t="s">
        <v>66</v>
      </c>
      <c r="CF681" s="5">
        <v>200</v>
      </c>
      <c r="CG681" s="5">
        <f t="shared" si="88"/>
        <v>3.3000000000000003</v>
      </c>
      <c r="CH681" s="5">
        <f t="shared" si="89"/>
        <v>2.2000000000000002</v>
      </c>
      <c r="CI681" s="5">
        <f t="shared" si="90"/>
        <v>1.6650354199449509</v>
      </c>
      <c r="CJ681" s="2">
        <f t="shared" si="91"/>
        <v>7930</v>
      </c>
      <c r="CK681" s="48"/>
    </row>
    <row r="682" spans="79:89" x14ac:dyDescent="0.25">
      <c r="CA682" s="2" t="s">
        <v>382</v>
      </c>
      <c r="CB682" s="43">
        <v>1.8575231999999982</v>
      </c>
      <c r="CC682" s="19">
        <v>50</v>
      </c>
      <c r="CD682" s="19">
        <v>50</v>
      </c>
      <c r="CE682" s="20" t="s">
        <v>67</v>
      </c>
      <c r="CF682" s="5">
        <v>200</v>
      </c>
      <c r="CG682" s="5">
        <f t="shared" si="88"/>
        <v>3.5999999999999996</v>
      </c>
      <c r="CH682" s="5">
        <f t="shared" si="89"/>
        <v>2.4</v>
      </c>
      <c r="CI682" s="5">
        <f t="shared" si="90"/>
        <v>1.8085115741493627</v>
      </c>
      <c r="CJ682" s="2">
        <f t="shared" si="91"/>
        <v>7930</v>
      </c>
      <c r="CK682" s="48"/>
    </row>
    <row r="683" spans="79:89" x14ac:dyDescent="0.25">
      <c r="CA683" s="2" t="s">
        <v>383</v>
      </c>
      <c r="CB683" s="43">
        <v>2.1582287999999989</v>
      </c>
      <c r="CC683" s="19">
        <v>50</v>
      </c>
      <c r="CD683" s="19">
        <v>50</v>
      </c>
      <c r="CE683" s="20" t="s">
        <v>68</v>
      </c>
      <c r="CF683" s="5">
        <v>200</v>
      </c>
      <c r="CG683" s="5">
        <f t="shared" si="88"/>
        <v>4.1999999999999993</v>
      </c>
      <c r="CH683" s="5">
        <f t="shared" si="89"/>
        <v>2.8</v>
      </c>
      <c r="CI683" s="5">
        <f t="shared" si="90"/>
        <v>2.0915185314810771</v>
      </c>
      <c r="CJ683" s="2">
        <f t="shared" si="91"/>
        <v>7930</v>
      </c>
      <c r="CK683" s="48"/>
    </row>
    <row r="684" spans="79:89" x14ac:dyDescent="0.25">
      <c r="CA684" s="2" t="s">
        <v>384</v>
      </c>
      <c r="CB684" s="43">
        <v>2.3076299999999996</v>
      </c>
      <c r="CC684" s="19">
        <v>50</v>
      </c>
      <c r="CD684" s="19">
        <v>50</v>
      </c>
      <c r="CE684" s="20" t="s">
        <v>69</v>
      </c>
      <c r="CF684" s="5">
        <v>200</v>
      </c>
      <c r="CG684" s="5">
        <f t="shared" si="88"/>
        <v>4.5</v>
      </c>
      <c r="CH684" s="5">
        <f t="shared" si="89"/>
        <v>3</v>
      </c>
      <c r="CI684" s="5">
        <f t="shared" si="90"/>
        <v>2.2310493346083797</v>
      </c>
      <c r="CJ684" s="2">
        <f t="shared" si="91"/>
        <v>7930</v>
      </c>
      <c r="CK684" s="48"/>
    </row>
    <row r="685" spans="79:89" x14ac:dyDescent="0.25">
      <c r="CA685" s="2" t="s">
        <v>385</v>
      </c>
      <c r="CB685" s="43">
        <v>2.4563968000000016</v>
      </c>
      <c r="CC685" s="19">
        <v>50</v>
      </c>
      <c r="CD685" s="19">
        <v>50</v>
      </c>
      <c r="CE685" s="20" t="s">
        <v>70</v>
      </c>
      <c r="CF685" s="5">
        <v>200</v>
      </c>
      <c r="CG685" s="5">
        <f t="shared" si="88"/>
        <v>4.8000000000000007</v>
      </c>
      <c r="CH685" s="5">
        <f t="shared" si="89"/>
        <v>3.2</v>
      </c>
      <c r="CI685" s="5">
        <f t="shared" si="90"/>
        <v>2.3692650207099786</v>
      </c>
      <c r="CJ685" s="2">
        <f t="shared" si="91"/>
        <v>7930</v>
      </c>
      <c r="CK685" s="48"/>
    </row>
    <row r="686" spans="79:89" x14ac:dyDescent="0.25">
      <c r="CA686" s="2" t="s">
        <v>386</v>
      </c>
      <c r="CB686" s="43">
        <v>2.6045292000000004</v>
      </c>
      <c r="CC686" s="19">
        <v>50</v>
      </c>
      <c r="CD686" s="19">
        <v>50</v>
      </c>
      <c r="CE686" s="20" t="s">
        <v>71</v>
      </c>
      <c r="CF686" s="5">
        <v>200</v>
      </c>
      <c r="CG686" s="5">
        <f t="shared" si="88"/>
        <v>5.0999999999999996</v>
      </c>
      <c r="CH686" s="5">
        <f t="shared" si="89"/>
        <v>3.4</v>
      </c>
      <c r="CI686" s="5">
        <f t="shared" si="90"/>
        <v>2.5061655897858741</v>
      </c>
      <c r="CJ686" s="2">
        <f t="shared" si="91"/>
        <v>7930</v>
      </c>
      <c r="CK686" s="48"/>
    </row>
    <row r="687" spans="79:89" x14ac:dyDescent="0.25">
      <c r="CA687" s="2" t="s">
        <v>387</v>
      </c>
      <c r="CB687" s="43">
        <v>2.7520271999999997</v>
      </c>
      <c r="CC687" s="19">
        <v>50</v>
      </c>
      <c r="CD687" s="19">
        <v>50</v>
      </c>
      <c r="CE687" s="20" t="s">
        <v>72</v>
      </c>
      <c r="CF687" s="5">
        <v>200</v>
      </c>
      <c r="CG687" s="5">
        <f t="shared" si="88"/>
        <v>5.4</v>
      </c>
      <c r="CH687" s="5">
        <f t="shared" si="89"/>
        <v>3.6</v>
      </c>
      <c r="CI687" s="5">
        <f t="shared" si="90"/>
        <v>2.6417510418360668</v>
      </c>
      <c r="CJ687" s="2">
        <f t="shared" si="91"/>
        <v>7930</v>
      </c>
      <c r="CK687" s="48"/>
    </row>
    <row r="688" spans="79:89" x14ac:dyDescent="0.25">
      <c r="CA688" s="2" t="s">
        <v>388</v>
      </c>
      <c r="CB688" s="43">
        <v>2.8988907999999993</v>
      </c>
      <c r="CC688" s="19">
        <v>50</v>
      </c>
      <c r="CD688" s="19">
        <v>50</v>
      </c>
      <c r="CE688" s="20" t="s">
        <v>73</v>
      </c>
      <c r="CF688" s="5">
        <v>200</v>
      </c>
      <c r="CG688" s="5">
        <f t="shared" si="88"/>
        <v>5.6999999999999993</v>
      </c>
      <c r="CH688" s="5">
        <f t="shared" si="89"/>
        <v>3.8</v>
      </c>
      <c r="CI688" s="5">
        <f t="shared" si="90"/>
        <v>2.7760213768605553</v>
      </c>
      <c r="CJ688" s="2">
        <f t="shared" si="91"/>
        <v>7930</v>
      </c>
      <c r="CK688" s="48"/>
    </row>
    <row r="689" spans="79:89" x14ac:dyDescent="0.25">
      <c r="CA689" s="2" t="s">
        <v>389</v>
      </c>
      <c r="CB689" s="43">
        <v>3.0451200000000003</v>
      </c>
      <c r="CC689" s="19">
        <v>50</v>
      </c>
      <c r="CD689" s="19">
        <v>50</v>
      </c>
      <c r="CE689" s="20" t="s">
        <v>74</v>
      </c>
      <c r="CF689" s="5">
        <v>200</v>
      </c>
      <c r="CG689" s="5">
        <f t="shared" si="88"/>
        <v>6</v>
      </c>
      <c r="CH689" s="5">
        <f t="shared" si="89"/>
        <v>4</v>
      </c>
      <c r="CI689" s="5">
        <f t="shared" si="90"/>
        <v>2.9089765948593413</v>
      </c>
      <c r="CJ689" s="2">
        <f t="shared" si="91"/>
        <v>7930</v>
      </c>
      <c r="CK689" s="48"/>
    </row>
    <row r="690" spans="79:89" x14ac:dyDescent="0.25">
      <c r="CA690" s="2" t="s">
        <v>390</v>
      </c>
      <c r="CB690" s="43">
        <v>3.1907148000000007</v>
      </c>
      <c r="CC690" s="19">
        <v>50</v>
      </c>
      <c r="CD690" s="19">
        <v>50</v>
      </c>
      <c r="CE690" s="20" t="s">
        <v>75</v>
      </c>
      <c r="CF690" s="5">
        <v>200</v>
      </c>
      <c r="CG690" s="5">
        <f t="shared" si="88"/>
        <v>6.3000000000000007</v>
      </c>
      <c r="CH690" s="5">
        <f t="shared" si="89"/>
        <v>4.2</v>
      </c>
      <c r="CI690" s="5">
        <f t="shared" si="90"/>
        <v>3.0406166958324237</v>
      </c>
      <c r="CJ690" s="2">
        <f t="shared" si="91"/>
        <v>7930</v>
      </c>
      <c r="CK690" s="48"/>
    </row>
    <row r="691" spans="79:89" x14ac:dyDescent="0.25">
      <c r="CA691" s="2" t="s">
        <v>391</v>
      </c>
      <c r="CB691" s="43">
        <v>3.335675199999999</v>
      </c>
      <c r="CC691" s="19">
        <v>50</v>
      </c>
      <c r="CD691" s="19">
        <v>50</v>
      </c>
      <c r="CE691" s="20" t="s">
        <v>76</v>
      </c>
      <c r="CF691" s="5">
        <v>200</v>
      </c>
      <c r="CG691" s="5">
        <f t="shared" si="88"/>
        <v>6.6000000000000005</v>
      </c>
      <c r="CH691" s="5">
        <f t="shared" si="89"/>
        <v>4.4000000000000004</v>
      </c>
      <c r="CI691" s="5">
        <f t="shared" si="90"/>
        <v>3.1709416797798027</v>
      </c>
      <c r="CJ691" s="2">
        <f t="shared" si="91"/>
        <v>7930</v>
      </c>
      <c r="CK691" s="48"/>
    </row>
    <row r="692" spans="79:89" x14ac:dyDescent="0.25">
      <c r="CA692" s="2" t="s">
        <v>392</v>
      </c>
      <c r="CB692" s="43">
        <v>3.4800012000000011</v>
      </c>
      <c r="CC692" s="19">
        <v>50</v>
      </c>
      <c r="CD692" s="19">
        <v>50</v>
      </c>
      <c r="CE692" s="20" t="s">
        <v>77</v>
      </c>
      <c r="CF692" s="5">
        <v>200</v>
      </c>
      <c r="CG692" s="5">
        <f t="shared" si="88"/>
        <v>6.8999999999999995</v>
      </c>
      <c r="CH692" s="5">
        <f t="shared" si="89"/>
        <v>4.5999999999999996</v>
      </c>
      <c r="CI692" s="5">
        <f t="shared" si="90"/>
        <v>3.2999515467014788</v>
      </c>
      <c r="CJ692" s="2">
        <f t="shared" si="91"/>
        <v>7930</v>
      </c>
      <c r="CK692" s="48"/>
    </row>
    <row r="693" spans="79:89" x14ac:dyDescent="0.25">
      <c r="CA693" s="2" t="s">
        <v>393</v>
      </c>
      <c r="CB693" s="43">
        <v>3.6236927999999984</v>
      </c>
      <c r="CC693" s="19">
        <v>50</v>
      </c>
      <c r="CD693" s="19">
        <v>50</v>
      </c>
      <c r="CE693" s="20" t="s">
        <v>78</v>
      </c>
      <c r="CF693" s="5">
        <v>200</v>
      </c>
      <c r="CG693" s="5">
        <f t="shared" si="88"/>
        <v>7.1999999999999993</v>
      </c>
      <c r="CH693" s="5">
        <f t="shared" si="89"/>
        <v>4.8</v>
      </c>
      <c r="CI693" s="5">
        <f t="shared" si="90"/>
        <v>3.4276462965974512</v>
      </c>
      <c r="CJ693" s="2">
        <f t="shared" si="91"/>
        <v>7930</v>
      </c>
      <c r="CK693" s="48"/>
    </row>
    <row r="694" spans="79:89" x14ac:dyDescent="0.25">
      <c r="CA694" s="2" t="s">
        <v>394</v>
      </c>
      <c r="CB694" s="43">
        <v>3.76675</v>
      </c>
      <c r="CC694" s="19">
        <v>50</v>
      </c>
      <c r="CD694" s="19">
        <v>50</v>
      </c>
      <c r="CE694" s="20" t="s">
        <v>79</v>
      </c>
      <c r="CF694" s="5">
        <v>200</v>
      </c>
      <c r="CG694" s="5">
        <f t="shared" si="88"/>
        <v>7.5</v>
      </c>
      <c r="CH694" s="5">
        <f t="shared" si="89"/>
        <v>5</v>
      </c>
      <c r="CI694" s="5">
        <f t="shared" si="90"/>
        <v>3.5540259294677203</v>
      </c>
      <c r="CJ694" s="2">
        <f t="shared" si="91"/>
        <v>7930</v>
      </c>
      <c r="CK694" s="48"/>
    </row>
    <row r="695" spans="79:89" x14ac:dyDescent="0.25">
      <c r="CA695" s="2" t="s">
        <v>395</v>
      </c>
      <c r="CB695" s="43">
        <v>4.0509611999999997</v>
      </c>
      <c r="CC695" s="19">
        <v>50</v>
      </c>
      <c r="CD695" s="19">
        <v>50</v>
      </c>
      <c r="CE695" s="20" t="s">
        <v>80</v>
      </c>
      <c r="CF695" s="5">
        <v>200</v>
      </c>
      <c r="CG695" s="5">
        <f t="shared" si="88"/>
        <v>8.1000000000000014</v>
      </c>
      <c r="CH695" s="5">
        <f t="shared" si="89"/>
        <v>5.4</v>
      </c>
      <c r="CI695" s="5">
        <f t="shared" si="90"/>
        <v>3.8028398441311491</v>
      </c>
      <c r="CJ695" s="2">
        <f t="shared" si="91"/>
        <v>7930</v>
      </c>
      <c r="CK695" s="48"/>
    </row>
    <row r="696" spans="79:89" x14ac:dyDescent="0.25">
      <c r="CA696" s="2" t="s">
        <v>396</v>
      </c>
      <c r="CB696" s="43">
        <v>4.1921151999999999</v>
      </c>
      <c r="CC696" s="19">
        <v>50</v>
      </c>
      <c r="CD696" s="19">
        <v>50</v>
      </c>
      <c r="CE696" s="20" t="s">
        <v>81</v>
      </c>
      <c r="CF696" s="5">
        <v>200</v>
      </c>
      <c r="CG696" s="5">
        <f t="shared" si="88"/>
        <v>8.3999999999999986</v>
      </c>
      <c r="CH696" s="5">
        <f t="shared" si="89"/>
        <v>5.6</v>
      </c>
      <c r="CI696" s="5">
        <f t="shared" si="90"/>
        <v>3.9252741259243091</v>
      </c>
      <c r="CJ696" s="2">
        <f t="shared" si="91"/>
        <v>7930</v>
      </c>
      <c r="CK696" s="48"/>
    </row>
    <row r="697" spans="79:89" x14ac:dyDescent="0.25">
      <c r="CA697" s="2" t="s">
        <v>397</v>
      </c>
      <c r="CB697" s="43">
        <v>4.3326347999999975</v>
      </c>
      <c r="CC697" s="19">
        <v>50</v>
      </c>
      <c r="CD697" s="19">
        <v>50</v>
      </c>
      <c r="CE697" s="20" t="s">
        <v>82</v>
      </c>
      <c r="CF697" s="5">
        <v>200</v>
      </c>
      <c r="CG697" s="5">
        <f t="shared" si="88"/>
        <v>8.6999999999999993</v>
      </c>
      <c r="CH697" s="5">
        <f t="shared" si="89"/>
        <v>5.8</v>
      </c>
      <c r="CI697" s="5">
        <f t="shared" si="90"/>
        <v>4.046393290691765</v>
      </c>
      <c r="CJ697" s="2">
        <f t="shared" si="91"/>
        <v>7930</v>
      </c>
      <c r="CK697" s="48"/>
    </row>
    <row r="698" spans="79:89" x14ac:dyDescent="0.25">
      <c r="CA698" s="2" t="s">
        <v>398</v>
      </c>
      <c r="CB698" s="43">
        <v>4.4725199999999994</v>
      </c>
      <c r="CC698" s="19">
        <v>50</v>
      </c>
      <c r="CD698" s="19">
        <v>50</v>
      </c>
      <c r="CE698" s="20" t="s">
        <v>83</v>
      </c>
      <c r="CF698" s="5">
        <v>200</v>
      </c>
      <c r="CG698" s="5">
        <f t="shared" si="88"/>
        <v>9</v>
      </c>
      <c r="CH698" s="5">
        <f t="shared" si="89"/>
        <v>6</v>
      </c>
      <c r="CI698" s="5">
        <f t="shared" si="90"/>
        <v>4.166197338433518</v>
      </c>
      <c r="CJ698" s="2">
        <f t="shared" si="91"/>
        <v>7930</v>
      </c>
      <c r="CK698" s="48"/>
    </row>
    <row r="699" spans="79:89" x14ac:dyDescent="0.25">
      <c r="CA699" s="2" t="s">
        <v>399</v>
      </c>
      <c r="CB699" s="43">
        <v>4.6117708000000013</v>
      </c>
      <c r="CC699" s="19">
        <v>50</v>
      </c>
      <c r="CD699" s="19">
        <v>50</v>
      </c>
      <c r="CE699" s="20" t="s">
        <v>84</v>
      </c>
      <c r="CF699" s="5">
        <v>200</v>
      </c>
      <c r="CG699" s="5">
        <f t="shared" si="88"/>
        <v>9.3000000000000007</v>
      </c>
      <c r="CH699" s="5">
        <f t="shared" si="89"/>
        <v>6.2</v>
      </c>
      <c r="CI699" s="5">
        <f t="shared" si="90"/>
        <v>4.2846862691495664</v>
      </c>
      <c r="CJ699" s="2">
        <f t="shared" si="91"/>
        <v>7930</v>
      </c>
      <c r="CK699" s="48"/>
    </row>
    <row r="700" spans="79:89" x14ac:dyDescent="0.25">
      <c r="CA700" s="2" t="s">
        <v>400</v>
      </c>
      <c r="CB700" s="43">
        <v>4.7503871999999996</v>
      </c>
      <c r="CC700" s="19">
        <v>50</v>
      </c>
      <c r="CD700" s="19">
        <v>50</v>
      </c>
      <c r="CE700" s="20" t="s">
        <v>85</v>
      </c>
      <c r="CF700" s="5">
        <v>200</v>
      </c>
      <c r="CG700" s="5">
        <f t="shared" si="88"/>
        <v>9.6000000000000014</v>
      </c>
      <c r="CH700" s="5">
        <f t="shared" si="89"/>
        <v>6.4</v>
      </c>
      <c r="CI700" s="5">
        <f t="shared" si="90"/>
        <v>4.4018600828399137</v>
      </c>
      <c r="CJ700" s="2">
        <f t="shared" si="91"/>
        <v>7930</v>
      </c>
      <c r="CK700" s="48"/>
    </row>
    <row r="701" spans="79:89" x14ac:dyDescent="0.25">
      <c r="CA701" s="2" t="s">
        <v>401</v>
      </c>
      <c r="CB701" s="43">
        <v>4.8883691999999996</v>
      </c>
      <c r="CC701" s="19">
        <v>50</v>
      </c>
      <c r="CD701" s="19">
        <v>50</v>
      </c>
      <c r="CE701" s="20" t="s">
        <v>86</v>
      </c>
      <c r="CF701" s="5">
        <v>200</v>
      </c>
      <c r="CG701" s="5">
        <f t="shared" si="88"/>
        <v>9.8999999999999986</v>
      </c>
      <c r="CH701" s="5">
        <f t="shared" si="89"/>
        <v>6.6</v>
      </c>
      <c r="CI701" s="5">
        <f t="shared" si="90"/>
        <v>4.5177187795045564</v>
      </c>
      <c r="CJ701" s="2">
        <f t="shared" si="91"/>
        <v>7930</v>
      </c>
      <c r="CK701" s="48"/>
    </row>
    <row r="702" spans="79:89" x14ac:dyDescent="0.25">
      <c r="CA702" s="2" t="s">
        <v>402</v>
      </c>
      <c r="CB702" s="43">
        <v>5.0257167999999979</v>
      </c>
      <c r="CC702" s="19">
        <v>50</v>
      </c>
      <c r="CD702" s="19">
        <v>50</v>
      </c>
      <c r="CE702" s="20" t="s">
        <v>87</v>
      </c>
      <c r="CF702" s="5">
        <v>200</v>
      </c>
      <c r="CG702" s="5">
        <f t="shared" si="88"/>
        <v>10.199999999999999</v>
      </c>
      <c r="CH702" s="5">
        <f t="shared" si="89"/>
        <v>6.8</v>
      </c>
      <c r="CI702" s="5">
        <f t="shared" si="90"/>
        <v>4.632262359143497</v>
      </c>
      <c r="CJ702" s="2">
        <f t="shared" si="91"/>
        <v>7930</v>
      </c>
      <c r="CK702" s="48"/>
    </row>
    <row r="703" spans="79:89" x14ac:dyDescent="0.25">
      <c r="CA703" s="2" t="s">
        <v>403</v>
      </c>
      <c r="CB703" s="43">
        <v>1.87148</v>
      </c>
      <c r="CC703" s="19">
        <v>40</v>
      </c>
      <c r="CD703" s="19">
        <v>80</v>
      </c>
      <c r="CE703" s="20" t="s">
        <v>65</v>
      </c>
      <c r="CF703" s="5">
        <v>240</v>
      </c>
      <c r="CG703" s="5">
        <f t="shared" si="88"/>
        <v>3</v>
      </c>
      <c r="CH703" s="5">
        <f t="shared" si="89"/>
        <v>2</v>
      </c>
      <c r="CI703" s="5">
        <f t="shared" si="90"/>
        <v>1.8374441487148352</v>
      </c>
      <c r="CJ703" s="2">
        <f t="shared" si="91"/>
        <v>7930</v>
      </c>
      <c r="CK703" s="48"/>
    </row>
    <row r="704" spans="79:89" x14ac:dyDescent="0.25">
      <c r="CA704" s="2" t="s">
        <v>404</v>
      </c>
      <c r="CB704" s="43">
        <v>2.0551388000000026</v>
      </c>
      <c r="CC704" s="19">
        <v>40</v>
      </c>
      <c r="CD704" s="19">
        <v>80</v>
      </c>
      <c r="CE704" s="20" t="s">
        <v>66</v>
      </c>
      <c r="CF704" s="5">
        <v>240</v>
      </c>
      <c r="CG704" s="5">
        <f t="shared" si="88"/>
        <v>3.3000000000000003</v>
      </c>
      <c r="CH704" s="5">
        <f t="shared" si="89"/>
        <v>2.2000000000000002</v>
      </c>
      <c r="CI704" s="5">
        <f t="shared" si="90"/>
        <v>2.0139554199449505</v>
      </c>
      <c r="CJ704" s="2">
        <f t="shared" si="91"/>
        <v>7930</v>
      </c>
      <c r="CK704" s="48"/>
    </row>
    <row r="705" spans="79:89" x14ac:dyDescent="0.25">
      <c r="CA705" s="2" t="s">
        <v>405</v>
      </c>
      <c r="CB705" s="43">
        <v>2.2381632000000016</v>
      </c>
      <c r="CC705" s="19">
        <v>40</v>
      </c>
      <c r="CD705" s="19">
        <v>80</v>
      </c>
      <c r="CE705" s="20" t="s">
        <v>67</v>
      </c>
      <c r="CF705" s="5">
        <v>240</v>
      </c>
      <c r="CG705" s="5">
        <f t="shared" si="88"/>
        <v>3.5999999999999996</v>
      </c>
      <c r="CH705" s="5">
        <f t="shared" si="89"/>
        <v>2.4</v>
      </c>
      <c r="CI705" s="5">
        <f t="shared" si="90"/>
        <v>2.1891515741493626</v>
      </c>
      <c r="CJ705" s="2">
        <f t="shared" si="91"/>
        <v>7930</v>
      </c>
      <c r="CK705" s="48"/>
    </row>
    <row r="706" spans="79:89" x14ac:dyDescent="0.25">
      <c r="CA706" s="2" t="s">
        <v>406</v>
      </c>
      <c r="CB706" s="43">
        <v>2.602308799999999</v>
      </c>
      <c r="CC706" s="19">
        <v>40</v>
      </c>
      <c r="CD706" s="19">
        <v>80</v>
      </c>
      <c r="CE706" s="20" t="s">
        <v>68</v>
      </c>
      <c r="CF706" s="5">
        <v>240</v>
      </c>
      <c r="CG706" s="5">
        <f t="shared" si="88"/>
        <v>4.1999999999999993</v>
      </c>
      <c r="CH706" s="5">
        <f t="shared" si="89"/>
        <v>2.8</v>
      </c>
      <c r="CI706" s="5">
        <f t="shared" si="90"/>
        <v>2.5355985314810772</v>
      </c>
      <c r="CJ706" s="2">
        <f t="shared" si="91"/>
        <v>7930</v>
      </c>
      <c r="CK706" s="48"/>
    </row>
    <row r="707" spans="79:89" x14ac:dyDescent="0.25">
      <c r="CA707" s="2" t="s">
        <v>407</v>
      </c>
      <c r="CB707" s="43">
        <v>2.7834299999999996</v>
      </c>
      <c r="CC707" s="19">
        <v>40</v>
      </c>
      <c r="CD707" s="19">
        <v>80</v>
      </c>
      <c r="CE707" s="20" t="s">
        <v>69</v>
      </c>
      <c r="CF707" s="5">
        <v>240</v>
      </c>
      <c r="CG707" s="5">
        <f t="shared" si="88"/>
        <v>4.5</v>
      </c>
      <c r="CH707" s="5">
        <f t="shared" si="89"/>
        <v>3</v>
      </c>
      <c r="CI707" s="5">
        <f t="shared" si="90"/>
        <v>2.7068493346083793</v>
      </c>
      <c r="CJ707" s="2">
        <f t="shared" si="91"/>
        <v>7930</v>
      </c>
      <c r="CK707" s="48"/>
    </row>
    <row r="708" spans="79:89" x14ac:dyDescent="0.25">
      <c r="CA708" s="2" t="s">
        <v>408</v>
      </c>
      <c r="CB708" s="43">
        <v>2.9639168000000016</v>
      </c>
      <c r="CC708" s="19">
        <v>40</v>
      </c>
      <c r="CD708" s="19">
        <v>80</v>
      </c>
      <c r="CE708" s="20" t="s">
        <v>70</v>
      </c>
      <c r="CF708" s="5">
        <v>240</v>
      </c>
      <c r="CG708" s="5">
        <f t="shared" ref="CG708:CG771" si="92">IF(CE708&lt;=6,2,IF(CE708&lt;=10,2.5,3))*CE708</f>
        <v>4.8000000000000007</v>
      </c>
      <c r="CH708" s="5">
        <f t="shared" ref="CH708:CH771" si="93">IF(CE708&lt;=6,1,IF(CE708&lt;=10,1.5,2))*CE708</f>
        <v>3.2</v>
      </c>
      <c r="CI708" s="5">
        <f t="shared" ref="CI708:CI771" si="94">(2*CE708*(CC708+CD708-2*CE708)-(4-PI())*(CG708^2-CH708^2))/1000000*CJ708</f>
        <v>2.8767850207099781</v>
      </c>
      <c r="CJ708" s="2">
        <f t="shared" ref="CJ708:CJ771" si="95">IF(LEFT(CA708,4)="Inox",7930,7850)</f>
        <v>7930</v>
      </c>
      <c r="CK708" s="48"/>
    </row>
    <row r="709" spans="79:89" x14ac:dyDescent="0.25">
      <c r="CA709" s="2" t="s">
        <v>409</v>
      </c>
      <c r="CB709" s="43">
        <v>3.1437692000000004</v>
      </c>
      <c r="CC709" s="19">
        <v>40</v>
      </c>
      <c r="CD709" s="19">
        <v>80</v>
      </c>
      <c r="CE709" s="20" t="s">
        <v>71</v>
      </c>
      <c r="CF709" s="5">
        <v>240</v>
      </c>
      <c r="CG709" s="5">
        <f t="shared" si="92"/>
        <v>5.0999999999999996</v>
      </c>
      <c r="CH709" s="5">
        <f t="shared" si="93"/>
        <v>3.4</v>
      </c>
      <c r="CI709" s="5">
        <f t="shared" si="94"/>
        <v>3.0454055897858741</v>
      </c>
      <c r="CJ709" s="2">
        <f t="shared" si="95"/>
        <v>7930</v>
      </c>
      <c r="CK709" s="48"/>
    </row>
    <row r="710" spans="79:89" x14ac:dyDescent="0.25">
      <c r="CA710" s="2" t="s">
        <v>410</v>
      </c>
      <c r="CB710" s="43">
        <v>3.3229871999999991</v>
      </c>
      <c r="CC710" s="19">
        <v>40</v>
      </c>
      <c r="CD710" s="19">
        <v>80</v>
      </c>
      <c r="CE710" s="20" t="s">
        <v>72</v>
      </c>
      <c r="CF710" s="5">
        <v>240</v>
      </c>
      <c r="CG710" s="5">
        <f t="shared" si="92"/>
        <v>5.4</v>
      </c>
      <c r="CH710" s="5">
        <f t="shared" si="93"/>
        <v>3.6</v>
      </c>
      <c r="CI710" s="5">
        <f t="shared" si="94"/>
        <v>3.2127110418360667</v>
      </c>
      <c r="CJ710" s="2">
        <f t="shared" si="95"/>
        <v>7930</v>
      </c>
      <c r="CK710" s="48"/>
    </row>
    <row r="711" spans="79:89" x14ac:dyDescent="0.25">
      <c r="CA711" s="2" t="s">
        <v>411</v>
      </c>
      <c r="CB711" s="43">
        <v>3.5015707999999957</v>
      </c>
      <c r="CC711" s="19">
        <v>40</v>
      </c>
      <c r="CD711" s="19">
        <v>80</v>
      </c>
      <c r="CE711" s="20" t="s">
        <v>73</v>
      </c>
      <c r="CF711" s="5">
        <v>240</v>
      </c>
      <c r="CG711" s="5">
        <f t="shared" si="92"/>
        <v>5.6999999999999993</v>
      </c>
      <c r="CH711" s="5">
        <f t="shared" si="93"/>
        <v>3.8</v>
      </c>
      <c r="CI711" s="5">
        <f t="shared" si="94"/>
        <v>3.3787013768605552</v>
      </c>
      <c r="CJ711" s="2">
        <f t="shared" si="95"/>
        <v>7930</v>
      </c>
      <c r="CK711" s="48"/>
    </row>
    <row r="712" spans="79:89" x14ac:dyDescent="0.25">
      <c r="CA712" s="2" t="s">
        <v>412</v>
      </c>
      <c r="CB712" s="43">
        <v>3.6795200000000001</v>
      </c>
      <c r="CC712" s="19">
        <v>40</v>
      </c>
      <c r="CD712" s="19">
        <v>80</v>
      </c>
      <c r="CE712" s="20" t="s">
        <v>74</v>
      </c>
      <c r="CF712" s="5">
        <v>240</v>
      </c>
      <c r="CG712" s="5">
        <f t="shared" si="92"/>
        <v>6</v>
      </c>
      <c r="CH712" s="5">
        <f t="shared" si="93"/>
        <v>4</v>
      </c>
      <c r="CI712" s="5">
        <f t="shared" si="94"/>
        <v>3.5433765948593416</v>
      </c>
      <c r="CJ712" s="2">
        <f t="shared" si="95"/>
        <v>7930</v>
      </c>
      <c r="CK712" s="48"/>
    </row>
    <row r="713" spans="79:89" x14ac:dyDescent="0.25">
      <c r="CA713" s="2" t="s">
        <v>413</v>
      </c>
      <c r="CB713" s="43">
        <v>3.8568348000000006</v>
      </c>
      <c r="CC713" s="19">
        <v>40</v>
      </c>
      <c r="CD713" s="19">
        <v>80</v>
      </c>
      <c r="CE713" s="20" t="s">
        <v>75</v>
      </c>
      <c r="CF713" s="5">
        <v>240</v>
      </c>
      <c r="CG713" s="5">
        <f t="shared" si="92"/>
        <v>6.3000000000000007</v>
      </c>
      <c r="CH713" s="5">
        <f t="shared" si="93"/>
        <v>4.2</v>
      </c>
      <c r="CI713" s="5">
        <f t="shared" si="94"/>
        <v>3.7067366958324239</v>
      </c>
      <c r="CJ713" s="2">
        <f t="shared" si="95"/>
        <v>7930</v>
      </c>
      <c r="CK713" s="48"/>
    </row>
    <row r="714" spans="79:89" x14ac:dyDescent="0.25">
      <c r="CA714" s="2" t="s">
        <v>414</v>
      </c>
      <c r="CB714" s="43">
        <v>4.0335151999999992</v>
      </c>
      <c r="CC714" s="19">
        <v>40</v>
      </c>
      <c r="CD714" s="19">
        <v>80</v>
      </c>
      <c r="CE714" s="20" t="s">
        <v>76</v>
      </c>
      <c r="CF714" s="5">
        <v>240</v>
      </c>
      <c r="CG714" s="5">
        <f t="shared" si="92"/>
        <v>6.6000000000000005</v>
      </c>
      <c r="CH714" s="5">
        <f t="shared" si="93"/>
        <v>4.4000000000000004</v>
      </c>
      <c r="CI714" s="5">
        <f t="shared" si="94"/>
        <v>3.8687816797798029</v>
      </c>
      <c r="CJ714" s="2">
        <f t="shared" si="95"/>
        <v>7930</v>
      </c>
      <c r="CK714" s="48"/>
    </row>
    <row r="715" spans="79:89" x14ac:dyDescent="0.25">
      <c r="CA715" s="2" t="s">
        <v>415</v>
      </c>
      <c r="CB715" s="43">
        <v>4.2095611999999969</v>
      </c>
      <c r="CC715" s="19">
        <v>40</v>
      </c>
      <c r="CD715" s="19">
        <v>80</v>
      </c>
      <c r="CE715" s="20" t="s">
        <v>77</v>
      </c>
      <c r="CF715" s="5">
        <v>240</v>
      </c>
      <c r="CG715" s="5">
        <f t="shared" si="92"/>
        <v>6.8999999999999995</v>
      </c>
      <c r="CH715" s="5">
        <f t="shared" si="93"/>
        <v>4.5999999999999996</v>
      </c>
      <c r="CI715" s="5">
        <f t="shared" si="94"/>
        <v>4.029511546701479</v>
      </c>
      <c r="CJ715" s="2">
        <f t="shared" si="95"/>
        <v>7930</v>
      </c>
      <c r="CK715" s="48"/>
    </row>
    <row r="716" spans="79:89" x14ac:dyDescent="0.25">
      <c r="CA716" s="2" t="s">
        <v>416</v>
      </c>
      <c r="CB716" s="43">
        <v>4.3849727999999963</v>
      </c>
      <c r="CC716" s="19">
        <v>40</v>
      </c>
      <c r="CD716" s="19">
        <v>80</v>
      </c>
      <c r="CE716" s="20" t="s">
        <v>78</v>
      </c>
      <c r="CF716" s="5">
        <v>240</v>
      </c>
      <c r="CG716" s="5">
        <f t="shared" si="92"/>
        <v>7.1999999999999993</v>
      </c>
      <c r="CH716" s="5">
        <f t="shared" si="93"/>
        <v>4.8</v>
      </c>
      <c r="CI716" s="5">
        <f t="shared" si="94"/>
        <v>4.1889262965974519</v>
      </c>
      <c r="CJ716" s="2">
        <f t="shared" si="95"/>
        <v>7930</v>
      </c>
      <c r="CK716" s="48"/>
    </row>
    <row r="717" spans="79:89" x14ac:dyDescent="0.25">
      <c r="CA717" s="2" t="s">
        <v>417</v>
      </c>
      <c r="CB717" s="43">
        <v>4.5597500000000002</v>
      </c>
      <c r="CC717" s="19">
        <v>40</v>
      </c>
      <c r="CD717" s="19">
        <v>80</v>
      </c>
      <c r="CE717" s="20" t="s">
        <v>79</v>
      </c>
      <c r="CF717" s="5">
        <v>240</v>
      </c>
      <c r="CG717" s="5">
        <f t="shared" si="92"/>
        <v>7.5</v>
      </c>
      <c r="CH717" s="5">
        <f t="shared" si="93"/>
        <v>5</v>
      </c>
      <c r="CI717" s="5">
        <f t="shared" si="94"/>
        <v>4.34702592946772</v>
      </c>
      <c r="CJ717" s="2">
        <f t="shared" si="95"/>
        <v>7930</v>
      </c>
      <c r="CK717" s="48"/>
    </row>
    <row r="718" spans="79:89" x14ac:dyDescent="0.25">
      <c r="CA718" s="2" t="s">
        <v>418</v>
      </c>
      <c r="CB718" s="43">
        <v>4.9074012000000016</v>
      </c>
      <c r="CC718" s="19">
        <v>40</v>
      </c>
      <c r="CD718" s="19">
        <v>80</v>
      </c>
      <c r="CE718" s="20" t="s">
        <v>80</v>
      </c>
      <c r="CF718" s="5">
        <v>240</v>
      </c>
      <c r="CG718" s="5">
        <f t="shared" si="92"/>
        <v>8.1000000000000014</v>
      </c>
      <c r="CH718" s="5">
        <f t="shared" si="93"/>
        <v>5.4</v>
      </c>
      <c r="CI718" s="5">
        <f t="shared" si="94"/>
        <v>4.6592798441311487</v>
      </c>
      <c r="CJ718" s="2">
        <f t="shared" si="95"/>
        <v>7930</v>
      </c>
      <c r="CK718" s="48"/>
    </row>
    <row r="719" spans="79:89" x14ac:dyDescent="0.25">
      <c r="CA719" s="2" t="s">
        <v>419</v>
      </c>
      <c r="CB719" s="43">
        <v>5.0802751999999982</v>
      </c>
      <c r="CC719" s="19">
        <v>40</v>
      </c>
      <c r="CD719" s="19">
        <v>80</v>
      </c>
      <c r="CE719" s="20" t="s">
        <v>81</v>
      </c>
      <c r="CF719" s="5">
        <v>240</v>
      </c>
      <c r="CG719" s="5">
        <f t="shared" si="92"/>
        <v>8.3999999999999986</v>
      </c>
      <c r="CH719" s="5">
        <f t="shared" si="93"/>
        <v>5.6</v>
      </c>
      <c r="CI719" s="5">
        <f t="shared" si="94"/>
        <v>4.8134341259243092</v>
      </c>
      <c r="CJ719" s="2">
        <f t="shared" si="95"/>
        <v>7930</v>
      </c>
      <c r="CK719" s="48"/>
    </row>
    <row r="720" spans="79:89" x14ac:dyDescent="0.25">
      <c r="CA720" s="2" t="s">
        <v>420</v>
      </c>
      <c r="CB720" s="43">
        <v>5.2525147999999975</v>
      </c>
      <c r="CC720" s="19">
        <v>40</v>
      </c>
      <c r="CD720" s="19">
        <v>80</v>
      </c>
      <c r="CE720" s="20" t="s">
        <v>82</v>
      </c>
      <c r="CF720" s="5">
        <v>240</v>
      </c>
      <c r="CG720" s="5">
        <f t="shared" si="92"/>
        <v>8.6999999999999993</v>
      </c>
      <c r="CH720" s="5">
        <f t="shared" si="93"/>
        <v>5.8</v>
      </c>
      <c r="CI720" s="5">
        <f t="shared" si="94"/>
        <v>4.966273290691765</v>
      </c>
      <c r="CJ720" s="2">
        <f t="shared" si="95"/>
        <v>7930</v>
      </c>
      <c r="CK720" s="48"/>
    </row>
    <row r="721" spans="79:89" x14ac:dyDescent="0.25">
      <c r="CA721" s="2" t="s">
        <v>421</v>
      </c>
      <c r="CB721" s="43">
        <v>5.4241199999999994</v>
      </c>
      <c r="CC721" s="19">
        <v>40</v>
      </c>
      <c r="CD721" s="19">
        <v>80</v>
      </c>
      <c r="CE721" s="20" t="s">
        <v>83</v>
      </c>
      <c r="CF721" s="5">
        <v>240</v>
      </c>
      <c r="CG721" s="5">
        <f t="shared" si="92"/>
        <v>9</v>
      </c>
      <c r="CH721" s="5">
        <f t="shared" si="93"/>
        <v>6</v>
      </c>
      <c r="CI721" s="5">
        <f t="shared" si="94"/>
        <v>5.117797338433518</v>
      </c>
      <c r="CJ721" s="2">
        <f t="shared" si="95"/>
        <v>7930</v>
      </c>
      <c r="CK721" s="48"/>
    </row>
    <row r="722" spans="79:89" x14ac:dyDescent="0.25">
      <c r="CA722" s="2" t="s">
        <v>422</v>
      </c>
      <c r="CB722" s="43">
        <v>5.595090800000003</v>
      </c>
      <c r="CC722" s="19">
        <v>40</v>
      </c>
      <c r="CD722" s="19">
        <v>80</v>
      </c>
      <c r="CE722" s="20" t="s">
        <v>84</v>
      </c>
      <c r="CF722" s="5">
        <v>240</v>
      </c>
      <c r="CG722" s="5">
        <f t="shared" si="92"/>
        <v>9.3000000000000007</v>
      </c>
      <c r="CH722" s="5">
        <f t="shared" si="93"/>
        <v>6.2</v>
      </c>
      <c r="CI722" s="5">
        <f t="shared" si="94"/>
        <v>5.2680062691495673</v>
      </c>
      <c r="CJ722" s="2">
        <f t="shared" si="95"/>
        <v>7930</v>
      </c>
      <c r="CK722" s="48"/>
    </row>
    <row r="723" spans="79:89" x14ac:dyDescent="0.25">
      <c r="CA723" s="2" t="s">
        <v>423</v>
      </c>
      <c r="CB723" s="43">
        <v>5.7654271999999995</v>
      </c>
      <c r="CC723" s="19">
        <v>40</v>
      </c>
      <c r="CD723" s="19">
        <v>80</v>
      </c>
      <c r="CE723" s="20" t="s">
        <v>85</v>
      </c>
      <c r="CF723" s="5">
        <v>240</v>
      </c>
      <c r="CG723" s="5">
        <f t="shared" si="92"/>
        <v>9.6000000000000014</v>
      </c>
      <c r="CH723" s="5">
        <f t="shared" si="93"/>
        <v>6.4</v>
      </c>
      <c r="CI723" s="5">
        <f t="shared" si="94"/>
        <v>5.4169000828399136</v>
      </c>
      <c r="CJ723" s="2">
        <f t="shared" si="95"/>
        <v>7930</v>
      </c>
      <c r="CK723" s="48"/>
    </row>
    <row r="724" spans="79:89" x14ac:dyDescent="0.25">
      <c r="CA724" s="2" t="s">
        <v>424</v>
      </c>
      <c r="CB724" s="43">
        <v>6.1041967999999978</v>
      </c>
      <c r="CC724" s="19">
        <v>40</v>
      </c>
      <c r="CD724" s="19">
        <v>80</v>
      </c>
      <c r="CE724" s="20" t="s">
        <v>87</v>
      </c>
      <c r="CF724" s="5">
        <v>240</v>
      </c>
      <c r="CG724" s="5">
        <f t="shared" si="92"/>
        <v>10.199999999999999</v>
      </c>
      <c r="CH724" s="5">
        <f t="shared" si="93"/>
        <v>6.8</v>
      </c>
      <c r="CI724" s="5">
        <f t="shared" si="94"/>
        <v>5.710742359143496</v>
      </c>
      <c r="CJ724" s="2">
        <f t="shared" si="95"/>
        <v>7930</v>
      </c>
      <c r="CK724" s="48"/>
    </row>
    <row r="725" spans="79:89" x14ac:dyDescent="0.25">
      <c r="CA725" s="2" t="s">
        <v>425</v>
      </c>
      <c r="CB725" s="43">
        <v>6.2726299999999995</v>
      </c>
      <c r="CC725" s="19">
        <v>40</v>
      </c>
      <c r="CD725" s="19">
        <v>80</v>
      </c>
      <c r="CE725" s="20" t="s">
        <v>88</v>
      </c>
      <c r="CF725" s="5">
        <v>240</v>
      </c>
      <c r="CG725" s="5">
        <f t="shared" si="92"/>
        <v>10.5</v>
      </c>
      <c r="CH725" s="5">
        <f t="shared" si="93"/>
        <v>7</v>
      </c>
      <c r="CI725" s="5">
        <f t="shared" si="94"/>
        <v>5.8556908217567329</v>
      </c>
      <c r="CJ725" s="2">
        <f t="shared" si="95"/>
        <v>7930</v>
      </c>
      <c r="CK725" s="48"/>
    </row>
    <row r="726" spans="79:89" x14ac:dyDescent="0.25">
      <c r="CA726" s="2" t="s">
        <v>426</v>
      </c>
      <c r="CB726" s="43">
        <v>1.87148</v>
      </c>
      <c r="CC726" s="19">
        <v>60</v>
      </c>
      <c r="CD726" s="19">
        <v>60</v>
      </c>
      <c r="CE726" s="20" t="s">
        <v>65</v>
      </c>
      <c r="CF726" s="5">
        <v>240</v>
      </c>
      <c r="CG726" s="5">
        <f t="shared" si="92"/>
        <v>3</v>
      </c>
      <c r="CH726" s="5">
        <f t="shared" si="93"/>
        <v>2</v>
      </c>
      <c r="CI726" s="5">
        <f t="shared" si="94"/>
        <v>1.8374441487148352</v>
      </c>
      <c r="CJ726" s="2">
        <f t="shared" si="95"/>
        <v>7930</v>
      </c>
      <c r="CK726" s="48"/>
    </row>
    <row r="727" spans="79:89" x14ac:dyDescent="0.25">
      <c r="CA727" s="2" t="s">
        <v>427</v>
      </c>
      <c r="CB727" s="43">
        <v>2.0551388000000026</v>
      </c>
      <c r="CC727" s="19">
        <v>60</v>
      </c>
      <c r="CD727" s="19">
        <v>60</v>
      </c>
      <c r="CE727" s="20" t="s">
        <v>66</v>
      </c>
      <c r="CF727" s="5">
        <v>240</v>
      </c>
      <c r="CG727" s="5">
        <f t="shared" si="92"/>
        <v>3.3000000000000003</v>
      </c>
      <c r="CH727" s="5">
        <f t="shared" si="93"/>
        <v>2.2000000000000002</v>
      </c>
      <c r="CI727" s="5">
        <f t="shared" si="94"/>
        <v>2.0139554199449505</v>
      </c>
      <c r="CJ727" s="2">
        <f t="shared" si="95"/>
        <v>7930</v>
      </c>
      <c r="CK727" s="48"/>
    </row>
    <row r="728" spans="79:89" x14ac:dyDescent="0.25">
      <c r="CA728" s="2" t="s">
        <v>428</v>
      </c>
      <c r="CB728" s="43">
        <v>2.2381631999999985</v>
      </c>
      <c r="CC728" s="19">
        <v>60</v>
      </c>
      <c r="CD728" s="19">
        <v>60</v>
      </c>
      <c r="CE728" s="20" t="s">
        <v>67</v>
      </c>
      <c r="CF728" s="5">
        <v>240</v>
      </c>
      <c r="CG728" s="5">
        <f t="shared" si="92"/>
        <v>3.5999999999999996</v>
      </c>
      <c r="CH728" s="5">
        <f t="shared" si="93"/>
        <v>2.4</v>
      </c>
      <c r="CI728" s="5">
        <f t="shared" si="94"/>
        <v>2.1891515741493626</v>
      </c>
      <c r="CJ728" s="2">
        <f t="shared" si="95"/>
        <v>7930</v>
      </c>
      <c r="CK728" s="48"/>
    </row>
    <row r="729" spans="79:89" x14ac:dyDescent="0.25">
      <c r="CA729" s="2" t="s">
        <v>429</v>
      </c>
      <c r="CB729" s="43">
        <v>2.602308799999999</v>
      </c>
      <c r="CC729" s="19">
        <v>60</v>
      </c>
      <c r="CD729" s="19">
        <v>60</v>
      </c>
      <c r="CE729" s="20" t="s">
        <v>68</v>
      </c>
      <c r="CF729" s="5">
        <v>240</v>
      </c>
      <c r="CG729" s="5">
        <f t="shared" si="92"/>
        <v>4.1999999999999993</v>
      </c>
      <c r="CH729" s="5">
        <f t="shared" si="93"/>
        <v>2.8</v>
      </c>
      <c r="CI729" s="5">
        <f t="shared" si="94"/>
        <v>2.5355985314810772</v>
      </c>
      <c r="CJ729" s="2">
        <f t="shared" si="95"/>
        <v>7930</v>
      </c>
      <c r="CK729" s="48"/>
    </row>
    <row r="730" spans="79:89" x14ac:dyDescent="0.25">
      <c r="CA730" s="2" t="s">
        <v>430</v>
      </c>
      <c r="CB730" s="43">
        <v>2.7834299999999996</v>
      </c>
      <c r="CC730" s="19">
        <v>60</v>
      </c>
      <c r="CD730" s="19">
        <v>60</v>
      </c>
      <c r="CE730" s="20" t="s">
        <v>69</v>
      </c>
      <c r="CF730" s="5">
        <v>240</v>
      </c>
      <c r="CG730" s="5">
        <f t="shared" si="92"/>
        <v>4.5</v>
      </c>
      <c r="CH730" s="5">
        <f t="shared" si="93"/>
        <v>3</v>
      </c>
      <c r="CI730" s="5">
        <f t="shared" si="94"/>
        <v>2.7068493346083793</v>
      </c>
      <c r="CJ730" s="2">
        <f t="shared" si="95"/>
        <v>7930</v>
      </c>
      <c r="CK730" s="48"/>
    </row>
    <row r="731" spans="79:89" x14ac:dyDescent="0.25">
      <c r="CA731" s="2" t="s">
        <v>431</v>
      </c>
      <c r="CB731" s="43">
        <v>2.9639168000000016</v>
      </c>
      <c r="CC731" s="19">
        <v>60</v>
      </c>
      <c r="CD731" s="19">
        <v>60</v>
      </c>
      <c r="CE731" s="20" t="s">
        <v>70</v>
      </c>
      <c r="CF731" s="5">
        <v>240</v>
      </c>
      <c r="CG731" s="5">
        <f t="shared" si="92"/>
        <v>4.8000000000000007</v>
      </c>
      <c r="CH731" s="5">
        <f t="shared" si="93"/>
        <v>3.2</v>
      </c>
      <c r="CI731" s="5">
        <f t="shared" si="94"/>
        <v>2.8767850207099781</v>
      </c>
      <c r="CJ731" s="2">
        <f t="shared" si="95"/>
        <v>7930</v>
      </c>
      <c r="CK731" s="48"/>
    </row>
    <row r="732" spans="79:89" x14ac:dyDescent="0.25">
      <c r="CA732" s="2" t="s">
        <v>432</v>
      </c>
      <c r="CB732" s="43">
        <v>3.1437692000000004</v>
      </c>
      <c r="CC732" s="19">
        <v>60</v>
      </c>
      <c r="CD732" s="19">
        <v>60</v>
      </c>
      <c r="CE732" s="20" t="s">
        <v>71</v>
      </c>
      <c r="CF732" s="5">
        <v>240</v>
      </c>
      <c r="CG732" s="5">
        <f t="shared" si="92"/>
        <v>5.0999999999999996</v>
      </c>
      <c r="CH732" s="5">
        <f t="shared" si="93"/>
        <v>3.4</v>
      </c>
      <c r="CI732" s="5">
        <f t="shared" si="94"/>
        <v>3.0454055897858741</v>
      </c>
      <c r="CJ732" s="2">
        <f t="shared" si="95"/>
        <v>7930</v>
      </c>
      <c r="CK732" s="48"/>
    </row>
    <row r="733" spans="79:89" x14ac:dyDescent="0.25">
      <c r="CA733" s="2" t="s">
        <v>433</v>
      </c>
      <c r="CB733" s="43">
        <v>3.3229871999999991</v>
      </c>
      <c r="CC733" s="19">
        <v>60</v>
      </c>
      <c r="CD733" s="19">
        <v>60</v>
      </c>
      <c r="CE733" s="20" t="s">
        <v>72</v>
      </c>
      <c r="CF733" s="5">
        <v>240</v>
      </c>
      <c r="CG733" s="5">
        <f t="shared" si="92"/>
        <v>5.4</v>
      </c>
      <c r="CH733" s="5">
        <f t="shared" si="93"/>
        <v>3.6</v>
      </c>
      <c r="CI733" s="5">
        <f t="shared" si="94"/>
        <v>3.2127110418360667</v>
      </c>
      <c r="CJ733" s="2">
        <f t="shared" si="95"/>
        <v>7930</v>
      </c>
      <c r="CK733" s="48"/>
    </row>
    <row r="734" spans="79:89" x14ac:dyDescent="0.25">
      <c r="CA734" s="2" t="s">
        <v>434</v>
      </c>
      <c r="CB734" s="43">
        <v>3.5015707999999957</v>
      </c>
      <c r="CC734" s="19">
        <v>60</v>
      </c>
      <c r="CD734" s="19">
        <v>60</v>
      </c>
      <c r="CE734" s="20" t="s">
        <v>73</v>
      </c>
      <c r="CF734" s="5">
        <v>240</v>
      </c>
      <c r="CG734" s="5">
        <f t="shared" si="92"/>
        <v>5.6999999999999993</v>
      </c>
      <c r="CH734" s="5">
        <f t="shared" si="93"/>
        <v>3.8</v>
      </c>
      <c r="CI734" s="5">
        <f t="shared" si="94"/>
        <v>3.3787013768605552</v>
      </c>
      <c r="CJ734" s="2">
        <f t="shared" si="95"/>
        <v>7930</v>
      </c>
      <c r="CK734" s="48"/>
    </row>
    <row r="735" spans="79:89" x14ac:dyDescent="0.25">
      <c r="CA735" s="2" t="s">
        <v>435</v>
      </c>
      <c r="CB735" s="43">
        <v>3.6795200000000001</v>
      </c>
      <c r="CC735" s="19">
        <v>60</v>
      </c>
      <c r="CD735" s="19">
        <v>60</v>
      </c>
      <c r="CE735" s="20" t="s">
        <v>74</v>
      </c>
      <c r="CF735" s="5">
        <v>240</v>
      </c>
      <c r="CG735" s="5">
        <f t="shared" si="92"/>
        <v>6</v>
      </c>
      <c r="CH735" s="5">
        <f t="shared" si="93"/>
        <v>4</v>
      </c>
      <c r="CI735" s="5">
        <f t="shared" si="94"/>
        <v>3.5433765948593416</v>
      </c>
      <c r="CJ735" s="2">
        <f t="shared" si="95"/>
        <v>7930</v>
      </c>
      <c r="CK735" s="48"/>
    </row>
    <row r="736" spans="79:89" x14ac:dyDescent="0.25">
      <c r="CA736" s="2" t="s">
        <v>436</v>
      </c>
      <c r="CB736" s="43">
        <v>3.8568348000000006</v>
      </c>
      <c r="CC736" s="19">
        <v>60</v>
      </c>
      <c r="CD736" s="19">
        <v>60</v>
      </c>
      <c r="CE736" s="20" t="s">
        <v>75</v>
      </c>
      <c r="CF736" s="5">
        <v>240</v>
      </c>
      <c r="CG736" s="5">
        <f t="shared" si="92"/>
        <v>6.3000000000000007</v>
      </c>
      <c r="CH736" s="5">
        <f t="shared" si="93"/>
        <v>4.2</v>
      </c>
      <c r="CI736" s="5">
        <f t="shared" si="94"/>
        <v>3.7067366958324239</v>
      </c>
      <c r="CJ736" s="2">
        <f t="shared" si="95"/>
        <v>7930</v>
      </c>
      <c r="CK736" s="48"/>
    </row>
    <row r="737" spans="79:89" x14ac:dyDescent="0.25">
      <c r="CA737" s="2" t="s">
        <v>437</v>
      </c>
      <c r="CB737" s="43">
        <v>4.0335151999999992</v>
      </c>
      <c r="CC737" s="19">
        <v>60</v>
      </c>
      <c r="CD737" s="19">
        <v>60</v>
      </c>
      <c r="CE737" s="20" t="s">
        <v>76</v>
      </c>
      <c r="CF737" s="5">
        <v>240</v>
      </c>
      <c r="CG737" s="5">
        <f t="shared" si="92"/>
        <v>6.6000000000000005</v>
      </c>
      <c r="CH737" s="5">
        <f t="shared" si="93"/>
        <v>4.4000000000000004</v>
      </c>
      <c r="CI737" s="5">
        <f t="shared" si="94"/>
        <v>3.8687816797798029</v>
      </c>
      <c r="CJ737" s="2">
        <f t="shared" si="95"/>
        <v>7930</v>
      </c>
      <c r="CK737" s="48"/>
    </row>
    <row r="738" spans="79:89" x14ac:dyDescent="0.25">
      <c r="CA738" s="2" t="s">
        <v>438</v>
      </c>
      <c r="CB738" s="43">
        <v>4.2095612000000004</v>
      </c>
      <c r="CC738" s="19">
        <v>60</v>
      </c>
      <c r="CD738" s="19">
        <v>60</v>
      </c>
      <c r="CE738" s="20" t="s">
        <v>77</v>
      </c>
      <c r="CF738" s="5">
        <v>240</v>
      </c>
      <c r="CG738" s="5">
        <f t="shared" si="92"/>
        <v>6.8999999999999995</v>
      </c>
      <c r="CH738" s="5">
        <f t="shared" si="93"/>
        <v>4.5999999999999996</v>
      </c>
      <c r="CI738" s="5">
        <f t="shared" si="94"/>
        <v>4.029511546701479</v>
      </c>
      <c r="CJ738" s="2">
        <f t="shared" si="95"/>
        <v>7930</v>
      </c>
      <c r="CK738" s="48"/>
    </row>
    <row r="739" spans="79:89" x14ac:dyDescent="0.25">
      <c r="CA739" s="2" t="s">
        <v>439</v>
      </c>
      <c r="CB739" s="43">
        <v>4.3849727999999963</v>
      </c>
      <c r="CC739" s="19">
        <v>60</v>
      </c>
      <c r="CD739" s="19">
        <v>60</v>
      </c>
      <c r="CE739" s="20" t="s">
        <v>78</v>
      </c>
      <c r="CF739" s="5">
        <v>240</v>
      </c>
      <c r="CG739" s="5">
        <f t="shared" si="92"/>
        <v>7.1999999999999993</v>
      </c>
      <c r="CH739" s="5">
        <f t="shared" si="93"/>
        <v>4.8</v>
      </c>
      <c r="CI739" s="5">
        <f t="shared" si="94"/>
        <v>4.1889262965974519</v>
      </c>
      <c r="CJ739" s="2">
        <f t="shared" si="95"/>
        <v>7930</v>
      </c>
      <c r="CK739" s="48"/>
    </row>
    <row r="740" spans="79:89" x14ac:dyDescent="0.25">
      <c r="CA740" s="2" t="s">
        <v>440</v>
      </c>
      <c r="CB740" s="43">
        <v>4.5597500000000002</v>
      </c>
      <c r="CC740" s="19">
        <v>60</v>
      </c>
      <c r="CD740" s="19">
        <v>60</v>
      </c>
      <c r="CE740" s="20" t="s">
        <v>79</v>
      </c>
      <c r="CF740" s="5">
        <v>240</v>
      </c>
      <c r="CG740" s="5">
        <f t="shared" si="92"/>
        <v>7.5</v>
      </c>
      <c r="CH740" s="5">
        <f t="shared" si="93"/>
        <v>5</v>
      </c>
      <c r="CI740" s="5">
        <f t="shared" si="94"/>
        <v>4.34702592946772</v>
      </c>
      <c r="CJ740" s="2">
        <f t="shared" si="95"/>
        <v>7930</v>
      </c>
      <c r="CK740" s="48"/>
    </row>
    <row r="741" spans="79:89" x14ac:dyDescent="0.25">
      <c r="CA741" s="2" t="s">
        <v>441</v>
      </c>
      <c r="CB741" s="43">
        <v>4.9074011999999971</v>
      </c>
      <c r="CC741" s="19">
        <v>60</v>
      </c>
      <c r="CD741" s="19">
        <v>60</v>
      </c>
      <c r="CE741" s="20" t="s">
        <v>80</v>
      </c>
      <c r="CF741" s="5">
        <v>240</v>
      </c>
      <c r="CG741" s="5">
        <f t="shared" si="92"/>
        <v>8.1000000000000014</v>
      </c>
      <c r="CH741" s="5">
        <f t="shared" si="93"/>
        <v>5.4</v>
      </c>
      <c r="CI741" s="5">
        <f t="shared" si="94"/>
        <v>4.6592798441311487</v>
      </c>
      <c r="CJ741" s="2">
        <f t="shared" si="95"/>
        <v>7930</v>
      </c>
      <c r="CK741" s="48"/>
    </row>
    <row r="742" spans="79:89" x14ac:dyDescent="0.25">
      <c r="CA742" s="2" t="s">
        <v>442</v>
      </c>
      <c r="CB742" s="43">
        <v>5.0802752000000018</v>
      </c>
      <c r="CC742" s="19">
        <v>60</v>
      </c>
      <c r="CD742" s="19">
        <v>60</v>
      </c>
      <c r="CE742" s="20" t="s">
        <v>81</v>
      </c>
      <c r="CF742" s="5">
        <v>240</v>
      </c>
      <c r="CG742" s="5">
        <f t="shared" si="92"/>
        <v>8.3999999999999986</v>
      </c>
      <c r="CH742" s="5">
        <f t="shared" si="93"/>
        <v>5.6</v>
      </c>
      <c r="CI742" s="5">
        <f t="shared" si="94"/>
        <v>4.8134341259243092</v>
      </c>
      <c r="CJ742" s="2">
        <f t="shared" si="95"/>
        <v>7930</v>
      </c>
      <c r="CK742" s="48"/>
    </row>
    <row r="743" spans="79:89" x14ac:dyDescent="0.25">
      <c r="CA743" s="2" t="s">
        <v>443</v>
      </c>
      <c r="CB743" s="43">
        <v>5.2525147999999975</v>
      </c>
      <c r="CC743" s="19">
        <v>60</v>
      </c>
      <c r="CD743" s="19">
        <v>60</v>
      </c>
      <c r="CE743" s="20" t="s">
        <v>82</v>
      </c>
      <c r="CF743" s="5">
        <v>240</v>
      </c>
      <c r="CG743" s="5">
        <f t="shared" si="92"/>
        <v>8.6999999999999993</v>
      </c>
      <c r="CH743" s="5">
        <f t="shared" si="93"/>
        <v>5.8</v>
      </c>
      <c r="CI743" s="5">
        <f t="shared" si="94"/>
        <v>4.966273290691765</v>
      </c>
      <c r="CJ743" s="2">
        <f t="shared" si="95"/>
        <v>7930</v>
      </c>
      <c r="CK743" s="48"/>
    </row>
    <row r="744" spans="79:89" x14ac:dyDescent="0.25">
      <c r="CA744" s="2" t="s">
        <v>444</v>
      </c>
      <c r="CB744" s="43">
        <v>5.4241199999999994</v>
      </c>
      <c r="CC744" s="19">
        <v>60</v>
      </c>
      <c r="CD744" s="19">
        <v>60</v>
      </c>
      <c r="CE744" s="20" t="s">
        <v>83</v>
      </c>
      <c r="CF744" s="5">
        <v>240</v>
      </c>
      <c r="CG744" s="5">
        <f t="shared" si="92"/>
        <v>9</v>
      </c>
      <c r="CH744" s="5">
        <f t="shared" si="93"/>
        <v>6</v>
      </c>
      <c r="CI744" s="5">
        <f t="shared" si="94"/>
        <v>5.117797338433518</v>
      </c>
      <c r="CJ744" s="2">
        <f t="shared" si="95"/>
        <v>7930</v>
      </c>
      <c r="CK744" s="48"/>
    </row>
    <row r="745" spans="79:89" x14ac:dyDescent="0.25">
      <c r="CA745" s="2" t="s">
        <v>445</v>
      </c>
      <c r="CB745" s="43">
        <v>5.595090800000003</v>
      </c>
      <c r="CC745" s="19">
        <v>60</v>
      </c>
      <c r="CD745" s="19">
        <v>60</v>
      </c>
      <c r="CE745" s="20" t="s">
        <v>84</v>
      </c>
      <c r="CF745" s="5">
        <v>240</v>
      </c>
      <c r="CG745" s="5">
        <f t="shared" si="92"/>
        <v>9.3000000000000007</v>
      </c>
      <c r="CH745" s="5">
        <f t="shared" si="93"/>
        <v>6.2</v>
      </c>
      <c r="CI745" s="5">
        <f t="shared" si="94"/>
        <v>5.2680062691495673</v>
      </c>
      <c r="CJ745" s="2">
        <f t="shared" si="95"/>
        <v>7930</v>
      </c>
      <c r="CK745" s="48"/>
    </row>
    <row r="746" spans="79:89" x14ac:dyDescent="0.25">
      <c r="CA746" s="2" t="s">
        <v>446</v>
      </c>
      <c r="CB746" s="43">
        <v>5.7654271999999995</v>
      </c>
      <c r="CC746" s="19">
        <v>60</v>
      </c>
      <c r="CD746" s="19">
        <v>60</v>
      </c>
      <c r="CE746" s="20" t="s">
        <v>85</v>
      </c>
      <c r="CF746" s="5">
        <v>240</v>
      </c>
      <c r="CG746" s="5">
        <f t="shared" si="92"/>
        <v>9.6000000000000014</v>
      </c>
      <c r="CH746" s="5">
        <f t="shared" si="93"/>
        <v>6.4</v>
      </c>
      <c r="CI746" s="5">
        <f t="shared" si="94"/>
        <v>5.4169000828399136</v>
      </c>
      <c r="CJ746" s="2">
        <f t="shared" si="95"/>
        <v>7930</v>
      </c>
      <c r="CK746" s="48"/>
    </row>
    <row r="747" spans="79:89" x14ac:dyDescent="0.25">
      <c r="CA747" s="2" t="s">
        <v>447</v>
      </c>
      <c r="CB747" s="43">
        <v>6.1041967999999978</v>
      </c>
      <c r="CC747" s="19">
        <v>60</v>
      </c>
      <c r="CD747" s="19">
        <v>60</v>
      </c>
      <c r="CE747" s="20" t="s">
        <v>87</v>
      </c>
      <c r="CF747" s="5">
        <v>240</v>
      </c>
      <c r="CG747" s="5">
        <f t="shared" si="92"/>
        <v>10.199999999999999</v>
      </c>
      <c r="CH747" s="5">
        <f t="shared" si="93"/>
        <v>6.8</v>
      </c>
      <c r="CI747" s="5">
        <f t="shared" si="94"/>
        <v>5.710742359143496</v>
      </c>
      <c r="CJ747" s="2">
        <f t="shared" si="95"/>
        <v>7930</v>
      </c>
      <c r="CK747" s="48"/>
    </row>
    <row r="748" spans="79:89" x14ac:dyDescent="0.25">
      <c r="CA748" s="2" t="s">
        <v>448</v>
      </c>
      <c r="CB748" s="43">
        <v>6.2726299999999995</v>
      </c>
      <c r="CC748" s="19">
        <v>60</v>
      </c>
      <c r="CD748" s="19">
        <v>60</v>
      </c>
      <c r="CE748" s="20" t="s">
        <v>88</v>
      </c>
      <c r="CF748" s="5">
        <v>240</v>
      </c>
      <c r="CG748" s="5">
        <f t="shared" si="92"/>
        <v>10.5</v>
      </c>
      <c r="CH748" s="5">
        <f t="shared" si="93"/>
        <v>7</v>
      </c>
      <c r="CI748" s="5">
        <f t="shared" si="94"/>
        <v>5.8556908217567329</v>
      </c>
      <c r="CJ748" s="2">
        <f t="shared" si="95"/>
        <v>7930</v>
      </c>
      <c r="CK748" s="48"/>
    </row>
    <row r="749" spans="79:89" x14ac:dyDescent="0.25">
      <c r="CA749" s="2" t="s">
        <v>449</v>
      </c>
      <c r="CB749" s="43">
        <v>3.046388799999995</v>
      </c>
      <c r="CC749" s="19">
        <v>40</v>
      </c>
      <c r="CD749" s="19">
        <v>100</v>
      </c>
      <c r="CE749" s="20" t="s">
        <v>68</v>
      </c>
      <c r="CF749" s="5">
        <v>280</v>
      </c>
      <c r="CG749" s="5">
        <f t="shared" si="92"/>
        <v>4.1999999999999993</v>
      </c>
      <c r="CH749" s="5">
        <f t="shared" si="93"/>
        <v>2.8</v>
      </c>
      <c r="CI749" s="5">
        <f t="shared" si="94"/>
        <v>2.9796785314810768</v>
      </c>
      <c r="CJ749" s="2">
        <f t="shared" si="95"/>
        <v>7930</v>
      </c>
      <c r="CK749" s="48"/>
    </row>
    <row r="750" spans="79:89" x14ac:dyDescent="0.25">
      <c r="CA750" s="2" t="s">
        <v>450</v>
      </c>
      <c r="CB750" s="43">
        <v>3.2592299999999996</v>
      </c>
      <c r="CC750" s="19">
        <v>40</v>
      </c>
      <c r="CD750" s="19">
        <v>100</v>
      </c>
      <c r="CE750" s="20" t="s">
        <v>69</v>
      </c>
      <c r="CF750" s="5">
        <v>280</v>
      </c>
      <c r="CG750" s="5">
        <f t="shared" si="92"/>
        <v>4.5</v>
      </c>
      <c r="CH750" s="5">
        <f t="shared" si="93"/>
        <v>3</v>
      </c>
      <c r="CI750" s="5">
        <f t="shared" si="94"/>
        <v>3.1826493346083793</v>
      </c>
      <c r="CJ750" s="2">
        <f t="shared" si="95"/>
        <v>7930</v>
      </c>
      <c r="CK750" s="48"/>
    </row>
    <row r="751" spans="79:89" x14ac:dyDescent="0.25">
      <c r="CA751" s="2" t="s">
        <v>451</v>
      </c>
      <c r="CB751" s="43">
        <v>3.4714368000000015</v>
      </c>
      <c r="CC751" s="19">
        <v>40</v>
      </c>
      <c r="CD751" s="19">
        <v>100</v>
      </c>
      <c r="CE751" s="20" t="s">
        <v>70</v>
      </c>
      <c r="CF751" s="5">
        <v>280</v>
      </c>
      <c r="CG751" s="5">
        <f t="shared" si="92"/>
        <v>4.8000000000000007</v>
      </c>
      <c r="CH751" s="5">
        <f t="shared" si="93"/>
        <v>3.2</v>
      </c>
      <c r="CI751" s="5">
        <f t="shared" si="94"/>
        <v>3.384305020709979</v>
      </c>
      <c r="CJ751" s="2">
        <f t="shared" si="95"/>
        <v>7930</v>
      </c>
      <c r="CK751" s="48"/>
    </row>
    <row r="752" spans="79:89" x14ac:dyDescent="0.25">
      <c r="CA752" s="2" t="s">
        <v>452</v>
      </c>
      <c r="CB752" s="43">
        <v>3.6830092000000003</v>
      </c>
      <c r="CC752" s="19">
        <v>40</v>
      </c>
      <c r="CD752" s="19">
        <v>100</v>
      </c>
      <c r="CE752" s="20" t="s">
        <v>71</v>
      </c>
      <c r="CF752" s="5">
        <v>280</v>
      </c>
      <c r="CG752" s="5">
        <f t="shared" si="92"/>
        <v>5.0999999999999996</v>
      </c>
      <c r="CH752" s="5">
        <f t="shared" si="93"/>
        <v>3.4</v>
      </c>
      <c r="CI752" s="5">
        <f t="shared" si="94"/>
        <v>3.584645589785874</v>
      </c>
      <c r="CJ752" s="2">
        <f t="shared" si="95"/>
        <v>7930</v>
      </c>
      <c r="CK752" s="48"/>
    </row>
    <row r="753" spans="79:89" x14ac:dyDescent="0.25">
      <c r="CA753" s="2" t="s">
        <v>453</v>
      </c>
      <c r="CB753" s="43">
        <v>3.8939471999999999</v>
      </c>
      <c r="CC753" s="19">
        <v>40</v>
      </c>
      <c r="CD753" s="19">
        <v>100</v>
      </c>
      <c r="CE753" s="20" t="s">
        <v>72</v>
      </c>
      <c r="CF753" s="5">
        <v>280</v>
      </c>
      <c r="CG753" s="5">
        <f t="shared" si="92"/>
        <v>5.4</v>
      </c>
      <c r="CH753" s="5">
        <f t="shared" si="93"/>
        <v>3.6</v>
      </c>
      <c r="CI753" s="5">
        <f t="shared" si="94"/>
        <v>3.7836710418360666</v>
      </c>
      <c r="CJ753" s="2">
        <f t="shared" si="95"/>
        <v>7930</v>
      </c>
      <c r="CK753" s="48"/>
    </row>
    <row r="754" spans="79:89" x14ac:dyDescent="0.25">
      <c r="CA754" s="2" t="s">
        <v>454</v>
      </c>
      <c r="CB754" s="43">
        <v>4.1042507999999955</v>
      </c>
      <c r="CC754" s="19">
        <v>40</v>
      </c>
      <c r="CD754" s="19">
        <v>100</v>
      </c>
      <c r="CE754" s="20" t="s">
        <v>73</v>
      </c>
      <c r="CF754" s="5">
        <v>280</v>
      </c>
      <c r="CG754" s="5">
        <f t="shared" si="92"/>
        <v>5.6999999999999993</v>
      </c>
      <c r="CH754" s="5">
        <f t="shared" si="93"/>
        <v>3.8</v>
      </c>
      <c r="CI754" s="5">
        <f t="shared" si="94"/>
        <v>3.981381376860555</v>
      </c>
      <c r="CJ754" s="2">
        <f t="shared" si="95"/>
        <v>7930</v>
      </c>
      <c r="CK754" s="48"/>
    </row>
    <row r="755" spans="79:89" x14ac:dyDescent="0.25">
      <c r="CA755" s="2" t="s">
        <v>455</v>
      </c>
      <c r="CB755" s="43">
        <v>4.3139199999999995</v>
      </c>
      <c r="CC755" s="19">
        <v>40</v>
      </c>
      <c r="CD755" s="19">
        <v>100</v>
      </c>
      <c r="CE755" s="20" t="s">
        <v>74</v>
      </c>
      <c r="CF755" s="5">
        <v>280</v>
      </c>
      <c r="CG755" s="5">
        <f t="shared" si="92"/>
        <v>6</v>
      </c>
      <c r="CH755" s="5">
        <f t="shared" si="93"/>
        <v>4</v>
      </c>
      <c r="CI755" s="5">
        <f t="shared" si="94"/>
        <v>4.1777765948593411</v>
      </c>
      <c r="CJ755" s="2">
        <f t="shared" si="95"/>
        <v>7930</v>
      </c>
      <c r="CK755" s="48"/>
    </row>
    <row r="756" spans="79:89" x14ac:dyDescent="0.25">
      <c r="CA756" s="2" t="s">
        <v>456</v>
      </c>
      <c r="CB756" s="43">
        <v>4.5229548000000044</v>
      </c>
      <c r="CC756" s="19">
        <v>40</v>
      </c>
      <c r="CD756" s="19">
        <v>100</v>
      </c>
      <c r="CE756" s="20" t="s">
        <v>75</v>
      </c>
      <c r="CF756" s="5">
        <v>280</v>
      </c>
      <c r="CG756" s="5">
        <f t="shared" si="92"/>
        <v>6.3000000000000007</v>
      </c>
      <c r="CH756" s="5">
        <f t="shared" si="93"/>
        <v>4.2</v>
      </c>
      <c r="CI756" s="5">
        <f t="shared" si="94"/>
        <v>4.3728566958324242</v>
      </c>
      <c r="CJ756" s="2">
        <f t="shared" si="95"/>
        <v>7930</v>
      </c>
      <c r="CK756" s="48"/>
    </row>
    <row r="757" spans="79:89" x14ac:dyDescent="0.25">
      <c r="CA757" s="2" t="s">
        <v>457</v>
      </c>
      <c r="CB757" s="43">
        <v>4.7313551999999985</v>
      </c>
      <c r="CC757" s="19">
        <v>40</v>
      </c>
      <c r="CD757" s="19">
        <v>100</v>
      </c>
      <c r="CE757" s="20" t="s">
        <v>76</v>
      </c>
      <c r="CF757" s="5">
        <v>280</v>
      </c>
      <c r="CG757" s="5">
        <f t="shared" si="92"/>
        <v>6.6000000000000005</v>
      </c>
      <c r="CH757" s="5">
        <f t="shared" si="93"/>
        <v>4.4000000000000004</v>
      </c>
      <c r="CI757" s="5">
        <f t="shared" si="94"/>
        <v>4.5666216797798027</v>
      </c>
      <c r="CJ757" s="2">
        <f t="shared" si="95"/>
        <v>7930</v>
      </c>
      <c r="CK757" s="48"/>
    </row>
    <row r="758" spans="79:89" x14ac:dyDescent="0.25">
      <c r="CA758" s="2" t="s">
        <v>458</v>
      </c>
      <c r="CB758" s="43">
        <v>4.9391212000000015</v>
      </c>
      <c r="CC758" s="19">
        <v>40</v>
      </c>
      <c r="CD758" s="19">
        <v>100</v>
      </c>
      <c r="CE758" s="20" t="s">
        <v>77</v>
      </c>
      <c r="CF758" s="5">
        <v>280</v>
      </c>
      <c r="CG758" s="5">
        <f t="shared" si="92"/>
        <v>6.8999999999999995</v>
      </c>
      <c r="CH758" s="5">
        <f t="shared" si="93"/>
        <v>4.5999999999999996</v>
      </c>
      <c r="CI758" s="5">
        <f t="shared" si="94"/>
        <v>4.7590715467014801</v>
      </c>
      <c r="CJ758" s="2">
        <f t="shared" si="95"/>
        <v>7930</v>
      </c>
      <c r="CK758" s="48"/>
    </row>
    <row r="759" spans="79:89" x14ac:dyDescent="0.25">
      <c r="CA759" s="2" t="s">
        <v>459</v>
      </c>
      <c r="CB759" s="43">
        <v>5.1462527999999965</v>
      </c>
      <c r="CC759" s="19">
        <v>40</v>
      </c>
      <c r="CD759" s="19">
        <v>100</v>
      </c>
      <c r="CE759" s="20" t="s">
        <v>78</v>
      </c>
      <c r="CF759" s="5">
        <v>280</v>
      </c>
      <c r="CG759" s="5">
        <f t="shared" si="92"/>
        <v>7.1999999999999993</v>
      </c>
      <c r="CH759" s="5">
        <f t="shared" si="93"/>
        <v>4.8</v>
      </c>
      <c r="CI759" s="5">
        <f t="shared" si="94"/>
        <v>4.9502062965974511</v>
      </c>
      <c r="CJ759" s="2">
        <f t="shared" si="95"/>
        <v>7930</v>
      </c>
      <c r="CK759" s="48"/>
    </row>
    <row r="760" spans="79:89" x14ac:dyDescent="0.25">
      <c r="CA760" s="2" t="s">
        <v>460</v>
      </c>
      <c r="CB760" s="43">
        <v>5.3527499999999995</v>
      </c>
      <c r="CC760" s="19">
        <v>40</v>
      </c>
      <c r="CD760" s="19">
        <v>100</v>
      </c>
      <c r="CE760" s="20" t="s">
        <v>79</v>
      </c>
      <c r="CF760" s="5">
        <v>280</v>
      </c>
      <c r="CG760" s="5">
        <f t="shared" si="92"/>
        <v>7.5</v>
      </c>
      <c r="CH760" s="5">
        <f t="shared" si="93"/>
        <v>5</v>
      </c>
      <c r="CI760" s="5">
        <f t="shared" si="94"/>
        <v>5.1400259294677202</v>
      </c>
      <c r="CJ760" s="2">
        <f t="shared" si="95"/>
        <v>7930</v>
      </c>
      <c r="CK760" s="48"/>
    </row>
    <row r="761" spans="79:89" x14ac:dyDescent="0.25">
      <c r="CA761" s="2" t="s">
        <v>461</v>
      </c>
      <c r="CB761" s="43">
        <v>5.7638412000000008</v>
      </c>
      <c r="CC761" s="19">
        <v>40</v>
      </c>
      <c r="CD761" s="19">
        <v>100</v>
      </c>
      <c r="CE761" s="20" t="s">
        <v>80</v>
      </c>
      <c r="CF761" s="5">
        <v>280</v>
      </c>
      <c r="CG761" s="5">
        <f t="shared" si="92"/>
        <v>8.1000000000000014</v>
      </c>
      <c r="CH761" s="5">
        <f t="shared" si="93"/>
        <v>5.4</v>
      </c>
      <c r="CI761" s="5">
        <f t="shared" si="94"/>
        <v>5.5157198441311488</v>
      </c>
      <c r="CJ761" s="2">
        <f t="shared" si="95"/>
        <v>7930</v>
      </c>
      <c r="CK761" s="48"/>
    </row>
    <row r="762" spans="79:89" x14ac:dyDescent="0.25">
      <c r="CA762" s="2" t="s">
        <v>462</v>
      </c>
      <c r="CB762" s="43">
        <v>5.9684351999999992</v>
      </c>
      <c r="CC762" s="19">
        <v>40</v>
      </c>
      <c r="CD762" s="19">
        <v>100</v>
      </c>
      <c r="CE762" s="20" t="s">
        <v>81</v>
      </c>
      <c r="CF762" s="5">
        <v>280</v>
      </c>
      <c r="CG762" s="5">
        <f t="shared" si="92"/>
        <v>8.3999999999999986</v>
      </c>
      <c r="CH762" s="5">
        <f t="shared" si="93"/>
        <v>5.6</v>
      </c>
      <c r="CI762" s="5">
        <f t="shared" si="94"/>
        <v>5.7015941259243093</v>
      </c>
      <c r="CJ762" s="2">
        <f t="shared" si="95"/>
        <v>7930</v>
      </c>
      <c r="CK762" s="48"/>
    </row>
    <row r="763" spans="79:89" x14ac:dyDescent="0.25">
      <c r="CA763" s="2" t="s">
        <v>463</v>
      </c>
      <c r="CB763" s="43">
        <v>6.1723947999999975</v>
      </c>
      <c r="CC763" s="19">
        <v>40</v>
      </c>
      <c r="CD763" s="19">
        <v>100</v>
      </c>
      <c r="CE763" s="20" t="s">
        <v>82</v>
      </c>
      <c r="CF763" s="5">
        <v>280</v>
      </c>
      <c r="CG763" s="5">
        <f t="shared" si="92"/>
        <v>8.6999999999999993</v>
      </c>
      <c r="CH763" s="5">
        <f t="shared" si="93"/>
        <v>5.8</v>
      </c>
      <c r="CI763" s="5">
        <f t="shared" si="94"/>
        <v>5.8861532906917651</v>
      </c>
      <c r="CJ763" s="2">
        <f t="shared" si="95"/>
        <v>7930</v>
      </c>
      <c r="CK763" s="48"/>
    </row>
    <row r="764" spans="79:89" x14ac:dyDescent="0.25">
      <c r="CA764" s="2" t="s">
        <v>464</v>
      </c>
      <c r="CB764" s="43">
        <v>6.3757199999999994</v>
      </c>
      <c r="CC764" s="19">
        <v>40</v>
      </c>
      <c r="CD764" s="19">
        <v>100</v>
      </c>
      <c r="CE764" s="20" t="s">
        <v>83</v>
      </c>
      <c r="CF764" s="5">
        <v>280</v>
      </c>
      <c r="CG764" s="5">
        <f t="shared" si="92"/>
        <v>9</v>
      </c>
      <c r="CH764" s="5">
        <f t="shared" si="93"/>
        <v>6</v>
      </c>
      <c r="CI764" s="5">
        <f t="shared" si="94"/>
        <v>6.0693973384335171</v>
      </c>
      <c r="CJ764" s="2">
        <f t="shared" si="95"/>
        <v>7930</v>
      </c>
      <c r="CK764" s="48"/>
    </row>
    <row r="765" spans="79:89" x14ac:dyDescent="0.25">
      <c r="CA765" s="2" t="s">
        <v>465</v>
      </c>
      <c r="CB765" s="43">
        <v>6.578410800000003</v>
      </c>
      <c r="CC765" s="19">
        <v>40</v>
      </c>
      <c r="CD765" s="19">
        <v>100</v>
      </c>
      <c r="CE765" s="20" t="s">
        <v>84</v>
      </c>
      <c r="CF765" s="5">
        <v>280</v>
      </c>
      <c r="CG765" s="5">
        <f t="shared" si="92"/>
        <v>9.3000000000000007</v>
      </c>
      <c r="CH765" s="5">
        <f t="shared" si="93"/>
        <v>6.2</v>
      </c>
      <c r="CI765" s="5">
        <f t="shared" si="94"/>
        <v>6.2513262691495672</v>
      </c>
      <c r="CJ765" s="2">
        <f t="shared" si="95"/>
        <v>7930</v>
      </c>
      <c r="CK765" s="48"/>
    </row>
    <row r="766" spans="79:89" x14ac:dyDescent="0.25">
      <c r="CA766" s="2" t="s">
        <v>466</v>
      </c>
      <c r="CB766" s="43">
        <v>6.7804671999999995</v>
      </c>
      <c r="CC766" s="19">
        <v>40</v>
      </c>
      <c r="CD766" s="19">
        <v>100</v>
      </c>
      <c r="CE766" s="20" t="s">
        <v>85</v>
      </c>
      <c r="CF766" s="5">
        <v>280</v>
      </c>
      <c r="CG766" s="5">
        <f t="shared" si="92"/>
        <v>9.6000000000000014</v>
      </c>
      <c r="CH766" s="5">
        <f t="shared" si="93"/>
        <v>6.4</v>
      </c>
      <c r="CI766" s="5">
        <f t="shared" si="94"/>
        <v>6.4319400828399136</v>
      </c>
      <c r="CJ766" s="2">
        <f t="shared" si="95"/>
        <v>7930</v>
      </c>
      <c r="CK766" s="48"/>
    </row>
    <row r="767" spans="79:89" x14ac:dyDescent="0.25">
      <c r="CA767" s="2" t="s">
        <v>467</v>
      </c>
      <c r="CB767" s="43">
        <v>7.1826767999999976</v>
      </c>
      <c r="CC767" s="19">
        <v>40</v>
      </c>
      <c r="CD767" s="19">
        <v>100</v>
      </c>
      <c r="CE767" s="20" t="s">
        <v>87</v>
      </c>
      <c r="CF767" s="5">
        <v>280</v>
      </c>
      <c r="CG767" s="5">
        <f t="shared" si="92"/>
        <v>10.199999999999999</v>
      </c>
      <c r="CH767" s="5">
        <f t="shared" si="93"/>
        <v>6.8</v>
      </c>
      <c r="CI767" s="5">
        <f t="shared" si="94"/>
        <v>6.7892223591434959</v>
      </c>
      <c r="CJ767" s="2">
        <f t="shared" si="95"/>
        <v>7930</v>
      </c>
      <c r="CK767" s="48"/>
    </row>
    <row r="768" spans="79:89" x14ac:dyDescent="0.25">
      <c r="CA768" s="2" t="s">
        <v>468</v>
      </c>
      <c r="CB768" s="43">
        <v>7.3828299999999993</v>
      </c>
      <c r="CC768" s="19">
        <v>40</v>
      </c>
      <c r="CD768" s="19">
        <v>100</v>
      </c>
      <c r="CE768" s="20" t="s">
        <v>88</v>
      </c>
      <c r="CF768" s="5">
        <v>280</v>
      </c>
      <c r="CG768" s="5">
        <f t="shared" si="92"/>
        <v>10.5</v>
      </c>
      <c r="CH768" s="5">
        <f t="shared" si="93"/>
        <v>7</v>
      </c>
      <c r="CI768" s="5">
        <f t="shared" si="94"/>
        <v>6.9658908217567319</v>
      </c>
      <c r="CJ768" s="2">
        <f t="shared" si="95"/>
        <v>7930</v>
      </c>
      <c r="CK768" s="48"/>
    </row>
    <row r="769" spans="79:89" x14ac:dyDescent="0.25">
      <c r="CA769" s="2" t="s">
        <v>469</v>
      </c>
      <c r="CB769" s="43">
        <v>7.7812332000000017</v>
      </c>
      <c r="CC769" s="19">
        <v>40</v>
      </c>
      <c r="CD769" s="19">
        <v>100</v>
      </c>
      <c r="CE769" s="20" t="s">
        <v>89</v>
      </c>
      <c r="CF769" s="5">
        <v>280</v>
      </c>
      <c r="CG769" s="5">
        <f t="shared" si="92"/>
        <v>11.100000000000001</v>
      </c>
      <c r="CH769" s="5">
        <f t="shared" si="93"/>
        <v>7.4</v>
      </c>
      <c r="CI769" s="5">
        <f t="shared" si="94"/>
        <v>7.3152823959060944</v>
      </c>
      <c r="CJ769" s="2">
        <f t="shared" si="95"/>
        <v>7930</v>
      </c>
      <c r="CK769" s="48"/>
    </row>
    <row r="770" spans="79:89" x14ac:dyDescent="0.25">
      <c r="CA770" s="2" t="s">
        <v>470</v>
      </c>
      <c r="CB770" s="43">
        <v>7.9794831999999989</v>
      </c>
      <c r="CC770" s="19">
        <v>40</v>
      </c>
      <c r="CD770" s="19">
        <v>100</v>
      </c>
      <c r="CE770" s="20" t="s">
        <v>90</v>
      </c>
      <c r="CF770" s="5">
        <v>280</v>
      </c>
      <c r="CG770" s="5">
        <f t="shared" si="92"/>
        <v>11.399999999999999</v>
      </c>
      <c r="CH770" s="5">
        <f t="shared" si="93"/>
        <v>7.6</v>
      </c>
      <c r="CI770" s="5">
        <f t="shared" si="94"/>
        <v>7.4880055074422218</v>
      </c>
      <c r="CJ770" s="2">
        <f t="shared" si="95"/>
        <v>7930</v>
      </c>
      <c r="CK770" s="48"/>
    </row>
    <row r="771" spans="79:89" x14ac:dyDescent="0.25">
      <c r="CA771" s="2" t="s">
        <v>471</v>
      </c>
      <c r="CB771" s="43">
        <v>8.1770987999999978</v>
      </c>
      <c r="CC771" s="19">
        <v>40</v>
      </c>
      <c r="CD771" s="19">
        <v>100</v>
      </c>
      <c r="CE771" s="20" t="s">
        <v>91</v>
      </c>
      <c r="CF771" s="5">
        <v>280</v>
      </c>
      <c r="CG771" s="5">
        <f t="shared" si="92"/>
        <v>11.7</v>
      </c>
      <c r="CH771" s="5">
        <f t="shared" si="93"/>
        <v>7.8</v>
      </c>
      <c r="CI771" s="5">
        <f t="shared" si="94"/>
        <v>7.6594135019526446</v>
      </c>
      <c r="CJ771" s="2">
        <f t="shared" si="95"/>
        <v>7930</v>
      </c>
      <c r="CK771" s="48"/>
    </row>
    <row r="772" spans="79:89" x14ac:dyDescent="0.25">
      <c r="CA772" s="2" t="s">
        <v>472</v>
      </c>
      <c r="CB772" s="43">
        <v>8.3740799999999993</v>
      </c>
      <c r="CC772" s="19">
        <v>40</v>
      </c>
      <c r="CD772" s="19">
        <v>100</v>
      </c>
      <c r="CE772" s="20" t="s">
        <v>25</v>
      </c>
      <c r="CF772" s="5">
        <v>280</v>
      </c>
      <c r="CG772" s="5">
        <f t="shared" ref="CG772:CG835" si="96">IF(CE772&lt;=6,2,IF(CE772&lt;=10,2.5,3))*CE772</f>
        <v>12</v>
      </c>
      <c r="CH772" s="5">
        <f t="shared" ref="CH772:CH835" si="97">IF(CE772&lt;=6,1,IF(CE772&lt;=10,1.5,2))*CE772</f>
        <v>8</v>
      </c>
      <c r="CI772" s="5">
        <f t="shared" ref="CI772:CI835" si="98">(2*CE772*(CC772+CD772-2*CE772)-(4-PI())*(CG772^2-CH772^2))/1000000*CJ772</f>
        <v>7.8295063794373645</v>
      </c>
      <c r="CJ772" s="2">
        <f t="shared" ref="CJ772:CJ835" si="99">IF(LEFT(CA772,4)="Inox",7930,7850)</f>
        <v>7930</v>
      </c>
      <c r="CK772" s="48"/>
    </row>
    <row r="773" spans="79:89" x14ac:dyDescent="0.25">
      <c r="CA773" s="2" t="s">
        <v>473</v>
      </c>
      <c r="CB773" s="43">
        <v>3.2684287999999988</v>
      </c>
      <c r="CC773" s="19">
        <v>50</v>
      </c>
      <c r="CD773" s="19">
        <v>100</v>
      </c>
      <c r="CE773" s="20" t="s">
        <v>68</v>
      </c>
      <c r="CF773" s="5">
        <v>300</v>
      </c>
      <c r="CG773" s="5">
        <f t="shared" si="96"/>
        <v>4.1999999999999993</v>
      </c>
      <c r="CH773" s="5">
        <f t="shared" si="97"/>
        <v>2.8</v>
      </c>
      <c r="CI773" s="5">
        <f t="shared" si="98"/>
        <v>3.201718531481077</v>
      </c>
      <c r="CJ773" s="2">
        <f t="shared" si="99"/>
        <v>7930</v>
      </c>
      <c r="CK773" s="48"/>
    </row>
    <row r="774" spans="79:89" x14ac:dyDescent="0.25">
      <c r="CA774" s="2" t="s">
        <v>474</v>
      </c>
      <c r="CB774" s="43">
        <v>3.4971299999999998</v>
      </c>
      <c r="CC774" s="19">
        <v>50</v>
      </c>
      <c r="CD774" s="19">
        <v>100</v>
      </c>
      <c r="CE774" s="20" t="s">
        <v>69</v>
      </c>
      <c r="CF774" s="5">
        <v>300</v>
      </c>
      <c r="CG774" s="5">
        <f t="shared" si="96"/>
        <v>4.5</v>
      </c>
      <c r="CH774" s="5">
        <f t="shared" si="97"/>
        <v>3</v>
      </c>
      <c r="CI774" s="5">
        <f t="shared" si="98"/>
        <v>3.4205493346083795</v>
      </c>
      <c r="CJ774" s="2">
        <f t="shared" si="99"/>
        <v>7930</v>
      </c>
      <c r="CK774" s="48"/>
    </row>
    <row r="775" spans="79:89" x14ac:dyDescent="0.25">
      <c r="CA775" s="2" t="s">
        <v>475</v>
      </c>
      <c r="CB775" s="43">
        <v>3.7251968000000018</v>
      </c>
      <c r="CC775" s="19">
        <v>50</v>
      </c>
      <c r="CD775" s="19">
        <v>100</v>
      </c>
      <c r="CE775" s="20" t="s">
        <v>70</v>
      </c>
      <c r="CF775" s="5">
        <v>300</v>
      </c>
      <c r="CG775" s="5">
        <f t="shared" si="96"/>
        <v>4.8000000000000007</v>
      </c>
      <c r="CH775" s="5">
        <f t="shared" si="97"/>
        <v>3.2</v>
      </c>
      <c r="CI775" s="5">
        <f t="shared" si="98"/>
        <v>3.6380650207099787</v>
      </c>
      <c r="CJ775" s="2">
        <f t="shared" si="99"/>
        <v>7930</v>
      </c>
      <c r="CK775" s="48"/>
    </row>
    <row r="776" spans="79:89" x14ac:dyDescent="0.25">
      <c r="CA776" s="2" t="s">
        <v>476</v>
      </c>
      <c r="CB776" s="43">
        <v>3.9526292000000041</v>
      </c>
      <c r="CC776" s="19">
        <v>50</v>
      </c>
      <c r="CD776" s="19">
        <v>100</v>
      </c>
      <c r="CE776" s="20" t="s">
        <v>71</v>
      </c>
      <c r="CF776" s="5">
        <v>300</v>
      </c>
      <c r="CG776" s="5">
        <f t="shared" si="96"/>
        <v>5.0999999999999996</v>
      </c>
      <c r="CH776" s="5">
        <f t="shared" si="97"/>
        <v>3.4</v>
      </c>
      <c r="CI776" s="5">
        <f t="shared" si="98"/>
        <v>3.8542655897858733</v>
      </c>
      <c r="CJ776" s="2">
        <f t="shared" si="99"/>
        <v>7930</v>
      </c>
      <c r="CK776" s="48"/>
    </row>
    <row r="777" spans="79:89" x14ac:dyDescent="0.25">
      <c r="CA777" s="2" t="s">
        <v>477</v>
      </c>
      <c r="CB777" s="43">
        <v>4.1794271999999992</v>
      </c>
      <c r="CC777" s="19">
        <v>50</v>
      </c>
      <c r="CD777" s="19">
        <v>100</v>
      </c>
      <c r="CE777" s="20" t="s">
        <v>72</v>
      </c>
      <c r="CF777" s="5">
        <v>300</v>
      </c>
      <c r="CG777" s="5">
        <f t="shared" si="96"/>
        <v>5.4</v>
      </c>
      <c r="CH777" s="5">
        <f t="shared" si="97"/>
        <v>3.6</v>
      </c>
      <c r="CI777" s="5">
        <f t="shared" si="98"/>
        <v>4.0691510418360659</v>
      </c>
      <c r="CJ777" s="2">
        <f t="shared" si="99"/>
        <v>7930</v>
      </c>
      <c r="CK777" s="48"/>
    </row>
    <row r="778" spans="79:89" x14ac:dyDescent="0.25">
      <c r="CA778" s="2" t="s">
        <v>478</v>
      </c>
      <c r="CB778" s="43">
        <v>4.4055907999999953</v>
      </c>
      <c r="CC778" s="19">
        <v>50</v>
      </c>
      <c r="CD778" s="19">
        <v>100</v>
      </c>
      <c r="CE778" s="20" t="s">
        <v>73</v>
      </c>
      <c r="CF778" s="5">
        <v>300</v>
      </c>
      <c r="CG778" s="5">
        <f t="shared" si="96"/>
        <v>5.6999999999999993</v>
      </c>
      <c r="CH778" s="5">
        <f t="shared" si="97"/>
        <v>3.8</v>
      </c>
      <c r="CI778" s="5">
        <f t="shared" si="98"/>
        <v>4.2827213768605548</v>
      </c>
      <c r="CJ778" s="2">
        <f t="shared" si="99"/>
        <v>7930</v>
      </c>
      <c r="CK778" s="48"/>
    </row>
    <row r="779" spans="79:89" x14ac:dyDescent="0.25">
      <c r="CA779" s="2" t="s">
        <v>479</v>
      </c>
      <c r="CB779" s="43">
        <v>4.6311200000000001</v>
      </c>
      <c r="CC779" s="19">
        <v>50</v>
      </c>
      <c r="CD779" s="19">
        <v>100</v>
      </c>
      <c r="CE779" s="20" t="s">
        <v>74</v>
      </c>
      <c r="CF779" s="5">
        <v>300</v>
      </c>
      <c r="CG779" s="5">
        <f t="shared" si="96"/>
        <v>6</v>
      </c>
      <c r="CH779" s="5">
        <f t="shared" si="97"/>
        <v>4</v>
      </c>
      <c r="CI779" s="5">
        <f t="shared" si="98"/>
        <v>4.4949765948593416</v>
      </c>
      <c r="CJ779" s="2">
        <f t="shared" si="99"/>
        <v>7930</v>
      </c>
      <c r="CK779" s="48"/>
    </row>
    <row r="780" spans="79:89" x14ac:dyDescent="0.25">
      <c r="CA780" s="2" t="s">
        <v>480</v>
      </c>
      <c r="CB780" s="43">
        <v>4.856014800000005</v>
      </c>
      <c r="CC780" s="19">
        <v>50</v>
      </c>
      <c r="CD780" s="19">
        <v>100</v>
      </c>
      <c r="CE780" s="20" t="s">
        <v>75</v>
      </c>
      <c r="CF780" s="5">
        <v>300</v>
      </c>
      <c r="CG780" s="5">
        <f t="shared" si="96"/>
        <v>6.3000000000000007</v>
      </c>
      <c r="CH780" s="5">
        <f t="shared" si="97"/>
        <v>4.2</v>
      </c>
      <c r="CI780" s="5">
        <f t="shared" si="98"/>
        <v>4.7059166958324239</v>
      </c>
      <c r="CJ780" s="2">
        <f t="shared" si="99"/>
        <v>7930</v>
      </c>
      <c r="CK780" s="48"/>
    </row>
    <row r="781" spans="79:89" x14ac:dyDescent="0.25">
      <c r="CA781" s="2" t="s">
        <v>481</v>
      </c>
      <c r="CB781" s="43">
        <v>5.0802752000000018</v>
      </c>
      <c r="CC781" s="19">
        <v>50</v>
      </c>
      <c r="CD781" s="19">
        <v>100</v>
      </c>
      <c r="CE781" s="20" t="s">
        <v>76</v>
      </c>
      <c r="CF781" s="5">
        <v>300</v>
      </c>
      <c r="CG781" s="5">
        <f t="shared" si="96"/>
        <v>6.6000000000000005</v>
      </c>
      <c r="CH781" s="5">
        <f t="shared" si="97"/>
        <v>4.4000000000000004</v>
      </c>
      <c r="CI781" s="5">
        <f t="shared" si="98"/>
        <v>4.9155416797798033</v>
      </c>
      <c r="CJ781" s="2">
        <f t="shared" si="99"/>
        <v>7930</v>
      </c>
      <c r="CK781" s="48"/>
    </row>
    <row r="782" spans="79:89" x14ac:dyDescent="0.25">
      <c r="CA782" s="2" t="s">
        <v>482</v>
      </c>
      <c r="CB782" s="43">
        <v>5.3039012000000003</v>
      </c>
      <c r="CC782" s="19">
        <v>50</v>
      </c>
      <c r="CD782" s="19">
        <v>100</v>
      </c>
      <c r="CE782" s="20" t="s">
        <v>77</v>
      </c>
      <c r="CF782" s="5">
        <v>300</v>
      </c>
      <c r="CG782" s="5">
        <f t="shared" si="96"/>
        <v>6.8999999999999995</v>
      </c>
      <c r="CH782" s="5">
        <f t="shared" si="97"/>
        <v>4.5999999999999996</v>
      </c>
      <c r="CI782" s="5">
        <f t="shared" si="98"/>
        <v>5.123851546701478</v>
      </c>
      <c r="CJ782" s="2">
        <f t="shared" si="99"/>
        <v>7930</v>
      </c>
      <c r="CK782" s="48"/>
    </row>
    <row r="783" spans="79:89" x14ac:dyDescent="0.25">
      <c r="CA783" s="2" t="s">
        <v>483</v>
      </c>
      <c r="CB783" s="43">
        <v>5.5268928000000006</v>
      </c>
      <c r="CC783" s="19">
        <v>50</v>
      </c>
      <c r="CD783" s="19">
        <v>100</v>
      </c>
      <c r="CE783" s="20" t="s">
        <v>78</v>
      </c>
      <c r="CF783" s="5">
        <v>300</v>
      </c>
      <c r="CG783" s="5">
        <f t="shared" si="96"/>
        <v>7.1999999999999993</v>
      </c>
      <c r="CH783" s="5">
        <f t="shared" si="97"/>
        <v>4.8</v>
      </c>
      <c r="CI783" s="5">
        <f t="shared" si="98"/>
        <v>5.3308462965974508</v>
      </c>
      <c r="CJ783" s="2">
        <f t="shared" si="99"/>
        <v>7930</v>
      </c>
      <c r="CK783" s="48"/>
    </row>
    <row r="784" spans="79:89" x14ac:dyDescent="0.25">
      <c r="CA784" s="2" t="s">
        <v>484</v>
      </c>
      <c r="CB784" s="43">
        <v>5.74925</v>
      </c>
      <c r="CC784" s="19">
        <v>50</v>
      </c>
      <c r="CD784" s="19">
        <v>100</v>
      </c>
      <c r="CE784" s="20" t="s">
        <v>79</v>
      </c>
      <c r="CF784" s="5">
        <v>300</v>
      </c>
      <c r="CG784" s="5">
        <f t="shared" si="96"/>
        <v>7.5</v>
      </c>
      <c r="CH784" s="5">
        <f t="shared" si="97"/>
        <v>5</v>
      </c>
      <c r="CI784" s="5">
        <f t="shared" si="98"/>
        <v>5.5365259294677207</v>
      </c>
      <c r="CJ784" s="2">
        <f t="shared" si="99"/>
        <v>7930</v>
      </c>
      <c r="CK784" s="48"/>
    </row>
    <row r="785" spans="79:89" x14ac:dyDescent="0.25">
      <c r="CA785" s="2" t="s">
        <v>485</v>
      </c>
      <c r="CB785" s="43">
        <v>6.1920612000000004</v>
      </c>
      <c r="CC785" s="19">
        <v>50</v>
      </c>
      <c r="CD785" s="19">
        <v>100</v>
      </c>
      <c r="CE785" s="20" t="s">
        <v>80</v>
      </c>
      <c r="CF785" s="5">
        <v>300</v>
      </c>
      <c r="CG785" s="5">
        <f t="shared" si="96"/>
        <v>8.1000000000000014</v>
      </c>
      <c r="CH785" s="5">
        <f t="shared" si="97"/>
        <v>5.4</v>
      </c>
      <c r="CI785" s="5">
        <f t="shared" si="98"/>
        <v>5.9439398441311493</v>
      </c>
      <c r="CJ785" s="2">
        <f t="shared" si="99"/>
        <v>7930</v>
      </c>
      <c r="CK785" s="48"/>
    </row>
    <row r="786" spans="79:89" x14ac:dyDescent="0.25">
      <c r="CA786" s="2" t="s">
        <v>486</v>
      </c>
      <c r="CB786" s="43">
        <v>6.4125152000000023</v>
      </c>
      <c r="CC786" s="19">
        <v>50</v>
      </c>
      <c r="CD786" s="19">
        <v>100</v>
      </c>
      <c r="CE786" s="20" t="s">
        <v>81</v>
      </c>
      <c r="CF786" s="5">
        <v>300</v>
      </c>
      <c r="CG786" s="5">
        <f t="shared" si="96"/>
        <v>8.3999999999999986</v>
      </c>
      <c r="CH786" s="5">
        <f t="shared" si="97"/>
        <v>5.6</v>
      </c>
      <c r="CI786" s="5">
        <f t="shared" si="98"/>
        <v>6.1456741259243088</v>
      </c>
      <c r="CJ786" s="2">
        <f t="shared" si="99"/>
        <v>7930</v>
      </c>
      <c r="CK786" s="48"/>
    </row>
    <row r="787" spans="79:89" x14ac:dyDescent="0.25">
      <c r="CA787" s="2" t="s">
        <v>487</v>
      </c>
      <c r="CB787" s="43">
        <v>6.6323347999999971</v>
      </c>
      <c r="CC787" s="19">
        <v>50</v>
      </c>
      <c r="CD787" s="19">
        <v>100</v>
      </c>
      <c r="CE787" s="20" t="s">
        <v>82</v>
      </c>
      <c r="CF787" s="5">
        <v>300</v>
      </c>
      <c r="CG787" s="5">
        <f t="shared" si="96"/>
        <v>8.6999999999999993</v>
      </c>
      <c r="CH787" s="5">
        <f t="shared" si="97"/>
        <v>5.8</v>
      </c>
      <c r="CI787" s="5">
        <f t="shared" si="98"/>
        <v>6.3460932906917646</v>
      </c>
      <c r="CJ787" s="2">
        <f t="shared" si="99"/>
        <v>7930</v>
      </c>
      <c r="CK787" s="48"/>
    </row>
    <row r="788" spans="79:89" x14ac:dyDescent="0.25">
      <c r="CA788" s="2" t="s">
        <v>488</v>
      </c>
      <c r="CB788" s="43">
        <v>6.8515199999999998</v>
      </c>
      <c r="CC788" s="19">
        <v>50</v>
      </c>
      <c r="CD788" s="19">
        <v>100</v>
      </c>
      <c r="CE788" s="20" t="s">
        <v>83</v>
      </c>
      <c r="CF788" s="5">
        <v>300</v>
      </c>
      <c r="CG788" s="5">
        <f t="shared" si="96"/>
        <v>9</v>
      </c>
      <c r="CH788" s="5">
        <f t="shared" si="97"/>
        <v>6</v>
      </c>
      <c r="CI788" s="5">
        <f t="shared" si="98"/>
        <v>6.5451973384335167</v>
      </c>
      <c r="CJ788" s="2">
        <f t="shared" si="99"/>
        <v>7930</v>
      </c>
      <c r="CK788" s="48"/>
    </row>
    <row r="789" spans="79:89" x14ac:dyDescent="0.25">
      <c r="CA789" s="2" t="s">
        <v>489</v>
      </c>
      <c r="CB789" s="43">
        <v>7.0700708000000025</v>
      </c>
      <c r="CC789" s="19">
        <v>50</v>
      </c>
      <c r="CD789" s="19">
        <v>100</v>
      </c>
      <c r="CE789" s="20" t="s">
        <v>84</v>
      </c>
      <c r="CF789" s="5">
        <v>300</v>
      </c>
      <c r="CG789" s="5">
        <f t="shared" si="96"/>
        <v>9.3000000000000007</v>
      </c>
      <c r="CH789" s="5">
        <f t="shared" si="97"/>
        <v>6.2</v>
      </c>
      <c r="CI789" s="5">
        <f t="shared" si="98"/>
        <v>6.7429862691495677</v>
      </c>
      <c r="CJ789" s="2">
        <f t="shared" si="99"/>
        <v>7930</v>
      </c>
      <c r="CK789" s="48"/>
    </row>
    <row r="790" spans="79:89" x14ac:dyDescent="0.25">
      <c r="CA790" s="2" t="s">
        <v>490</v>
      </c>
      <c r="CB790" s="43">
        <v>7.287987199999999</v>
      </c>
      <c r="CC790" s="19">
        <v>50</v>
      </c>
      <c r="CD790" s="19">
        <v>100</v>
      </c>
      <c r="CE790" s="20" t="s">
        <v>85</v>
      </c>
      <c r="CF790" s="5">
        <v>300</v>
      </c>
      <c r="CG790" s="5">
        <f t="shared" si="96"/>
        <v>9.6000000000000014</v>
      </c>
      <c r="CH790" s="5">
        <f t="shared" si="97"/>
        <v>6.4</v>
      </c>
      <c r="CI790" s="5">
        <f t="shared" si="98"/>
        <v>6.939460082839914</v>
      </c>
      <c r="CJ790" s="2">
        <f t="shared" si="99"/>
        <v>7930</v>
      </c>
      <c r="CK790" s="48"/>
    </row>
    <row r="791" spans="79:89" x14ac:dyDescent="0.25">
      <c r="CA791" s="2" t="s">
        <v>491</v>
      </c>
      <c r="CB791" s="43">
        <v>7.721916799999998</v>
      </c>
      <c r="CC791" s="19">
        <v>50</v>
      </c>
      <c r="CD791" s="19">
        <v>100</v>
      </c>
      <c r="CE791" s="20" t="s">
        <v>87</v>
      </c>
      <c r="CF791" s="5">
        <v>300</v>
      </c>
      <c r="CG791" s="5">
        <f t="shared" si="96"/>
        <v>10.199999999999999</v>
      </c>
      <c r="CH791" s="5">
        <f t="shared" si="97"/>
        <v>6.8</v>
      </c>
      <c r="CI791" s="5">
        <f t="shared" si="98"/>
        <v>7.3284623591434954</v>
      </c>
      <c r="CJ791" s="2">
        <f t="shared" si="99"/>
        <v>7930</v>
      </c>
      <c r="CK791" s="48"/>
    </row>
    <row r="792" spans="79:89" x14ac:dyDescent="0.25">
      <c r="CA792" s="2" t="s">
        <v>492</v>
      </c>
      <c r="CB792" s="43">
        <v>7.9379299999999997</v>
      </c>
      <c r="CC792" s="19">
        <v>50</v>
      </c>
      <c r="CD792" s="19">
        <v>100</v>
      </c>
      <c r="CE792" s="20" t="s">
        <v>88</v>
      </c>
      <c r="CF792" s="5">
        <v>300</v>
      </c>
      <c r="CG792" s="5">
        <f t="shared" si="96"/>
        <v>10.5</v>
      </c>
      <c r="CH792" s="5">
        <f t="shared" si="97"/>
        <v>7</v>
      </c>
      <c r="CI792" s="5">
        <f t="shared" si="98"/>
        <v>7.5209908217567332</v>
      </c>
      <c r="CJ792" s="2">
        <f t="shared" si="99"/>
        <v>7930</v>
      </c>
      <c r="CK792" s="48"/>
    </row>
    <row r="793" spans="79:89" x14ac:dyDescent="0.25">
      <c r="CA793" s="2" t="s">
        <v>493</v>
      </c>
      <c r="CB793" s="43">
        <v>8.3680532000000021</v>
      </c>
      <c r="CC793" s="19">
        <v>50</v>
      </c>
      <c r="CD793" s="19">
        <v>100</v>
      </c>
      <c r="CE793" s="20" t="s">
        <v>89</v>
      </c>
      <c r="CF793" s="5">
        <v>300</v>
      </c>
      <c r="CG793" s="5">
        <f t="shared" si="96"/>
        <v>11.100000000000001</v>
      </c>
      <c r="CH793" s="5">
        <f t="shared" si="97"/>
        <v>7.4</v>
      </c>
      <c r="CI793" s="5">
        <f t="shared" si="98"/>
        <v>7.9021023959060948</v>
      </c>
      <c r="CJ793" s="2">
        <f t="shared" si="99"/>
        <v>7930</v>
      </c>
      <c r="CK793" s="48"/>
    </row>
    <row r="794" spans="79:89" x14ac:dyDescent="0.25">
      <c r="CA794" s="2" t="s">
        <v>494</v>
      </c>
      <c r="CB794" s="43">
        <v>8.5821631999999983</v>
      </c>
      <c r="CC794" s="19">
        <v>50</v>
      </c>
      <c r="CD794" s="19">
        <v>100</v>
      </c>
      <c r="CE794" s="20" t="s">
        <v>90</v>
      </c>
      <c r="CF794" s="5">
        <v>300</v>
      </c>
      <c r="CG794" s="5">
        <f t="shared" si="96"/>
        <v>11.399999999999999</v>
      </c>
      <c r="CH794" s="5">
        <f t="shared" si="97"/>
        <v>7.6</v>
      </c>
      <c r="CI794" s="5">
        <f t="shared" si="98"/>
        <v>8.0906855074422221</v>
      </c>
      <c r="CJ794" s="2">
        <f t="shared" si="99"/>
        <v>7930</v>
      </c>
      <c r="CK794" s="48"/>
    </row>
    <row r="795" spans="79:89" x14ac:dyDescent="0.25">
      <c r="CA795" s="2" t="s">
        <v>495</v>
      </c>
      <c r="CB795" s="43">
        <v>8.7956387999999954</v>
      </c>
      <c r="CC795" s="19">
        <v>50</v>
      </c>
      <c r="CD795" s="19">
        <v>100</v>
      </c>
      <c r="CE795" s="20" t="s">
        <v>91</v>
      </c>
      <c r="CF795" s="5">
        <v>300</v>
      </c>
      <c r="CG795" s="5">
        <f t="shared" si="96"/>
        <v>11.7</v>
      </c>
      <c r="CH795" s="5">
        <f t="shared" si="97"/>
        <v>7.8</v>
      </c>
      <c r="CI795" s="5">
        <f t="shared" si="98"/>
        <v>8.2779535019526431</v>
      </c>
      <c r="CJ795" s="2">
        <f t="shared" si="99"/>
        <v>7930</v>
      </c>
      <c r="CK795" s="48"/>
    </row>
    <row r="796" spans="79:89" x14ac:dyDescent="0.25">
      <c r="CA796" s="2" t="s">
        <v>496</v>
      </c>
      <c r="CB796" s="43">
        <v>9.0084799999999987</v>
      </c>
      <c r="CC796" s="19">
        <v>50</v>
      </c>
      <c r="CD796" s="19">
        <v>100</v>
      </c>
      <c r="CE796" s="20" t="s">
        <v>25</v>
      </c>
      <c r="CF796" s="5">
        <v>300</v>
      </c>
      <c r="CG796" s="5">
        <f t="shared" si="96"/>
        <v>12</v>
      </c>
      <c r="CH796" s="5">
        <f t="shared" si="97"/>
        <v>8</v>
      </c>
      <c r="CI796" s="5">
        <f t="shared" si="98"/>
        <v>8.4639063794373648</v>
      </c>
      <c r="CJ796" s="2">
        <f t="shared" si="99"/>
        <v>7930</v>
      </c>
      <c r="CK796" s="48"/>
    </row>
    <row r="797" spans="79:89" x14ac:dyDescent="0.25">
      <c r="CA797" s="2" t="s">
        <v>497</v>
      </c>
      <c r="CB797" s="43">
        <v>3.9345487999999986</v>
      </c>
      <c r="CC797" s="19">
        <v>60</v>
      </c>
      <c r="CD797" s="19">
        <v>120</v>
      </c>
      <c r="CE797" s="20" t="s">
        <v>68</v>
      </c>
      <c r="CF797" s="5">
        <v>360</v>
      </c>
      <c r="CG797" s="5">
        <f t="shared" si="96"/>
        <v>4.1999999999999993</v>
      </c>
      <c r="CH797" s="5">
        <f t="shared" si="97"/>
        <v>2.8</v>
      </c>
      <c r="CI797" s="5">
        <f t="shared" si="98"/>
        <v>3.8678385314810764</v>
      </c>
      <c r="CJ797" s="2">
        <f t="shared" si="99"/>
        <v>7930</v>
      </c>
      <c r="CK797" s="48"/>
    </row>
    <row r="798" spans="79:89" x14ac:dyDescent="0.25">
      <c r="CA798" s="2" t="s">
        <v>498</v>
      </c>
      <c r="CB798" s="43">
        <v>4.2108299999999996</v>
      </c>
      <c r="CC798" s="19">
        <v>60</v>
      </c>
      <c r="CD798" s="19">
        <v>120</v>
      </c>
      <c r="CE798" s="20" t="s">
        <v>69</v>
      </c>
      <c r="CF798" s="5">
        <v>360</v>
      </c>
      <c r="CG798" s="5">
        <f t="shared" si="96"/>
        <v>4.5</v>
      </c>
      <c r="CH798" s="5">
        <f t="shared" si="97"/>
        <v>3</v>
      </c>
      <c r="CI798" s="5">
        <f t="shared" si="98"/>
        <v>4.1342493346083788</v>
      </c>
      <c r="CJ798" s="2">
        <f t="shared" si="99"/>
        <v>7930</v>
      </c>
      <c r="CK798" s="48"/>
    </row>
    <row r="799" spans="79:89" x14ac:dyDescent="0.25">
      <c r="CA799" s="2" t="s">
        <v>499</v>
      </c>
      <c r="CB799" s="43">
        <v>4.4864768000000019</v>
      </c>
      <c r="CC799" s="19">
        <v>60</v>
      </c>
      <c r="CD799" s="19">
        <v>120</v>
      </c>
      <c r="CE799" s="20" t="s">
        <v>70</v>
      </c>
      <c r="CF799" s="5">
        <v>360</v>
      </c>
      <c r="CG799" s="5">
        <f t="shared" si="96"/>
        <v>4.8000000000000007</v>
      </c>
      <c r="CH799" s="5">
        <f t="shared" si="97"/>
        <v>3.2</v>
      </c>
      <c r="CI799" s="5">
        <f t="shared" si="98"/>
        <v>4.3993450207099789</v>
      </c>
      <c r="CJ799" s="2">
        <f t="shared" si="99"/>
        <v>7930</v>
      </c>
      <c r="CK799" s="48"/>
    </row>
    <row r="800" spans="79:89" x14ac:dyDescent="0.25">
      <c r="CA800" s="2" t="s">
        <v>500</v>
      </c>
      <c r="CB800" s="43">
        <v>4.7614892000000042</v>
      </c>
      <c r="CC800" s="19">
        <v>60</v>
      </c>
      <c r="CD800" s="19">
        <v>120</v>
      </c>
      <c r="CE800" s="20" t="s">
        <v>71</v>
      </c>
      <c r="CF800" s="5">
        <v>360</v>
      </c>
      <c r="CG800" s="5">
        <f t="shared" si="96"/>
        <v>5.0999999999999996</v>
      </c>
      <c r="CH800" s="5">
        <f t="shared" si="97"/>
        <v>3.4</v>
      </c>
      <c r="CI800" s="5">
        <f t="shared" si="98"/>
        <v>4.6631255897858725</v>
      </c>
      <c r="CJ800" s="2">
        <f t="shared" si="99"/>
        <v>7930</v>
      </c>
      <c r="CK800" s="48"/>
    </row>
    <row r="801" spans="79:89" x14ac:dyDescent="0.25">
      <c r="CA801" s="2" t="s">
        <v>501</v>
      </c>
      <c r="CB801" s="43">
        <v>5.0358671999999993</v>
      </c>
      <c r="CC801" s="19">
        <v>60</v>
      </c>
      <c r="CD801" s="19">
        <v>120</v>
      </c>
      <c r="CE801" s="20" t="s">
        <v>72</v>
      </c>
      <c r="CF801" s="5">
        <v>360</v>
      </c>
      <c r="CG801" s="5">
        <f t="shared" si="96"/>
        <v>5.4</v>
      </c>
      <c r="CH801" s="5">
        <f t="shared" si="97"/>
        <v>3.6</v>
      </c>
      <c r="CI801" s="5">
        <f t="shared" si="98"/>
        <v>4.9255910418360669</v>
      </c>
      <c r="CJ801" s="2">
        <f t="shared" si="99"/>
        <v>7930</v>
      </c>
      <c r="CK801" s="48"/>
    </row>
    <row r="802" spans="79:89" x14ac:dyDescent="0.25">
      <c r="CA802" s="2" t="s">
        <v>502</v>
      </c>
      <c r="CB802" s="43">
        <v>5.3096107999999962</v>
      </c>
      <c r="CC802" s="19">
        <v>60</v>
      </c>
      <c r="CD802" s="19">
        <v>120</v>
      </c>
      <c r="CE802" s="20" t="s">
        <v>73</v>
      </c>
      <c r="CF802" s="5">
        <v>360</v>
      </c>
      <c r="CG802" s="5">
        <f t="shared" si="96"/>
        <v>5.6999999999999993</v>
      </c>
      <c r="CH802" s="5">
        <f t="shared" si="97"/>
        <v>3.8</v>
      </c>
      <c r="CI802" s="5">
        <f t="shared" si="98"/>
        <v>5.1867413768605548</v>
      </c>
      <c r="CJ802" s="2">
        <f t="shared" si="99"/>
        <v>7930</v>
      </c>
      <c r="CK802" s="48"/>
    </row>
    <row r="803" spans="79:89" x14ac:dyDescent="0.25">
      <c r="CA803" s="2" t="s">
        <v>503</v>
      </c>
      <c r="CB803" s="43">
        <v>5.5827200000000001</v>
      </c>
      <c r="CC803" s="19">
        <v>60</v>
      </c>
      <c r="CD803" s="19">
        <v>120</v>
      </c>
      <c r="CE803" s="20" t="s">
        <v>74</v>
      </c>
      <c r="CF803" s="5">
        <v>360</v>
      </c>
      <c r="CG803" s="5">
        <f t="shared" si="96"/>
        <v>6</v>
      </c>
      <c r="CH803" s="5">
        <f t="shared" si="97"/>
        <v>4</v>
      </c>
      <c r="CI803" s="5">
        <f t="shared" si="98"/>
        <v>5.4465765948593416</v>
      </c>
      <c r="CJ803" s="2">
        <f t="shared" si="99"/>
        <v>7930</v>
      </c>
      <c r="CK803" s="48"/>
    </row>
    <row r="804" spans="79:89" x14ac:dyDescent="0.25">
      <c r="CA804" s="2" t="s">
        <v>504</v>
      </c>
      <c r="CB804" s="43">
        <v>5.855194800000004</v>
      </c>
      <c r="CC804" s="19">
        <v>60</v>
      </c>
      <c r="CD804" s="19">
        <v>120</v>
      </c>
      <c r="CE804" s="20" t="s">
        <v>75</v>
      </c>
      <c r="CF804" s="5">
        <v>360</v>
      </c>
      <c r="CG804" s="5">
        <f t="shared" si="96"/>
        <v>6.3000000000000007</v>
      </c>
      <c r="CH804" s="5">
        <f t="shared" si="97"/>
        <v>4.2</v>
      </c>
      <c r="CI804" s="5">
        <f t="shared" si="98"/>
        <v>5.7050966958324247</v>
      </c>
      <c r="CJ804" s="2">
        <f t="shared" si="99"/>
        <v>7930</v>
      </c>
      <c r="CK804" s="48"/>
    </row>
    <row r="805" spans="79:89" x14ac:dyDescent="0.25">
      <c r="CA805" s="2" t="s">
        <v>505</v>
      </c>
      <c r="CB805" s="43">
        <v>6.1270352000000026</v>
      </c>
      <c r="CC805" s="19">
        <v>60</v>
      </c>
      <c r="CD805" s="19">
        <v>120</v>
      </c>
      <c r="CE805" s="20" t="s">
        <v>76</v>
      </c>
      <c r="CF805" s="5">
        <v>360</v>
      </c>
      <c r="CG805" s="5">
        <f t="shared" si="96"/>
        <v>6.6000000000000005</v>
      </c>
      <c r="CH805" s="5">
        <f t="shared" si="97"/>
        <v>4.4000000000000004</v>
      </c>
      <c r="CI805" s="5">
        <f t="shared" si="98"/>
        <v>5.9623016797798023</v>
      </c>
      <c r="CJ805" s="2">
        <f t="shared" si="99"/>
        <v>7930</v>
      </c>
      <c r="CK805" s="48"/>
    </row>
    <row r="806" spans="79:89" x14ac:dyDescent="0.25">
      <c r="CA806" s="2" t="s">
        <v>506</v>
      </c>
      <c r="CB806" s="43">
        <v>6.3982412000000002</v>
      </c>
      <c r="CC806" s="19">
        <v>60</v>
      </c>
      <c r="CD806" s="19">
        <v>120</v>
      </c>
      <c r="CE806" s="20" t="s">
        <v>77</v>
      </c>
      <c r="CF806" s="5">
        <v>360</v>
      </c>
      <c r="CG806" s="5">
        <f t="shared" si="96"/>
        <v>6.8999999999999995</v>
      </c>
      <c r="CH806" s="5">
        <f t="shared" si="97"/>
        <v>4.5999999999999996</v>
      </c>
      <c r="CI806" s="5">
        <f t="shared" si="98"/>
        <v>6.2181915467014779</v>
      </c>
      <c r="CJ806" s="2">
        <f t="shared" si="99"/>
        <v>7930</v>
      </c>
      <c r="CK806" s="48"/>
    </row>
    <row r="807" spans="79:89" x14ac:dyDescent="0.25">
      <c r="CA807" s="2" t="s">
        <v>507</v>
      </c>
      <c r="CB807" s="43">
        <v>6.6688127999999933</v>
      </c>
      <c r="CC807" s="19">
        <v>60</v>
      </c>
      <c r="CD807" s="19">
        <v>120</v>
      </c>
      <c r="CE807" s="20" t="s">
        <v>78</v>
      </c>
      <c r="CF807" s="5">
        <v>360</v>
      </c>
      <c r="CG807" s="5">
        <f t="shared" si="96"/>
        <v>7.1999999999999993</v>
      </c>
      <c r="CH807" s="5">
        <f t="shared" si="97"/>
        <v>4.8</v>
      </c>
      <c r="CI807" s="5">
        <f t="shared" si="98"/>
        <v>6.4727662965974506</v>
      </c>
      <c r="CJ807" s="2">
        <f t="shared" si="99"/>
        <v>7930</v>
      </c>
      <c r="CK807" s="48"/>
    </row>
    <row r="808" spans="79:89" x14ac:dyDescent="0.25">
      <c r="CA808" s="2" t="s">
        <v>508</v>
      </c>
      <c r="CB808" s="43">
        <v>6.9387499999999989</v>
      </c>
      <c r="CC808" s="19">
        <v>60</v>
      </c>
      <c r="CD808" s="19">
        <v>120</v>
      </c>
      <c r="CE808" s="20" t="s">
        <v>79</v>
      </c>
      <c r="CF808" s="5">
        <v>360</v>
      </c>
      <c r="CG808" s="5">
        <f t="shared" si="96"/>
        <v>7.5</v>
      </c>
      <c r="CH808" s="5">
        <f t="shared" si="97"/>
        <v>5</v>
      </c>
      <c r="CI808" s="5">
        <f t="shared" si="98"/>
        <v>6.7260259294677205</v>
      </c>
      <c r="CJ808" s="2">
        <f t="shared" si="99"/>
        <v>7930</v>
      </c>
      <c r="CK808" s="48"/>
    </row>
    <row r="809" spans="79:89" x14ac:dyDescent="0.25">
      <c r="CA809" s="2" t="s">
        <v>509</v>
      </c>
      <c r="CB809" s="43">
        <v>7.476721200000001</v>
      </c>
      <c r="CC809" s="19">
        <v>60</v>
      </c>
      <c r="CD809" s="19">
        <v>120</v>
      </c>
      <c r="CE809" s="20" t="s">
        <v>80</v>
      </c>
      <c r="CF809" s="5">
        <v>360</v>
      </c>
      <c r="CG809" s="5">
        <f t="shared" si="96"/>
        <v>8.1000000000000014</v>
      </c>
      <c r="CH809" s="5">
        <f t="shared" si="97"/>
        <v>5.4</v>
      </c>
      <c r="CI809" s="5">
        <f t="shared" si="98"/>
        <v>7.228599844131149</v>
      </c>
      <c r="CJ809" s="2">
        <f t="shared" si="99"/>
        <v>7930</v>
      </c>
      <c r="CK809" s="48"/>
    </row>
    <row r="810" spans="79:89" x14ac:dyDescent="0.25">
      <c r="CA810" s="2" t="s">
        <v>510</v>
      </c>
      <c r="CB810" s="43">
        <v>7.7447551999999948</v>
      </c>
      <c r="CC810" s="19">
        <v>60</v>
      </c>
      <c r="CD810" s="19">
        <v>120</v>
      </c>
      <c r="CE810" s="20" t="s">
        <v>81</v>
      </c>
      <c r="CF810" s="5">
        <v>360</v>
      </c>
      <c r="CG810" s="5">
        <f t="shared" si="96"/>
        <v>8.3999999999999986</v>
      </c>
      <c r="CH810" s="5">
        <f t="shared" si="97"/>
        <v>5.6</v>
      </c>
      <c r="CI810" s="5">
        <f t="shared" si="98"/>
        <v>7.4779141259243094</v>
      </c>
      <c r="CJ810" s="2">
        <f t="shared" si="99"/>
        <v>7930</v>
      </c>
      <c r="CK810" s="48"/>
    </row>
    <row r="811" spans="79:89" x14ac:dyDescent="0.25">
      <c r="CA811" s="2" t="s">
        <v>511</v>
      </c>
      <c r="CB811" s="43">
        <v>8.0121547999999976</v>
      </c>
      <c r="CC811" s="19">
        <v>60</v>
      </c>
      <c r="CD811" s="19">
        <v>120</v>
      </c>
      <c r="CE811" s="20" t="s">
        <v>82</v>
      </c>
      <c r="CF811" s="5">
        <v>360</v>
      </c>
      <c r="CG811" s="5">
        <f t="shared" si="96"/>
        <v>8.6999999999999993</v>
      </c>
      <c r="CH811" s="5">
        <f t="shared" si="97"/>
        <v>5.8</v>
      </c>
      <c r="CI811" s="5">
        <f t="shared" si="98"/>
        <v>7.7259132906917651</v>
      </c>
      <c r="CJ811" s="2">
        <f t="shared" si="99"/>
        <v>7930</v>
      </c>
      <c r="CK811" s="48"/>
    </row>
    <row r="812" spans="79:89" x14ac:dyDescent="0.25">
      <c r="CA812" s="2" t="s">
        <v>512</v>
      </c>
      <c r="CB812" s="43">
        <v>8.2789199999999994</v>
      </c>
      <c r="CC812" s="19">
        <v>60</v>
      </c>
      <c r="CD812" s="19">
        <v>120</v>
      </c>
      <c r="CE812" s="20" t="s">
        <v>83</v>
      </c>
      <c r="CF812" s="5">
        <v>360</v>
      </c>
      <c r="CG812" s="5">
        <f t="shared" si="96"/>
        <v>9</v>
      </c>
      <c r="CH812" s="5">
        <f t="shared" si="97"/>
        <v>6</v>
      </c>
      <c r="CI812" s="5">
        <f t="shared" si="98"/>
        <v>7.9725973384335171</v>
      </c>
      <c r="CJ812" s="2">
        <f t="shared" si="99"/>
        <v>7930</v>
      </c>
      <c r="CK812" s="48"/>
    </row>
    <row r="813" spans="79:89" x14ac:dyDescent="0.25">
      <c r="CA813" s="2" t="s">
        <v>513</v>
      </c>
      <c r="CB813" s="43">
        <v>8.5450508000000038</v>
      </c>
      <c r="CC813" s="19">
        <v>60</v>
      </c>
      <c r="CD813" s="19">
        <v>120</v>
      </c>
      <c r="CE813" s="20" t="s">
        <v>84</v>
      </c>
      <c r="CF813" s="5">
        <v>360</v>
      </c>
      <c r="CG813" s="5">
        <f t="shared" si="96"/>
        <v>9.3000000000000007</v>
      </c>
      <c r="CH813" s="5">
        <f t="shared" si="97"/>
        <v>6.2</v>
      </c>
      <c r="CI813" s="5">
        <f t="shared" si="98"/>
        <v>8.2179662691495672</v>
      </c>
      <c r="CJ813" s="2">
        <f t="shared" si="99"/>
        <v>7930</v>
      </c>
      <c r="CK813" s="48"/>
    </row>
    <row r="814" spans="79:89" x14ac:dyDescent="0.25">
      <c r="CA814" s="2" t="s">
        <v>514</v>
      </c>
      <c r="CB814" s="43">
        <v>8.8105472000000002</v>
      </c>
      <c r="CC814" s="19">
        <v>60</v>
      </c>
      <c r="CD814" s="19">
        <v>120</v>
      </c>
      <c r="CE814" s="20" t="s">
        <v>85</v>
      </c>
      <c r="CF814" s="5">
        <v>360</v>
      </c>
      <c r="CG814" s="5">
        <f t="shared" si="96"/>
        <v>9.6000000000000014</v>
      </c>
      <c r="CH814" s="5">
        <f t="shared" si="97"/>
        <v>6.4</v>
      </c>
      <c r="CI814" s="5">
        <f t="shared" si="98"/>
        <v>8.4620200828399135</v>
      </c>
      <c r="CJ814" s="2">
        <f t="shared" si="99"/>
        <v>7930</v>
      </c>
      <c r="CK814" s="48"/>
    </row>
    <row r="815" spans="79:89" x14ac:dyDescent="0.25">
      <c r="CA815" s="2" t="s">
        <v>515</v>
      </c>
      <c r="CB815" s="43">
        <v>9.3396367999999939</v>
      </c>
      <c r="CC815" s="19">
        <v>60</v>
      </c>
      <c r="CD815" s="19">
        <v>120</v>
      </c>
      <c r="CE815" s="20" t="s">
        <v>87</v>
      </c>
      <c r="CF815" s="5">
        <v>360</v>
      </c>
      <c r="CG815" s="5">
        <f t="shared" si="96"/>
        <v>10.199999999999999</v>
      </c>
      <c r="CH815" s="5">
        <f t="shared" si="97"/>
        <v>6.8</v>
      </c>
      <c r="CI815" s="5">
        <f t="shared" si="98"/>
        <v>8.9461823591434975</v>
      </c>
      <c r="CJ815" s="2">
        <f t="shared" si="99"/>
        <v>7930</v>
      </c>
      <c r="CK815" s="48"/>
    </row>
    <row r="816" spans="79:89" x14ac:dyDescent="0.25">
      <c r="CA816" s="2" t="s">
        <v>516</v>
      </c>
      <c r="CB816" s="43">
        <v>9.6032299999999982</v>
      </c>
      <c r="CC816" s="19">
        <v>60</v>
      </c>
      <c r="CD816" s="19">
        <v>120</v>
      </c>
      <c r="CE816" s="20" t="s">
        <v>88</v>
      </c>
      <c r="CF816" s="5">
        <v>360</v>
      </c>
      <c r="CG816" s="5">
        <f t="shared" si="96"/>
        <v>10.5</v>
      </c>
      <c r="CH816" s="5">
        <f t="shared" si="97"/>
        <v>7</v>
      </c>
      <c r="CI816" s="5">
        <f t="shared" si="98"/>
        <v>9.1862908217567316</v>
      </c>
      <c r="CJ816" s="2">
        <f t="shared" si="99"/>
        <v>7930</v>
      </c>
      <c r="CK816" s="48"/>
    </row>
    <row r="817" spans="79:89" x14ac:dyDescent="0.25">
      <c r="CA817" s="2" t="s">
        <v>517</v>
      </c>
      <c r="CB817" s="43">
        <v>10.128513199999999</v>
      </c>
      <c r="CC817" s="19">
        <v>60</v>
      </c>
      <c r="CD817" s="19">
        <v>120</v>
      </c>
      <c r="CE817" s="20" t="s">
        <v>89</v>
      </c>
      <c r="CF817" s="5">
        <v>360</v>
      </c>
      <c r="CG817" s="5">
        <f t="shared" si="96"/>
        <v>11.100000000000001</v>
      </c>
      <c r="CH817" s="5">
        <f t="shared" si="97"/>
        <v>7.4</v>
      </c>
      <c r="CI817" s="5">
        <f t="shared" si="98"/>
        <v>9.6625623959060967</v>
      </c>
      <c r="CJ817" s="2">
        <f t="shared" si="99"/>
        <v>7930</v>
      </c>
      <c r="CK817" s="48"/>
    </row>
    <row r="818" spans="79:89" x14ac:dyDescent="0.25">
      <c r="CA818" s="2" t="s">
        <v>518</v>
      </c>
      <c r="CB818" s="43">
        <v>10.390203199999997</v>
      </c>
      <c r="CC818" s="19">
        <v>60</v>
      </c>
      <c r="CD818" s="19">
        <v>120</v>
      </c>
      <c r="CE818" s="20" t="s">
        <v>90</v>
      </c>
      <c r="CF818" s="5">
        <v>360</v>
      </c>
      <c r="CG818" s="5">
        <f t="shared" si="96"/>
        <v>11.399999999999999</v>
      </c>
      <c r="CH818" s="5">
        <f t="shared" si="97"/>
        <v>7.6</v>
      </c>
      <c r="CI818" s="5">
        <f t="shared" si="98"/>
        <v>9.8987255074422205</v>
      </c>
      <c r="CJ818" s="2">
        <f t="shared" si="99"/>
        <v>7930</v>
      </c>
      <c r="CK818" s="48"/>
    </row>
    <row r="819" spans="79:89" x14ac:dyDescent="0.25">
      <c r="CA819" s="2" t="s">
        <v>519</v>
      </c>
      <c r="CB819" s="43">
        <v>10.651258799999997</v>
      </c>
      <c r="CC819" s="19">
        <v>60</v>
      </c>
      <c r="CD819" s="19">
        <v>120</v>
      </c>
      <c r="CE819" s="20" t="s">
        <v>91</v>
      </c>
      <c r="CF819" s="5">
        <v>360</v>
      </c>
      <c r="CG819" s="5">
        <f t="shared" si="96"/>
        <v>11.7</v>
      </c>
      <c r="CH819" s="5">
        <f t="shared" si="97"/>
        <v>7.8</v>
      </c>
      <c r="CI819" s="5">
        <f t="shared" si="98"/>
        <v>10.133573501952643</v>
      </c>
      <c r="CJ819" s="2">
        <f t="shared" si="99"/>
        <v>7930</v>
      </c>
      <c r="CK819" s="48"/>
    </row>
    <row r="820" spans="79:89" x14ac:dyDescent="0.25">
      <c r="CA820" s="2" t="s">
        <v>520</v>
      </c>
      <c r="CB820" s="43">
        <v>10.911679999999999</v>
      </c>
      <c r="CC820" s="19">
        <v>60</v>
      </c>
      <c r="CD820" s="19">
        <v>120</v>
      </c>
      <c r="CE820" s="20" t="s">
        <v>25</v>
      </c>
      <c r="CF820" s="5">
        <v>360</v>
      </c>
      <c r="CG820" s="5">
        <f t="shared" si="96"/>
        <v>12</v>
      </c>
      <c r="CH820" s="5">
        <f t="shared" si="97"/>
        <v>8</v>
      </c>
      <c r="CI820" s="5">
        <f t="shared" si="98"/>
        <v>10.367106379437365</v>
      </c>
      <c r="CJ820" s="2">
        <f t="shared" si="99"/>
        <v>7930</v>
      </c>
      <c r="CK820" s="48"/>
    </row>
    <row r="821" spans="79:89" x14ac:dyDescent="0.25">
      <c r="CA821" s="2" t="s">
        <v>521</v>
      </c>
      <c r="CB821" s="43">
        <v>5.6068271999999926</v>
      </c>
      <c r="CC821" s="19">
        <v>100</v>
      </c>
      <c r="CD821" s="19">
        <v>100</v>
      </c>
      <c r="CE821" s="20" t="s">
        <v>72</v>
      </c>
      <c r="CF821" s="5">
        <v>400</v>
      </c>
      <c r="CG821" s="5">
        <f t="shared" si="96"/>
        <v>5.4</v>
      </c>
      <c r="CH821" s="5">
        <f t="shared" si="97"/>
        <v>3.6</v>
      </c>
      <c r="CI821" s="5">
        <f t="shared" si="98"/>
        <v>5.4965510418360664</v>
      </c>
      <c r="CJ821" s="2">
        <f t="shared" si="99"/>
        <v>7930</v>
      </c>
      <c r="CK821" s="48"/>
    </row>
    <row r="822" spans="79:89" x14ac:dyDescent="0.25">
      <c r="CA822" s="2" t="s">
        <v>522</v>
      </c>
      <c r="CB822" s="43">
        <v>5.9122907999999956</v>
      </c>
      <c r="CC822" s="19">
        <v>100</v>
      </c>
      <c r="CD822" s="19">
        <v>100</v>
      </c>
      <c r="CE822" s="20" t="s">
        <v>73</v>
      </c>
      <c r="CF822" s="5">
        <v>400</v>
      </c>
      <c r="CG822" s="5">
        <f t="shared" si="96"/>
        <v>5.6999999999999993</v>
      </c>
      <c r="CH822" s="5">
        <f t="shared" si="97"/>
        <v>3.8</v>
      </c>
      <c r="CI822" s="5">
        <f t="shared" si="98"/>
        <v>5.7894213768605542</v>
      </c>
      <c r="CJ822" s="2">
        <f t="shared" si="99"/>
        <v>7930</v>
      </c>
      <c r="CK822" s="48"/>
    </row>
    <row r="823" spans="79:89" x14ac:dyDescent="0.25">
      <c r="CA823" s="2" t="s">
        <v>523</v>
      </c>
      <c r="CB823" s="43">
        <v>6.2171199999999995</v>
      </c>
      <c r="CC823" s="19">
        <v>100</v>
      </c>
      <c r="CD823" s="19">
        <v>100</v>
      </c>
      <c r="CE823" s="20" t="s">
        <v>74</v>
      </c>
      <c r="CF823" s="5">
        <v>400</v>
      </c>
      <c r="CG823" s="5">
        <f t="shared" si="96"/>
        <v>6</v>
      </c>
      <c r="CH823" s="5">
        <f t="shared" si="97"/>
        <v>4</v>
      </c>
      <c r="CI823" s="5">
        <f t="shared" si="98"/>
        <v>6.0809765948593411</v>
      </c>
      <c r="CJ823" s="2">
        <f t="shared" si="99"/>
        <v>7930</v>
      </c>
      <c r="CK823" s="48"/>
    </row>
    <row r="824" spans="79:89" x14ac:dyDescent="0.25">
      <c r="CA824" s="2" t="s">
        <v>524</v>
      </c>
      <c r="CB824" s="43">
        <v>6.5213148000000043</v>
      </c>
      <c r="CC824" s="19">
        <v>100</v>
      </c>
      <c r="CD824" s="19">
        <v>100</v>
      </c>
      <c r="CE824" s="20" t="s">
        <v>75</v>
      </c>
      <c r="CF824" s="5">
        <v>400</v>
      </c>
      <c r="CG824" s="5">
        <f t="shared" si="96"/>
        <v>6.3000000000000007</v>
      </c>
      <c r="CH824" s="5">
        <f t="shared" si="97"/>
        <v>4.2</v>
      </c>
      <c r="CI824" s="5">
        <f t="shared" si="98"/>
        <v>6.3712166958324241</v>
      </c>
      <c r="CJ824" s="2">
        <f t="shared" si="99"/>
        <v>7930</v>
      </c>
      <c r="CK824" s="48"/>
    </row>
    <row r="825" spans="79:89" x14ac:dyDescent="0.25">
      <c r="CA825" s="2" t="s">
        <v>525</v>
      </c>
      <c r="CB825" s="43">
        <v>6.824875200000009</v>
      </c>
      <c r="CC825" s="19">
        <v>100</v>
      </c>
      <c r="CD825" s="19">
        <v>100</v>
      </c>
      <c r="CE825" s="20" t="s">
        <v>76</v>
      </c>
      <c r="CF825" s="5">
        <v>400</v>
      </c>
      <c r="CG825" s="5">
        <f t="shared" si="96"/>
        <v>6.6000000000000005</v>
      </c>
      <c r="CH825" s="5">
        <f t="shared" si="97"/>
        <v>4.4000000000000004</v>
      </c>
      <c r="CI825" s="5">
        <f t="shared" si="98"/>
        <v>6.6601416797798034</v>
      </c>
      <c r="CJ825" s="2">
        <f t="shared" si="99"/>
        <v>7930</v>
      </c>
      <c r="CK825" s="48"/>
    </row>
    <row r="826" spans="79:89" x14ac:dyDescent="0.25">
      <c r="CA826" s="2" t="s">
        <v>526</v>
      </c>
      <c r="CB826" s="43">
        <v>7.1278011999999862</v>
      </c>
      <c r="CC826" s="19">
        <v>100</v>
      </c>
      <c r="CD826" s="19">
        <v>100</v>
      </c>
      <c r="CE826" s="20" t="s">
        <v>77</v>
      </c>
      <c r="CF826" s="5">
        <v>400</v>
      </c>
      <c r="CG826" s="5">
        <f t="shared" si="96"/>
        <v>6.8999999999999995</v>
      </c>
      <c r="CH826" s="5">
        <f t="shared" si="97"/>
        <v>4.5999999999999996</v>
      </c>
      <c r="CI826" s="5">
        <f t="shared" si="98"/>
        <v>6.947751546701479</v>
      </c>
      <c r="CJ826" s="2">
        <f t="shared" si="99"/>
        <v>7930</v>
      </c>
      <c r="CK826" s="48"/>
    </row>
    <row r="827" spans="79:89" x14ac:dyDescent="0.25">
      <c r="CA827" s="2" t="s">
        <v>527</v>
      </c>
      <c r="CB827" s="43">
        <v>7.4300927999999926</v>
      </c>
      <c r="CC827" s="19">
        <v>100</v>
      </c>
      <c r="CD827" s="19">
        <v>100</v>
      </c>
      <c r="CE827" s="20" t="s">
        <v>78</v>
      </c>
      <c r="CF827" s="5">
        <v>400</v>
      </c>
      <c r="CG827" s="5">
        <f t="shared" si="96"/>
        <v>7.1999999999999993</v>
      </c>
      <c r="CH827" s="5">
        <f t="shared" si="97"/>
        <v>4.8</v>
      </c>
      <c r="CI827" s="5">
        <f t="shared" si="98"/>
        <v>7.2340462965974508</v>
      </c>
      <c r="CJ827" s="2">
        <f t="shared" si="99"/>
        <v>7930</v>
      </c>
      <c r="CK827" s="48"/>
    </row>
    <row r="828" spans="79:89" x14ac:dyDescent="0.25">
      <c r="CA828" s="2" t="s">
        <v>528</v>
      </c>
      <c r="CB828" s="43">
        <v>7.7317499999999999</v>
      </c>
      <c r="CC828" s="19">
        <v>100</v>
      </c>
      <c r="CD828" s="19">
        <v>100</v>
      </c>
      <c r="CE828" s="20" t="s">
        <v>79</v>
      </c>
      <c r="CF828" s="5">
        <v>400</v>
      </c>
      <c r="CG828" s="5">
        <f t="shared" si="96"/>
        <v>7.5</v>
      </c>
      <c r="CH828" s="5">
        <f t="shared" si="97"/>
        <v>5</v>
      </c>
      <c r="CI828" s="5">
        <f t="shared" si="98"/>
        <v>7.5190259294677206</v>
      </c>
      <c r="CJ828" s="2">
        <f t="shared" si="99"/>
        <v>7930</v>
      </c>
      <c r="CK828" s="48"/>
    </row>
    <row r="829" spans="79:89" x14ac:dyDescent="0.25">
      <c r="CA829" s="2" t="s">
        <v>529</v>
      </c>
      <c r="CB829" s="43">
        <v>8.3331612000000153</v>
      </c>
      <c r="CC829" s="19">
        <v>100</v>
      </c>
      <c r="CD829" s="19">
        <v>100</v>
      </c>
      <c r="CE829" s="20" t="s">
        <v>80</v>
      </c>
      <c r="CF829" s="5">
        <v>400</v>
      </c>
      <c r="CG829" s="5">
        <f t="shared" si="96"/>
        <v>8.1000000000000014</v>
      </c>
      <c r="CH829" s="5">
        <f t="shared" si="97"/>
        <v>5.4</v>
      </c>
      <c r="CI829" s="5">
        <f t="shared" si="98"/>
        <v>8.0850398441311508</v>
      </c>
      <c r="CJ829" s="2">
        <f t="shared" si="99"/>
        <v>7930</v>
      </c>
      <c r="CK829" s="48"/>
    </row>
    <row r="830" spans="79:89" x14ac:dyDescent="0.25">
      <c r="CA830" s="2" t="s">
        <v>530</v>
      </c>
      <c r="CB830" s="43">
        <v>8.6329151999999958</v>
      </c>
      <c r="CC830" s="19">
        <v>100</v>
      </c>
      <c r="CD830" s="19">
        <v>100</v>
      </c>
      <c r="CE830" s="20" t="s">
        <v>81</v>
      </c>
      <c r="CF830" s="5">
        <v>400</v>
      </c>
      <c r="CG830" s="5">
        <f t="shared" si="96"/>
        <v>8.3999999999999986</v>
      </c>
      <c r="CH830" s="5">
        <f t="shared" si="97"/>
        <v>5.6</v>
      </c>
      <c r="CI830" s="5">
        <f t="shared" si="98"/>
        <v>8.3660741259243085</v>
      </c>
      <c r="CJ830" s="2">
        <f t="shared" si="99"/>
        <v>7930</v>
      </c>
      <c r="CK830" s="48"/>
    </row>
    <row r="831" spans="79:89" x14ac:dyDescent="0.25">
      <c r="CA831" s="2" t="s">
        <v>531</v>
      </c>
      <c r="CB831" s="43">
        <v>8.9320347999999896</v>
      </c>
      <c r="CC831" s="19">
        <v>100</v>
      </c>
      <c r="CD831" s="19">
        <v>100</v>
      </c>
      <c r="CE831" s="20" t="s">
        <v>82</v>
      </c>
      <c r="CF831" s="5">
        <v>400</v>
      </c>
      <c r="CG831" s="5">
        <f t="shared" si="96"/>
        <v>8.6999999999999993</v>
      </c>
      <c r="CH831" s="5">
        <f t="shared" si="97"/>
        <v>5.8</v>
      </c>
      <c r="CI831" s="5">
        <f t="shared" si="98"/>
        <v>8.6457932906917652</v>
      </c>
      <c r="CJ831" s="2">
        <f t="shared" si="99"/>
        <v>7930</v>
      </c>
      <c r="CK831" s="48"/>
    </row>
    <row r="832" spans="79:89" x14ac:dyDescent="0.25">
      <c r="CA832" s="2" t="s">
        <v>532</v>
      </c>
      <c r="CB832" s="43">
        <v>9.2305199999999985</v>
      </c>
      <c r="CC832" s="19">
        <v>100</v>
      </c>
      <c r="CD832" s="19">
        <v>100</v>
      </c>
      <c r="CE832" s="20" t="s">
        <v>83</v>
      </c>
      <c r="CF832" s="5">
        <v>400</v>
      </c>
      <c r="CG832" s="5">
        <f t="shared" si="96"/>
        <v>9</v>
      </c>
      <c r="CH832" s="5">
        <f t="shared" si="97"/>
        <v>6</v>
      </c>
      <c r="CI832" s="5">
        <f t="shared" si="98"/>
        <v>8.9241973384335189</v>
      </c>
      <c r="CJ832" s="2">
        <f t="shared" si="99"/>
        <v>7930</v>
      </c>
      <c r="CK832" s="48"/>
    </row>
    <row r="833" spans="79:89" x14ac:dyDescent="0.25">
      <c r="CA833" s="2" t="s">
        <v>533</v>
      </c>
      <c r="CB833" s="43">
        <v>9.52837080000001</v>
      </c>
      <c r="CC833" s="19">
        <v>100</v>
      </c>
      <c r="CD833" s="19">
        <v>100</v>
      </c>
      <c r="CE833" s="20" t="s">
        <v>84</v>
      </c>
      <c r="CF833" s="5">
        <v>400</v>
      </c>
      <c r="CG833" s="5">
        <f t="shared" si="96"/>
        <v>9.3000000000000007</v>
      </c>
      <c r="CH833" s="5">
        <f t="shared" si="97"/>
        <v>6.2</v>
      </c>
      <c r="CI833" s="5">
        <f t="shared" si="98"/>
        <v>9.2012862691495698</v>
      </c>
      <c r="CJ833" s="2">
        <f t="shared" si="99"/>
        <v>7930</v>
      </c>
      <c r="CK833" s="48"/>
    </row>
    <row r="834" spans="79:89" x14ac:dyDescent="0.25">
      <c r="CA834" s="2" t="s">
        <v>534</v>
      </c>
      <c r="CB834" s="43">
        <v>9.8255872000000064</v>
      </c>
      <c r="CC834" s="19">
        <v>100</v>
      </c>
      <c r="CD834" s="19">
        <v>100</v>
      </c>
      <c r="CE834" s="20" t="s">
        <v>85</v>
      </c>
      <c r="CF834" s="5">
        <v>400</v>
      </c>
      <c r="CG834" s="5">
        <f t="shared" si="96"/>
        <v>9.6000000000000014</v>
      </c>
      <c r="CH834" s="5">
        <f t="shared" si="97"/>
        <v>6.4</v>
      </c>
      <c r="CI834" s="5">
        <f t="shared" si="98"/>
        <v>9.4770600828399143</v>
      </c>
      <c r="CJ834" s="2">
        <f t="shared" si="99"/>
        <v>7930</v>
      </c>
      <c r="CK834" s="48"/>
    </row>
    <row r="835" spans="79:89" x14ac:dyDescent="0.25">
      <c r="CA835" s="2" t="s">
        <v>535</v>
      </c>
      <c r="CB835" s="43">
        <v>10.418116800000002</v>
      </c>
      <c r="CC835" s="19">
        <v>100</v>
      </c>
      <c r="CD835" s="19">
        <v>100</v>
      </c>
      <c r="CE835" s="20" t="s">
        <v>87</v>
      </c>
      <c r="CF835" s="5">
        <v>400</v>
      </c>
      <c r="CG835" s="5">
        <f t="shared" si="96"/>
        <v>10.199999999999999</v>
      </c>
      <c r="CH835" s="5">
        <f t="shared" si="97"/>
        <v>6.8</v>
      </c>
      <c r="CI835" s="5">
        <f t="shared" si="98"/>
        <v>10.024662359143496</v>
      </c>
      <c r="CJ835" s="2">
        <f t="shared" si="99"/>
        <v>7930</v>
      </c>
      <c r="CK835" s="48"/>
    </row>
    <row r="836" spans="79:89" x14ac:dyDescent="0.25">
      <c r="CA836" s="2" t="s">
        <v>536</v>
      </c>
      <c r="CB836" s="43">
        <v>10.713430000000001</v>
      </c>
      <c r="CC836" s="19">
        <v>100</v>
      </c>
      <c r="CD836" s="19">
        <v>100</v>
      </c>
      <c r="CE836" s="20" t="s">
        <v>88</v>
      </c>
      <c r="CF836" s="5">
        <v>400</v>
      </c>
      <c r="CG836" s="5">
        <f t="shared" ref="CG836:CG886" si="100">IF(CE836&lt;=6,2,IF(CE836&lt;=10,2.5,3))*CE836</f>
        <v>10.5</v>
      </c>
      <c r="CH836" s="5">
        <f t="shared" ref="CH836:CH886" si="101">IF(CE836&lt;=6,1,IF(CE836&lt;=10,1.5,2))*CE836</f>
        <v>7</v>
      </c>
      <c r="CI836" s="5">
        <f t="shared" ref="CI836:CI886" si="102">(2*CE836*(CC836+CD836-2*CE836)-(4-PI())*(CG836^2-CH836^2))/1000000*CJ836</f>
        <v>10.296490821756732</v>
      </c>
      <c r="CJ836" s="2">
        <f t="shared" ref="CJ836:CJ886" si="103">IF(LEFT(CA836,4)="Inox",7930,7850)</f>
        <v>7930</v>
      </c>
      <c r="CK836" s="48"/>
    </row>
    <row r="837" spans="79:89" x14ac:dyDescent="0.25">
      <c r="CA837" s="2" t="s">
        <v>537</v>
      </c>
      <c r="CB837" s="43">
        <v>11.302153200000012</v>
      </c>
      <c r="CC837" s="19">
        <v>100</v>
      </c>
      <c r="CD837" s="19">
        <v>100</v>
      </c>
      <c r="CE837" s="20" t="s">
        <v>89</v>
      </c>
      <c r="CF837" s="5">
        <v>400</v>
      </c>
      <c r="CG837" s="5">
        <f t="shared" si="100"/>
        <v>11.100000000000001</v>
      </c>
      <c r="CH837" s="5">
        <f t="shared" si="101"/>
        <v>7.4</v>
      </c>
      <c r="CI837" s="5">
        <f t="shared" si="102"/>
        <v>10.836202395906096</v>
      </c>
      <c r="CJ837" s="2">
        <f t="shared" si="103"/>
        <v>7930</v>
      </c>
      <c r="CK837" s="48"/>
    </row>
    <row r="838" spans="79:89" x14ac:dyDescent="0.25">
      <c r="CA838" s="2" t="s">
        <v>538</v>
      </c>
      <c r="CB838" s="43">
        <v>11.595563199999997</v>
      </c>
      <c r="CC838" s="19">
        <v>100</v>
      </c>
      <c r="CD838" s="19">
        <v>100</v>
      </c>
      <c r="CE838" s="20" t="s">
        <v>90</v>
      </c>
      <c r="CF838" s="5">
        <v>400</v>
      </c>
      <c r="CG838" s="5">
        <f t="shared" si="100"/>
        <v>11.399999999999999</v>
      </c>
      <c r="CH838" s="5">
        <f t="shared" si="101"/>
        <v>7.6</v>
      </c>
      <c r="CI838" s="5">
        <f t="shared" si="102"/>
        <v>11.104085507442221</v>
      </c>
      <c r="CJ838" s="2">
        <f t="shared" si="103"/>
        <v>7930</v>
      </c>
      <c r="CK838" s="48"/>
    </row>
    <row r="839" spans="79:89" x14ac:dyDescent="0.25">
      <c r="CA839" s="2" t="s">
        <v>539</v>
      </c>
      <c r="CB839" s="43">
        <v>11.888338799999998</v>
      </c>
      <c r="CC839" s="19">
        <v>100</v>
      </c>
      <c r="CD839" s="19">
        <v>100</v>
      </c>
      <c r="CE839" s="20" t="s">
        <v>91</v>
      </c>
      <c r="CF839" s="5">
        <v>400</v>
      </c>
      <c r="CG839" s="5">
        <f t="shared" si="100"/>
        <v>11.7</v>
      </c>
      <c r="CH839" s="5">
        <f t="shared" si="101"/>
        <v>7.8</v>
      </c>
      <c r="CI839" s="5">
        <f t="shared" si="102"/>
        <v>11.370653501952644</v>
      </c>
      <c r="CJ839" s="2">
        <f t="shared" si="103"/>
        <v>7930</v>
      </c>
      <c r="CK839" s="48"/>
    </row>
    <row r="840" spans="79:89" x14ac:dyDescent="0.25">
      <c r="CA840" s="2" t="s">
        <v>540</v>
      </c>
      <c r="CB840" s="43">
        <v>12.180480000000001</v>
      </c>
      <c r="CC840" s="19">
        <v>100</v>
      </c>
      <c r="CD840" s="19">
        <v>100</v>
      </c>
      <c r="CE840" s="20" t="s">
        <v>25</v>
      </c>
      <c r="CF840" s="5">
        <v>400</v>
      </c>
      <c r="CG840" s="5">
        <f t="shared" si="100"/>
        <v>12</v>
      </c>
      <c r="CH840" s="5">
        <f t="shared" si="101"/>
        <v>8</v>
      </c>
      <c r="CI840" s="5">
        <f t="shared" si="102"/>
        <v>11.635906379437365</v>
      </c>
      <c r="CJ840" s="2">
        <f t="shared" si="103"/>
        <v>7930</v>
      </c>
      <c r="CK840" s="48"/>
    </row>
    <row r="841" spans="79:89" x14ac:dyDescent="0.25">
      <c r="CA841" s="2" t="s">
        <v>541</v>
      </c>
      <c r="CB841" s="43">
        <v>13.631669999999998</v>
      </c>
      <c r="CC841" s="19">
        <v>100</v>
      </c>
      <c r="CD841" s="19">
        <v>100</v>
      </c>
      <c r="CE841" s="20" t="s">
        <v>92</v>
      </c>
      <c r="CF841" s="5">
        <v>400</v>
      </c>
      <c r="CG841" s="5">
        <f t="shared" si="100"/>
        <v>13.5</v>
      </c>
      <c r="CH841" s="5">
        <f t="shared" si="101"/>
        <v>9</v>
      </c>
      <c r="CI841" s="5">
        <f t="shared" si="102"/>
        <v>12.942444011475414</v>
      </c>
      <c r="CJ841" s="2">
        <f t="shared" si="103"/>
        <v>7930</v>
      </c>
      <c r="CK841" s="48"/>
    </row>
    <row r="842" spans="79:89" x14ac:dyDescent="0.25">
      <c r="CA842" s="2" t="s">
        <v>542</v>
      </c>
      <c r="CB842" s="43">
        <v>15.067</v>
      </c>
      <c r="CC842" s="19">
        <v>100</v>
      </c>
      <c r="CD842" s="19">
        <v>100</v>
      </c>
      <c r="CE842" s="20" t="s">
        <v>26</v>
      </c>
      <c r="CF842" s="5">
        <v>400</v>
      </c>
      <c r="CG842" s="5">
        <f t="shared" si="100"/>
        <v>15</v>
      </c>
      <c r="CH842" s="5">
        <f t="shared" si="101"/>
        <v>10</v>
      </c>
      <c r="CI842" s="5">
        <f t="shared" si="102"/>
        <v>14.216103717870881</v>
      </c>
      <c r="CJ842" s="2">
        <f t="shared" si="103"/>
        <v>7930</v>
      </c>
      <c r="CK842" s="48"/>
    </row>
    <row r="843" spans="79:89" x14ac:dyDescent="0.25">
      <c r="CA843" s="2" t="s">
        <v>543</v>
      </c>
      <c r="CB843" s="43">
        <v>7.0342271999999921</v>
      </c>
      <c r="CC843" s="19">
        <v>100</v>
      </c>
      <c r="CD843" s="19">
        <v>150</v>
      </c>
      <c r="CE843" s="20" t="s">
        <v>72</v>
      </c>
      <c r="CF843" s="5">
        <v>500</v>
      </c>
      <c r="CG843" s="5">
        <f t="shared" si="100"/>
        <v>5.4</v>
      </c>
      <c r="CH843" s="5">
        <f t="shared" si="101"/>
        <v>3.6</v>
      </c>
      <c r="CI843" s="5">
        <f t="shared" si="102"/>
        <v>6.9239510418360668</v>
      </c>
      <c r="CJ843" s="2">
        <f t="shared" si="103"/>
        <v>7930</v>
      </c>
      <c r="CK843" s="48"/>
    </row>
    <row r="844" spans="79:89" x14ac:dyDescent="0.25">
      <c r="CA844" s="2" t="s">
        <v>544</v>
      </c>
      <c r="CB844" s="43">
        <v>7.4189908000000102</v>
      </c>
      <c r="CC844" s="19">
        <v>100</v>
      </c>
      <c r="CD844" s="19">
        <v>150</v>
      </c>
      <c r="CE844" s="20" t="s">
        <v>73</v>
      </c>
      <c r="CF844" s="5">
        <v>500</v>
      </c>
      <c r="CG844" s="5">
        <f t="shared" si="100"/>
        <v>5.6999999999999993</v>
      </c>
      <c r="CH844" s="5">
        <f t="shared" si="101"/>
        <v>3.8</v>
      </c>
      <c r="CI844" s="5">
        <f t="shared" si="102"/>
        <v>7.2961213768605546</v>
      </c>
      <c r="CJ844" s="2">
        <f t="shared" si="103"/>
        <v>7930</v>
      </c>
      <c r="CK844" s="48"/>
    </row>
    <row r="845" spans="79:89" x14ac:dyDescent="0.25">
      <c r="CA845" s="2" t="s">
        <v>545</v>
      </c>
      <c r="CB845" s="43">
        <v>7.8031199999999989</v>
      </c>
      <c r="CC845" s="19">
        <v>100</v>
      </c>
      <c r="CD845" s="19">
        <v>150</v>
      </c>
      <c r="CE845" s="20" t="s">
        <v>74</v>
      </c>
      <c r="CF845" s="5">
        <v>500</v>
      </c>
      <c r="CG845" s="5">
        <f t="shared" si="100"/>
        <v>6</v>
      </c>
      <c r="CH845" s="5">
        <f t="shared" si="101"/>
        <v>4</v>
      </c>
      <c r="CI845" s="5">
        <f t="shared" si="102"/>
        <v>7.6669765948593414</v>
      </c>
      <c r="CJ845" s="2">
        <f t="shared" si="103"/>
        <v>7930</v>
      </c>
      <c r="CK845" s="48"/>
    </row>
    <row r="846" spans="79:89" x14ac:dyDescent="0.25">
      <c r="CA846" s="2" t="s">
        <v>546</v>
      </c>
      <c r="CB846" s="43">
        <v>8.1866147999999885</v>
      </c>
      <c r="CC846" s="19">
        <v>100</v>
      </c>
      <c r="CD846" s="19">
        <v>150</v>
      </c>
      <c r="CE846" s="20" t="s">
        <v>75</v>
      </c>
      <c r="CF846" s="5">
        <v>500</v>
      </c>
      <c r="CG846" s="5">
        <f t="shared" si="100"/>
        <v>6.3000000000000007</v>
      </c>
      <c r="CH846" s="5">
        <f t="shared" si="101"/>
        <v>4.2</v>
      </c>
      <c r="CI846" s="5">
        <f t="shared" si="102"/>
        <v>8.0365166958324235</v>
      </c>
      <c r="CJ846" s="2">
        <f t="shared" si="103"/>
        <v>7930</v>
      </c>
      <c r="CK846" s="48"/>
    </row>
    <row r="847" spans="79:89" x14ac:dyDescent="0.25">
      <c r="CA847" s="2" t="s">
        <v>547</v>
      </c>
      <c r="CB847" s="43">
        <v>8.5694752000000101</v>
      </c>
      <c r="CC847" s="19">
        <v>100</v>
      </c>
      <c r="CD847" s="19">
        <v>150</v>
      </c>
      <c r="CE847" s="20" t="s">
        <v>76</v>
      </c>
      <c r="CF847" s="5">
        <v>500</v>
      </c>
      <c r="CG847" s="5">
        <f t="shared" si="100"/>
        <v>6.6000000000000005</v>
      </c>
      <c r="CH847" s="5">
        <f t="shared" si="101"/>
        <v>4.4000000000000004</v>
      </c>
      <c r="CI847" s="5">
        <f t="shared" si="102"/>
        <v>8.4047416797798036</v>
      </c>
      <c r="CJ847" s="2">
        <f t="shared" si="103"/>
        <v>7930</v>
      </c>
      <c r="CK847" s="48"/>
    </row>
    <row r="848" spans="79:89" x14ac:dyDescent="0.25">
      <c r="CA848" s="2" t="s">
        <v>548</v>
      </c>
      <c r="CB848" s="43">
        <v>8.9517011999999863</v>
      </c>
      <c r="CC848" s="19">
        <v>100</v>
      </c>
      <c r="CD848" s="19">
        <v>150</v>
      </c>
      <c r="CE848" s="20" t="s">
        <v>77</v>
      </c>
      <c r="CF848" s="5">
        <v>500</v>
      </c>
      <c r="CG848" s="5">
        <f t="shared" si="100"/>
        <v>6.8999999999999995</v>
      </c>
      <c r="CH848" s="5">
        <f t="shared" si="101"/>
        <v>4.5999999999999996</v>
      </c>
      <c r="CI848" s="5">
        <f t="shared" si="102"/>
        <v>8.7716515467014791</v>
      </c>
      <c r="CJ848" s="2">
        <f t="shared" si="103"/>
        <v>7930</v>
      </c>
      <c r="CK848" s="48"/>
    </row>
    <row r="849" spans="79:89" x14ac:dyDescent="0.25">
      <c r="CA849" s="2" t="s">
        <v>549</v>
      </c>
      <c r="CB849" s="43">
        <v>9.3332928000000077</v>
      </c>
      <c r="CC849" s="19">
        <v>100</v>
      </c>
      <c r="CD849" s="19">
        <v>150</v>
      </c>
      <c r="CE849" s="20" t="s">
        <v>78</v>
      </c>
      <c r="CF849" s="5">
        <v>500</v>
      </c>
      <c r="CG849" s="5">
        <f t="shared" si="100"/>
        <v>7.1999999999999993</v>
      </c>
      <c r="CH849" s="5">
        <f t="shared" si="101"/>
        <v>4.8</v>
      </c>
      <c r="CI849" s="5">
        <f t="shared" si="102"/>
        <v>9.1372462965974499</v>
      </c>
      <c r="CJ849" s="2">
        <f t="shared" si="103"/>
        <v>7930</v>
      </c>
      <c r="CK849" s="48"/>
    </row>
    <row r="850" spans="79:89" x14ac:dyDescent="0.25">
      <c r="CA850" s="2" t="s">
        <v>550</v>
      </c>
      <c r="CB850" s="43">
        <v>9.7142499999999998</v>
      </c>
      <c r="CC850" s="19">
        <v>100</v>
      </c>
      <c r="CD850" s="19">
        <v>150</v>
      </c>
      <c r="CE850" s="20" t="s">
        <v>79</v>
      </c>
      <c r="CF850" s="5">
        <v>500</v>
      </c>
      <c r="CG850" s="5">
        <f t="shared" si="100"/>
        <v>7.5</v>
      </c>
      <c r="CH850" s="5">
        <f t="shared" si="101"/>
        <v>5</v>
      </c>
      <c r="CI850" s="5">
        <f t="shared" si="102"/>
        <v>9.5015259294677215</v>
      </c>
      <c r="CJ850" s="2">
        <f t="shared" si="103"/>
        <v>7930</v>
      </c>
      <c r="CK850" s="48"/>
    </row>
    <row r="851" spans="79:89" x14ac:dyDescent="0.25">
      <c r="CA851" s="2" t="s">
        <v>551</v>
      </c>
      <c r="CB851" s="43">
        <v>10.474261200000015</v>
      </c>
      <c r="CC851" s="19">
        <v>100</v>
      </c>
      <c r="CD851" s="19">
        <v>150</v>
      </c>
      <c r="CE851" s="20" t="s">
        <v>80</v>
      </c>
      <c r="CF851" s="5">
        <v>500</v>
      </c>
      <c r="CG851" s="5">
        <f t="shared" si="100"/>
        <v>8.1000000000000014</v>
      </c>
      <c r="CH851" s="5">
        <f t="shared" si="101"/>
        <v>5.4</v>
      </c>
      <c r="CI851" s="5">
        <f t="shared" si="102"/>
        <v>10.226139844131151</v>
      </c>
      <c r="CJ851" s="2">
        <f t="shared" si="103"/>
        <v>7930</v>
      </c>
      <c r="CK851" s="48"/>
    </row>
    <row r="852" spans="79:89" x14ac:dyDescent="0.25">
      <c r="CA852" s="2" t="s">
        <v>552</v>
      </c>
      <c r="CB852" s="43">
        <v>10.853315199999994</v>
      </c>
      <c r="CC852" s="19">
        <v>100</v>
      </c>
      <c r="CD852" s="19">
        <v>150</v>
      </c>
      <c r="CE852" s="20" t="s">
        <v>81</v>
      </c>
      <c r="CF852" s="5">
        <v>500</v>
      </c>
      <c r="CG852" s="5">
        <f t="shared" si="100"/>
        <v>8.3999999999999986</v>
      </c>
      <c r="CH852" s="5">
        <f t="shared" si="101"/>
        <v>5.6</v>
      </c>
      <c r="CI852" s="5">
        <f t="shared" si="102"/>
        <v>10.586474125924306</v>
      </c>
      <c r="CJ852" s="2">
        <f t="shared" si="103"/>
        <v>7930</v>
      </c>
      <c r="CK852" s="48"/>
    </row>
    <row r="853" spans="79:89" x14ac:dyDescent="0.25">
      <c r="CA853" s="2" t="s">
        <v>553</v>
      </c>
      <c r="CB853" s="43">
        <v>11.231734800000005</v>
      </c>
      <c r="CC853" s="19">
        <v>100</v>
      </c>
      <c r="CD853" s="19">
        <v>150</v>
      </c>
      <c r="CE853" s="20" t="s">
        <v>82</v>
      </c>
      <c r="CF853" s="5">
        <v>500</v>
      </c>
      <c r="CG853" s="5">
        <f t="shared" si="100"/>
        <v>8.6999999999999993</v>
      </c>
      <c r="CH853" s="5">
        <f t="shared" si="101"/>
        <v>5.8</v>
      </c>
      <c r="CI853" s="5">
        <f t="shared" si="102"/>
        <v>10.945493290691765</v>
      </c>
      <c r="CJ853" s="2">
        <f t="shared" si="103"/>
        <v>7930</v>
      </c>
      <c r="CK853" s="48"/>
    </row>
    <row r="854" spans="79:89" x14ac:dyDescent="0.25">
      <c r="CA854" s="2" t="s">
        <v>554</v>
      </c>
      <c r="CB854" s="43">
        <v>11.60952</v>
      </c>
      <c r="CC854" s="19">
        <v>100</v>
      </c>
      <c r="CD854" s="19">
        <v>150</v>
      </c>
      <c r="CE854" s="20" t="s">
        <v>83</v>
      </c>
      <c r="CF854" s="5">
        <v>500</v>
      </c>
      <c r="CG854" s="5">
        <f t="shared" si="100"/>
        <v>9</v>
      </c>
      <c r="CH854" s="5">
        <f t="shared" si="101"/>
        <v>6</v>
      </c>
      <c r="CI854" s="5">
        <f t="shared" si="102"/>
        <v>11.303197338433518</v>
      </c>
      <c r="CJ854" s="2">
        <f t="shared" si="103"/>
        <v>7930</v>
      </c>
      <c r="CK854" s="48"/>
    </row>
    <row r="855" spans="79:89" x14ac:dyDescent="0.25">
      <c r="CA855" s="2" t="s">
        <v>555</v>
      </c>
      <c r="CB855" s="43">
        <v>11.986670799999995</v>
      </c>
      <c r="CC855" s="19">
        <v>100</v>
      </c>
      <c r="CD855" s="19">
        <v>150</v>
      </c>
      <c r="CE855" s="20" t="s">
        <v>84</v>
      </c>
      <c r="CF855" s="5">
        <v>500</v>
      </c>
      <c r="CG855" s="5">
        <f t="shared" si="100"/>
        <v>9.3000000000000007</v>
      </c>
      <c r="CH855" s="5">
        <f t="shared" si="101"/>
        <v>6.2</v>
      </c>
      <c r="CI855" s="5">
        <f t="shared" si="102"/>
        <v>11.659586269149569</v>
      </c>
      <c r="CJ855" s="2">
        <f t="shared" si="103"/>
        <v>7930</v>
      </c>
      <c r="CK855" s="48"/>
    </row>
    <row r="856" spans="79:89" x14ac:dyDescent="0.25">
      <c r="CA856" s="2" t="s">
        <v>556</v>
      </c>
      <c r="CB856" s="43">
        <v>12.363187200000008</v>
      </c>
      <c r="CC856" s="19">
        <v>100</v>
      </c>
      <c r="CD856" s="19">
        <v>150</v>
      </c>
      <c r="CE856" s="20" t="s">
        <v>85</v>
      </c>
      <c r="CF856" s="5">
        <v>500</v>
      </c>
      <c r="CG856" s="5">
        <f t="shared" si="100"/>
        <v>9.6000000000000014</v>
      </c>
      <c r="CH856" s="5">
        <f t="shared" si="101"/>
        <v>6.4</v>
      </c>
      <c r="CI856" s="5">
        <f t="shared" si="102"/>
        <v>12.014660082839914</v>
      </c>
      <c r="CJ856" s="2">
        <f t="shared" si="103"/>
        <v>7930</v>
      </c>
      <c r="CK856" s="48"/>
    </row>
    <row r="857" spans="79:89" x14ac:dyDescent="0.25">
      <c r="CA857" s="2" t="s">
        <v>557</v>
      </c>
      <c r="CB857" s="43">
        <v>13.114316800000001</v>
      </c>
      <c r="CC857" s="19">
        <v>100</v>
      </c>
      <c r="CD857" s="19">
        <v>150</v>
      </c>
      <c r="CE857" s="20" t="s">
        <v>87</v>
      </c>
      <c r="CF857" s="5">
        <v>500</v>
      </c>
      <c r="CG857" s="5">
        <f t="shared" si="100"/>
        <v>10.199999999999999</v>
      </c>
      <c r="CH857" s="5">
        <f t="shared" si="101"/>
        <v>6.8</v>
      </c>
      <c r="CI857" s="5">
        <f t="shared" si="102"/>
        <v>12.720862359143496</v>
      </c>
      <c r="CJ857" s="2">
        <f t="shared" si="103"/>
        <v>7930</v>
      </c>
      <c r="CK857" s="48"/>
    </row>
    <row r="858" spans="79:89" x14ac:dyDescent="0.25">
      <c r="CA858" s="2" t="s">
        <v>558</v>
      </c>
      <c r="CB858" s="43">
        <v>13.488929999999998</v>
      </c>
      <c r="CC858" s="19">
        <v>100</v>
      </c>
      <c r="CD858" s="19">
        <v>150</v>
      </c>
      <c r="CE858" s="20" t="s">
        <v>88</v>
      </c>
      <c r="CF858" s="5">
        <v>500</v>
      </c>
      <c r="CG858" s="5">
        <f t="shared" si="100"/>
        <v>10.5</v>
      </c>
      <c r="CH858" s="5">
        <f t="shared" si="101"/>
        <v>7</v>
      </c>
      <c r="CI858" s="5">
        <f t="shared" si="102"/>
        <v>13.071990821756732</v>
      </c>
      <c r="CJ858" s="2">
        <f t="shared" si="103"/>
        <v>7930</v>
      </c>
      <c r="CK858" s="48"/>
    </row>
    <row r="859" spans="79:89" x14ac:dyDescent="0.25">
      <c r="CA859" s="2" t="s">
        <v>559</v>
      </c>
      <c r="CB859" s="43">
        <v>14.236253200000013</v>
      </c>
      <c r="CC859" s="19">
        <v>100</v>
      </c>
      <c r="CD859" s="19">
        <v>150</v>
      </c>
      <c r="CE859" s="20" t="s">
        <v>89</v>
      </c>
      <c r="CF859" s="5">
        <v>500</v>
      </c>
      <c r="CG859" s="5">
        <f t="shared" si="100"/>
        <v>11.100000000000001</v>
      </c>
      <c r="CH859" s="5">
        <f t="shared" si="101"/>
        <v>7.4</v>
      </c>
      <c r="CI859" s="5">
        <f t="shared" si="102"/>
        <v>13.770302395906095</v>
      </c>
      <c r="CJ859" s="2">
        <f t="shared" si="103"/>
        <v>7930</v>
      </c>
      <c r="CK859" s="48"/>
    </row>
    <row r="860" spans="79:89" x14ac:dyDescent="0.25">
      <c r="CA860" s="2" t="s">
        <v>560</v>
      </c>
      <c r="CB860" s="43">
        <v>14.608963199999982</v>
      </c>
      <c r="CC860" s="19">
        <v>100</v>
      </c>
      <c r="CD860" s="19">
        <v>150</v>
      </c>
      <c r="CE860" s="20" t="s">
        <v>90</v>
      </c>
      <c r="CF860" s="5">
        <v>500</v>
      </c>
      <c r="CG860" s="5">
        <f t="shared" si="100"/>
        <v>11.399999999999999</v>
      </c>
      <c r="CH860" s="5">
        <f t="shared" si="101"/>
        <v>7.6</v>
      </c>
      <c r="CI860" s="5">
        <f t="shared" si="102"/>
        <v>14.117485507442222</v>
      </c>
      <c r="CJ860" s="2">
        <f t="shared" si="103"/>
        <v>7930</v>
      </c>
      <c r="CK860" s="48"/>
    </row>
    <row r="861" spans="79:89" x14ac:dyDescent="0.25">
      <c r="CA861" s="2" t="s">
        <v>561</v>
      </c>
      <c r="CB861" s="43">
        <v>14.981038799999999</v>
      </c>
      <c r="CC861" s="19">
        <v>100</v>
      </c>
      <c r="CD861" s="19">
        <v>150</v>
      </c>
      <c r="CE861" s="20" t="s">
        <v>91</v>
      </c>
      <c r="CF861" s="5">
        <v>500</v>
      </c>
      <c r="CG861" s="5">
        <f t="shared" si="100"/>
        <v>11.7</v>
      </c>
      <c r="CH861" s="5">
        <f t="shared" si="101"/>
        <v>7.8</v>
      </c>
      <c r="CI861" s="5">
        <f t="shared" si="102"/>
        <v>14.463353501952643</v>
      </c>
      <c r="CJ861" s="2">
        <f t="shared" si="103"/>
        <v>7930</v>
      </c>
      <c r="CK861" s="48"/>
    </row>
    <row r="862" spans="79:89" x14ac:dyDescent="0.25">
      <c r="CA862" s="2" t="s">
        <v>562</v>
      </c>
      <c r="CB862" s="43">
        <v>15.35248</v>
      </c>
      <c r="CC862" s="19">
        <v>100</v>
      </c>
      <c r="CD862" s="19">
        <v>150</v>
      </c>
      <c r="CE862" s="20" t="s">
        <v>25</v>
      </c>
      <c r="CF862" s="5">
        <v>500</v>
      </c>
      <c r="CG862" s="5">
        <f t="shared" si="100"/>
        <v>12</v>
      </c>
      <c r="CH862" s="5">
        <f t="shared" si="101"/>
        <v>8</v>
      </c>
      <c r="CI862" s="5">
        <f t="shared" si="102"/>
        <v>14.807906379437366</v>
      </c>
      <c r="CJ862" s="2">
        <f t="shared" si="103"/>
        <v>7930</v>
      </c>
      <c r="CK862" s="48"/>
    </row>
    <row r="863" spans="79:89" x14ac:dyDescent="0.25">
      <c r="CA863" s="2" t="s">
        <v>563</v>
      </c>
      <c r="CB863" s="43">
        <v>17.20017</v>
      </c>
      <c r="CC863" s="19">
        <v>100</v>
      </c>
      <c r="CD863" s="19">
        <v>150</v>
      </c>
      <c r="CE863" s="20" t="s">
        <v>92</v>
      </c>
      <c r="CF863" s="5">
        <v>500</v>
      </c>
      <c r="CG863" s="5">
        <f t="shared" si="100"/>
        <v>13.5</v>
      </c>
      <c r="CH863" s="5">
        <f t="shared" si="101"/>
        <v>9</v>
      </c>
      <c r="CI863" s="5">
        <f t="shared" si="102"/>
        <v>16.510944011475413</v>
      </c>
      <c r="CJ863" s="2">
        <f t="shared" si="103"/>
        <v>7930</v>
      </c>
      <c r="CK863" s="48"/>
    </row>
    <row r="864" spans="79:89" x14ac:dyDescent="0.25">
      <c r="CA864" s="2" t="s">
        <v>564</v>
      </c>
      <c r="CB864" s="43">
        <v>19.032</v>
      </c>
      <c r="CC864" s="19">
        <v>100</v>
      </c>
      <c r="CD864" s="19">
        <v>150</v>
      </c>
      <c r="CE864" s="20" t="s">
        <v>26</v>
      </c>
      <c r="CF864" s="5">
        <v>500</v>
      </c>
      <c r="CG864" s="5">
        <f t="shared" si="100"/>
        <v>15</v>
      </c>
      <c r="CH864" s="5">
        <f t="shared" si="101"/>
        <v>10</v>
      </c>
      <c r="CI864" s="5">
        <f t="shared" si="102"/>
        <v>18.181103717870883</v>
      </c>
      <c r="CJ864" s="2">
        <f t="shared" si="103"/>
        <v>7930</v>
      </c>
      <c r="CK864" s="48"/>
    </row>
    <row r="865" spans="79:89" x14ac:dyDescent="0.25">
      <c r="CA865" s="2" t="s">
        <v>565</v>
      </c>
      <c r="CB865" s="43">
        <v>8.4616271999999775</v>
      </c>
      <c r="CC865" s="19">
        <v>100</v>
      </c>
      <c r="CD865" s="19">
        <v>200</v>
      </c>
      <c r="CE865" s="20" t="s">
        <v>72</v>
      </c>
      <c r="CF865" s="5">
        <v>600</v>
      </c>
      <c r="CG865" s="5">
        <f t="shared" si="100"/>
        <v>5.4</v>
      </c>
      <c r="CH865" s="5">
        <f t="shared" si="101"/>
        <v>3.6</v>
      </c>
      <c r="CI865" s="5">
        <f t="shared" si="102"/>
        <v>8.3513510418360664</v>
      </c>
      <c r="CJ865" s="2">
        <f t="shared" si="103"/>
        <v>7930</v>
      </c>
      <c r="CK865" s="48"/>
    </row>
    <row r="866" spans="79:89" x14ac:dyDescent="0.25">
      <c r="CA866" s="2" t="s">
        <v>566</v>
      </c>
      <c r="CB866" s="43">
        <v>8.9256908000000106</v>
      </c>
      <c r="CC866" s="19">
        <v>100</v>
      </c>
      <c r="CD866" s="19">
        <v>200</v>
      </c>
      <c r="CE866" s="20" t="s">
        <v>73</v>
      </c>
      <c r="CF866" s="5">
        <v>600</v>
      </c>
      <c r="CG866" s="5">
        <f t="shared" si="100"/>
        <v>5.6999999999999993</v>
      </c>
      <c r="CH866" s="5">
        <f t="shared" si="101"/>
        <v>3.8</v>
      </c>
      <c r="CI866" s="5">
        <f t="shared" si="102"/>
        <v>8.8028213768605568</v>
      </c>
      <c r="CJ866" s="2">
        <f t="shared" si="103"/>
        <v>7930</v>
      </c>
      <c r="CK866" s="48"/>
    </row>
    <row r="867" spans="79:89" x14ac:dyDescent="0.25">
      <c r="CA867" s="2" t="s">
        <v>567</v>
      </c>
      <c r="CB867" s="43">
        <v>9.3891200000000001</v>
      </c>
      <c r="CC867" s="19">
        <v>100</v>
      </c>
      <c r="CD867" s="19">
        <v>200</v>
      </c>
      <c r="CE867" s="20" t="s">
        <v>74</v>
      </c>
      <c r="CF867" s="5">
        <v>600</v>
      </c>
      <c r="CG867" s="5">
        <f t="shared" si="100"/>
        <v>6</v>
      </c>
      <c r="CH867" s="5">
        <f t="shared" si="101"/>
        <v>4</v>
      </c>
      <c r="CI867" s="5">
        <f t="shared" si="102"/>
        <v>9.2529765948593408</v>
      </c>
      <c r="CJ867" s="2">
        <f t="shared" si="103"/>
        <v>7930</v>
      </c>
      <c r="CK867" s="48"/>
    </row>
    <row r="868" spans="79:89" x14ac:dyDescent="0.25">
      <c r="CA868" s="2" t="s">
        <v>568</v>
      </c>
      <c r="CB868" s="43">
        <v>9.8519148000000047</v>
      </c>
      <c r="CC868" s="19">
        <v>100</v>
      </c>
      <c r="CD868" s="19">
        <v>200</v>
      </c>
      <c r="CE868" s="20" t="s">
        <v>75</v>
      </c>
      <c r="CF868" s="5">
        <v>600</v>
      </c>
      <c r="CG868" s="5">
        <f t="shared" si="100"/>
        <v>6.3000000000000007</v>
      </c>
      <c r="CH868" s="5">
        <f t="shared" si="101"/>
        <v>4.2</v>
      </c>
      <c r="CI868" s="5">
        <f t="shared" si="102"/>
        <v>9.7018166958324255</v>
      </c>
      <c r="CJ868" s="2">
        <f t="shared" si="103"/>
        <v>7930</v>
      </c>
      <c r="CK868" s="48"/>
    </row>
    <row r="869" spans="79:89" x14ac:dyDescent="0.25">
      <c r="CA869" s="2" t="s">
        <v>569</v>
      </c>
      <c r="CB869" s="43">
        <v>10.314075200000024</v>
      </c>
      <c r="CC869" s="19">
        <v>100</v>
      </c>
      <c r="CD869" s="19">
        <v>200</v>
      </c>
      <c r="CE869" s="20" t="s">
        <v>76</v>
      </c>
      <c r="CF869" s="5">
        <v>600</v>
      </c>
      <c r="CG869" s="5">
        <f t="shared" si="100"/>
        <v>6.6000000000000005</v>
      </c>
      <c r="CH869" s="5">
        <f t="shared" si="101"/>
        <v>4.4000000000000004</v>
      </c>
      <c r="CI869" s="5">
        <f t="shared" si="102"/>
        <v>10.149341679779804</v>
      </c>
      <c r="CJ869" s="2">
        <f t="shared" si="103"/>
        <v>7930</v>
      </c>
      <c r="CK869" s="48"/>
    </row>
    <row r="870" spans="79:89" x14ac:dyDescent="0.25">
      <c r="CA870" s="2" t="s">
        <v>570</v>
      </c>
      <c r="CB870" s="43">
        <v>10.775601200000001</v>
      </c>
      <c r="CC870" s="19">
        <v>100</v>
      </c>
      <c r="CD870" s="19">
        <v>200</v>
      </c>
      <c r="CE870" s="20" t="s">
        <v>77</v>
      </c>
      <c r="CF870" s="5">
        <v>600</v>
      </c>
      <c r="CG870" s="5">
        <f t="shared" si="100"/>
        <v>6.8999999999999995</v>
      </c>
      <c r="CH870" s="5">
        <f t="shared" si="101"/>
        <v>4.5999999999999996</v>
      </c>
      <c r="CI870" s="5">
        <f t="shared" si="102"/>
        <v>10.595551546701477</v>
      </c>
      <c r="CJ870" s="2">
        <f t="shared" si="103"/>
        <v>7930</v>
      </c>
      <c r="CK870" s="48"/>
    </row>
    <row r="871" spans="79:89" x14ac:dyDescent="0.25">
      <c r="CA871" s="2" t="s">
        <v>571</v>
      </c>
      <c r="CB871" s="43">
        <v>11.236492799999992</v>
      </c>
      <c r="CC871" s="19">
        <v>100</v>
      </c>
      <c r="CD871" s="19">
        <v>200</v>
      </c>
      <c r="CE871" s="20" t="s">
        <v>78</v>
      </c>
      <c r="CF871" s="5">
        <v>600</v>
      </c>
      <c r="CG871" s="5">
        <f t="shared" si="100"/>
        <v>7.1999999999999993</v>
      </c>
      <c r="CH871" s="5">
        <f t="shared" si="101"/>
        <v>4.8</v>
      </c>
      <c r="CI871" s="5">
        <f t="shared" si="102"/>
        <v>11.04044629659745</v>
      </c>
      <c r="CJ871" s="2">
        <f t="shared" si="103"/>
        <v>7930</v>
      </c>
      <c r="CK871" s="48"/>
    </row>
    <row r="872" spans="79:89" x14ac:dyDescent="0.25">
      <c r="CA872" s="2" t="s">
        <v>572</v>
      </c>
      <c r="CB872" s="43">
        <v>11.69675</v>
      </c>
      <c r="CC872" s="19">
        <v>100</v>
      </c>
      <c r="CD872" s="19">
        <v>200</v>
      </c>
      <c r="CE872" s="20" t="s">
        <v>79</v>
      </c>
      <c r="CF872" s="5">
        <v>600</v>
      </c>
      <c r="CG872" s="5">
        <f t="shared" si="100"/>
        <v>7.5</v>
      </c>
      <c r="CH872" s="5">
        <f t="shared" si="101"/>
        <v>5</v>
      </c>
      <c r="CI872" s="5">
        <f t="shared" si="102"/>
        <v>11.484025929467721</v>
      </c>
      <c r="CJ872" s="2">
        <f t="shared" si="103"/>
        <v>7930</v>
      </c>
      <c r="CK872" s="48"/>
    </row>
    <row r="873" spans="79:89" x14ac:dyDescent="0.25">
      <c r="CA873" s="2" t="s">
        <v>573</v>
      </c>
      <c r="CB873" s="43">
        <v>12.615361200000001</v>
      </c>
      <c r="CC873" s="19">
        <v>100</v>
      </c>
      <c r="CD873" s="19">
        <v>200</v>
      </c>
      <c r="CE873" s="20" t="s">
        <v>80</v>
      </c>
      <c r="CF873" s="5">
        <v>600</v>
      </c>
      <c r="CG873" s="5">
        <f t="shared" si="100"/>
        <v>8.1000000000000014</v>
      </c>
      <c r="CH873" s="5">
        <f t="shared" si="101"/>
        <v>5.4</v>
      </c>
      <c r="CI873" s="5">
        <f t="shared" si="102"/>
        <v>12.36723984413115</v>
      </c>
      <c r="CJ873" s="2">
        <f t="shared" si="103"/>
        <v>7930</v>
      </c>
      <c r="CK873" s="48"/>
    </row>
    <row r="874" spans="79:89" x14ac:dyDescent="0.25">
      <c r="CA874" s="2" t="s">
        <v>574</v>
      </c>
      <c r="CB874" s="43">
        <v>13.073715199999995</v>
      </c>
      <c r="CC874" s="19">
        <v>100</v>
      </c>
      <c r="CD874" s="19">
        <v>200</v>
      </c>
      <c r="CE874" s="20" t="s">
        <v>81</v>
      </c>
      <c r="CF874" s="5">
        <v>600</v>
      </c>
      <c r="CG874" s="5">
        <f t="shared" si="100"/>
        <v>8.3999999999999986</v>
      </c>
      <c r="CH874" s="5">
        <f t="shared" si="101"/>
        <v>5.6</v>
      </c>
      <c r="CI874" s="5">
        <f t="shared" si="102"/>
        <v>12.806874125924308</v>
      </c>
      <c r="CJ874" s="2">
        <f t="shared" si="103"/>
        <v>7930</v>
      </c>
      <c r="CK874" s="48"/>
    </row>
    <row r="875" spans="79:89" x14ac:dyDescent="0.25">
      <c r="CA875" s="2" t="s">
        <v>575</v>
      </c>
      <c r="CB875" s="43">
        <v>13.531434800000005</v>
      </c>
      <c r="CC875" s="19">
        <v>100</v>
      </c>
      <c r="CD875" s="19">
        <v>200</v>
      </c>
      <c r="CE875" s="20" t="s">
        <v>82</v>
      </c>
      <c r="CF875" s="5">
        <v>600</v>
      </c>
      <c r="CG875" s="5">
        <f t="shared" si="100"/>
        <v>8.6999999999999993</v>
      </c>
      <c r="CH875" s="5">
        <f t="shared" si="101"/>
        <v>5.8</v>
      </c>
      <c r="CI875" s="5">
        <f t="shared" si="102"/>
        <v>13.245193290691764</v>
      </c>
      <c r="CJ875" s="2">
        <f t="shared" si="103"/>
        <v>7930</v>
      </c>
      <c r="CK875" s="48"/>
    </row>
    <row r="876" spans="79:89" x14ac:dyDescent="0.25">
      <c r="CA876" s="2" t="s">
        <v>576</v>
      </c>
      <c r="CB876" s="43">
        <v>13.988519999999999</v>
      </c>
      <c r="CC876" s="19">
        <v>100</v>
      </c>
      <c r="CD876" s="19">
        <v>200</v>
      </c>
      <c r="CE876" s="20" t="s">
        <v>83</v>
      </c>
      <c r="CF876" s="5">
        <v>600</v>
      </c>
      <c r="CG876" s="5">
        <f t="shared" si="100"/>
        <v>9</v>
      </c>
      <c r="CH876" s="5">
        <f t="shared" si="101"/>
        <v>6</v>
      </c>
      <c r="CI876" s="5">
        <f t="shared" si="102"/>
        <v>13.682197338433518</v>
      </c>
      <c r="CJ876" s="2">
        <f t="shared" si="103"/>
        <v>7930</v>
      </c>
      <c r="CK876" s="48"/>
    </row>
    <row r="877" spans="79:89" x14ac:dyDescent="0.25">
      <c r="CA877" s="2" t="s">
        <v>577</v>
      </c>
      <c r="CB877" s="43">
        <v>14.444970799999982</v>
      </c>
      <c r="CC877" s="19">
        <v>100</v>
      </c>
      <c r="CD877" s="19">
        <v>200</v>
      </c>
      <c r="CE877" s="20" t="s">
        <v>84</v>
      </c>
      <c r="CF877" s="5">
        <v>600</v>
      </c>
      <c r="CG877" s="5">
        <f t="shared" si="100"/>
        <v>9.3000000000000007</v>
      </c>
      <c r="CH877" s="5">
        <f t="shared" si="101"/>
        <v>6.2</v>
      </c>
      <c r="CI877" s="5">
        <f t="shared" si="102"/>
        <v>14.117886269149569</v>
      </c>
      <c r="CJ877" s="2">
        <f t="shared" si="103"/>
        <v>7930</v>
      </c>
      <c r="CK877" s="48"/>
    </row>
    <row r="878" spans="79:89" x14ac:dyDescent="0.25">
      <c r="CA878" s="2" t="s">
        <v>578</v>
      </c>
      <c r="CB878" s="43">
        <v>14.900787200000007</v>
      </c>
      <c r="CC878" s="19">
        <v>100</v>
      </c>
      <c r="CD878" s="19">
        <v>200</v>
      </c>
      <c r="CE878" s="20" t="s">
        <v>85</v>
      </c>
      <c r="CF878" s="5">
        <v>600</v>
      </c>
      <c r="CG878" s="5">
        <f t="shared" si="100"/>
        <v>9.6000000000000014</v>
      </c>
      <c r="CH878" s="5">
        <f t="shared" si="101"/>
        <v>6.4</v>
      </c>
      <c r="CI878" s="5">
        <f t="shared" si="102"/>
        <v>14.552260082839915</v>
      </c>
      <c r="CJ878" s="2">
        <f t="shared" si="103"/>
        <v>7930</v>
      </c>
      <c r="CK878" s="48"/>
    </row>
    <row r="879" spans="79:89" x14ac:dyDescent="0.25">
      <c r="CA879" s="2" t="s">
        <v>579</v>
      </c>
      <c r="CB879" s="43">
        <v>15.810516800000016</v>
      </c>
      <c r="CC879" s="19">
        <v>100</v>
      </c>
      <c r="CD879" s="19">
        <v>200</v>
      </c>
      <c r="CE879" s="20" t="s">
        <v>87</v>
      </c>
      <c r="CF879" s="5">
        <v>600</v>
      </c>
      <c r="CG879" s="5">
        <f t="shared" si="100"/>
        <v>10.199999999999999</v>
      </c>
      <c r="CH879" s="5">
        <f t="shared" si="101"/>
        <v>6.8</v>
      </c>
      <c r="CI879" s="5">
        <f t="shared" si="102"/>
        <v>15.417062359143493</v>
      </c>
      <c r="CJ879" s="2">
        <f t="shared" si="103"/>
        <v>7930</v>
      </c>
      <c r="CK879" s="48"/>
    </row>
    <row r="880" spans="79:89" x14ac:dyDescent="0.25">
      <c r="CA880" s="2" t="s">
        <v>580</v>
      </c>
      <c r="CB880" s="43">
        <v>16.264429999999997</v>
      </c>
      <c r="CC880" s="19">
        <v>100</v>
      </c>
      <c r="CD880" s="19">
        <v>200</v>
      </c>
      <c r="CE880" s="20" t="s">
        <v>88</v>
      </c>
      <c r="CF880" s="5">
        <v>600</v>
      </c>
      <c r="CG880" s="5">
        <f t="shared" si="100"/>
        <v>10.5</v>
      </c>
      <c r="CH880" s="5">
        <f t="shared" si="101"/>
        <v>7</v>
      </c>
      <c r="CI880" s="5">
        <f t="shared" si="102"/>
        <v>15.847490821756733</v>
      </c>
      <c r="CJ880" s="2">
        <f t="shared" si="103"/>
        <v>7930</v>
      </c>
      <c r="CK880" s="48"/>
    </row>
    <row r="881" spans="79:89" x14ac:dyDescent="0.25">
      <c r="CA881" s="2" t="s">
        <v>581</v>
      </c>
      <c r="CB881" s="43">
        <v>17.170353200000012</v>
      </c>
      <c r="CC881" s="19">
        <v>100</v>
      </c>
      <c r="CD881" s="19">
        <v>200</v>
      </c>
      <c r="CE881" s="20" t="s">
        <v>89</v>
      </c>
      <c r="CF881" s="5">
        <v>600</v>
      </c>
      <c r="CG881" s="5">
        <f t="shared" si="100"/>
        <v>11.100000000000001</v>
      </c>
      <c r="CH881" s="5">
        <f t="shared" si="101"/>
        <v>7.4</v>
      </c>
      <c r="CI881" s="5">
        <f t="shared" si="102"/>
        <v>16.704402395906097</v>
      </c>
      <c r="CJ881" s="2">
        <f t="shared" si="103"/>
        <v>7930</v>
      </c>
      <c r="CK881" s="48"/>
    </row>
    <row r="882" spans="79:89" x14ac:dyDescent="0.25">
      <c r="CA882" s="2" t="s">
        <v>582</v>
      </c>
      <c r="CB882" s="43">
        <v>17.622363199999981</v>
      </c>
      <c r="CC882" s="19">
        <v>100</v>
      </c>
      <c r="CD882" s="19">
        <v>200</v>
      </c>
      <c r="CE882" s="20" t="s">
        <v>90</v>
      </c>
      <c r="CF882" s="5">
        <v>600</v>
      </c>
      <c r="CG882" s="5">
        <f t="shared" si="100"/>
        <v>11.399999999999999</v>
      </c>
      <c r="CH882" s="5">
        <f t="shared" si="101"/>
        <v>7.6</v>
      </c>
      <c r="CI882" s="5">
        <f t="shared" si="102"/>
        <v>17.130885507442219</v>
      </c>
      <c r="CJ882" s="2">
        <f t="shared" si="103"/>
        <v>7930</v>
      </c>
      <c r="CK882" s="48"/>
    </row>
    <row r="883" spans="79:89" x14ac:dyDescent="0.25">
      <c r="CA883" s="2" t="s">
        <v>583</v>
      </c>
      <c r="CB883" s="43">
        <v>18.073738799999997</v>
      </c>
      <c r="CC883" s="19">
        <v>100</v>
      </c>
      <c r="CD883" s="19">
        <v>200</v>
      </c>
      <c r="CE883" s="20" t="s">
        <v>91</v>
      </c>
      <c r="CF883" s="5">
        <v>600</v>
      </c>
      <c r="CG883" s="5">
        <f t="shared" si="100"/>
        <v>11.7</v>
      </c>
      <c r="CH883" s="5">
        <f t="shared" si="101"/>
        <v>7.8</v>
      </c>
      <c r="CI883" s="5">
        <f t="shared" si="102"/>
        <v>17.556053501952643</v>
      </c>
      <c r="CJ883" s="2">
        <f t="shared" si="103"/>
        <v>7930</v>
      </c>
      <c r="CK883" s="48"/>
    </row>
    <row r="884" spans="79:89" x14ac:dyDescent="0.25">
      <c r="CA884" s="2" t="s">
        <v>584</v>
      </c>
      <c r="CB884" s="43">
        <v>18.524480000000001</v>
      </c>
      <c r="CC884" s="19">
        <v>100</v>
      </c>
      <c r="CD884" s="19">
        <v>200</v>
      </c>
      <c r="CE884" s="20" t="s">
        <v>25</v>
      </c>
      <c r="CF884" s="5">
        <v>600</v>
      </c>
      <c r="CG884" s="5">
        <f t="shared" si="100"/>
        <v>12</v>
      </c>
      <c r="CH884" s="5">
        <f t="shared" si="101"/>
        <v>8</v>
      </c>
      <c r="CI884" s="5">
        <f t="shared" si="102"/>
        <v>17.979906379437367</v>
      </c>
      <c r="CJ884" s="2">
        <f t="shared" si="103"/>
        <v>7930</v>
      </c>
      <c r="CK884" s="48"/>
    </row>
    <row r="885" spans="79:89" x14ac:dyDescent="0.25">
      <c r="CA885" s="2" t="s">
        <v>585</v>
      </c>
      <c r="CB885" s="43">
        <v>20.76867</v>
      </c>
      <c r="CC885" s="19">
        <v>100</v>
      </c>
      <c r="CD885" s="19">
        <v>200</v>
      </c>
      <c r="CE885" s="20" t="s">
        <v>92</v>
      </c>
      <c r="CF885" s="5">
        <v>600</v>
      </c>
      <c r="CG885" s="5">
        <f t="shared" si="100"/>
        <v>13.5</v>
      </c>
      <c r="CH885" s="5">
        <f t="shared" si="101"/>
        <v>9</v>
      </c>
      <c r="CI885" s="5">
        <f t="shared" si="102"/>
        <v>20.079444011475413</v>
      </c>
      <c r="CJ885" s="2">
        <f t="shared" si="103"/>
        <v>7930</v>
      </c>
      <c r="CK885" s="48"/>
    </row>
    <row r="886" spans="79:89" x14ac:dyDescent="0.25">
      <c r="CA886" s="2" t="s">
        <v>586</v>
      </c>
      <c r="CB886" s="43">
        <v>22.997</v>
      </c>
      <c r="CC886" s="19">
        <v>100</v>
      </c>
      <c r="CD886" s="19">
        <v>200</v>
      </c>
      <c r="CE886" s="20" t="s">
        <v>26</v>
      </c>
      <c r="CF886" s="5">
        <v>600</v>
      </c>
      <c r="CG886" s="5">
        <f t="shared" si="100"/>
        <v>15</v>
      </c>
      <c r="CH886" s="5">
        <f t="shared" si="101"/>
        <v>10</v>
      </c>
      <c r="CI886" s="5">
        <f t="shared" si="102"/>
        <v>22.146103717870883</v>
      </c>
      <c r="CJ886" s="2">
        <f t="shared" si="103"/>
        <v>7930</v>
      </c>
      <c r="CK886" s="48"/>
    </row>
  </sheetData>
  <mergeCells count="6">
    <mergeCell ref="CG1:CJ1"/>
    <mergeCell ref="DY2:DZ2"/>
    <mergeCell ref="EY2:EZ2"/>
    <mergeCell ref="FZ2:GA2"/>
    <mergeCell ref="FY1:FY2"/>
    <mergeCell ref="DE1:DF1"/>
  </mergeCells>
  <conditionalFormatting sqref="CZ1:CZ1048576">
    <cfRule type="containsText" dxfId="5" priority="6" operator="containsText" text="Inox">
      <formula>NOT(ISERROR(SEARCH("Inox",CZ1)))</formula>
    </cfRule>
  </conditionalFormatting>
  <conditionalFormatting sqref="DF2:DF1048576">
    <cfRule type="cellIs" dxfId="4" priority="5" operator="equal">
      <formula>7930</formula>
    </cfRule>
  </conditionalFormatting>
  <conditionalFormatting sqref="CJ2">
    <cfRule type="cellIs" dxfId="3" priority="4" operator="equal">
      <formula>7930</formula>
    </cfRule>
  </conditionalFormatting>
  <conditionalFormatting sqref="CH2:CI2">
    <cfRule type="cellIs" dxfId="2" priority="3" operator="equal">
      <formula>7930</formula>
    </cfRule>
  </conditionalFormatting>
  <conditionalFormatting sqref="CA1:CA1048576">
    <cfRule type="containsText" dxfId="1" priority="2" operator="containsText" text="Inox">
      <formula>NOT(ISERROR(SEARCH("Inox",CA1)))</formula>
    </cfRule>
  </conditionalFormatting>
  <conditionalFormatting sqref="CJ1:CJ1048576">
    <cfRule type="containsText" dxfId="0" priority="1" operator="containsText" text="7930">
      <formula>NOT(ISERROR(SEARCH("7930",CJ1)))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K203"/>
  <sheetViews>
    <sheetView showGridLines="0" tabSelected="1" zoomScale="130" zoomScaleNormal="130" workbookViewId="0">
      <selection activeCell="AC19" sqref="AC19"/>
    </sheetView>
  </sheetViews>
  <sheetFormatPr defaultRowHeight="15" x14ac:dyDescent="0.25"/>
  <cols>
    <col min="1" max="1" width="19" customWidth="1"/>
    <col min="2" max="8" width="5.28515625" customWidth="1"/>
    <col min="9" max="17" width="7.7109375" customWidth="1"/>
    <col min="18" max="26" width="9.140625" hidden="1" customWidth="1"/>
    <col min="27" max="27" width="4.140625" style="1" customWidth="1"/>
    <col min="28" max="28" width="10.85546875" style="14" customWidth="1"/>
    <col min="29" max="29" width="9.140625" style="14"/>
    <col min="30" max="30" width="25.5703125" style="14" customWidth="1"/>
    <col min="31" max="31" width="10.5703125" style="14" customWidth="1"/>
    <col min="32" max="33" width="9.140625" style="14"/>
    <col min="34" max="34" width="10" style="22" customWidth="1"/>
    <col min="35" max="35" width="12.5703125" style="24" customWidth="1"/>
    <col min="36" max="36" width="12.5703125" style="24" bestFit="1" customWidth="1"/>
  </cols>
  <sheetData>
    <row r="1" spans="1:36" ht="15" customHeight="1" x14ac:dyDescent="0.25">
      <c r="A1" s="69" t="s">
        <v>17</v>
      </c>
      <c r="B1" s="70"/>
      <c r="C1" s="70"/>
      <c r="D1" s="70"/>
      <c r="E1" s="70"/>
      <c r="F1" s="70"/>
      <c r="G1" s="70"/>
      <c r="H1" s="71"/>
      <c r="I1" s="83">
        <v>10</v>
      </c>
      <c r="J1" s="84"/>
      <c r="K1" s="84"/>
      <c r="L1" s="85"/>
      <c r="M1" s="82" t="s">
        <v>22</v>
      </c>
      <c r="N1" s="82"/>
      <c r="AB1" s="68" t="s">
        <v>10</v>
      </c>
      <c r="AC1" s="68"/>
      <c r="AD1" s="68"/>
      <c r="AE1" s="68"/>
      <c r="AF1" s="68"/>
      <c r="AG1" s="68"/>
      <c r="AH1" s="68"/>
      <c r="AI1" s="68"/>
      <c r="AJ1" s="68"/>
    </row>
    <row r="2" spans="1:36" ht="15" customHeight="1" x14ac:dyDescent="0.25">
      <c r="A2" s="72"/>
      <c r="B2" s="73"/>
      <c r="C2" s="73"/>
      <c r="D2" s="73"/>
      <c r="E2" s="73"/>
      <c r="F2" s="73"/>
      <c r="G2" s="73"/>
      <c r="H2" s="74"/>
      <c r="I2" s="86"/>
      <c r="J2" s="87"/>
      <c r="K2" s="87"/>
      <c r="L2" s="88"/>
      <c r="M2" s="82"/>
      <c r="N2" s="82"/>
      <c r="AB2" s="68"/>
      <c r="AC2" s="68"/>
      <c r="AD2" s="68"/>
      <c r="AE2" s="68"/>
      <c r="AF2" s="68"/>
      <c r="AG2" s="68"/>
      <c r="AH2" s="68"/>
      <c r="AI2" s="68"/>
      <c r="AJ2" s="68"/>
    </row>
    <row r="3" spans="1:36" ht="15" customHeight="1" x14ac:dyDescent="0.25">
      <c r="A3" s="76" t="s">
        <v>0</v>
      </c>
      <c r="B3" s="77" t="s">
        <v>11</v>
      </c>
      <c r="C3" s="77"/>
      <c r="D3" s="77"/>
      <c r="E3" s="77"/>
      <c r="F3" s="77"/>
      <c r="G3" s="77"/>
      <c r="H3" s="78"/>
      <c r="I3" s="58" t="s">
        <v>4</v>
      </c>
      <c r="J3" s="57" t="s">
        <v>5</v>
      </c>
      <c r="K3" s="57"/>
      <c r="L3" s="58" t="s">
        <v>8</v>
      </c>
      <c r="M3" s="58" t="s">
        <v>20</v>
      </c>
      <c r="N3" s="58" t="s">
        <v>21</v>
      </c>
      <c r="O3" s="58" t="s">
        <v>18</v>
      </c>
      <c r="P3" s="58" t="s">
        <v>9</v>
      </c>
      <c r="Q3" s="58" t="s">
        <v>141</v>
      </c>
      <c r="AB3" s="58" t="s">
        <v>1</v>
      </c>
      <c r="AC3" s="58" t="s">
        <v>2</v>
      </c>
      <c r="AD3" s="58" t="s">
        <v>3</v>
      </c>
      <c r="AE3" s="58" t="s">
        <v>4</v>
      </c>
      <c r="AF3" s="57" t="s">
        <v>5</v>
      </c>
      <c r="AG3" s="57"/>
      <c r="AH3" s="49" t="s">
        <v>8</v>
      </c>
      <c r="AI3" s="49" t="s">
        <v>771</v>
      </c>
      <c r="AJ3" s="49" t="s">
        <v>9</v>
      </c>
    </row>
    <row r="4" spans="1:36" x14ac:dyDescent="0.25">
      <c r="A4" s="76"/>
      <c r="B4" s="76"/>
      <c r="C4" s="76"/>
      <c r="D4" s="76"/>
      <c r="E4" s="76"/>
      <c r="F4" s="76"/>
      <c r="G4" s="76"/>
      <c r="H4" s="79"/>
      <c r="I4" s="58"/>
      <c r="J4" s="57" t="s">
        <v>6</v>
      </c>
      <c r="K4" s="57" t="s">
        <v>7</v>
      </c>
      <c r="L4" s="58"/>
      <c r="M4" s="58"/>
      <c r="N4" s="58"/>
      <c r="O4" s="58"/>
      <c r="P4" s="58"/>
      <c r="Q4" s="58"/>
      <c r="AB4" s="58"/>
      <c r="AC4" s="58"/>
      <c r="AD4" s="58"/>
      <c r="AE4" s="58"/>
      <c r="AF4" s="57" t="s">
        <v>6</v>
      </c>
      <c r="AG4" s="57" t="s">
        <v>7</v>
      </c>
      <c r="AH4" s="49"/>
      <c r="AI4" s="49"/>
      <c r="AJ4" s="49"/>
    </row>
    <row r="5" spans="1:36" x14ac:dyDescent="0.25">
      <c r="A5" s="76"/>
      <c r="B5" s="80"/>
      <c r="C5" s="80"/>
      <c r="D5" s="80"/>
      <c r="E5" s="80"/>
      <c r="F5" s="80"/>
      <c r="G5" s="80"/>
      <c r="H5" s="81"/>
      <c r="I5" s="60"/>
      <c r="J5" s="89"/>
      <c r="K5" s="89"/>
      <c r="L5" s="60"/>
      <c r="M5" s="60"/>
      <c r="N5" s="60"/>
      <c r="O5" s="60"/>
      <c r="P5" s="60"/>
      <c r="Q5" s="60"/>
      <c r="AB5" s="58"/>
      <c r="AC5" s="58"/>
      <c r="AD5" s="58"/>
      <c r="AE5" s="58"/>
      <c r="AF5" s="57"/>
      <c r="AG5" s="57"/>
      <c r="AH5" s="49"/>
      <c r="AI5" s="49"/>
      <c r="AJ5" s="49"/>
    </row>
    <row r="6" spans="1:36" ht="15" customHeight="1" x14ac:dyDescent="0.25">
      <c r="A6" s="2" t="s">
        <v>99</v>
      </c>
      <c r="B6" s="75" t="s">
        <v>23</v>
      </c>
      <c r="C6" s="75"/>
      <c r="D6" s="75"/>
      <c r="E6" s="75"/>
      <c r="F6" s="75"/>
      <c r="G6" s="75"/>
      <c r="H6" s="75"/>
      <c r="I6" s="11">
        <v>6000</v>
      </c>
      <c r="J6" s="11">
        <v>2</v>
      </c>
      <c r="K6" s="12">
        <f t="shared" ref="K6:K13" si="0">J6*$I$1</f>
        <v>20</v>
      </c>
      <c r="L6" s="38">
        <f t="shared" ref="L6:L13" si="1">I6*K6/1000</f>
        <v>120</v>
      </c>
      <c r="M6" s="40">
        <f>VLOOKUP(B6,Data!A3:$E$9999,5,FALSE)/1000</f>
        <v>0.3</v>
      </c>
      <c r="N6" s="40">
        <f>M6*L6</f>
        <v>36</v>
      </c>
      <c r="O6" s="40">
        <f>VLOOKUP(B6,Data!$A$3:$D$9999,2,FALSE)</f>
        <v>5.8</v>
      </c>
      <c r="P6" s="38">
        <f t="shared" ref="P6:P13" si="2">O6*L6</f>
        <v>696</v>
      </c>
      <c r="Q6" s="2"/>
      <c r="AB6" s="62"/>
      <c r="AC6" s="63"/>
      <c r="AD6" s="63"/>
      <c r="AE6" s="63"/>
      <c r="AF6" s="63"/>
      <c r="AG6" s="64"/>
      <c r="AH6" s="61">
        <f t="shared" ref="AH6:AI6" si="3">SUM(AH13:AH999)</f>
        <v>240</v>
      </c>
      <c r="AI6" s="61">
        <f t="shared" si="3"/>
        <v>453.12</v>
      </c>
      <c r="AJ6" s="61">
        <f>SUM(AJ13:AJ999)</f>
        <v>12065.136</v>
      </c>
    </row>
    <row r="7" spans="1:36" ht="15" customHeight="1" x14ac:dyDescent="0.25">
      <c r="A7" s="2" t="s">
        <v>100</v>
      </c>
      <c r="B7" s="75" t="s">
        <v>41</v>
      </c>
      <c r="C7" s="75"/>
      <c r="D7" s="75"/>
      <c r="E7" s="75"/>
      <c r="F7" s="75"/>
      <c r="G7" s="75"/>
      <c r="H7" s="75"/>
      <c r="I7" s="11">
        <v>6000</v>
      </c>
      <c r="J7" s="11">
        <v>2</v>
      </c>
      <c r="K7" s="12">
        <f t="shared" si="0"/>
        <v>20</v>
      </c>
      <c r="L7" s="38">
        <f t="shared" si="1"/>
        <v>120</v>
      </c>
      <c r="M7" s="40">
        <f>VLOOKUP(B7,Data!$AA$3:$AF$9999,6,FALSE)/1000</f>
        <v>0.20599999999999999</v>
      </c>
      <c r="N7" s="40">
        <f>M7*L7</f>
        <v>24.72</v>
      </c>
      <c r="O7" s="40">
        <f>VLOOKUP(B7,Data!$AA$3:$AF$999,2,FALSE)</f>
        <v>3.17</v>
      </c>
      <c r="P7" s="38">
        <f t="shared" si="2"/>
        <v>380.4</v>
      </c>
      <c r="Q7" s="2"/>
      <c r="AB7" s="65"/>
      <c r="AC7" s="66"/>
      <c r="AD7" s="66"/>
      <c r="AE7" s="66"/>
      <c r="AF7" s="66"/>
      <c r="AG7" s="67"/>
      <c r="AH7" s="61"/>
      <c r="AI7" s="61"/>
      <c r="AJ7" s="61"/>
    </row>
    <row r="8" spans="1:36" x14ac:dyDescent="0.25">
      <c r="A8" s="2" t="s">
        <v>58</v>
      </c>
      <c r="B8" s="75" t="s">
        <v>59</v>
      </c>
      <c r="C8" s="75"/>
      <c r="D8" s="75"/>
      <c r="E8" s="75"/>
      <c r="F8" s="75"/>
      <c r="G8" s="75"/>
      <c r="H8" s="75"/>
      <c r="I8" s="11">
        <v>7500</v>
      </c>
      <c r="J8" s="11">
        <v>3</v>
      </c>
      <c r="K8" s="12">
        <f t="shared" si="0"/>
        <v>30</v>
      </c>
      <c r="L8" s="38">
        <f t="shared" si="1"/>
        <v>225</v>
      </c>
      <c r="M8" s="40">
        <f>VLOOKUP(B8,Data!$BA$3:$BG$999,7,FALSE)/1000</f>
        <v>2.448</v>
      </c>
      <c r="N8" s="40">
        <f>M8*L8</f>
        <v>550.79999999999995</v>
      </c>
      <c r="O8" s="40">
        <f>VLOOKUP(B8,Data!$BA$3:$BG$9999,2,FALSE)</f>
        <v>232</v>
      </c>
      <c r="P8" s="38">
        <f t="shared" si="2"/>
        <v>52200</v>
      </c>
      <c r="Q8" s="2"/>
      <c r="AB8" s="68" t="s">
        <v>10</v>
      </c>
      <c r="AC8" s="68"/>
      <c r="AD8" s="68"/>
      <c r="AE8" s="68"/>
      <c r="AF8" s="68"/>
      <c r="AG8" s="68"/>
      <c r="AH8" s="68"/>
      <c r="AI8" s="68"/>
      <c r="AJ8" s="68"/>
    </row>
    <row r="9" spans="1:36" x14ac:dyDescent="0.25">
      <c r="A9" s="2" t="s">
        <v>95</v>
      </c>
      <c r="B9" s="98" t="s">
        <v>770</v>
      </c>
      <c r="C9" s="99"/>
      <c r="D9" s="99"/>
      <c r="E9" s="99"/>
      <c r="F9" s="100"/>
      <c r="G9" s="96" t="s">
        <v>766</v>
      </c>
      <c r="H9" s="97"/>
      <c r="I9" s="11">
        <v>6000</v>
      </c>
      <c r="J9" s="11">
        <v>3</v>
      </c>
      <c r="K9" s="12">
        <f t="shared" si="0"/>
        <v>30</v>
      </c>
      <c r="L9" s="38">
        <f t="shared" si="1"/>
        <v>180</v>
      </c>
      <c r="M9" s="40">
        <f>VLOOKUP(B9,Data!$CA$3:$CF$9999,6,FALSE)/1000</f>
        <v>0.16</v>
      </c>
      <c r="N9" s="40">
        <f>M9*L9</f>
        <v>28.8</v>
      </c>
      <c r="O9" s="47">
        <f>VLOOKUP(B9,Data!$CA$3:$CJ$9999,IF(G9="Bảng tra",2,9),FALSE)</f>
        <v>2.58</v>
      </c>
      <c r="P9" s="38">
        <f t="shared" si="2"/>
        <v>464.40000000000003</v>
      </c>
      <c r="Q9" s="2"/>
      <c r="AB9" s="68"/>
      <c r="AC9" s="68"/>
      <c r="AD9" s="68"/>
      <c r="AE9" s="68"/>
      <c r="AF9" s="68"/>
      <c r="AG9" s="68"/>
      <c r="AH9" s="68"/>
      <c r="AI9" s="68"/>
      <c r="AJ9" s="68"/>
    </row>
    <row r="10" spans="1:36" ht="15" customHeight="1" x14ac:dyDescent="0.25">
      <c r="A10" s="2" t="s">
        <v>96</v>
      </c>
      <c r="B10" s="75" t="s">
        <v>769</v>
      </c>
      <c r="C10" s="75"/>
      <c r="D10" s="75"/>
      <c r="E10" s="75"/>
      <c r="F10" s="75"/>
      <c r="G10" s="96" t="s">
        <v>766</v>
      </c>
      <c r="H10" s="97"/>
      <c r="I10" s="11">
        <v>6000</v>
      </c>
      <c r="J10" s="11">
        <v>3</v>
      </c>
      <c r="K10" s="12">
        <f t="shared" si="0"/>
        <v>30</v>
      </c>
      <c r="L10" s="38">
        <f t="shared" si="1"/>
        <v>180</v>
      </c>
      <c r="M10" s="40">
        <f>VLOOKUP(B10,Data!$CZ$3:$DD$9999,5,FALSE)/1000</f>
        <v>4.335397861953915E-2</v>
      </c>
      <c r="N10" s="40">
        <f>M10*L10</f>
        <v>7.8037161515170475</v>
      </c>
      <c r="O10" s="47">
        <f>VLOOKUP(B10,Data!$CZ$3:$DF$9999,IF(G10="Bảng tra",2,6),FALSE)</f>
        <v>0.23400000000000001</v>
      </c>
      <c r="P10" s="38">
        <f t="shared" si="2"/>
        <v>42.120000000000005</v>
      </c>
      <c r="Q10" s="2"/>
      <c r="AB10" s="58" t="s">
        <v>1</v>
      </c>
      <c r="AC10" s="58" t="s">
        <v>2</v>
      </c>
      <c r="AD10" s="58" t="s">
        <v>3</v>
      </c>
      <c r="AE10" s="58" t="s">
        <v>4</v>
      </c>
      <c r="AF10" s="57" t="s">
        <v>5</v>
      </c>
      <c r="AG10" s="57"/>
      <c r="AH10" s="49" t="s">
        <v>8</v>
      </c>
      <c r="AI10" s="49" t="s">
        <v>771</v>
      </c>
      <c r="AJ10" s="49" t="s">
        <v>9</v>
      </c>
    </row>
    <row r="11" spans="1:36" x14ac:dyDescent="0.25">
      <c r="A11" s="2" t="s">
        <v>98</v>
      </c>
      <c r="B11" s="75" t="s">
        <v>125</v>
      </c>
      <c r="C11" s="75"/>
      <c r="D11" s="75"/>
      <c r="E11" s="75"/>
      <c r="F11" s="75"/>
      <c r="G11" s="75"/>
      <c r="H11" s="75"/>
      <c r="I11" s="11">
        <v>6000</v>
      </c>
      <c r="J11" s="11">
        <v>3</v>
      </c>
      <c r="K11" s="12">
        <f t="shared" si="0"/>
        <v>30</v>
      </c>
      <c r="L11" s="38">
        <f t="shared" si="1"/>
        <v>180</v>
      </c>
      <c r="M11" s="40" t="s">
        <v>120</v>
      </c>
      <c r="N11" s="40" t="s">
        <v>120</v>
      </c>
      <c r="O11" s="40">
        <f>VLOOKUP(B11,Data!$EY$3:$FC$999,3,FALSE)</f>
        <v>18.399999999999999</v>
      </c>
      <c r="P11" s="38">
        <f t="shared" si="2"/>
        <v>3311.9999999999995</v>
      </c>
      <c r="Q11" s="2"/>
      <c r="AB11" s="58"/>
      <c r="AC11" s="58"/>
      <c r="AD11" s="58"/>
      <c r="AE11" s="58"/>
      <c r="AF11" s="57" t="s">
        <v>6</v>
      </c>
      <c r="AG11" s="57" t="s">
        <v>7</v>
      </c>
      <c r="AH11" s="49"/>
      <c r="AI11" s="49"/>
      <c r="AJ11" s="49"/>
    </row>
    <row r="12" spans="1:36" x14ac:dyDescent="0.25">
      <c r="A12" s="2" t="s">
        <v>115</v>
      </c>
      <c r="B12" s="75" t="s">
        <v>124</v>
      </c>
      <c r="C12" s="75"/>
      <c r="D12" s="75"/>
      <c r="E12" s="75"/>
      <c r="F12" s="75"/>
      <c r="G12" s="75"/>
      <c r="H12" s="75"/>
      <c r="I12" s="11">
        <v>6000</v>
      </c>
      <c r="J12" s="11">
        <v>20</v>
      </c>
      <c r="K12" s="12">
        <f t="shared" si="0"/>
        <v>200</v>
      </c>
      <c r="L12" s="38">
        <f t="shared" si="1"/>
        <v>1200</v>
      </c>
      <c r="M12" s="40" t="s">
        <v>120</v>
      </c>
      <c r="N12" s="40" t="s">
        <v>120</v>
      </c>
      <c r="O12" s="40">
        <f>VLOOKUP(B12,Data!$DY$3:$EE$999,3,FALSE)</f>
        <v>7.4</v>
      </c>
      <c r="P12" s="38">
        <f t="shared" si="2"/>
        <v>8880</v>
      </c>
      <c r="Q12" s="2"/>
      <c r="AB12" s="58"/>
      <c r="AC12" s="58"/>
      <c r="AD12" s="58"/>
      <c r="AE12" s="58"/>
      <c r="AF12" s="57"/>
      <c r="AG12" s="57"/>
      <c r="AH12" s="49"/>
      <c r="AI12" s="49"/>
      <c r="AJ12" s="49"/>
    </row>
    <row r="13" spans="1:36" ht="15.75" x14ac:dyDescent="0.25">
      <c r="A13" s="2" t="s">
        <v>101</v>
      </c>
      <c r="B13" s="75" t="s">
        <v>128</v>
      </c>
      <c r="C13" s="75"/>
      <c r="D13" s="75"/>
      <c r="E13" s="75"/>
      <c r="F13" s="75"/>
      <c r="G13" s="75"/>
      <c r="H13" s="75"/>
      <c r="I13" s="11">
        <v>6000</v>
      </c>
      <c r="J13" s="11">
        <v>50</v>
      </c>
      <c r="K13" s="12">
        <f t="shared" si="0"/>
        <v>500</v>
      </c>
      <c r="L13" s="38">
        <f t="shared" si="1"/>
        <v>3000</v>
      </c>
      <c r="M13" s="40" t="s">
        <v>120</v>
      </c>
      <c r="N13" s="40" t="s">
        <v>120</v>
      </c>
      <c r="O13" s="40">
        <f>VLOOKUP(B13,Data!$FY$3:$GA$25,3,FALSE)</f>
        <v>0.60399999999999998</v>
      </c>
      <c r="P13" s="38">
        <f t="shared" si="2"/>
        <v>1812</v>
      </c>
      <c r="Q13" s="2"/>
      <c r="AB13" s="39" t="s">
        <v>133</v>
      </c>
      <c r="AC13" s="5">
        <v>1</v>
      </c>
      <c r="AD13" s="36" t="s">
        <v>142</v>
      </c>
      <c r="AE13" s="5">
        <v>6000</v>
      </c>
      <c r="AF13" s="5">
        <v>2</v>
      </c>
      <c r="AG13" s="5">
        <v>20</v>
      </c>
      <c r="AH13" s="21">
        <v>120</v>
      </c>
      <c r="AI13" s="23">
        <v>226.56</v>
      </c>
      <c r="AJ13" s="23">
        <v>6032.5680000000002</v>
      </c>
    </row>
    <row r="14" spans="1:36" x14ac:dyDescent="0.25">
      <c r="A14" s="106" t="s">
        <v>772</v>
      </c>
      <c r="B14" s="27" t="s">
        <v>102</v>
      </c>
      <c r="C14" s="27" t="s">
        <v>103</v>
      </c>
      <c r="D14" s="27" t="s">
        <v>105</v>
      </c>
      <c r="E14" s="27" t="s">
        <v>107</v>
      </c>
      <c r="F14" s="27" t="s">
        <v>104</v>
      </c>
      <c r="G14" s="27" t="s">
        <v>106</v>
      </c>
      <c r="H14" s="27" t="s">
        <v>108</v>
      </c>
      <c r="I14" s="59">
        <v>6000</v>
      </c>
      <c r="J14" s="59">
        <v>2</v>
      </c>
      <c r="K14" s="92">
        <f>J14*$I$1</f>
        <v>20</v>
      </c>
      <c r="L14" s="91">
        <f>I14*K14/1000</f>
        <v>120</v>
      </c>
      <c r="M14" s="107">
        <f>(2*D15+2*E15-2*F15+2*(B15+C15)/2)/1000</f>
        <v>1.8879999999999999</v>
      </c>
      <c r="N14" s="90">
        <f>M14*L14</f>
        <v>226.56</v>
      </c>
      <c r="O14" s="90">
        <f>((D15*G15)+(E15*H15)+((B15+C15)/2-G15-H15)*F15)/1000000*7850</f>
        <v>50.2714</v>
      </c>
      <c r="P14" s="91">
        <f>O14*L14</f>
        <v>6032.5680000000002</v>
      </c>
      <c r="Q14" s="59"/>
      <c r="AB14" s="37"/>
      <c r="AC14" s="5">
        <v>2</v>
      </c>
      <c r="AD14" s="36" t="s">
        <v>776</v>
      </c>
      <c r="AE14" s="5">
        <v>6000</v>
      </c>
      <c r="AF14" s="5">
        <v>2</v>
      </c>
      <c r="AG14" s="5">
        <v>20</v>
      </c>
      <c r="AH14" s="21">
        <v>120</v>
      </c>
      <c r="AI14" s="23">
        <v>226.56</v>
      </c>
      <c r="AJ14" s="23">
        <v>6032.5680000000002</v>
      </c>
    </row>
    <row r="15" spans="1:36" x14ac:dyDescent="0.25">
      <c r="A15" s="30" t="str" cm="1">
        <f t="array" ref="A15">_xll.Dce_Name_SectI(B15, C15, E15, F15, G15, "x", "-", "Total")</f>
        <v>(400-700)x200x6x8</v>
      </c>
      <c r="B15" s="28">
        <v>400</v>
      </c>
      <c r="C15" s="28">
        <v>700</v>
      </c>
      <c r="D15" s="28">
        <v>200</v>
      </c>
      <c r="E15" s="29">
        <f>D15</f>
        <v>200</v>
      </c>
      <c r="F15" s="28">
        <v>6</v>
      </c>
      <c r="G15" s="28">
        <v>8</v>
      </c>
      <c r="H15" s="29">
        <f>G15</f>
        <v>8</v>
      </c>
      <c r="I15" s="59"/>
      <c r="J15" s="59"/>
      <c r="K15" s="92"/>
      <c r="L15" s="91"/>
      <c r="M15" s="107"/>
      <c r="N15" s="90"/>
      <c r="O15" s="90"/>
      <c r="P15" s="91"/>
      <c r="Q15" s="59"/>
      <c r="AB15" s="37"/>
      <c r="AC15" s="5"/>
      <c r="AD15" s="36"/>
      <c r="AE15" s="5"/>
      <c r="AF15" s="5"/>
      <c r="AG15" s="5"/>
      <c r="AH15" s="21"/>
      <c r="AI15" s="23"/>
      <c r="AJ15" s="23"/>
    </row>
    <row r="16" spans="1:36" x14ac:dyDescent="0.25">
      <c r="A16" s="2" t="s">
        <v>773</v>
      </c>
      <c r="B16" s="27" t="s">
        <v>774</v>
      </c>
      <c r="C16" s="27" t="s">
        <v>775</v>
      </c>
      <c r="D16" s="27" t="s">
        <v>104</v>
      </c>
      <c r="E16" s="27" t="s">
        <v>105</v>
      </c>
      <c r="F16" s="27" t="s">
        <v>106</v>
      </c>
      <c r="G16" s="27" t="s">
        <v>107</v>
      </c>
      <c r="H16" s="27" t="s">
        <v>108</v>
      </c>
      <c r="I16" s="59">
        <v>6000</v>
      </c>
      <c r="J16" s="59">
        <v>2</v>
      </c>
      <c r="K16" s="92">
        <f>J16*$I$1</f>
        <v>20</v>
      </c>
      <c r="L16" s="91">
        <f>I16*K16/1000</f>
        <v>120</v>
      </c>
      <c r="M16" s="107">
        <f>(2*E17+2*G17-2*D17+2*(B17+C17+2*F17+2*H17)/2)/1000</f>
        <v>1.8879999999999999</v>
      </c>
      <c r="N16" s="90">
        <f>M16*L16</f>
        <v>226.56</v>
      </c>
      <c r="O16" s="90">
        <f>((E17*F17)+(G17*H17)+((B17+C17)/2)*D17)/1000000*7850</f>
        <v>50.2714</v>
      </c>
      <c r="P16" s="91">
        <f>O16*L16</f>
        <v>6032.5680000000002</v>
      </c>
      <c r="Q16" s="59"/>
      <c r="AB16" s="37"/>
      <c r="AC16" s="5"/>
      <c r="AD16" s="36"/>
      <c r="AE16" s="5"/>
      <c r="AF16" s="5"/>
      <c r="AG16" s="5"/>
      <c r="AH16" s="21"/>
      <c r="AI16" s="23"/>
      <c r="AJ16" s="23"/>
    </row>
    <row r="17" spans="1:37" x14ac:dyDescent="0.25">
      <c r="A17" s="30" t="str" cm="1">
        <f t="array" ref="A17">_xll.Dce_Name_SectI(B17+F17+H17, C17+F17+H17, E17, D17, F17, "x", "-", "Hbung")</f>
        <v>(384-684)x6+200x8</v>
      </c>
      <c r="B17" s="28">
        <f>400-F17-H17</f>
        <v>384</v>
      </c>
      <c r="C17" s="28">
        <f>700-F17-H17</f>
        <v>684</v>
      </c>
      <c r="D17" s="28">
        <v>6</v>
      </c>
      <c r="E17" s="28">
        <v>200</v>
      </c>
      <c r="F17" s="28">
        <v>8</v>
      </c>
      <c r="G17" s="29">
        <f>E17</f>
        <v>200</v>
      </c>
      <c r="H17" s="29">
        <f>F17</f>
        <v>8</v>
      </c>
      <c r="I17" s="59"/>
      <c r="J17" s="59"/>
      <c r="K17" s="92"/>
      <c r="L17" s="91"/>
      <c r="M17" s="107"/>
      <c r="N17" s="90"/>
      <c r="O17" s="90"/>
      <c r="P17" s="91"/>
      <c r="Q17" s="59"/>
      <c r="AB17" s="37"/>
      <c r="AC17" s="5"/>
      <c r="AD17" s="36"/>
      <c r="AE17" s="5"/>
      <c r="AF17" s="5"/>
      <c r="AG17" s="5"/>
      <c r="AH17" s="21"/>
      <c r="AI17" s="23"/>
      <c r="AJ17" s="23"/>
      <c r="AK17" s="35"/>
    </row>
    <row r="18" spans="1:37" x14ac:dyDescent="0.25">
      <c r="A18" s="13" t="s">
        <v>109</v>
      </c>
      <c r="B18" s="5" t="s">
        <v>110</v>
      </c>
      <c r="C18" s="5" t="s">
        <v>16</v>
      </c>
      <c r="D18" s="5" t="s">
        <v>111</v>
      </c>
      <c r="E18" s="59" t="str">
        <f>A19&amp;B19&amp;"x"&amp;C19&amp;"x"&amp;D19</f>
        <v>PL-500x700x6</v>
      </c>
      <c r="F18" s="59"/>
      <c r="G18" s="59"/>
      <c r="H18" s="59"/>
      <c r="I18" s="59" t="s">
        <v>120</v>
      </c>
      <c r="J18" s="59">
        <v>2</v>
      </c>
      <c r="K18" s="92">
        <f>J18*I1</f>
        <v>20</v>
      </c>
      <c r="L18" s="91" t="s">
        <v>120</v>
      </c>
      <c r="M18" s="90">
        <f>B19*C19/1000000</f>
        <v>0.35</v>
      </c>
      <c r="N18" s="90">
        <f>M18*K18</f>
        <v>7</v>
      </c>
      <c r="O18" s="90" t="s">
        <v>120</v>
      </c>
      <c r="P18" s="91">
        <f>B19*C19*D19/1000000000*7850*K18</f>
        <v>329.7</v>
      </c>
      <c r="Q18" s="59"/>
      <c r="AB18" s="37"/>
      <c r="AC18" s="5"/>
      <c r="AD18" s="36"/>
      <c r="AE18" s="5"/>
      <c r="AF18" s="5"/>
      <c r="AG18" s="5"/>
      <c r="AH18" s="21"/>
      <c r="AI18" s="23"/>
      <c r="AJ18" s="23"/>
    </row>
    <row r="19" spans="1:37" x14ac:dyDescent="0.25">
      <c r="A19" s="105" t="s">
        <v>112</v>
      </c>
      <c r="B19" s="11">
        <v>500</v>
      </c>
      <c r="C19" s="11">
        <v>700</v>
      </c>
      <c r="D19" s="11">
        <v>6</v>
      </c>
      <c r="E19" s="59"/>
      <c r="F19" s="59"/>
      <c r="G19" s="59"/>
      <c r="H19" s="59"/>
      <c r="I19" s="59"/>
      <c r="J19" s="59"/>
      <c r="K19" s="92"/>
      <c r="L19" s="91"/>
      <c r="M19" s="90"/>
      <c r="N19" s="90"/>
      <c r="O19" s="90"/>
      <c r="P19" s="91"/>
      <c r="Q19" s="59"/>
      <c r="AB19" s="37"/>
      <c r="AC19" s="5"/>
      <c r="AD19" s="36"/>
      <c r="AE19" s="5"/>
      <c r="AF19" s="5"/>
      <c r="AG19" s="5"/>
      <c r="AH19" s="21"/>
      <c r="AI19" s="23"/>
      <c r="AJ19" s="23"/>
    </row>
    <row r="20" spans="1:37" x14ac:dyDescent="0.25">
      <c r="A20" s="2" t="s">
        <v>114</v>
      </c>
      <c r="B20" s="75" t="s">
        <v>131</v>
      </c>
      <c r="C20" s="75"/>
      <c r="D20" s="75"/>
      <c r="E20" s="75"/>
      <c r="F20" s="75"/>
      <c r="G20" s="75"/>
      <c r="H20" s="75"/>
      <c r="I20" s="11" t="s">
        <v>120</v>
      </c>
      <c r="J20" s="11">
        <v>20</v>
      </c>
      <c r="K20" s="12">
        <f>J20*I1</f>
        <v>200</v>
      </c>
      <c r="L20" s="42" t="s">
        <v>120</v>
      </c>
      <c r="M20" s="41" t="s">
        <v>120</v>
      </c>
      <c r="N20" s="41" t="s">
        <v>120</v>
      </c>
      <c r="O20" s="41" t="s">
        <v>120</v>
      </c>
      <c r="P20" s="42" t="s">
        <v>120</v>
      </c>
      <c r="Q20" s="2"/>
      <c r="AB20" s="37"/>
      <c r="AC20" s="5"/>
      <c r="AD20" s="36"/>
      <c r="AE20" s="5"/>
      <c r="AF20" s="5"/>
      <c r="AG20" s="5"/>
      <c r="AH20" s="21"/>
      <c r="AI20" s="23"/>
      <c r="AJ20" s="23"/>
    </row>
    <row r="21" spans="1:37" x14ac:dyDescent="0.25">
      <c r="A21" s="2" t="s">
        <v>130</v>
      </c>
      <c r="B21" s="75" t="s">
        <v>132</v>
      </c>
      <c r="C21" s="75"/>
      <c r="D21" s="75"/>
      <c r="E21" s="75"/>
      <c r="F21" s="75"/>
      <c r="G21" s="75"/>
      <c r="H21" s="75"/>
      <c r="I21" s="11" t="s">
        <v>120</v>
      </c>
      <c r="J21" s="11">
        <v>20</v>
      </c>
      <c r="K21" s="12">
        <f>J21*I1</f>
        <v>200</v>
      </c>
      <c r="L21" s="42" t="s">
        <v>120</v>
      </c>
      <c r="M21" s="41" t="s">
        <v>120</v>
      </c>
      <c r="N21" s="41" t="s">
        <v>120</v>
      </c>
      <c r="O21" s="41" t="s">
        <v>120</v>
      </c>
      <c r="P21" s="42" t="s">
        <v>120</v>
      </c>
      <c r="Q21" s="2"/>
      <c r="AB21" s="37"/>
      <c r="AC21" s="5"/>
      <c r="AD21" s="36"/>
      <c r="AE21" s="5"/>
      <c r="AF21" s="5"/>
      <c r="AG21" s="5"/>
      <c r="AH21" s="21"/>
      <c r="AI21" s="23"/>
      <c r="AJ21" s="23"/>
    </row>
    <row r="22" spans="1:37" ht="15" customHeight="1" x14ac:dyDescent="0.25">
      <c r="A22" s="13" t="s">
        <v>113</v>
      </c>
      <c r="B22" s="93" t="s">
        <v>129</v>
      </c>
      <c r="C22" s="94"/>
      <c r="D22" s="94"/>
      <c r="E22" s="94"/>
      <c r="F22" s="94"/>
      <c r="G22" s="94"/>
      <c r="H22" s="95"/>
      <c r="I22" s="11">
        <v>6000</v>
      </c>
      <c r="J22" s="11">
        <v>2</v>
      </c>
      <c r="K22" s="12">
        <f>J22*I1</f>
        <v>20</v>
      </c>
      <c r="L22" s="42" t="s">
        <v>120</v>
      </c>
      <c r="M22" s="41" t="s">
        <v>120</v>
      </c>
      <c r="N22" s="41" t="s">
        <v>120</v>
      </c>
      <c r="O22" s="41" t="s">
        <v>120</v>
      </c>
      <c r="P22" s="41">
        <v>100</v>
      </c>
      <c r="Q22" s="11"/>
      <c r="AB22" s="37"/>
      <c r="AC22" s="5"/>
      <c r="AD22" s="36"/>
      <c r="AE22" s="5"/>
      <c r="AF22" s="5"/>
      <c r="AG22" s="5"/>
      <c r="AH22" s="21"/>
      <c r="AI22" s="23"/>
      <c r="AJ22" s="23"/>
    </row>
    <row r="23" spans="1:37" ht="15" customHeight="1" x14ac:dyDescent="0.25">
      <c r="A23" s="55" t="s">
        <v>134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AB23" s="37"/>
      <c r="AC23" s="5"/>
      <c r="AD23" s="36"/>
      <c r="AE23" s="5"/>
      <c r="AF23" s="5"/>
      <c r="AG23" s="5"/>
      <c r="AH23" s="21"/>
      <c r="AI23" s="23"/>
      <c r="AJ23" s="23"/>
    </row>
    <row r="24" spans="1:37" ht="15" customHeight="1" x14ac:dyDescent="0.25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AB24" s="37"/>
      <c r="AC24" s="5"/>
      <c r="AD24" s="36"/>
      <c r="AE24" s="5"/>
      <c r="AF24" s="5"/>
      <c r="AG24" s="5"/>
      <c r="AH24" s="21"/>
      <c r="AI24" s="23"/>
      <c r="AJ24" s="23"/>
    </row>
    <row r="25" spans="1:37" ht="15" customHeight="1" x14ac:dyDescent="0.25">
      <c r="A25" s="50" t="s">
        <v>135</v>
      </c>
      <c r="B25" s="50"/>
      <c r="C25" s="50"/>
      <c r="D25" s="50"/>
      <c r="E25" s="50"/>
      <c r="F25" s="50"/>
      <c r="G25" s="50"/>
      <c r="H25" s="50"/>
      <c r="I25" s="51" t="s">
        <v>136</v>
      </c>
      <c r="J25" s="52"/>
      <c r="K25" s="52"/>
      <c r="L25" s="52"/>
      <c r="M25" s="52"/>
      <c r="N25" s="52"/>
      <c r="O25" s="52"/>
      <c r="P25" s="52"/>
      <c r="Q25" s="52"/>
      <c r="AB25" s="37"/>
      <c r="AC25" s="5"/>
      <c r="AD25" s="36"/>
      <c r="AE25" s="5"/>
      <c r="AF25" s="5"/>
      <c r="AG25" s="5"/>
      <c r="AH25" s="21"/>
      <c r="AI25" s="23"/>
      <c r="AJ25" s="23"/>
    </row>
    <row r="26" spans="1:37" x14ac:dyDescent="0.25">
      <c r="A26" s="50"/>
      <c r="B26" s="50"/>
      <c r="C26" s="50"/>
      <c r="D26" s="50"/>
      <c r="E26" s="50"/>
      <c r="F26" s="50"/>
      <c r="G26" s="50"/>
      <c r="H26" s="50"/>
      <c r="I26" s="53"/>
      <c r="J26" s="54"/>
      <c r="K26" s="54"/>
      <c r="L26" s="54"/>
      <c r="M26" s="54"/>
      <c r="N26" s="54"/>
      <c r="O26" s="54"/>
      <c r="P26" s="54"/>
      <c r="Q26" s="54"/>
      <c r="AB26" s="37"/>
      <c r="AC26" s="5"/>
      <c r="AD26" s="36"/>
      <c r="AE26" s="5"/>
      <c r="AF26" s="5"/>
      <c r="AG26" s="5"/>
      <c r="AH26" s="21"/>
      <c r="AI26" s="23"/>
      <c r="AJ26" s="23"/>
    </row>
    <row r="27" spans="1:37" x14ac:dyDescent="0.25">
      <c r="A27" s="50" t="s">
        <v>138</v>
      </c>
      <c r="B27" s="50"/>
      <c r="C27" s="50"/>
      <c r="D27" s="50"/>
      <c r="E27" s="50"/>
      <c r="F27" s="50"/>
      <c r="G27" s="50"/>
      <c r="H27" s="50"/>
      <c r="I27" s="51" t="s">
        <v>137</v>
      </c>
      <c r="J27" s="52"/>
      <c r="K27" s="52"/>
      <c r="L27" s="52"/>
      <c r="M27" s="52"/>
      <c r="N27" s="52"/>
      <c r="O27" s="52"/>
      <c r="P27" s="52"/>
      <c r="Q27" s="52"/>
      <c r="AB27" s="37"/>
      <c r="AC27" s="5"/>
      <c r="AD27" s="36"/>
      <c r="AE27" s="5"/>
      <c r="AF27" s="5"/>
      <c r="AG27" s="5"/>
      <c r="AH27" s="21"/>
      <c r="AI27" s="23"/>
      <c r="AJ27" s="23"/>
    </row>
    <row r="28" spans="1:37" x14ac:dyDescent="0.25">
      <c r="A28" s="50"/>
      <c r="B28" s="50"/>
      <c r="C28" s="50"/>
      <c r="D28" s="50"/>
      <c r="E28" s="50"/>
      <c r="F28" s="50"/>
      <c r="G28" s="50"/>
      <c r="H28" s="50"/>
      <c r="I28" s="53"/>
      <c r="J28" s="54"/>
      <c r="K28" s="54"/>
      <c r="L28" s="54"/>
      <c r="M28" s="54"/>
      <c r="N28" s="54"/>
      <c r="O28" s="54"/>
      <c r="P28" s="54"/>
      <c r="Q28" s="54"/>
      <c r="AB28" s="37"/>
      <c r="AC28" s="5"/>
      <c r="AD28" s="36"/>
      <c r="AE28" s="5"/>
      <c r="AF28" s="5"/>
      <c r="AG28" s="5"/>
      <c r="AH28" s="21"/>
      <c r="AI28" s="23"/>
      <c r="AJ28" s="23"/>
    </row>
    <row r="29" spans="1:37" x14ac:dyDescent="0.25">
      <c r="A29" s="50" t="s">
        <v>139</v>
      </c>
      <c r="B29" s="50"/>
      <c r="C29" s="50"/>
      <c r="D29" s="50"/>
      <c r="E29" s="50"/>
      <c r="F29" s="50"/>
      <c r="G29" s="50"/>
      <c r="H29" s="50"/>
      <c r="I29" s="51" t="s">
        <v>140</v>
      </c>
      <c r="J29" s="52"/>
      <c r="K29" s="52"/>
      <c r="L29" s="52"/>
      <c r="M29" s="52"/>
      <c r="N29" s="52"/>
      <c r="O29" s="52"/>
      <c r="P29" s="52"/>
      <c r="Q29" s="52"/>
      <c r="AB29" s="37"/>
      <c r="AC29" s="5"/>
      <c r="AD29" s="36"/>
      <c r="AE29" s="5"/>
      <c r="AF29" s="5"/>
      <c r="AG29" s="5"/>
      <c r="AH29" s="21"/>
      <c r="AI29" s="23"/>
      <c r="AJ29" s="23"/>
    </row>
    <row r="30" spans="1:37" x14ac:dyDescent="0.25">
      <c r="A30" s="50"/>
      <c r="B30" s="50"/>
      <c r="C30" s="50"/>
      <c r="D30" s="50"/>
      <c r="E30" s="50"/>
      <c r="F30" s="50"/>
      <c r="G30" s="50"/>
      <c r="H30" s="50"/>
      <c r="I30" s="53"/>
      <c r="J30" s="54"/>
      <c r="K30" s="54"/>
      <c r="L30" s="54"/>
      <c r="M30" s="54"/>
      <c r="N30" s="54"/>
      <c r="O30" s="54"/>
      <c r="P30" s="54"/>
      <c r="Q30" s="54"/>
      <c r="AB30" s="37"/>
      <c r="AC30" s="5"/>
      <c r="AD30" s="36"/>
      <c r="AE30" s="5"/>
      <c r="AF30" s="5"/>
      <c r="AG30" s="5"/>
      <c r="AH30" s="21"/>
      <c r="AI30" s="23"/>
      <c r="AJ30" s="23"/>
    </row>
    <row r="31" spans="1:37" x14ac:dyDescent="0.25">
      <c r="A31" s="50" t="s">
        <v>144</v>
      </c>
      <c r="B31" s="50"/>
      <c r="C31" s="50"/>
      <c r="D31" s="50"/>
      <c r="E31" s="50"/>
      <c r="F31" s="50"/>
      <c r="G31" s="50"/>
      <c r="H31" s="50"/>
      <c r="I31" s="51" t="s">
        <v>143</v>
      </c>
      <c r="J31" s="52"/>
      <c r="K31" s="52"/>
      <c r="L31" s="52"/>
      <c r="M31" s="52"/>
      <c r="N31" s="52"/>
      <c r="O31" s="52"/>
      <c r="P31" s="52"/>
      <c r="Q31" s="52"/>
      <c r="AB31" s="37"/>
      <c r="AC31" s="5"/>
      <c r="AD31" s="36"/>
      <c r="AE31" s="5"/>
      <c r="AF31" s="5"/>
      <c r="AG31" s="5"/>
      <c r="AH31" s="21"/>
      <c r="AI31" s="23"/>
      <c r="AJ31" s="23"/>
    </row>
    <row r="32" spans="1:37" x14ac:dyDescent="0.25">
      <c r="A32" s="50"/>
      <c r="B32" s="50"/>
      <c r="C32" s="50"/>
      <c r="D32" s="50"/>
      <c r="E32" s="50"/>
      <c r="F32" s="50"/>
      <c r="G32" s="50"/>
      <c r="H32" s="50"/>
      <c r="I32" s="53"/>
      <c r="J32" s="54"/>
      <c r="K32" s="54"/>
      <c r="L32" s="54"/>
      <c r="M32" s="54"/>
      <c r="N32" s="54"/>
      <c r="O32" s="54"/>
      <c r="P32" s="54"/>
      <c r="Q32" s="54"/>
      <c r="AB32" s="37"/>
      <c r="AC32" s="5"/>
      <c r="AD32" s="36"/>
      <c r="AE32" s="5"/>
      <c r="AF32" s="5"/>
      <c r="AG32" s="5"/>
      <c r="AH32" s="21"/>
      <c r="AI32" s="23"/>
      <c r="AJ32" s="23"/>
    </row>
    <row r="33" spans="28:36" x14ac:dyDescent="0.25">
      <c r="AB33" s="37"/>
      <c r="AC33" s="5"/>
      <c r="AD33" s="36"/>
      <c r="AE33" s="5"/>
      <c r="AF33" s="5"/>
      <c r="AG33" s="5"/>
      <c r="AH33" s="21"/>
      <c r="AI33" s="23"/>
      <c r="AJ33" s="23"/>
    </row>
    <row r="34" spans="28:36" x14ac:dyDescent="0.25">
      <c r="AB34" s="37"/>
      <c r="AC34" s="5"/>
      <c r="AD34" s="36"/>
      <c r="AE34" s="5"/>
      <c r="AF34" s="5"/>
      <c r="AG34" s="5"/>
      <c r="AH34" s="21"/>
      <c r="AI34" s="23"/>
      <c r="AJ34" s="23"/>
    </row>
    <row r="35" spans="28:36" x14ac:dyDescent="0.25">
      <c r="AB35" s="37"/>
      <c r="AC35" s="5"/>
      <c r="AD35" s="36"/>
      <c r="AE35" s="5"/>
      <c r="AF35" s="5"/>
      <c r="AG35" s="5"/>
      <c r="AH35" s="21"/>
      <c r="AI35" s="23"/>
      <c r="AJ35" s="23"/>
    </row>
    <row r="36" spans="28:36" x14ac:dyDescent="0.25">
      <c r="AB36" s="37"/>
      <c r="AC36" s="5"/>
      <c r="AD36" s="5"/>
      <c r="AE36" s="5"/>
      <c r="AF36" s="5"/>
      <c r="AG36" s="5"/>
      <c r="AH36" s="21"/>
      <c r="AI36" s="23"/>
      <c r="AJ36" s="23"/>
    </row>
    <row r="37" spans="28:36" x14ac:dyDescent="0.25">
      <c r="AB37" s="37"/>
      <c r="AC37" s="5"/>
      <c r="AD37" s="5"/>
      <c r="AE37" s="5"/>
      <c r="AF37" s="5"/>
      <c r="AG37" s="5"/>
      <c r="AH37" s="21"/>
      <c r="AI37" s="23"/>
      <c r="AJ37" s="23"/>
    </row>
    <row r="38" spans="28:36" x14ac:dyDescent="0.25">
      <c r="AB38" s="37"/>
      <c r="AC38" s="5"/>
      <c r="AD38" s="5"/>
      <c r="AE38" s="5"/>
      <c r="AF38" s="5"/>
      <c r="AG38" s="5"/>
      <c r="AH38" s="21"/>
      <c r="AI38" s="23"/>
      <c r="AJ38" s="23"/>
    </row>
    <row r="39" spans="28:36" x14ac:dyDescent="0.25">
      <c r="AB39" s="37"/>
      <c r="AC39" s="5"/>
      <c r="AD39" s="5"/>
      <c r="AE39" s="5"/>
      <c r="AF39" s="5"/>
      <c r="AG39" s="5"/>
      <c r="AH39" s="21"/>
      <c r="AI39" s="23"/>
      <c r="AJ39" s="23"/>
    </row>
    <row r="40" spans="28:36" x14ac:dyDescent="0.25">
      <c r="AB40" s="37"/>
      <c r="AC40" s="5"/>
      <c r="AD40" s="5"/>
      <c r="AE40" s="5"/>
      <c r="AF40" s="5"/>
      <c r="AG40" s="5"/>
      <c r="AH40" s="21"/>
      <c r="AI40" s="23"/>
      <c r="AJ40" s="23"/>
    </row>
    <row r="41" spans="28:36" x14ac:dyDescent="0.25">
      <c r="AB41" s="37"/>
      <c r="AC41" s="5"/>
      <c r="AD41" s="5"/>
      <c r="AE41" s="5"/>
      <c r="AF41" s="5"/>
      <c r="AG41" s="5"/>
      <c r="AH41" s="21"/>
      <c r="AI41" s="23"/>
      <c r="AJ41" s="23"/>
    </row>
    <row r="42" spans="28:36" x14ac:dyDescent="0.25">
      <c r="AB42" s="37"/>
      <c r="AC42" s="5"/>
      <c r="AD42" s="5"/>
      <c r="AE42" s="5"/>
      <c r="AF42" s="5"/>
      <c r="AG42" s="5"/>
      <c r="AH42" s="21"/>
      <c r="AI42" s="23"/>
      <c r="AJ42" s="23"/>
    </row>
    <row r="43" spans="28:36" x14ac:dyDescent="0.25">
      <c r="AB43" s="37"/>
      <c r="AC43" s="5"/>
      <c r="AD43" s="5"/>
      <c r="AE43" s="5"/>
      <c r="AF43" s="5"/>
      <c r="AG43" s="5"/>
      <c r="AH43" s="21"/>
      <c r="AI43" s="23"/>
      <c r="AJ43" s="23"/>
    </row>
    <row r="44" spans="28:36" x14ac:dyDescent="0.25">
      <c r="AB44" s="37"/>
      <c r="AC44" s="5"/>
      <c r="AD44" s="5"/>
      <c r="AE44" s="5"/>
      <c r="AF44" s="5"/>
      <c r="AG44" s="5"/>
      <c r="AH44" s="21"/>
      <c r="AI44" s="23"/>
      <c r="AJ44" s="23"/>
    </row>
    <row r="45" spans="28:36" x14ac:dyDescent="0.25">
      <c r="AB45" s="37"/>
      <c r="AC45" s="5"/>
      <c r="AD45" s="5"/>
      <c r="AE45" s="5"/>
      <c r="AF45" s="5"/>
      <c r="AG45" s="5"/>
      <c r="AH45" s="21"/>
      <c r="AI45" s="23"/>
      <c r="AJ45" s="23"/>
    </row>
    <row r="46" spans="28:36" x14ac:dyDescent="0.25">
      <c r="AB46" s="37"/>
      <c r="AC46" s="5"/>
      <c r="AD46" s="5"/>
      <c r="AE46" s="5"/>
      <c r="AF46" s="5"/>
      <c r="AG46" s="5"/>
      <c r="AH46" s="21"/>
      <c r="AI46" s="23"/>
      <c r="AJ46" s="23"/>
    </row>
    <row r="47" spans="28:36" x14ac:dyDescent="0.25">
      <c r="AB47" s="37"/>
      <c r="AC47" s="5"/>
      <c r="AD47" s="5"/>
      <c r="AE47" s="5"/>
      <c r="AF47" s="5"/>
      <c r="AG47" s="5"/>
      <c r="AH47" s="21"/>
      <c r="AI47" s="23"/>
      <c r="AJ47" s="23"/>
    </row>
    <row r="48" spans="28:36" x14ac:dyDescent="0.25">
      <c r="AB48" s="37"/>
      <c r="AC48" s="5"/>
      <c r="AD48" s="5"/>
      <c r="AE48" s="5"/>
      <c r="AF48" s="5"/>
      <c r="AG48" s="5"/>
      <c r="AH48" s="21"/>
      <c r="AI48" s="23"/>
      <c r="AJ48" s="23"/>
    </row>
    <row r="49" spans="28:36" x14ac:dyDescent="0.25">
      <c r="AB49" s="37"/>
      <c r="AC49" s="5"/>
      <c r="AD49" s="5"/>
      <c r="AE49" s="5"/>
      <c r="AF49" s="5"/>
      <c r="AG49" s="5"/>
      <c r="AH49" s="21"/>
      <c r="AI49" s="23"/>
      <c r="AJ49" s="23"/>
    </row>
    <row r="50" spans="28:36" x14ac:dyDescent="0.25">
      <c r="AB50" s="37"/>
      <c r="AC50" s="5"/>
      <c r="AD50" s="5"/>
      <c r="AE50" s="5"/>
      <c r="AF50" s="5"/>
      <c r="AG50" s="5"/>
      <c r="AH50" s="21"/>
      <c r="AI50" s="23"/>
      <c r="AJ50" s="23"/>
    </row>
    <row r="51" spans="28:36" x14ac:dyDescent="0.25">
      <c r="AB51" s="37"/>
      <c r="AC51" s="5"/>
      <c r="AD51" s="5"/>
      <c r="AE51" s="5"/>
      <c r="AF51" s="5"/>
      <c r="AG51" s="5"/>
      <c r="AH51" s="21"/>
      <c r="AI51" s="23"/>
      <c r="AJ51" s="23"/>
    </row>
    <row r="52" spans="28:36" x14ac:dyDescent="0.25">
      <c r="AB52" s="37"/>
      <c r="AC52" s="5"/>
      <c r="AD52" s="5"/>
      <c r="AE52" s="5"/>
      <c r="AF52" s="5"/>
      <c r="AG52" s="5"/>
      <c r="AH52" s="21"/>
      <c r="AI52" s="23"/>
      <c r="AJ52" s="23"/>
    </row>
    <row r="53" spans="28:36" x14ac:dyDescent="0.25">
      <c r="AB53" s="37"/>
      <c r="AC53" s="5"/>
      <c r="AD53" s="5"/>
      <c r="AE53" s="5"/>
      <c r="AF53" s="5"/>
      <c r="AG53" s="5"/>
      <c r="AH53" s="21"/>
      <c r="AI53" s="23"/>
      <c r="AJ53" s="23"/>
    </row>
    <row r="54" spans="28:36" x14ac:dyDescent="0.25">
      <c r="AB54" s="37"/>
      <c r="AC54" s="5"/>
      <c r="AD54" s="5"/>
      <c r="AE54" s="5"/>
      <c r="AF54" s="5"/>
      <c r="AG54" s="5"/>
      <c r="AH54" s="21"/>
      <c r="AI54" s="23"/>
      <c r="AJ54" s="23"/>
    </row>
    <row r="55" spans="28:36" x14ac:dyDescent="0.25">
      <c r="AB55" s="37"/>
      <c r="AC55" s="5"/>
      <c r="AD55" s="5"/>
      <c r="AE55" s="5"/>
      <c r="AF55" s="5"/>
      <c r="AG55" s="5"/>
      <c r="AH55" s="21"/>
      <c r="AI55" s="23"/>
      <c r="AJ55" s="23"/>
    </row>
    <row r="56" spans="28:36" x14ac:dyDescent="0.25">
      <c r="AB56" s="37"/>
      <c r="AC56" s="5"/>
      <c r="AD56" s="5"/>
      <c r="AE56" s="5"/>
      <c r="AF56" s="5"/>
      <c r="AG56" s="5"/>
      <c r="AH56" s="21"/>
      <c r="AI56" s="23"/>
      <c r="AJ56" s="23"/>
    </row>
    <row r="57" spans="28:36" x14ac:dyDescent="0.25">
      <c r="AB57" s="37"/>
      <c r="AC57" s="5"/>
      <c r="AD57" s="5"/>
      <c r="AE57" s="5"/>
      <c r="AF57" s="5"/>
      <c r="AG57" s="5"/>
      <c r="AH57" s="21"/>
      <c r="AI57" s="23"/>
      <c r="AJ57" s="23"/>
    </row>
    <row r="58" spans="28:36" x14ac:dyDescent="0.25">
      <c r="AB58" s="37"/>
      <c r="AC58" s="5"/>
      <c r="AD58" s="5"/>
      <c r="AE58" s="5"/>
      <c r="AF58" s="5"/>
      <c r="AG58" s="5"/>
      <c r="AH58" s="21"/>
      <c r="AI58" s="23"/>
      <c r="AJ58" s="23"/>
    </row>
    <row r="59" spans="28:36" x14ac:dyDescent="0.25">
      <c r="AB59" s="37"/>
      <c r="AC59" s="5"/>
      <c r="AD59" s="5"/>
      <c r="AE59" s="5"/>
      <c r="AF59" s="5"/>
      <c r="AG59" s="5"/>
      <c r="AH59" s="21"/>
      <c r="AI59" s="23"/>
      <c r="AJ59" s="23"/>
    </row>
    <row r="60" spans="28:36" x14ac:dyDescent="0.25">
      <c r="AB60" s="37"/>
      <c r="AC60" s="5"/>
      <c r="AD60" s="5"/>
      <c r="AE60" s="5"/>
      <c r="AF60" s="5"/>
      <c r="AG60" s="5"/>
      <c r="AH60" s="21"/>
      <c r="AI60" s="23"/>
      <c r="AJ60" s="23"/>
    </row>
    <row r="61" spans="28:36" x14ac:dyDescent="0.25">
      <c r="AB61" s="37"/>
      <c r="AC61" s="5"/>
      <c r="AD61" s="5"/>
      <c r="AE61" s="5"/>
      <c r="AF61" s="5"/>
      <c r="AG61" s="5"/>
      <c r="AH61" s="21"/>
      <c r="AI61" s="23"/>
      <c r="AJ61" s="23"/>
    </row>
    <row r="62" spans="28:36" x14ac:dyDescent="0.25">
      <c r="AB62" s="37"/>
      <c r="AC62" s="5"/>
      <c r="AD62" s="5"/>
      <c r="AE62" s="5"/>
      <c r="AF62" s="5"/>
      <c r="AG62" s="5"/>
      <c r="AH62" s="21"/>
      <c r="AI62" s="23"/>
      <c r="AJ62" s="23"/>
    </row>
    <row r="63" spans="28:36" x14ac:dyDescent="0.25">
      <c r="AB63" s="37"/>
      <c r="AC63" s="5"/>
      <c r="AD63" s="5"/>
      <c r="AE63" s="5"/>
      <c r="AF63" s="5"/>
      <c r="AG63" s="5"/>
      <c r="AH63" s="21"/>
      <c r="AI63" s="23"/>
      <c r="AJ63" s="23"/>
    </row>
    <row r="64" spans="28:36" x14ac:dyDescent="0.25">
      <c r="AB64" s="37"/>
      <c r="AC64" s="5"/>
      <c r="AD64" s="5"/>
      <c r="AE64" s="5"/>
      <c r="AF64" s="5"/>
      <c r="AG64" s="5"/>
      <c r="AH64" s="21"/>
      <c r="AI64" s="23"/>
      <c r="AJ64" s="23"/>
    </row>
    <row r="65" spans="28:36" x14ac:dyDescent="0.25">
      <c r="AB65" s="37"/>
      <c r="AC65" s="5"/>
      <c r="AD65" s="5"/>
      <c r="AE65" s="5"/>
      <c r="AF65" s="5"/>
      <c r="AG65" s="5"/>
      <c r="AH65" s="21"/>
      <c r="AI65" s="23"/>
      <c r="AJ65" s="23"/>
    </row>
    <row r="66" spans="28:36" x14ac:dyDescent="0.25">
      <c r="AB66" s="37"/>
      <c r="AC66" s="5"/>
      <c r="AD66" s="5"/>
      <c r="AE66" s="5"/>
      <c r="AF66" s="5"/>
      <c r="AG66" s="5"/>
      <c r="AH66" s="21"/>
      <c r="AI66" s="23"/>
      <c r="AJ66" s="23"/>
    </row>
    <row r="67" spans="28:36" x14ac:dyDescent="0.25">
      <c r="AB67" s="37"/>
      <c r="AC67" s="5"/>
      <c r="AD67" s="5"/>
      <c r="AE67" s="5"/>
      <c r="AF67" s="5"/>
      <c r="AG67" s="5"/>
      <c r="AH67" s="21"/>
      <c r="AI67" s="23"/>
      <c r="AJ67" s="23"/>
    </row>
    <row r="68" spans="28:36" x14ac:dyDescent="0.25">
      <c r="AB68" s="37"/>
      <c r="AC68" s="5"/>
      <c r="AD68" s="5"/>
      <c r="AE68" s="5"/>
      <c r="AF68" s="5"/>
      <c r="AG68" s="5"/>
      <c r="AH68" s="21"/>
      <c r="AI68" s="23"/>
      <c r="AJ68" s="23"/>
    </row>
    <row r="69" spans="28:36" x14ac:dyDescent="0.25">
      <c r="AB69" s="37"/>
      <c r="AC69" s="5"/>
      <c r="AD69" s="5"/>
      <c r="AE69" s="5"/>
      <c r="AF69" s="5"/>
      <c r="AG69" s="5"/>
      <c r="AH69" s="21"/>
      <c r="AI69" s="23"/>
      <c r="AJ69" s="23"/>
    </row>
    <row r="70" spans="28:36" x14ac:dyDescent="0.25">
      <c r="AB70" s="37"/>
      <c r="AC70" s="5"/>
      <c r="AD70" s="5"/>
      <c r="AE70" s="5"/>
      <c r="AF70" s="5"/>
      <c r="AG70" s="5"/>
      <c r="AH70" s="21"/>
      <c r="AI70" s="23"/>
      <c r="AJ70" s="23"/>
    </row>
    <row r="71" spans="28:36" x14ac:dyDescent="0.25">
      <c r="AB71" s="37"/>
      <c r="AC71" s="5"/>
      <c r="AD71" s="5"/>
      <c r="AE71" s="5"/>
      <c r="AF71" s="5"/>
      <c r="AG71" s="5"/>
      <c r="AH71" s="21"/>
      <c r="AI71" s="23"/>
      <c r="AJ71" s="23"/>
    </row>
    <row r="72" spans="28:36" x14ac:dyDescent="0.25">
      <c r="AB72" s="37"/>
      <c r="AC72" s="5"/>
      <c r="AD72" s="5"/>
      <c r="AE72" s="5"/>
      <c r="AF72" s="5"/>
      <c r="AG72" s="5"/>
      <c r="AH72" s="21"/>
      <c r="AI72" s="23"/>
      <c r="AJ72" s="23"/>
    </row>
    <row r="73" spans="28:36" x14ac:dyDescent="0.25">
      <c r="AB73" s="37"/>
      <c r="AC73" s="5"/>
      <c r="AD73" s="5"/>
      <c r="AE73" s="5"/>
      <c r="AF73" s="5"/>
      <c r="AG73" s="5"/>
      <c r="AH73" s="21"/>
      <c r="AI73" s="23"/>
      <c r="AJ73" s="23"/>
    </row>
    <row r="74" spans="28:36" x14ac:dyDescent="0.25">
      <c r="AB74" s="37"/>
      <c r="AC74" s="5"/>
      <c r="AD74" s="5"/>
      <c r="AE74" s="5"/>
      <c r="AF74" s="5"/>
      <c r="AG74" s="5"/>
      <c r="AH74" s="21"/>
      <c r="AI74" s="23"/>
      <c r="AJ74" s="23"/>
    </row>
    <row r="75" spans="28:36" x14ac:dyDescent="0.25">
      <c r="AB75" s="37"/>
      <c r="AC75" s="5"/>
      <c r="AD75" s="5"/>
      <c r="AE75" s="5"/>
      <c r="AF75" s="5"/>
      <c r="AG75" s="5"/>
      <c r="AH75" s="21"/>
      <c r="AI75" s="23"/>
      <c r="AJ75" s="23"/>
    </row>
    <row r="76" spans="28:36" x14ac:dyDescent="0.25">
      <c r="AB76" s="37"/>
      <c r="AC76" s="5"/>
      <c r="AD76" s="5"/>
      <c r="AE76" s="5"/>
      <c r="AF76" s="5"/>
      <c r="AG76" s="5"/>
      <c r="AH76" s="21"/>
      <c r="AI76" s="23"/>
      <c r="AJ76" s="23"/>
    </row>
    <row r="77" spans="28:36" x14ac:dyDescent="0.25">
      <c r="AB77" s="37"/>
      <c r="AC77" s="5"/>
      <c r="AD77" s="5"/>
      <c r="AE77" s="5"/>
      <c r="AF77" s="5"/>
      <c r="AG77" s="5"/>
      <c r="AH77" s="21"/>
      <c r="AI77" s="23"/>
      <c r="AJ77" s="23"/>
    </row>
    <row r="78" spans="28:36" x14ac:dyDescent="0.25">
      <c r="AB78" s="37"/>
      <c r="AC78" s="5"/>
      <c r="AD78" s="5"/>
      <c r="AE78" s="5"/>
      <c r="AF78" s="5"/>
      <c r="AG78" s="5"/>
      <c r="AH78" s="21"/>
      <c r="AI78" s="23"/>
      <c r="AJ78" s="23"/>
    </row>
    <row r="79" spans="28:36" x14ac:dyDescent="0.25">
      <c r="AB79" s="37"/>
      <c r="AC79" s="5"/>
      <c r="AD79" s="5"/>
      <c r="AE79" s="5"/>
      <c r="AF79" s="5"/>
      <c r="AG79" s="5"/>
      <c r="AH79" s="21"/>
      <c r="AI79" s="23"/>
      <c r="AJ79" s="23"/>
    </row>
    <row r="80" spans="28:36" x14ac:dyDescent="0.25">
      <c r="AB80" s="37"/>
      <c r="AC80" s="5"/>
      <c r="AD80" s="5"/>
      <c r="AE80" s="5"/>
      <c r="AF80" s="5"/>
      <c r="AG80" s="5"/>
      <c r="AH80" s="21"/>
      <c r="AI80" s="23"/>
      <c r="AJ80" s="23"/>
    </row>
    <row r="81" spans="28:36" x14ac:dyDescent="0.25">
      <c r="AB81" s="37"/>
      <c r="AC81" s="5"/>
      <c r="AD81" s="5"/>
      <c r="AE81" s="5"/>
      <c r="AF81" s="5"/>
      <c r="AG81" s="5"/>
      <c r="AH81" s="21"/>
      <c r="AI81" s="23"/>
      <c r="AJ81" s="23"/>
    </row>
    <row r="82" spans="28:36" x14ac:dyDescent="0.25">
      <c r="AB82" s="37"/>
      <c r="AC82" s="5"/>
      <c r="AD82" s="5"/>
      <c r="AE82" s="5"/>
      <c r="AF82" s="5"/>
      <c r="AG82" s="5"/>
      <c r="AH82" s="21"/>
      <c r="AI82" s="23"/>
      <c r="AJ82" s="23"/>
    </row>
    <row r="83" spans="28:36" x14ac:dyDescent="0.25">
      <c r="AB83" s="37"/>
      <c r="AC83" s="5"/>
      <c r="AD83" s="5"/>
      <c r="AE83" s="5"/>
      <c r="AF83" s="5"/>
      <c r="AG83" s="5"/>
      <c r="AH83" s="21"/>
      <c r="AI83" s="23"/>
      <c r="AJ83" s="23"/>
    </row>
    <row r="84" spans="28:36" x14ac:dyDescent="0.25">
      <c r="AB84" s="37"/>
      <c r="AC84" s="5"/>
      <c r="AD84" s="5"/>
      <c r="AE84" s="5"/>
      <c r="AF84" s="5"/>
      <c r="AG84" s="5"/>
      <c r="AH84" s="21"/>
      <c r="AI84" s="23"/>
      <c r="AJ84" s="23"/>
    </row>
    <row r="85" spans="28:36" x14ac:dyDescent="0.25">
      <c r="AB85" s="37"/>
      <c r="AC85" s="5"/>
      <c r="AD85" s="5"/>
      <c r="AE85" s="5"/>
      <c r="AF85" s="5"/>
      <c r="AG85" s="5"/>
      <c r="AH85" s="21"/>
      <c r="AI85" s="23"/>
      <c r="AJ85" s="23"/>
    </row>
    <row r="86" spans="28:36" x14ac:dyDescent="0.25">
      <c r="AB86" s="37"/>
      <c r="AC86" s="5"/>
      <c r="AD86" s="5"/>
      <c r="AE86" s="5"/>
      <c r="AF86" s="5"/>
      <c r="AG86" s="5"/>
      <c r="AH86" s="21"/>
      <c r="AI86" s="23"/>
      <c r="AJ86" s="23"/>
    </row>
    <row r="87" spans="28:36" x14ac:dyDescent="0.25">
      <c r="AB87" s="37"/>
      <c r="AC87" s="5"/>
      <c r="AD87" s="5"/>
      <c r="AE87" s="5"/>
      <c r="AF87" s="5"/>
      <c r="AG87" s="5"/>
      <c r="AH87" s="21"/>
      <c r="AI87" s="23"/>
      <c r="AJ87" s="23"/>
    </row>
    <row r="88" spans="28:36" x14ac:dyDescent="0.25">
      <c r="AB88" s="37"/>
      <c r="AC88" s="5"/>
      <c r="AD88" s="5"/>
      <c r="AE88" s="5"/>
      <c r="AF88" s="5"/>
      <c r="AG88" s="5"/>
      <c r="AH88" s="21"/>
      <c r="AI88" s="23"/>
      <c r="AJ88" s="23"/>
    </row>
    <row r="89" spans="28:36" x14ac:dyDescent="0.25">
      <c r="AB89" s="37"/>
      <c r="AC89" s="5"/>
      <c r="AD89" s="5"/>
      <c r="AE89" s="5"/>
      <c r="AF89" s="5"/>
      <c r="AG89" s="5"/>
      <c r="AH89" s="21"/>
      <c r="AI89" s="23"/>
      <c r="AJ89" s="23"/>
    </row>
    <row r="90" spans="28:36" x14ac:dyDescent="0.25">
      <c r="AB90" s="37"/>
      <c r="AC90" s="5"/>
      <c r="AD90" s="5"/>
      <c r="AE90" s="5"/>
      <c r="AF90" s="5"/>
      <c r="AG90" s="5"/>
      <c r="AH90" s="21"/>
      <c r="AI90" s="23"/>
      <c r="AJ90" s="23"/>
    </row>
    <row r="91" spans="28:36" x14ac:dyDescent="0.25">
      <c r="AB91" s="37"/>
      <c r="AC91" s="5"/>
      <c r="AD91" s="5"/>
      <c r="AE91" s="5"/>
      <c r="AF91" s="5"/>
      <c r="AG91" s="5"/>
      <c r="AH91" s="21"/>
      <c r="AI91" s="23"/>
      <c r="AJ91" s="23"/>
    </row>
    <row r="92" spans="28:36" x14ac:dyDescent="0.25">
      <c r="AB92" s="37"/>
      <c r="AC92" s="5"/>
      <c r="AD92" s="5"/>
      <c r="AE92" s="5"/>
      <c r="AF92" s="5"/>
      <c r="AG92" s="5"/>
      <c r="AH92" s="21"/>
      <c r="AI92" s="23"/>
      <c r="AJ92" s="23"/>
    </row>
    <row r="93" spans="28:36" x14ac:dyDescent="0.25">
      <c r="AB93" s="37"/>
      <c r="AC93" s="5"/>
      <c r="AD93" s="5"/>
      <c r="AE93" s="5"/>
      <c r="AF93" s="5"/>
      <c r="AG93" s="5"/>
      <c r="AH93" s="21"/>
      <c r="AI93" s="23"/>
      <c r="AJ93" s="23"/>
    </row>
    <row r="94" spans="28:36" x14ac:dyDescent="0.25">
      <c r="AB94" s="37"/>
      <c r="AC94" s="5"/>
      <c r="AD94" s="5"/>
      <c r="AE94" s="5"/>
      <c r="AF94" s="5"/>
      <c r="AG94" s="5"/>
      <c r="AH94" s="21"/>
      <c r="AI94" s="23"/>
      <c r="AJ94" s="23"/>
    </row>
    <row r="95" spans="28:36" x14ac:dyDescent="0.25">
      <c r="AB95" s="37"/>
      <c r="AC95" s="5"/>
      <c r="AD95" s="5"/>
      <c r="AE95" s="5"/>
      <c r="AF95" s="5"/>
      <c r="AG95" s="5"/>
      <c r="AH95" s="21"/>
      <c r="AI95" s="23"/>
      <c r="AJ95" s="23"/>
    </row>
    <row r="96" spans="28:36" x14ac:dyDescent="0.25">
      <c r="AB96" s="37"/>
      <c r="AC96" s="5"/>
      <c r="AD96" s="5"/>
      <c r="AE96" s="5"/>
      <c r="AF96" s="5"/>
      <c r="AG96" s="5"/>
      <c r="AH96" s="21"/>
      <c r="AI96" s="23"/>
      <c r="AJ96" s="23"/>
    </row>
    <row r="97" spans="28:36" x14ac:dyDescent="0.25">
      <c r="AB97" s="37"/>
      <c r="AC97" s="5"/>
      <c r="AD97" s="5"/>
      <c r="AE97" s="5"/>
      <c r="AF97" s="5"/>
      <c r="AG97" s="5"/>
      <c r="AH97" s="21"/>
      <c r="AI97" s="23"/>
      <c r="AJ97" s="23"/>
    </row>
    <row r="98" spans="28:36" x14ac:dyDescent="0.25">
      <c r="AB98" s="37"/>
      <c r="AC98" s="5"/>
      <c r="AD98" s="5"/>
      <c r="AE98" s="5"/>
      <c r="AF98" s="5"/>
      <c r="AG98" s="5"/>
      <c r="AH98" s="21"/>
      <c r="AI98" s="23"/>
      <c r="AJ98" s="23"/>
    </row>
    <row r="99" spans="28:36" x14ac:dyDescent="0.25">
      <c r="AB99" s="37"/>
      <c r="AC99" s="5"/>
      <c r="AD99" s="5"/>
      <c r="AE99" s="5"/>
      <c r="AF99" s="5"/>
      <c r="AG99" s="5"/>
      <c r="AH99" s="21"/>
      <c r="AI99" s="23"/>
      <c r="AJ99" s="23"/>
    </row>
    <row r="100" spans="28:36" x14ac:dyDescent="0.25">
      <c r="AB100" s="37"/>
      <c r="AC100" s="5"/>
      <c r="AD100" s="5"/>
      <c r="AE100" s="5"/>
      <c r="AF100" s="5"/>
      <c r="AG100" s="5"/>
      <c r="AH100" s="21"/>
      <c r="AI100" s="23"/>
      <c r="AJ100" s="23"/>
    </row>
    <row r="101" spans="28:36" x14ac:dyDescent="0.25">
      <c r="AB101" s="37"/>
      <c r="AC101" s="5"/>
      <c r="AD101" s="5"/>
      <c r="AE101" s="5"/>
      <c r="AF101" s="5"/>
      <c r="AG101" s="5"/>
      <c r="AH101" s="21"/>
      <c r="AI101" s="23"/>
      <c r="AJ101" s="23"/>
    </row>
    <row r="102" spans="28:36" x14ac:dyDescent="0.25">
      <c r="AB102" s="37"/>
      <c r="AC102" s="5"/>
      <c r="AD102" s="5"/>
      <c r="AE102" s="5"/>
      <c r="AF102" s="5"/>
      <c r="AG102" s="5"/>
      <c r="AH102" s="21"/>
      <c r="AI102" s="23"/>
      <c r="AJ102" s="23"/>
    </row>
    <row r="103" spans="28:36" x14ac:dyDescent="0.25">
      <c r="AB103" s="37"/>
      <c r="AC103" s="5"/>
      <c r="AD103" s="5"/>
      <c r="AE103" s="5"/>
      <c r="AF103" s="5"/>
      <c r="AG103" s="5"/>
      <c r="AH103" s="21"/>
      <c r="AI103" s="23"/>
      <c r="AJ103" s="23"/>
    </row>
    <row r="104" spans="28:36" x14ac:dyDescent="0.25">
      <c r="AB104" s="37"/>
      <c r="AC104" s="5"/>
      <c r="AD104" s="5"/>
      <c r="AE104" s="5"/>
      <c r="AF104" s="5"/>
      <c r="AG104" s="5"/>
      <c r="AH104" s="21"/>
      <c r="AI104" s="23"/>
      <c r="AJ104" s="23"/>
    </row>
    <row r="105" spans="28:36" x14ac:dyDescent="0.25">
      <c r="AB105" s="37"/>
      <c r="AC105" s="5"/>
      <c r="AD105" s="5"/>
      <c r="AE105" s="5"/>
      <c r="AF105" s="5"/>
      <c r="AG105" s="5"/>
      <c r="AH105" s="21"/>
      <c r="AI105" s="23"/>
      <c r="AJ105" s="23"/>
    </row>
    <row r="106" spans="28:36" x14ac:dyDescent="0.25">
      <c r="AB106" s="37"/>
      <c r="AC106" s="5"/>
      <c r="AD106" s="5"/>
      <c r="AE106" s="5"/>
      <c r="AF106" s="5"/>
      <c r="AG106" s="5"/>
      <c r="AH106" s="21"/>
      <c r="AI106" s="23"/>
      <c r="AJ106" s="23"/>
    </row>
    <row r="107" spans="28:36" x14ac:dyDescent="0.25">
      <c r="AB107" s="37"/>
      <c r="AC107" s="5"/>
      <c r="AD107" s="5"/>
      <c r="AE107" s="5"/>
      <c r="AF107" s="5"/>
      <c r="AG107" s="5"/>
      <c r="AH107" s="21"/>
      <c r="AI107" s="23"/>
      <c r="AJ107" s="23"/>
    </row>
    <row r="108" spans="28:36" x14ac:dyDescent="0.25">
      <c r="AB108" s="37"/>
      <c r="AC108" s="5"/>
      <c r="AD108" s="5"/>
      <c r="AE108" s="5"/>
      <c r="AF108" s="5"/>
      <c r="AG108" s="5"/>
      <c r="AH108" s="21"/>
      <c r="AI108" s="23"/>
      <c r="AJ108" s="23"/>
    </row>
    <row r="109" spans="28:36" x14ac:dyDescent="0.25">
      <c r="AB109" s="37"/>
      <c r="AC109" s="5"/>
      <c r="AD109" s="5"/>
      <c r="AE109" s="5"/>
      <c r="AF109" s="5"/>
      <c r="AG109" s="5"/>
      <c r="AH109" s="21"/>
      <c r="AI109" s="23"/>
      <c r="AJ109" s="23"/>
    </row>
    <row r="110" spans="28:36" x14ac:dyDescent="0.25">
      <c r="AB110" s="37"/>
      <c r="AC110" s="5"/>
      <c r="AD110" s="5"/>
      <c r="AE110" s="5"/>
      <c r="AF110" s="5"/>
      <c r="AG110" s="5"/>
      <c r="AH110" s="21"/>
      <c r="AI110" s="23"/>
      <c r="AJ110" s="23"/>
    </row>
    <row r="111" spans="28:36" x14ac:dyDescent="0.25">
      <c r="AB111" s="37"/>
      <c r="AC111" s="5"/>
      <c r="AD111" s="5"/>
      <c r="AE111" s="5"/>
      <c r="AF111" s="5"/>
      <c r="AG111" s="5"/>
      <c r="AH111" s="21"/>
      <c r="AI111" s="23"/>
      <c r="AJ111" s="23"/>
    </row>
    <row r="112" spans="28:36" x14ac:dyDescent="0.25">
      <c r="AB112" s="37"/>
      <c r="AC112" s="5"/>
      <c r="AD112" s="5"/>
      <c r="AE112" s="5"/>
      <c r="AF112" s="5"/>
      <c r="AG112" s="5"/>
      <c r="AH112" s="21"/>
      <c r="AI112" s="23"/>
      <c r="AJ112" s="23"/>
    </row>
    <row r="113" spans="28:36" x14ac:dyDescent="0.25">
      <c r="AB113" s="37"/>
      <c r="AC113" s="5"/>
      <c r="AD113" s="5"/>
      <c r="AE113" s="5"/>
      <c r="AF113" s="5"/>
      <c r="AG113" s="5"/>
      <c r="AH113" s="21"/>
      <c r="AI113" s="23"/>
      <c r="AJ113" s="23"/>
    </row>
    <row r="114" spans="28:36" x14ac:dyDescent="0.25">
      <c r="AB114" s="37"/>
      <c r="AC114" s="5"/>
      <c r="AD114" s="5"/>
      <c r="AE114" s="5"/>
      <c r="AF114" s="5"/>
      <c r="AG114" s="5"/>
      <c r="AH114" s="21"/>
      <c r="AI114" s="23"/>
      <c r="AJ114" s="23"/>
    </row>
    <row r="115" spans="28:36" x14ac:dyDescent="0.25">
      <c r="AB115" s="37"/>
      <c r="AC115" s="5"/>
      <c r="AD115" s="5"/>
      <c r="AE115" s="5"/>
      <c r="AF115" s="5"/>
      <c r="AG115" s="5"/>
      <c r="AH115" s="21"/>
      <c r="AI115" s="23"/>
      <c r="AJ115" s="23"/>
    </row>
    <row r="116" spans="28:36" x14ac:dyDescent="0.25">
      <c r="AB116" s="37"/>
      <c r="AC116" s="5"/>
      <c r="AD116" s="5"/>
      <c r="AE116" s="5"/>
      <c r="AF116" s="5"/>
      <c r="AG116" s="5"/>
      <c r="AH116" s="21"/>
      <c r="AI116" s="23"/>
      <c r="AJ116" s="23"/>
    </row>
    <row r="117" spans="28:36" x14ac:dyDescent="0.25">
      <c r="AB117" s="37"/>
      <c r="AC117" s="5"/>
      <c r="AD117" s="5"/>
      <c r="AE117" s="5"/>
      <c r="AF117" s="5"/>
      <c r="AG117" s="5"/>
      <c r="AH117" s="21"/>
      <c r="AI117" s="23"/>
      <c r="AJ117" s="23"/>
    </row>
    <row r="118" spans="28:36" x14ac:dyDescent="0.25">
      <c r="AB118" s="37"/>
      <c r="AC118" s="5"/>
      <c r="AD118" s="5"/>
      <c r="AE118" s="5"/>
      <c r="AF118" s="5"/>
      <c r="AG118" s="5"/>
      <c r="AH118" s="21"/>
      <c r="AI118" s="23"/>
      <c r="AJ118" s="23"/>
    </row>
    <row r="119" spans="28:36" x14ac:dyDescent="0.25">
      <c r="AB119" s="37"/>
      <c r="AC119" s="5"/>
      <c r="AD119" s="5"/>
      <c r="AE119" s="5"/>
      <c r="AF119" s="5"/>
      <c r="AG119" s="5"/>
      <c r="AH119" s="21"/>
      <c r="AI119" s="23"/>
      <c r="AJ119" s="23"/>
    </row>
    <row r="120" spans="28:36" x14ac:dyDescent="0.25">
      <c r="AB120" s="37"/>
      <c r="AC120" s="5"/>
      <c r="AD120" s="5"/>
      <c r="AE120" s="5"/>
      <c r="AF120" s="5"/>
      <c r="AG120" s="5"/>
      <c r="AH120" s="21"/>
      <c r="AI120" s="23"/>
      <c r="AJ120" s="23"/>
    </row>
    <row r="121" spans="28:36" x14ac:dyDescent="0.25">
      <c r="AB121" s="37"/>
      <c r="AC121" s="5"/>
      <c r="AD121" s="5"/>
      <c r="AE121" s="5"/>
      <c r="AF121" s="5"/>
      <c r="AG121" s="5"/>
      <c r="AH121" s="21"/>
      <c r="AI121" s="23"/>
      <c r="AJ121" s="23"/>
    </row>
    <row r="122" spans="28:36" x14ac:dyDescent="0.25">
      <c r="AB122" s="37"/>
      <c r="AC122" s="5"/>
      <c r="AD122" s="5"/>
      <c r="AE122" s="5"/>
      <c r="AF122" s="5"/>
      <c r="AG122" s="5"/>
      <c r="AH122" s="21"/>
      <c r="AI122" s="23"/>
      <c r="AJ122" s="23"/>
    </row>
    <row r="123" spans="28:36" x14ac:dyDescent="0.25">
      <c r="AB123" s="37"/>
      <c r="AC123" s="5"/>
      <c r="AD123" s="5"/>
      <c r="AE123" s="5"/>
      <c r="AF123" s="5"/>
      <c r="AG123" s="5"/>
      <c r="AH123" s="21"/>
      <c r="AI123" s="23"/>
      <c r="AJ123" s="23"/>
    </row>
    <row r="124" spans="28:36" x14ac:dyDescent="0.25">
      <c r="AB124" s="37"/>
      <c r="AC124" s="5"/>
      <c r="AD124" s="5"/>
      <c r="AE124" s="5"/>
      <c r="AF124" s="5"/>
      <c r="AG124" s="5"/>
      <c r="AH124" s="21"/>
      <c r="AI124" s="23"/>
      <c r="AJ124" s="23"/>
    </row>
    <row r="125" spans="28:36" x14ac:dyDescent="0.25">
      <c r="AB125" s="37"/>
      <c r="AC125" s="5"/>
      <c r="AD125" s="5"/>
      <c r="AE125" s="5"/>
      <c r="AF125" s="5"/>
      <c r="AG125" s="5"/>
      <c r="AH125" s="21"/>
      <c r="AI125" s="23"/>
      <c r="AJ125" s="23"/>
    </row>
    <row r="126" spans="28:36" x14ac:dyDescent="0.25">
      <c r="AB126" s="37"/>
      <c r="AC126" s="5"/>
      <c r="AD126" s="5"/>
      <c r="AE126" s="5"/>
      <c r="AF126" s="5"/>
      <c r="AG126" s="5"/>
      <c r="AH126" s="21"/>
      <c r="AI126" s="23"/>
      <c r="AJ126" s="23"/>
    </row>
    <row r="127" spans="28:36" x14ac:dyDescent="0.25">
      <c r="AB127" s="37"/>
      <c r="AC127" s="5"/>
      <c r="AD127" s="5"/>
      <c r="AE127" s="5"/>
      <c r="AF127" s="5"/>
      <c r="AG127" s="5"/>
      <c r="AH127" s="21"/>
      <c r="AI127" s="23"/>
      <c r="AJ127" s="23"/>
    </row>
    <row r="128" spans="28:36" x14ac:dyDescent="0.25">
      <c r="AB128" s="37"/>
      <c r="AC128" s="5"/>
      <c r="AD128" s="5"/>
      <c r="AE128" s="5"/>
      <c r="AF128" s="5"/>
      <c r="AG128" s="5"/>
      <c r="AH128" s="21"/>
      <c r="AI128" s="23"/>
      <c r="AJ128" s="23"/>
    </row>
    <row r="129" spans="28:36" x14ac:dyDescent="0.25">
      <c r="AB129" s="37"/>
      <c r="AC129" s="5"/>
      <c r="AD129" s="5"/>
      <c r="AE129" s="5"/>
      <c r="AF129" s="5"/>
      <c r="AG129" s="5"/>
      <c r="AH129" s="21"/>
      <c r="AI129" s="23"/>
      <c r="AJ129" s="23"/>
    </row>
    <row r="130" spans="28:36" x14ac:dyDescent="0.25">
      <c r="AB130" s="37"/>
      <c r="AC130" s="5"/>
      <c r="AD130" s="5"/>
      <c r="AE130" s="5"/>
      <c r="AF130" s="5"/>
      <c r="AG130" s="5"/>
      <c r="AH130" s="21"/>
      <c r="AI130" s="23"/>
      <c r="AJ130" s="23"/>
    </row>
    <row r="131" spans="28:36" x14ac:dyDescent="0.25">
      <c r="AB131" s="37"/>
      <c r="AC131" s="5"/>
      <c r="AD131" s="5"/>
      <c r="AE131" s="5"/>
      <c r="AF131" s="5"/>
      <c r="AG131" s="5"/>
      <c r="AH131" s="21"/>
      <c r="AI131" s="23"/>
      <c r="AJ131" s="23"/>
    </row>
    <row r="132" spans="28:36" x14ac:dyDescent="0.25">
      <c r="AB132" s="37"/>
      <c r="AC132" s="5"/>
      <c r="AD132" s="5"/>
      <c r="AE132" s="5"/>
      <c r="AF132" s="5"/>
      <c r="AG132" s="5"/>
      <c r="AH132" s="21"/>
      <c r="AI132" s="23"/>
      <c r="AJ132" s="23"/>
    </row>
    <row r="133" spans="28:36" x14ac:dyDescent="0.25">
      <c r="AB133" s="37"/>
      <c r="AC133" s="5"/>
      <c r="AD133" s="5"/>
      <c r="AE133" s="5"/>
      <c r="AF133" s="5"/>
      <c r="AG133" s="5"/>
      <c r="AH133" s="21"/>
      <c r="AI133" s="23"/>
      <c r="AJ133" s="23"/>
    </row>
    <row r="134" spans="28:36" x14ac:dyDescent="0.25">
      <c r="AB134" s="37"/>
      <c r="AC134" s="5"/>
      <c r="AD134" s="5"/>
      <c r="AE134" s="5"/>
      <c r="AF134" s="5"/>
      <c r="AG134" s="5"/>
      <c r="AH134" s="21"/>
      <c r="AI134" s="23"/>
      <c r="AJ134" s="23"/>
    </row>
    <row r="135" spans="28:36" x14ac:dyDescent="0.25">
      <c r="AB135" s="37"/>
      <c r="AC135" s="5"/>
      <c r="AD135" s="5"/>
      <c r="AE135" s="5"/>
      <c r="AF135" s="5"/>
      <c r="AG135" s="5"/>
      <c r="AH135" s="21"/>
      <c r="AI135" s="23"/>
      <c r="AJ135" s="23"/>
    </row>
    <row r="136" spans="28:36" x14ac:dyDescent="0.25">
      <c r="AB136" s="37"/>
      <c r="AC136" s="5"/>
      <c r="AD136" s="5"/>
      <c r="AE136" s="5"/>
      <c r="AF136" s="5"/>
      <c r="AG136" s="5"/>
      <c r="AH136" s="21"/>
      <c r="AI136" s="23"/>
      <c r="AJ136" s="23"/>
    </row>
    <row r="137" spans="28:36" x14ac:dyDescent="0.25">
      <c r="AB137" s="37"/>
      <c r="AC137" s="5"/>
      <c r="AD137" s="5"/>
      <c r="AE137" s="5"/>
      <c r="AF137" s="5"/>
      <c r="AG137" s="5"/>
      <c r="AH137" s="21"/>
      <c r="AI137" s="23"/>
      <c r="AJ137" s="23"/>
    </row>
    <row r="138" spans="28:36" x14ac:dyDescent="0.25">
      <c r="AB138" s="37"/>
      <c r="AC138" s="5"/>
      <c r="AD138" s="5"/>
      <c r="AE138" s="5"/>
      <c r="AF138" s="5"/>
      <c r="AG138" s="5"/>
      <c r="AH138" s="21"/>
      <c r="AI138" s="23"/>
      <c r="AJ138" s="23"/>
    </row>
    <row r="139" spans="28:36" x14ac:dyDescent="0.25">
      <c r="AB139" s="37"/>
      <c r="AC139" s="5"/>
      <c r="AD139" s="5"/>
      <c r="AE139" s="5"/>
      <c r="AF139" s="5"/>
      <c r="AG139" s="5"/>
      <c r="AH139" s="21"/>
      <c r="AI139" s="23"/>
      <c r="AJ139" s="23"/>
    </row>
    <row r="140" spans="28:36" x14ac:dyDescent="0.25">
      <c r="AB140" s="37"/>
      <c r="AC140" s="5"/>
      <c r="AD140" s="5"/>
      <c r="AE140" s="5"/>
      <c r="AF140" s="5"/>
      <c r="AG140" s="5"/>
      <c r="AH140" s="21"/>
      <c r="AI140" s="23"/>
      <c r="AJ140" s="23"/>
    </row>
    <row r="141" spans="28:36" x14ac:dyDescent="0.25">
      <c r="AB141" s="37"/>
      <c r="AC141" s="5"/>
      <c r="AD141" s="5"/>
      <c r="AE141" s="5"/>
      <c r="AF141" s="5"/>
      <c r="AG141" s="5"/>
      <c r="AH141" s="21"/>
      <c r="AI141" s="23"/>
      <c r="AJ141" s="23"/>
    </row>
    <row r="142" spans="28:36" x14ac:dyDescent="0.25">
      <c r="AB142" s="37"/>
      <c r="AC142" s="5"/>
      <c r="AD142" s="5"/>
      <c r="AE142" s="5"/>
      <c r="AF142" s="5"/>
      <c r="AG142" s="5"/>
      <c r="AH142" s="21"/>
      <c r="AI142" s="23"/>
      <c r="AJ142" s="23"/>
    </row>
    <row r="143" spans="28:36" x14ac:dyDescent="0.25">
      <c r="AB143" s="37"/>
      <c r="AC143" s="5"/>
      <c r="AD143" s="5"/>
      <c r="AE143" s="5"/>
      <c r="AF143" s="5"/>
      <c r="AG143" s="5"/>
      <c r="AH143" s="21"/>
      <c r="AI143" s="23"/>
      <c r="AJ143" s="23"/>
    </row>
    <row r="144" spans="28:36" x14ac:dyDescent="0.25">
      <c r="AB144" s="37"/>
      <c r="AC144" s="5"/>
      <c r="AD144" s="5"/>
      <c r="AE144" s="5"/>
      <c r="AF144" s="5"/>
      <c r="AG144" s="5"/>
      <c r="AH144" s="21"/>
      <c r="AI144" s="23"/>
      <c r="AJ144" s="23"/>
    </row>
    <row r="145" spans="28:36" x14ac:dyDescent="0.25">
      <c r="AB145" s="37"/>
      <c r="AC145" s="5"/>
      <c r="AD145" s="5"/>
      <c r="AE145" s="5"/>
      <c r="AF145" s="5"/>
      <c r="AG145" s="5"/>
      <c r="AH145" s="21"/>
      <c r="AI145" s="23"/>
      <c r="AJ145" s="23"/>
    </row>
    <row r="146" spans="28:36" x14ac:dyDescent="0.25">
      <c r="AB146" s="37"/>
      <c r="AC146" s="5"/>
      <c r="AD146" s="5"/>
      <c r="AE146" s="5"/>
      <c r="AF146" s="5"/>
      <c r="AG146" s="5"/>
      <c r="AH146" s="21"/>
      <c r="AI146" s="23"/>
      <c r="AJ146" s="23"/>
    </row>
    <row r="147" spans="28:36" x14ac:dyDescent="0.25">
      <c r="AB147" s="37"/>
      <c r="AC147" s="5"/>
      <c r="AD147" s="5"/>
      <c r="AE147" s="5"/>
      <c r="AF147" s="5"/>
      <c r="AG147" s="5"/>
      <c r="AH147" s="21"/>
      <c r="AI147" s="23"/>
      <c r="AJ147" s="23"/>
    </row>
    <row r="148" spans="28:36" x14ac:dyDescent="0.25">
      <c r="AB148" s="37"/>
      <c r="AC148" s="5"/>
      <c r="AD148" s="5"/>
      <c r="AE148" s="5"/>
      <c r="AF148" s="5"/>
      <c r="AG148" s="5"/>
      <c r="AH148" s="21"/>
      <c r="AI148" s="23"/>
      <c r="AJ148" s="23"/>
    </row>
    <row r="149" spans="28:36" x14ac:dyDescent="0.25">
      <c r="AB149" s="37"/>
      <c r="AC149" s="5"/>
      <c r="AD149" s="5"/>
      <c r="AE149" s="5"/>
      <c r="AF149" s="5"/>
      <c r="AG149" s="5"/>
      <c r="AH149" s="21"/>
      <c r="AI149" s="23"/>
      <c r="AJ149" s="23"/>
    </row>
    <row r="150" spans="28:36" x14ac:dyDescent="0.25">
      <c r="AB150" s="37"/>
      <c r="AC150" s="5"/>
      <c r="AD150" s="5"/>
      <c r="AE150" s="5"/>
      <c r="AF150" s="5"/>
      <c r="AG150" s="5"/>
      <c r="AH150" s="21"/>
      <c r="AI150" s="23"/>
      <c r="AJ150" s="23"/>
    </row>
    <row r="151" spans="28:36" x14ac:dyDescent="0.25">
      <c r="AB151" s="37"/>
      <c r="AC151" s="5"/>
      <c r="AD151" s="5"/>
      <c r="AE151" s="5"/>
      <c r="AF151" s="5"/>
      <c r="AG151" s="5"/>
      <c r="AH151" s="21"/>
      <c r="AI151" s="23"/>
      <c r="AJ151" s="23"/>
    </row>
    <row r="152" spans="28:36" x14ac:dyDescent="0.25">
      <c r="AB152" s="37"/>
      <c r="AC152" s="5"/>
      <c r="AD152" s="5"/>
      <c r="AE152" s="5"/>
      <c r="AF152" s="5"/>
      <c r="AG152" s="5"/>
      <c r="AH152" s="21"/>
      <c r="AI152" s="23"/>
      <c r="AJ152" s="23"/>
    </row>
    <row r="153" spans="28:36" x14ac:dyDescent="0.25">
      <c r="AB153" s="37"/>
      <c r="AC153" s="5"/>
      <c r="AD153" s="5"/>
      <c r="AE153" s="5"/>
      <c r="AF153" s="5"/>
      <c r="AG153" s="5"/>
      <c r="AH153" s="21"/>
      <c r="AI153" s="23"/>
      <c r="AJ153" s="23"/>
    </row>
    <row r="154" spans="28:36" x14ac:dyDescent="0.25">
      <c r="AB154" s="37"/>
      <c r="AC154" s="5"/>
      <c r="AD154" s="5"/>
      <c r="AE154" s="5"/>
      <c r="AF154" s="5"/>
      <c r="AG154" s="5"/>
      <c r="AH154" s="21"/>
      <c r="AI154" s="23"/>
      <c r="AJ154" s="23"/>
    </row>
    <row r="155" spans="28:36" x14ac:dyDescent="0.25">
      <c r="AB155" s="37"/>
      <c r="AC155" s="5"/>
      <c r="AD155" s="5"/>
      <c r="AE155" s="5"/>
      <c r="AF155" s="5"/>
      <c r="AG155" s="5"/>
      <c r="AH155" s="21"/>
      <c r="AI155" s="23"/>
      <c r="AJ155" s="23"/>
    </row>
    <row r="156" spans="28:36" x14ac:dyDescent="0.25">
      <c r="AB156" s="37"/>
      <c r="AC156" s="5"/>
      <c r="AD156" s="5"/>
      <c r="AE156" s="5"/>
      <c r="AF156" s="5"/>
      <c r="AG156" s="5"/>
      <c r="AH156" s="21"/>
      <c r="AI156" s="23"/>
      <c r="AJ156" s="23"/>
    </row>
    <row r="157" spans="28:36" x14ac:dyDescent="0.25">
      <c r="AB157" s="37"/>
      <c r="AC157" s="5"/>
      <c r="AD157" s="5"/>
      <c r="AE157" s="5"/>
      <c r="AF157" s="5"/>
      <c r="AG157" s="5"/>
      <c r="AH157" s="21"/>
      <c r="AI157" s="23"/>
      <c r="AJ157" s="23"/>
    </row>
    <row r="158" spans="28:36" x14ac:dyDescent="0.25">
      <c r="AB158" s="37"/>
      <c r="AC158" s="5"/>
      <c r="AD158" s="5"/>
      <c r="AE158" s="5"/>
      <c r="AF158" s="5"/>
      <c r="AG158" s="5"/>
      <c r="AH158" s="21"/>
      <c r="AI158" s="23"/>
      <c r="AJ158" s="23"/>
    </row>
    <row r="159" spans="28:36" x14ac:dyDescent="0.25">
      <c r="AB159" s="37"/>
      <c r="AC159" s="5"/>
      <c r="AD159" s="5"/>
      <c r="AE159" s="5"/>
      <c r="AF159" s="5"/>
      <c r="AG159" s="5"/>
      <c r="AH159" s="21"/>
      <c r="AI159" s="23"/>
      <c r="AJ159" s="23"/>
    </row>
    <row r="160" spans="28:36" x14ac:dyDescent="0.25">
      <c r="AB160" s="37"/>
      <c r="AC160" s="5"/>
      <c r="AD160" s="5"/>
      <c r="AE160" s="5"/>
      <c r="AF160" s="5"/>
      <c r="AG160" s="5"/>
      <c r="AH160" s="21"/>
      <c r="AI160" s="23"/>
      <c r="AJ160" s="23"/>
    </row>
    <row r="161" spans="28:36" x14ac:dyDescent="0.25">
      <c r="AB161" s="37"/>
      <c r="AC161" s="5"/>
      <c r="AD161" s="5"/>
      <c r="AE161" s="5"/>
      <c r="AF161" s="5"/>
      <c r="AG161" s="5"/>
      <c r="AH161" s="21"/>
      <c r="AI161" s="23"/>
      <c r="AJ161" s="23"/>
    </row>
    <row r="162" spans="28:36" x14ac:dyDescent="0.25">
      <c r="AB162" s="37"/>
      <c r="AC162" s="5"/>
      <c r="AD162" s="5"/>
      <c r="AE162" s="5"/>
      <c r="AF162" s="5"/>
      <c r="AG162" s="5"/>
      <c r="AH162" s="21"/>
      <c r="AI162" s="23"/>
      <c r="AJ162" s="23"/>
    </row>
    <row r="163" spans="28:36" x14ac:dyDescent="0.25">
      <c r="AB163" s="37"/>
      <c r="AC163" s="5"/>
      <c r="AD163" s="5"/>
      <c r="AE163" s="5"/>
      <c r="AF163" s="5"/>
      <c r="AG163" s="5"/>
      <c r="AH163" s="21"/>
      <c r="AI163" s="23"/>
      <c r="AJ163" s="23"/>
    </row>
    <row r="164" spans="28:36" x14ac:dyDescent="0.25">
      <c r="AB164" s="37"/>
      <c r="AC164" s="5"/>
      <c r="AD164" s="5"/>
      <c r="AE164" s="5"/>
      <c r="AF164" s="5"/>
      <c r="AG164" s="5"/>
      <c r="AH164" s="21"/>
      <c r="AI164" s="23"/>
      <c r="AJ164" s="23"/>
    </row>
    <row r="165" spans="28:36" x14ac:dyDescent="0.25">
      <c r="AB165" s="37"/>
      <c r="AC165" s="5"/>
      <c r="AD165" s="5"/>
      <c r="AE165" s="5"/>
      <c r="AF165" s="5"/>
      <c r="AG165" s="5"/>
      <c r="AH165" s="21"/>
      <c r="AI165" s="23"/>
      <c r="AJ165" s="23"/>
    </row>
    <row r="166" spans="28:36" x14ac:dyDescent="0.25">
      <c r="AB166" s="37"/>
      <c r="AC166" s="5"/>
      <c r="AD166" s="5"/>
      <c r="AE166" s="5"/>
      <c r="AF166" s="5"/>
      <c r="AG166" s="5"/>
      <c r="AH166" s="21"/>
      <c r="AI166" s="23"/>
      <c r="AJ166" s="23"/>
    </row>
    <row r="167" spans="28:36" x14ac:dyDescent="0.25">
      <c r="AB167" s="37"/>
      <c r="AC167" s="5"/>
      <c r="AD167" s="5"/>
      <c r="AE167" s="5"/>
      <c r="AF167" s="5"/>
      <c r="AG167" s="5"/>
      <c r="AH167" s="21"/>
      <c r="AI167" s="23"/>
      <c r="AJ167" s="23"/>
    </row>
    <row r="168" spans="28:36" x14ac:dyDescent="0.25">
      <c r="AB168" s="37"/>
      <c r="AC168" s="5"/>
      <c r="AD168" s="5"/>
      <c r="AE168" s="5"/>
      <c r="AF168" s="5"/>
      <c r="AG168" s="5"/>
      <c r="AH168" s="21"/>
      <c r="AI168" s="23"/>
      <c r="AJ168" s="23"/>
    </row>
    <row r="169" spans="28:36" x14ac:dyDescent="0.25">
      <c r="AB169" s="37"/>
      <c r="AC169" s="5"/>
      <c r="AD169" s="5"/>
      <c r="AE169" s="5"/>
      <c r="AF169" s="5"/>
      <c r="AG169" s="5"/>
      <c r="AH169" s="21"/>
      <c r="AI169" s="23"/>
      <c r="AJ169" s="23"/>
    </row>
    <row r="170" spans="28:36" x14ac:dyDescent="0.25">
      <c r="AB170" s="37"/>
      <c r="AC170" s="5"/>
      <c r="AD170" s="5"/>
      <c r="AE170" s="5"/>
      <c r="AF170" s="5"/>
      <c r="AG170" s="5"/>
      <c r="AH170" s="21"/>
      <c r="AI170" s="23"/>
      <c r="AJ170" s="23"/>
    </row>
    <row r="171" spans="28:36" x14ac:dyDescent="0.25">
      <c r="AB171" s="37"/>
      <c r="AC171" s="5"/>
      <c r="AD171" s="5"/>
      <c r="AE171" s="5"/>
      <c r="AF171" s="5"/>
      <c r="AG171" s="5"/>
      <c r="AH171" s="21"/>
      <c r="AI171" s="23"/>
      <c r="AJ171" s="23"/>
    </row>
    <row r="172" spans="28:36" x14ac:dyDescent="0.25">
      <c r="AB172" s="37"/>
      <c r="AC172" s="5"/>
      <c r="AD172" s="5"/>
      <c r="AE172" s="5"/>
      <c r="AF172" s="5"/>
      <c r="AG172" s="5"/>
      <c r="AH172" s="21"/>
      <c r="AI172" s="23"/>
      <c r="AJ172" s="23"/>
    </row>
    <row r="173" spans="28:36" x14ac:dyDescent="0.25">
      <c r="AB173" s="37"/>
      <c r="AC173" s="5"/>
      <c r="AD173" s="5"/>
      <c r="AE173" s="5"/>
      <c r="AF173" s="5"/>
      <c r="AG173" s="5"/>
      <c r="AH173" s="21"/>
      <c r="AI173" s="23"/>
      <c r="AJ173" s="23"/>
    </row>
    <row r="174" spans="28:36" x14ac:dyDescent="0.25">
      <c r="AB174" s="37"/>
      <c r="AC174" s="5"/>
      <c r="AD174" s="5"/>
      <c r="AE174" s="5"/>
      <c r="AF174" s="5"/>
      <c r="AG174" s="5"/>
      <c r="AH174" s="21"/>
      <c r="AI174" s="23"/>
      <c r="AJ174" s="23"/>
    </row>
    <row r="175" spans="28:36" x14ac:dyDescent="0.25">
      <c r="AB175" s="37"/>
      <c r="AC175" s="5"/>
      <c r="AD175" s="5"/>
      <c r="AE175" s="5"/>
      <c r="AF175" s="5"/>
      <c r="AG175" s="5"/>
      <c r="AH175" s="21"/>
      <c r="AI175" s="23"/>
      <c r="AJ175" s="23"/>
    </row>
    <row r="176" spans="28:36" x14ac:dyDescent="0.25">
      <c r="AB176" s="37"/>
      <c r="AC176" s="5"/>
      <c r="AD176" s="5"/>
      <c r="AE176" s="5"/>
      <c r="AF176" s="5"/>
      <c r="AG176" s="5"/>
      <c r="AH176" s="21"/>
      <c r="AI176" s="23"/>
      <c r="AJ176" s="23"/>
    </row>
    <row r="177" spans="28:36" x14ac:dyDescent="0.25">
      <c r="AB177" s="37"/>
      <c r="AC177" s="5"/>
      <c r="AD177" s="5"/>
      <c r="AE177" s="5"/>
      <c r="AF177" s="5"/>
      <c r="AG177" s="5"/>
      <c r="AH177" s="21"/>
      <c r="AI177" s="23"/>
      <c r="AJ177" s="23"/>
    </row>
    <row r="178" spans="28:36" x14ac:dyDescent="0.25">
      <c r="AB178" s="37"/>
      <c r="AC178" s="5"/>
      <c r="AD178" s="5"/>
      <c r="AE178" s="5"/>
      <c r="AF178" s="5"/>
      <c r="AG178" s="5"/>
      <c r="AH178" s="21"/>
      <c r="AI178" s="23"/>
      <c r="AJ178" s="23"/>
    </row>
    <row r="179" spans="28:36" x14ac:dyDescent="0.25">
      <c r="AB179" s="37"/>
      <c r="AC179" s="5"/>
      <c r="AD179" s="5"/>
      <c r="AE179" s="5"/>
      <c r="AF179" s="5"/>
      <c r="AG179" s="5"/>
      <c r="AH179" s="21"/>
      <c r="AI179" s="23"/>
      <c r="AJ179" s="23"/>
    </row>
    <row r="180" spans="28:36" x14ac:dyDescent="0.25">
      <c r="AB180" s="37"/>
      <c r="AC180" s="5"/>
      <c r="AD180" s="5"/>
      <c r="AE180" s="5"/>
      <c r="AF180" s="5"/>
      <c r="AG180" s="5"/>
      <c r="AH180" s="21"/>
      <c r="AI180" s="23"/>
      <c r="AJ180" s="23"/>
    </row>
    <row r="181" spans="28:36" x14ac:dyDescent="0.25">
      <c r="AB181" s="37"/>
      <c r="AC181" s="5"/>
      <c r="AD181" s="5"/>
      <c r="AE181" s="5"/>
      <c r="AF181" s="5"/>
      <c r="AG181" s="5"/>
      <c r="AH181" s="21"/>
      <c r="AI181" s="23"/>
      <c r="AJ181" s="23"/>
    </row>
    <row r="182" spans="28:36" x14ac:dyDescent="0.25">
      <c r="AB182" s="37"/>
      <c r="AC182" s="5"/>
      <c r="AD182" s="5"/>
      <c r="AE182" s="5"/>
      <c r="AF182" s="5"/>
      <c r="AG182" s="5"/>
      <c r="AH182" s="21"/>
      <c r="AI182" s="23"/>
      <c r="AJ182" s="23"/>
    </row>
    <row r="183" spans="28:36" x14ac:dyDescent="0.25">
      <c r="AB183" s="37"/>
      <c r="AC183" s="5"/>
      <c r="AD183" s="5"/>
      <c r="AE183" s="5"/>
      <c r="AF183" s="5"/>
      <c r="AG183" s="5"/>
      <c r="AH183" s="21"/>
      <c r="AI183" s="23"/>
      <c r="AJ183" s="23"/>
    </row>
    <row r="184" spans="28:36" x14ac:dyDescent="0.25">
      <c r="AB184" s="37"/>
      <c r="AC184" s="5"/>
      <c r="AD184" s="5"/>
      <c r="AE184" s="5"/>
      <c r="AF184" s="5"/>
      <c r="AG184" s="5"/>
      <c r="AH184" s="21"/>
      <c r="AI184" s="23"/>
      <c r="AJ184" s="23"/>
    </row>
    <row r="185" spans="28:36" x14ac:dyDescent="0.25">
      <c r="AB185" s="37"/>
      <c r="AC185" s="5"/>
      <c r="AD185" s="5"/>
      <c r="AE185" s="5"/>
      <c r="AF185" s="5"/>
      <c r="AG185" s="5"/>
      <c r="AH185" s="21"/>
      <c r="AI185" s="23"/>
      <c r="AJ185" s="23"/>
    </row>
    <row r="186" spans="28:36" x14ac:dyDescent="0.25">
      <c r="AB186" s="37"/>
      <c r="AC186" s="5"/>
      <c r="AD186" s="5"/>
      <c r="AE186" s="5"/>
      <c r="AF186" s="5"/>
      <c r="AG186" s="5"/>
      <c r="AH186" s="21"/>
      <c r="AI186" s="23"/>
      <c r="AJ186" s="23"/>
    </row>
    <row r="187" spans="28:36" x14ac:dyDescent="0.25">
      <c r="AB187" s="37"/>
      <c r="AC187" s="5"/>
      <c r="AD187" s="5"/>
      <c r="AE187" s="5"/>
      <c r="AF187" s="5"/>
      <c r="AG187" s="5"/>
      <c r="AH187" s="21"/>
      <c r="AI187" s="23"/>
      <c r="AJ187" s="23"/>
    </row>
    <row r="188" spans="28:36" x14ac:dyDescent="0.25">
      <c r="AB188" s="37"/>
      <c r="AC188" s="5"/>
      <c r="AD188" s="5"/>
      <c r="AE188" s="5"/>
      <c r="AF188" s="5"/>
      <c r="AG188" s="5"/>
      <c r="AH188" s="21"/>
      <c r="AI188" s="23"/>
      <c r="AJ188" s="23"/>
    </row>
    <row r="189" spans="28:36" x14ac:dyDescent="0.25">
      <c r="AB189" s="37"/>
      <c r="AC189" s="5"/>
      <c r="AD189" s="5"/>
      <c r="AE189" s="5"/>
      <c r="AF189" s="5"/>
      <c r="AG189" s="5"/>
      <c r="AH189" s="21"/>
      <c r="AI189" s="23"/>
      <c r="AJ189" s="23"/>
    </row>
    <row r="190" spans="28:36" x14ac:dyDescent="0.25">
      <c r="AB190" s="37"/>
      <c r="AC190" s="5"/>
      <c r="AD190" s="5"/>
      <c r="AE190" s="5"/>
      <c r="AF190" s="5"/>
      <c r="AG190" s="5"/>
      <c r="AH190" s="21"/>
      <c r="AI190" s="23"/>
      <c r="AJ190" s="23"/>
    </row>
    <row r="191" spans="28:36" x14ac:dyDescent="0.25">
      <c r="AB191" s="37"/>
      <c r="AC191" s="5"/>
      <c r="AD191" s="5"/>
      <c r="AE191" s="5"/>
      <c r="AF191" s="5"/>
      <c r="AG191" s="5"/>
      <c r="AH191" s="21"/>
      <c r="AI191" s="23"/>
      <c r="AJ191" s="23"/>
    </row>
    <row r="192" spans="28:36" x14ac:dyDescent="0.25">
      <c r="AB192" s="37"/>
      <c r="AC192" s="5"/>
      <c r="AD192" s="5"/>
      <c r="AE192" s="5"/>
      <c r="AF192" s="5"/>
      <c r="AG192" s="5"/>
      <c r="AH192" s="21"/>
      <c r="AI192" s="23"/>
      <c r="AJ192" s="23"/>
    </row>
    <row r="193" spans="28:36" x14ac:dyDescent="0.25">
      <c r="AB193" s="37"/>
      <c r="AC193" s="5"/>
      <c r="AD193" s="5"/>
      <c r="AE193" s="5"/>
      <c r="AF193" s="5"/>
      <c r="AG193" s="5"/>
      <c r="AH193" s="21"/>
      <c r="AI193" s="23"/>
      <c r="AJ193" s="23"/>
    </row>
    <row r="194" spans="28:36" x14ac:dyDescent="0.25">
      <c r="AB194" s="37"/>
      <c r="AC194" s="5"/>
      <c r="AD194" s="5"/>
      <c r="AE194" s="5"/>
      <c r="AF194" s="5"/>
      <c r="AG194" s="5"/>
      <c r="AH194" s="21"/>
      <c r="AI194" s="23"/>
      <c r="AJ194" s="23"/>
    </row>
    <row r="195" spans="28:36" x14ac:dyDescent="0.25">
      <c r="AB195" s="37"/>
      <c r="AC195" s="5"/>
      <c r="AD195" s="5"/>
      <c r="AE195" s="5"/>
      <c r="AF195" s="5"/>
      <c r="AG195" s="5"/>
      <c r="AH195" s="21"/>
      <c r="AI195" s="23"/>
      <c r="AJ195" s="23"/>
    </row>
    <row r="196" spans="28:36" x14ac:dyDescent="0.25">
      <c r="AB196" s="37"/>
      <c r="AC196" s="5"/>
      <c r="AD196" s="5"/>
      <c r="AE196" s="5"/>
      <c r="AF196" s="5"/>
      <c r="AG196" s="5"/>
      <c r="AH196" s="21"/>
      <c r="AI196" s="23"/>
      <c r="AJ196" s="23"/>
    </row>
    <row r="197" spans="28:36" x14ac:dyDescent="0.25">
      <c r="AB197" s="37"/>
      <c r="AC197" s="5"/>
      <c r="AD197" s="5"/>
      <c r="AE197" s="5"/>
      <c r="AF197" s="5"/>
      <c r="AG197" s="5"/>
      <c r="AH197" s="21"/>
      <c r="AI197" s="23"/>
      <c r="AJ197" s="23"/>
    </row>
    <row r="198" spans="28:36" x14ac:dyDescent="0.25">
      <c r="AB198" s="37"/>
      <c r="AC198" s="5"/>
      <c r="AD198" s="5"/>
      <c r="AE198" s="5"/>
      <c r="AF198" s="5"/>
      <c r="AG198" s="5"/>
      <c r="AH198" s="21"/>
      <c r="AI198" s="23"/>
      <c r="AJ198" s="23"/>
    </row>
    <row r="199" spans="28:36" x14ac:dyDescent="0.25">
      <c r="AB199" s="37"/>
      <c r="AC199" s="5"/>
      <c r="AD199" s="5"/>
      <c r="AE199" s="5"/>
      <c r="AF199" s="5"/>
      <c r="AG199" s="5"/>
      <c r="AH199" s="21"/>
      <c r="AI199" s="23"/>
      <c r="AJ199" s="23"/>
    </row>
    <row r="200" spans="28:36" x14ac:dyDescent="0.25">
      <c r="AB200" s="37"/>
      <c r="AC200" s="5"/>
      <c r="AD200" s="5"/>
      <c r="AE200" s="5"/>
      <c r="AF200" s="5"/>
      <c r="AG200" s="5"/>
      <c r="AH200" s="21"/>
      <c r="AI200" s="23"/>
      <c r="AJ200" s="23"/>
    </row>
    <row r="201" spans="28:36" x14ac:dyDescent="0.25">
      <c r="AB201" s="37"/>
      <c r="AC201" s="5"/>
      <c r="AD201" s="5"/>
      <c r="AE201" s="5"/>
      <c r="AF201" s="5"/>
      <c r="AG201" s="5"/>
      <c r="AH201" s="21"/>
      <c r="AI201" s="23"/>
      <c r="AJ201" s="23"/>
    </row>
    <row r="202" spans="28:36" x14ac:dyDescent="0.25">
      <c r="AB202" s="37"/>
      <c r="AC202" s="5"/>
      <c r="AD202" s="5"/>
      <c r="AE202" s="5"/>
      <c r="AF202" s="5"/>
      <c r="AG202" s="5"/>
      <c r="AH202" s="21"/>
      <c r="AI202" s="23"/>
      <c r="AJ202" s="23"/>
    </row>
    <row r="203" spans="28:36" x14ac:dyDescent="0.25">
      <c r="AB203" s="37"/>
      <c r="AC203" s="5"/>
      <c r="AD203" s="5"/>
      <c r="AE203" s="5"/>
      <c r="AF203" s="5"/>
      <c r="AG203" s="5"/>
      <c r="AH203" s="21"/>
      <c r="AI203" s="23"/>
      <c r="AJ203" s="23"/>
    </row>
  </sheetData>
  <mergeCells count="91">
    <mergeCell ref="Q18:Q19"/>
    <mergeCell ref="P18:P19"/>
    <mergeCell ref="O18:O19"/>
    <mergeCell ref="N18:N19"/>
    <mergeCell ref="M18:M19"/>
    <mergeCell ref="E18:H19"/>
    <mergeCell ref="K18:K19"/>
    <mergeCell ref="J18:J19"/>
    <mergeCell ref="I18:I19"/>
    <mergeCell ref="L18:L19"/>
    <mergeCell ref="G10:H10"/>
    <mergeCell ref="B10:F10"/>
    <mergeCell ref="G9:H9"/>
    <mergeCell ref="B9:F9"/>
    <mergeCell ref="A31:H32"/>
    <mergeCell ref="B13:H13"/>
    <mergeCell ref="L14:L15"/>
    <mergeCell ref="I31:Q32"/>
    <mergeCell ref="B22:H22"/>
    <mergeCell ref="B20:H20"/>
    <mergeCell ref="N16:N17"/>
    <mergeCell ref="O16:O17"/>
    <mergeCell ref="P16:P17"/>
    <mergeCell ref="Q16:Q17"/>
    <mergeCell ref="I16:I17"/>
    <mergeCell ref="J16:J17"/>
    <mergeCell ref="K16:K17"/>
    <mergeCell ref="L16:L17"/>
    <mergeCell ref="M16:M17"/>
    <mergeCell ref="B21:H21"/>
    <mergeCell ref="L3:L5"/>
    <mergeCell ref="AB10:AB12"/>
    <mergeCell ref="Q14:Q15"/>
    <mergeCell ref="M1:N2"/>
    <mergeCell ref="I1:L2"/>
    <mergeCell ref="Q3:Q5"/>
    <mergeCell ref="N3:N5"/>
    <mergeCell ref="P3:P5"/>
    <mergeCell ref="J4:J5"/>
    <mergeCell ref="K4:K5"/>
    <mergeCell ref="O3:O5"/>
    <mergeCell ref="M14:M15"/>
    <mergeCell ref="N14:N15"/>
    <mergeCell ref="O14:O15"/>
    <mergeCell ref="P14:P15"/>
    <mergeCell ref="J14:J15"/>
    <mergeCell ref="AJ10:AJ12"/>
    <mergeCell ref="AB8:AJ9"/>
    <mergeCell ref="A1:H2"/>
    <mergeCell ref="B7:H7"/>
    <mergeCell ref="A3:A5"/>
    <mergeCell ref="AG11:AG12"/>
    <mergeCell ref="B3:H5"/>
    <mergeCell ref="B8:H8"/>
    <mergeCell ref="B11:H11"/>
    <mergeCell ref="B12:H12"/>
    <mergeCell ref="B6:H6"/>
    <mergeCell ref="AB1:AJ2"/>
    <mergeCell ref="AB3:AB5"/>
    <mergeCell ref="AC3:AC5"/>
    <mergeCell ref="I3:I5"/>
    <mergeCell ref="J3:K3"/>
    <mergeCell ref="M3:M5"/>
    <mergeCell ref="AJ3:AJ5"/>
    <mergeCell ref="AF4:AF5"/>
    <mergeCell ref="AG4:AG5"/>
    <mergeCell ref="AH6:AH7"/>
    <mergeCell ref="AI6:AI7"/>
    <mergeCell ref="AJ6:AJ7"/>
    <mergeCell ref="AB6:AG7"/>
    <mergeCell ref="AD3:AD5"/>
    <mergeCell ref="AE3:AE5"/>
    <mergeCell ref="AF3:AG3"/>
    <mergeCell ref="AH3:AH5"/>
    <mergeCell ref="AI3:AI5"/>
    <mergeCell ref="AI10:AI12"/>
    <mergeCell ref="A29:H30"/>
    <mergeCell ref="I29:Q30"/>
    <mergeCell ref="A23:Q24"/>
    <mergeCell ref="I25:Q26"/>
    <mergeCell ref="A25:H26"/>
    <mergeCell ref="I27:Q28"/>
    <mergeCell ref="A27:H28"/>
    <mergeCell ref="AH10:AH12"/>
    <mergeCell ref="AF10:AG10"/>
    <mergeCell ref="AD10:AD12"/>
    <mergeCell ref="AE10:AE12"/>
    <mergeCell ref="AF11:AF12"/>
    <mergeCell ref="I14:I15"/>
    <mergeCell ref="AC10:AC12"/>
    <mergeCell ref="K14:K15"/>
  </mergeCells>
  <dataValidations disablePrompts="1" count="2">
    <dataValidation type="list" allowBlank="1" showInputMessage="1" showErrorMessage="1" sqref="I31:Q32" xr:uid="{1382C448-0864-44B4-8E6D-D3F4F88CD330}">
      <formula1>"Y,N"</formula1>
    </dataValidation>
    <dataValidation type="list" allowBlank="1" showInputMessage="1" showErrorMessage="1" sqref="G9:G10" xr:uid="{562C115D-21E9-4C32-8B13-9DE67DF1CA82}">
      <formula1>"Bảng tra,Tính toán"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 xr:uid="{82DAA396-2A8A-40CB-8292-97A60DC66AD9}">
          <x14:formula1>
            <xm:f>Data!$EY$3:$EY$999</xm:f>
          </x14:formula1>
          <xm:sqref>B11:H11</xm:sqref>
        </x14:dataValidation>
        <x14:dataValidation type="list" allowBlank="1" showInputMessage="1" showErrorMessage="1" xr:uid="{7CE7AFF1-1C33-4CB2-AB7C-B69229F1C1AD}">
          <x14:formula1>
            <xm:f>Data!$FY$3:$FY$99</xm:f>
          </x14:formula1>
          <xm:sqref>B13:H13</xm:sqref>
        </x14:dataValidation>
        <x14:dataValidation type="list" allowBlank="1" showInputMessage="1" showErrorMessage="1" xr:uid="{9AFA8775-ED6C-4F35-AD48-8A8A0F27DC3E}">
          <x14:formula1>
            <xm:f>Data!$A:$A</xm:f>
          </x14:formula1>
          <xm:sqref>B6</xm:sqref>
        </x14:dataValidation>
        <x14:dataValidation type="list" allowBlank="1" showInputMessage="1" showErrorMessage="1" xr:uid="{44AA3E9D-6089-44E7-80D7-BE0A483BBA07}">
          <x14:formula1>
            <xm:f>Data!$AA:$AA</xm:f>
          </x14:formula1>
          <xm:sqref>B7:H7</xm:sqref>
        </x14:dataValidation>
        <x14:dataValidation type="list" allowBlank="1" showInputMessage="1" showErrorMessage="1" xr:uid="{EDE754E8-4158-48B2-8D8F-A89F6F66EB54}">
          <x14:formula1>
            <xm:f>Data!$BA:$BA</xm:f>
          </x14:formula1>
          <xm:sqref>B8:H8</xm:sqref>
        </x14:dataValidation>
        <x14:dataValidation type="list" allowBlank="1" showInputMessage="1" showErrorMessage="1" xr:uid="{B1045B68-109C-41DC-85AA-6313C9CFA940}">
          <x14:formula1>
            <xm:f>Data!$CA:$CA</xm:f>
          </x14:formula1>
          <xm:sqref>B9</xm:sqref>
        </x14:dataValidation>
        <x14:dataValidation type="list" allowBlank="1" showInputMessage="1" showErrorMessage="1" xr:uid="{5129C796-3C65-42A3-9011-55D3F2C8C26E}">
          <x14:formula1>
            <xm:f>Data!$CZ:$CZ</xm:f>
          </x14:formula1>
          <xm:sqref>B10</xm:sqref>
        </x14:dataValidation>
        <x14:dataValidation type="list" allowBlank="1" showInputMessage="1" showErrorMessage="1" xr:uid="{8C2410CC-B9B0-49A9-B1AC-6F1983BA854B}">
          <x14:formula1>
            <xm:f>Data!$DY:$DY</xm:f>
          </x14:formula1>
          <xm:sqref>B12:H12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KL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HuynhVuMinhToan</dc:creator>
  <cp:lastModifiedBy>toan huynh vu minh</cp:lastModifiedBy>
  <dcterms:created xsi:type="dcterms:W3CDTF">2015-06-05T18:17:20Z</dcterms:created>
  <dcterms:modified xsi:type="dcterms:W3CDTF">2026-03-01T14:51:02Z</dcterms:modified>
</cp:coreProperties>
</file>