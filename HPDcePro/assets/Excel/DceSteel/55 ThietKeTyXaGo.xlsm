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0925F718-3E03-40B9-AE06-99E3540FB364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1" r:id="rId1"/>
    <sheet name="Cal" sheetId="6" r:id="rId2"/>
  </sheets>
  <functionGroups builtInGroupCount="19"/>
  <definedNames>
    <definedName name="_xlnm._FilterDatabase" localSheetId="1" hidden="1">Cal!#REF!</definedName>
    <definedName name="_xleta.MIN" hidden="1" xlm="1">#NAME?</definedName>
    <definedName name="_xleta.N" hidden="1" xlm="1">#NAME?</definedName>
    <definedName name="_xleta.PI" hidden="1" xlm="1">#NAME?</definedName>
    <definedName name="_xleta.T" hidden="1" xlm="1">#NAME?</definedName>
    <definedName name="Pic">INDEX(#REF!,#REF!)</definedName>
    <definedName name="_xlnm.Print_Area" localSheetId="1">Cal!$B$11:$K$23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6" l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J24" i="6"/>
  <c r="J37" i="6"/>
  <c r="B35" i="6"/>
  <c r="J35" i="6" a="1"/>
  <c r="J35" i="6" l="1"/>
  <c r="J36" i="6" s="1"/>
  <c r="J38" i="6" s="1"/>
  <c r="B29" i="6"/>
  <c r="D21" i="6"/>
  <c r="B38" i="6"/>
  <c r="B37" i="6"/>
  <c r="B36" i="6"/>
  <c r="B33" i="6"/>
  <c r="B32" i="6"/>
  <c r="B31" i="6"/>
  <c r="B28" i="6" l="1"/>
  <c r="J27" i="6"/>
  <c r="B27" i="6"/>
  <c r="B26" i="6"/>
  <c r="B23" i="6"/>
  <c r="B16" i="6"/>
  <c r="B15" i="6"/>
  <c r="J11" i="6"/>
  <c r="I21" i="6"/>
  <c r="J21" i="6" s="1"/>
  <c r="H21" i="6"/>
  <c r="J31" i="6" s="1"/>
  <c r="J28" i="6" l="1"/>
  <c r="FS7" i="1"/>
  <c r="FS8" i="1"/>
  <c r="FS9" i="1"/>
  <c r="FS10" i="1"/>
  <c r="FS11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3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89" i="1"/>
  <c r="FS90" i="1"/>
  <c r="FS91" i="1"/>
  <c r="FS92" i="1"/>
  <c r="FS93" i="1"/>
  <c r="FS94" i="1"/>
  <c r="FS95" i="1"/>
  <c r="FS96" i="1"/>
  <c r="FS97" i="1"/>
  <c r="FS98" i="1"/>
  <c r="FS99" i="1"/>
  <c r="FS100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164" i="1"/>
  <c r="FS165" i="1"/>
  <c r="FS166" i="1"/>
  <c r="FS167" i="1"/>
  <c r="FS168" i="1"/>
  <c r="FS169" i="1"/>
  <c r="FS170" i="1"/>
  <c r="FS171" i="1"/>
  <c r="FS172" i="1"/>
  <c r="FS173" i="1"/>
  <c r="FS174" i="1"/>
  <c r="FS175" i="1"/>
  <c r="FS176" i="1"/>
  <c r="FS177" i="1"/>
  <c r="FS178" i="1"/>
  <c r="FS179" i="1"/>
  <c r="FS180" i="1"/>
  <c r="FS181" i="1"/>
  <c r="FS6" i="1"/>
  <c r="FR7" i="1"/>
  <c r="FR8" i="1"/>
  <c r="FR9" i="1"/>
  <c r="FR10" i="1"/>
  <c r="FR11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3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89" i="1"/>
  <c r="FR90" i="1"/>
  <c r="FR91" i="1"/>
  <c r="FR92" i="1"/>
  <c r="FR93" i="1"/>
  <c r="FR94" i="1"/>
  <c r="FR95" i="1"/>
  <c r="FR96" i="1"/>
  <c r="FR97" i="1"/>
  <c r="FR98" i="1"/>
  <c r="FR99" i="1"/>
  <c r="FR100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164" i="1"/>
  <c r="FR165" i="1"/>
  <c r="FR166" i="1"/>
  <c r="FR167" i="1"/>
  <c r="FR168" i="1"/>
  <c r="FR169" i="1"/>
  <c r="FR170" i="1"/>
  <c r="FR171" i="1"/>
  <c r="FR172" i="1"/>
  <c r="FR173" i="1"/>
  <c r="FR174" i="1"/>
  <c r="FR175" i="1"/>
  <c r="FR176" i="1"/>
  <c r="FR177" i="1"/>
  <c r="FR178" i="1"/>
  <c r="FR179" i="1"/>
  <c r="FR180" i="1"/>
  <c r="FR181" i="1"/>
  <c r="FR6" i="1"/>
  <c r="FQ7" i="1"/>
  <c r="FQ8" i="1"/>
  <c r="FQ9" i="1"/>
  <c r="FQ10" i="1"/>
  <c r="FQ11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3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89" i="1"/>
  <c r="FQ90" i="1"/>
  <c r="FQ91" i="1"/>
  <c r="FQ92" i="1"/>
  <c r="FQ93" i="1"/>
  <c r="FQ94" i="1"/>
  <c r="FQ95" i="1"/>
  <c r="FQ96" i="1"/>
  <c r="FQ97" i="1"/>
  <c r="FQ98" i="1"/>
  <c r="FQ99" i="1"/>
  <c r="FQ100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164" i="1"/>
  <c r="FQ165" i="1"/>
  <c r="FQ166" i="1"/>
  <c r="FQ167" i="1"/>
  <c r="FQ168" i="1"/>
  <c r="FQ169" i="1"/>
  <c r="FQ170" i="1"/>
  <c r="FQ171" i="1"/>
  <c r="FQ172" i="1"/>
  <c r="FQ173" i="1"/>
  <c r="FQ174" i="1"/>
  <c r="FQ175" i="1"/>
  <c r="FQ176" i="1"/>
  <c r="FQ177" i="1"/>
  <c r="FQ178" i="1"/>
  <c r="FQ179" i="1"/>
  <c r="FQ180" i="1"/>
  <c r="FQ181" i="1"/>
  <c r="FQ6" i="1"/>
  <c r="FO7" i="1"/>
  <c r="FO8" i="1"/>
  <c r="FO9" i="1"/>
  <c r="FO10" i="1"/>
  <c r="FO11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3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89" i="1"/>
  <c r="FO90" i="1"/>
  <c r="FO91" i="1"/>
  <c r="FO92" i="1"/>
  <c r="FO93" i="1"/>
  <c r="FO94" i="1"/>
  <c r="FO95" i="1"/>
  <c r="FO96" i="1"/>
  <c r="FO97" i="1"/>
  <c r="FO98" i="1"/>
  <c r="FO99" i="1"/>
  <c r="FO100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164" i="1"/>
  <c r="FO165" i="1"/>
  <c r="FO166" i="1"/>
  <c r="FO167" i="1"/>
  <c r="FO168" i="1"/>
  <c r="FO169" i="1"/>
  <c r="FO170" i="1"/>
  <c r="FO171" i="1"/>
  <c r="FO172" i="1"/>
  <c r="FO173" i="1"/>
  <c r="FO174" i="1"/>
  <c r="FO175" i="1"/>
  <c r="FO176" i="1"/>
  <c r="FO177" i="1"/>
  <c r="FO178" i="1"/>
  <c r="FO179" i="1"/>
  <c r="FO180" i="1"/>
  <c r="FO181" i="1"/>
  <c r="FO6" i="1"/>
  <c r="FC7" i="1"/>
  <c r="FC8" i="1"/>
  <c r="FC9" i="1"/>
  <c r="FC10" i="1"/>
  <c r="FC11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3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89" i="1"/>
  <c r="FC90" i="1"/>
  <c r="FC91" i="1"/>
  <c r="FC92" i="1"/>
  <c r="FC93" i="1"/>
  <c r="FC94" i="1"/>
  <c r="FC95" i="1"/>
  <c r="FC96" i="1"/>
  <c r="FC97" i="1"/>
  <c r="FC98" i="1"/>
  <c r="FC99" i="1"/>
  <c r="FC100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164" i="1"/>
  <c r="FC165" i="1"/>
  <c r="FC166" i="1"/>
  <c r="FC167" i="1"/>
  <c r="FC168" i="1"/>
  <c r="FC169" i="1"/>
  <c r="FC170" i="1"/>
  <c r="FC171" i="1"/>
  <c r="FC172" i="1"/>
  <c r="FC173" i="1"/>
  <c r="FC174" i="1"/>
  <c r="FC175" i="1"/>
  <c r="FC176" i="1"/>
  <c r="FC177" i="1"/>
  <c r="FC178" i="1"/>
  <c r="FC179" i="1"/>
  <c r="FC180" i="1"/>
  <c r="FC181" i="1"/>
  <c r="FC182" i="1"/>
  <c r="FC183" i="1"/>
  <c r="FC184" i="1"/>
  <c r="FC185" i="1"/>
  <c r="FC186" i="1"/>
  <c r="FC187" i="1"/>
  <c r="FC188" i="1"/>
  <c r="FC189" i="1"/>
  <c r="FC190" i="1"/>
  <c r="FC191" i="1"/>
  <c r="FC192" i="1"/>
  <c r="FC193" i="1"/>
  <c r="FC194" i="1"/>
  <c r="FC195" i="1"/>
  <c r="FC196" i="1"/>
  <c r="FC197" i="1"/>
  <c r="FC198" i="1"/>
  <c r="FC199" i="1"/>
  <c r="FC200" i="1"/>
  <c r="FC201" i="1"/>
  <c r="FC202" i="1"/>
  <c r="FC203" i="1"/>
  <c r="FC204" i="1"/>
  <c r="FC205" i="1"/>
  <c r="FC206" i="1"/>
  <c r="FC207" i="1"/>
  <c r="FC208" i="1"/>
  <c r="FC209" i="1"/>
  <c r="FC210" i="1"/>
  <c r="FC211" i="1"/>
  <c r="FC212" i="1"/>
  <c r="FC213" i="1"/>
  <c r="FC214" i="1"/>
  <c r="FC215" i="1"/>
  <c r="FC216" i="1"/>
  <c r="FC217" i="1"/>
  <c r="FC218" i="1"/>
  <c r="FC219" i="1"/>
  <c r="FC220" i="1"/>
  <c r="FC221" i="1"/>
  <c r="FC222" i="1"/>
  <c r="FC223" i="1"/>
  <c r="FC224" i="1"/>
  <c r="FC225" i="1"/>
  <c r="FC226" i="1"/>
  <c r="FC227" i="1"/>
  <c r="FC228" i="1"/>
  <c r="FC229" i="1"/>
  <c r="FC230" i="1"/>
  <c r="FC231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75" i="1"/>
  <c r="FC276" i="1"/>
  <c r="FC277" i="1"/>
  <c r="FC278" i="1"/>
  <c r="FC279" i="1"/>
  <c r="FC280" i="1"/>
  <c r="FC281" i="1"/>
  <c r="FC282" i="1"/>
  <c r="FC283" i="1"/>
  <c r="FC284" i="1"/>
  <c r="FC285" i="1"/>
  <c r="FC286" i="1"/>
  <c r="FC287" i="1"/>
  <c r="FC288" i="1"/>
  <c r="FC289" i="1"/>
  <c r="FC290" i="1"/>
  <c r="FC291" i="1"/>
  <c r="FC292" i="1"/>
  <c r="FC293" i="1"/>
  <c r="FC294" i="1"/>
  <c r="FC295" i="1"/>
  <c r="FC296" i="1"/>
  <c r="FC297" i="1"/>
  <c r="FC298" i="1"/>
  <c r="FC299" i="1"/>
  <c r="FC300" i="1"/>
  <c r="FC301" i="1"/>
  <c r="FC302" i="1"/>
  <c r="FC303" i="1"/>
  <c r="FC304" i="1"/>
  <c r="FC305" i="1"/>
  <c r="FC306" i="1"/>
  <c r="FC307" i="1"/>
  <c r="FC308" i="1"/>
  <c r="FC309" i="1"/>
  <c r="FC310" i="1"/>
  <c r="FC311" i="1"/>
  <c r="FC312" i="1"/>
  <c r="FC313" i="1"/>
  <c r="FC314" i="1"/>
  <c r="FC315" i="1"/>
  <c r="FC316" i="1"/>
  <c r="FC317" i="1"/>
  <c r="FC318" i="1"/>
  <c r="FC319" i="1"/>
  <c r="FC320" i="1"/>
  <c r="FC321" i="1"/>
  <c r="FC322" i="1"/>
  <c r="FC323" i="1"/>
  <c r="FC324" i="1"/>
  <c r="FC325" i="1"/>
  <c r="FC326" i="1"/>
  <c r="FC327" i="1"/>
  <c r="FC328" i="1"/>
  <c r="FC329" i="1"/>
  <c r="FC330" i="1"/>
  <c r="FC331" i="1"/>
  <c r="FC332" i="1"/>
  <c r="FC333" i="1"/>
  <c r="FC334" i="1"/>
  <c r="FC335" i="1"/>
  <c r="FC336" i="1"/>
  <c r="FC337" i="1"/>
  <c r="FC338" i="1"/>
  <c r="FC339" i="1"/>
  <c r="FC340" i="1"/>
  <c r="FC341" i="1"/>
  <c r="FC342" i="1"/>
  <c r="FC343" i="1"/>
  <c r="FC344" i="1"/>
  <c r="FC345" i="1"/>
  <c r="FC346" i="1"/>
  <c r="FC347" i="1"/>
  <c r="FC348" i="1"/>
  <c r="FC349" i="1"/>
  <c r="FC350" i="1"/>
  <c r="FC351" i="1"/>
  <c r="FC352" i="1"/>
  <c r="FC353" i="1"/>
  <c r="FC354" i="1"/>
  <c r="FC355" i="1"/>
  <c r="FC356" i="1"/>
  <c r="FC357" i="1"/>
  <c r="FC358" i="1"/>
  <c r="FC359" i="1"/>
  <c r="FC360" i="1"/>
  <c r="FC361" i="1"/>
  <c r="FC362" i="1"/>
  <c r="FC363" i="1"/>
  <c r="FC364" i="1"/>
  <c r="FC365" i="1"/>
  <c r="FC366" i="1"/>
  <c r="FC367" i="1"/>
  <c r="FC368" i="1"/>
  <c r="FC369" i="1"/>
  <c r="FC370" i="1"/>
  <c r="FC371" i="1"/>
  <c r="FC372" i="1"/>
  <c r="FC373" i="1"/>
  <c r="FC374" i="1"/>
  <c r="FC375" i="1"/>
  <c r="FC376" i="1"/>
  <c r="FC377" i="1"/>
  <c r="FC378" i="1"/>
  <c r="FC379" i="1"/>
  <c r="FC380" i="1"/>
  <c r="FC381" i="1"/>
  <c r="FC382" i="1"/>
  <c r="FC383" i="1"/>
  <c r="FC384" i="1"/>
  <c r="FC385" i="1"/>
  <c r="FC386" i="1"/>
  <c r="FC387" i="1"/>
  <c r="FC388" i="1"/>
  <c r="FC389" i="1"/>
  <c r="FC390" i="1"/>
  <c r="FC391" i="1"/>
  <c r="FC392" i="1"/>
  <c r="FC393" i="1"/>
  <c r="FC394" i="1"/>
  <c r="FC395" i="1"/>
  <c r="FC396" i="1"/>
  <c r="FC397" i="1"/>
  <c r="FC398" i="1"/>
  <c r="FC399" i="1"/>
  <c r="FC400" i="1"/>
  <c r="FC401" i="1"/>
  <c r="FC402" i="1"/>
  <c r="FC403" i="1"/>
  <c r="FC404" i="1"/>
  <c r="FC405" i="1"/>
  <c r="FC406" i="1"/>
  <c r="FC407" i="1"/>
  <c r="FC408" i="1"/>
  <c r="FC409" i="1"/>
  <c r="FC410" i="1"/>
  <c r="FC411" i="1"/>
  <c r="FC412" i="1"/>
  <c r="FC413" i="1"/>
  <c r="FC414" i="1"/>
  <c r="FC415" i="1"/>
  <c r="FC416" i="1"/>
  <c r="FC417" i="1"/>
  <c r="FC418" i="1"/>
  <c r="FC419" i="1"/>
  <c r="FC420" i="1"/>
  <c r="FC421" i="1"/>
  <c r="FC422" i="1"/>
  <c r="FC423" i="1"/>
  <c r="FC424" i="1"/>
  <c r="FC425" i="1"/>
  <c r="FC426" i="1"/>
  <c r="FC427" i="1"/>
  <c r="FC428" i="1"/>
  <c r="FC429" i="1"/>
  <c r="FC430" i="1"/>
  <c r="FC431" i="1"/>
  <c r="FC432" i="1"/>
  <c r="FC433" i="1"/>
  <c r="FC434" i="1"/>
  <c r="FC435" i="1"/>
  <c r="FC436" i="1"/>
  <c r="FC437" i="1"/>
  <c r="FC438" i="1"/>
  <c r="FC439" i="1"/>
  <c r="FC440" i="1"/>
  <c r="FC441" i="1"/>
  <c r="FC442" i="1"/>
  <c r="FC443" i="1"/>
  <c r="FC444" i="1"/>
  <c r="FC445" i="1"/>
  <c r="FC446" i="1"/>
  <c r="FC447" i="1"/>
  <c r="FC6" i="1"/>
  <c r="FJ7" i="1"/>
  <c r="FJ8" i="1"/>
  <c r="FJ9" i="1"/>
  <c r="FJ10" i="1"/>
  <c r="FJ11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3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89" i="1"/>
  <c r="FJ90" i="1"/>
  <c r="FJ91" i="1"/>
  <c r="FJ92" i="1"/>
  <c r="FJ93" i="1"/>
  <c r="FJ94" i="1"/>
  <c r="FJ95" i="1"/>
  <c r="FJ96" i="1"/>
  <c r="FJ97" i="1"/>
  <c r="FJ98" i="1"/>
  <c r="FJ99" i="1"/>
  <c r="FJ100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164" i="1"/>
  <c r="FJ165" i="1"/>
  <c r="FJ166" i="1"/>
  <c r="FJ167" i="1"/>
  <c r="FJ168" i="1"/>
  <c r="FJ169" i="1"/>
  <c r="FJ170" i="1"/>
  <c r="FJ171" i="1"/>
  <c r="FJ172" i="1"/>
  <c r="FJ173" i="1"/>
  <c r="FJ174" i="1"/>
  <c r="FJ175" i="1"/>
  <c r="FJ176" i="1"/>
  <c r="FJ177" i="1"/>
  <c r="FJ178" i="1"/>
  <c r="FJ179" i="1"/>
  <c r="FJ180" i="1"/>
  <c r="FJ181" i="1"/>
  <c r="FJ6" i="1"/>
  <c r="EW51" i="1"/>
  <c r="EW52" i="1"/>
  <c r="EW53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89" i="1"/>
  <c r="EW90" i="1"/>
  <c r="EW91" i="1"/>
  <c r="EW92" i="1"/>
  <c r="EW93" i="1"/>
  <c r="EW94" i="1"/>
  <c r="EW95" i="1"/>
  <c r="EW96" i="1"/>
  <c r="EW97" i="1"/>
  <c r="EW98" i="1"/>
  <c r="EW99" i="1"/>
  <c r="EW100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164" i="1"/>
  <c r="EW165" i="1"/>
  <c r="EW166" i="1"/>
  <c r="EW167" i="1"/>
  <c r="EW168" i="1"/>
  <c r="EW169" i="1"/>
  <c r="EW170" i="1"/>
  <c r="EW171" i="1"/>
  <c r="EW172" i="1"/>
  <c r="EW173" i="1"/>
  <c r="EW174" i="1"/>
  <c r="EW175" i="1"/>
  <c r="EW176" i="1"/>
  <c r="EW177" i="1"/>
  <c r="EW178" i="1"/>
  <c r="EW179" i="1"/>
  <c r="EW180" i="1"/>
  <c r="EW181" i="1"/>
  <c r="EW182" i="1"/>
  <c r="EW183" i="1"/>
  <c r="EW184" i="1"/>
  <c r="EW185" i="1"/>
  <c r="EW186" i="1"/>
  <c r="EW187" i="1"/>
  <c r="EW188" i="1"/>
  <c r="EW189" i="1"/>
  <c r="EW190" i="1"/>
  <c r="EW191" i="1"/>
  <c r="EW192" i="1"/>
  <c r="EW193" i="1"/>
  <c r="EW194" i="1"/>
  <c r="EW195" i="1"/>
  <c r="EW196" i="1"/>
  <c r="EW197" i="1"/>
  <c r="EW198" i="1"/>
  <c r="EW199" i="1"/>
  <c r="EW200" i="1"/>
  <c r="EW201" i="1"/>
  <c r="EW202" i="1"/>
  <c r="EW203" i="1"/>
  <c r="EW204" i="1"/>
  <c r="EW205" i="1"/>
  <c r="EW206" i="1"/>
  <c r="EW207" i="1"/>
  <c r="EW208" i="1"/>
  <c r="EW209" i="1"/>
  <c r="EW210" i="1"/>
  <c r="EW211" i="1"/>
  <c r="EW212" i="1"/>
  <c r="EW213" i="1"/>
  <c r="EW214" i="1"/>
  <c r="EW215" i="1"/>
  <c r="EW216" i="1"/>
  <c r="EW217" i="1"/>
  <c r="EW218" i="1"/>
  <c r="EW219" i="1"/>
  <c r="EW220" i="1"/>
  <c r="EW221" i="1"/>
  <c r="EW222" i="1"/>
  <c r="EW223" i="1"/>
  <c r="EW224" i="1"/>
  <c r="EW225" i="1"/>
  <c r="EW226" i="1"/>
  <c r="EW227" i="1"/>
  <c r="EW228" i="1"/>
  <c r="EW229" i="1"/>
  <c r="EW230" i="1"/>
  <c r="EW231" i="1"/>
  <c r="EW232" i="1"/>
  <c r="EW233" i="1"/>
  <c r="EW234" i="1"/>
  <c r="EW235" i="1"/>
  <c r="EW236" i="1"/>
  <c r="EW237" i="1"/>
  <c r="EW238" i="1"/>
  <c r="EW239" i="1"/>
  <c r="EW240" i="1"/>
  <c r="EW241" i="1"/>
  <c r="EW242" i="1"/>
  <c r="EW243" i="1"/>
  <c r="EW244" i="1"/>
  <c r="EW245" i="1"/>
  <c r="EW246" i="1"/>
  <c r="EW247" i="1"/>
  <c r="EW248" i="1"/>
  <c r="EW249" i="1"/>
  <c r="EW250" i="1"/>
  <c r="EW251" i="1"/>
  <c r="EW252" i="1"/>
  <c r="EW253" i="1"/>
  <c r="EW254" i="1"/>
  <c r="EW255" i="1"/>
  <c r="EW256" i="1"/>
  <c r="EW257" i="1"/>
  <c r="EW258" i="1"/>
  <c r="EW259" i="1"/>
  <c r="EW260" i="1"/>
  <c r="EW261" i="1"/>
  <c r="EW262" i="1"/>
  <c r="EW263" i="1"/>
  <c r="EW264" i="1"/>
  <c r="EW265" i="1"/>
  <c r="EW266" i="1"/>
  <c r="EW267" i="1"/>
  <c r="EW268" i="1"/>
  <c r="EW269" i="1"/>
  <c r="EW270" i="1"/>
  <c r="EW271" i="1"/>
  <c r="EW272" i="1"/>
  <c r="EW273" i="1"/>
  <c r="EW274" i="1"/>
  <c r="EW275" i="1"/>
  <c r="EW276" i="1"/>
  <c r="EW277" i="1"/>
  <c r="EW278" i="1"/>
  <c r="EW279" i="1"/>
  <c r="EW280" i="1"/>
  <c r="EW281" i="1"/>
  <c r="EW282" i="1"/>
  <c r="EW283" i="1"/>
  <c r="EW284" i="1"/>
  <c r="EW285" i="1"/>
  <c r="EW286" i="1"/>
  <c r="EW287" i="1"/>
  <c r="EW288" i="1"/>
  <c r="EW289" i="1"/>
  <c r="EW290" i="1"/>
  <c r="EW291" i="1"/>
  <c r="EW292" i="1"/>
  <c r="EW293" i="1"/>
  <c r="EW294" i="1"/>
  <c r="EW295" i="1"/>
  <c r="EW296" i="1"/>
  <c r="EW297" i="1"/>
  <c r="EW298" i="1"/>
  <c r="EW299" i="1"/>
  <c r="EW300" i="1"/>
  <c r="EW301" i="1"/>
  <c r="EW302" i="1"/>
  <c r="EW303" i="1"/>
  <c r="EW304" i="1"/>
  <c r="EW305" i="1"/>
  <c r="EW306" i="1"/>
  <c r="EW307" i="1"/>
  <c r="EW308" i="1"/>
  <c r="EW309" i="1"/>
  <c r="EW310" i="1"/>
  <c r="EW311" i="1"/>
  <c r="EW312" i="1"/>
  <c r="EW313" i="1"/>
  <c r="EW314" i="1"/>
  <c r="EW315" i="1"/>
  <c r="EW316" i="1"/>
  <c r="EW317" i="1"/>
  <c r="EW318" i="1"/>
  <c r="EW319" i="1"/>
  <c r="EW320" i="1"/>
  <c r="EW321" i="1"/>
  <c r="EW322" i="1"/>
  <c r="EW323" i="1"/>
  <c r="EW324" i="1"/>
  <c r="EW325" i="1"/>
  <c r="EW326" i="1"/>
  <c r="EW327" i="1"/>
  <c r="EW328" i="1"/>
  <c r="EW329" i="1"/>
  <c r="EW330" i="1"/>
  <c r="EW331" i="1"/>
  <c r="EW332" i="1"/>
  <c r="EW333" i="1"/>
  <c r="EW334" i="1"/>
  <c r="EW335" i="1"/>
  <c r="EW336" i="1"/>
  <c r="EW337" i="1"/>
  <c r="EW338" i="1"/>
  <c r="EW339" i="1"/>
  <c r="EW340" i="1"/>
  <c r="EW341" i="1"/>
  <c r="EW342" i="1"/>
  <c r="EW343" i="1"/>
  <c r="EW344" i="1"/>
  <c r="EW345" i="1"/>
  <c r="EW346" i="1"/>
  <c r="EW347" i="1"/>
  <c r="EW348" i="1"/>
  <c r="EW349" i="1"/>
  <c r="EW350" i="1"/>
  <c r="EW351" i="1"/>
  <c r="EW352" i="1"/>
  <c r="EW353" i="1"/>
  <c r="EW354" i="1"/>
  <c r="EW355" i="1"/>
  <c r="EW356" i="1"/>
  <c r="EW357" i="1"/>
  <c r="EW358" i="1"/>
  <c r="EW359" i="1"/>
  <c r="EW360" i="1"/>
  <c r="EW361" i="1"/>
  <c r="EW362" i="1"/>
  <c r="EW363" i="1"/>
  <c r="EW364" i="1"/>
  <c r="EW365" i="1"/>
  <c r="EW366" i="1"/>
  <c r="EW367" i="1"/>
  <c r="EW368" i="1"/>
  <c r="EW369" i="1"/>
  <c r="EW370" i="1"/>
  <c r="EW371" i="1"/>
  <c r="EW372" i="1"/>
  <c r="EW373" i="1"/>
  <c r="EW374" i="1"/>
  <c r="EW375" i="1"/>
  <c r="EW376" i="1"/>
  <c r="EW377" i="1"/>
  <c r="EW378" i="1"/>
  <c r="EW379" i="1"/>
  <c r="EW380" i="1"/>
  <c r="EW381" i="1"/>
  <c r="EW382" i="1"/>
  <c r="EW383" i="1"/>
  <c r="EW384" i="1"/>
  <c r="EW385" i="1"/>
  <c r="EW386" i="1"/>
  <c r="EW387" i="1"/>
  <c r="EW388" i="1"/>
  <c r="EW389" i="1"/>
  <c r="EW390" i="1"/>
  <c r="EW391" i="1"/>
  <c r="EW392" i="1"/>
  <c r="EW393" i="1"/>
  <c r="EW394" i="1"/>
  <c r="EW395" i="1"/>
  <c r="EW396" i="1"/>
  <c r="EW397" i="1"/>
  <c r="EW398" i="1"/>
  <c r="EW399" i="1"/>
  <c r="EW400" i="1"/>
  <c r="EW401" i="1"/>
  <c r="EW402" i="1"/>
  <c r="EW403" i="1"/>
  <c r="EW404" i="1"/>
  <c r="EW405" i="1"/>
  <c r="EW406" i="1"/>
  <c r="EW407" i="1"/>
  <c r="EW408" i="1"/>
  <c r="EW409" i="1"/>
  <c r="EW410" i="1"/>
  <c r="EW411" i="1"/>
  <c r="EW412" i="1"/>
  <c r="EW413" i="1"/>
  <c r="EW414" i="1"/>
  <c r="EW415" i="1"/>
  <c r="EW416" i="1"/>
  <c r="EW417" i="1"/>
  <c r="EW418" i="1"/>
  <c r="EW419" i="1"/>
  <c r="EW420" i="1"/>
  <c r="EW421" i="1"/>
  <c r="EW422" i="1"/>
  <c r="EW423" i="1"/>
  <c r="EW424" i="1"/>
  <c r="EW425" i="1"/>
  <c r="EW426" i="1"/>
  <c r="EW427" i="1"/>
  <c r="EW428" i="1"/>
  <c r="EW429" i="1"/>
  <c r="EW430" i="1"/>
  <c r="EW431" i="1"/>
  <c r="EW432" i="1"/>
  <c r="EW433" i="1"/>
  <c r="EW434" i="1"/>
  <c r="EW435" i="1"/>
  <c r="EW436" i="1"/>
  <c r="EW437" i="1"/>
  <c r="EW438" i="1"/>
  <c r="EW439" i="1"/>
  <c r="EW440" i="1"/>
  <c r="EW441" i="1"/>
  <c r="EW442" i="1"/>
  <c r="EW443" i="1"/>
  <c r="EW444" i="1"/>
  <c r="EW445" i="1"/>
  <c r="EW446" i="1"/>
  <c r="EW447" i="1"/>
  <c r="EW7" i="1"/>
  <c r="EW8" i="1"/>
  <c r="EW9" i="1"/>
  <c r="EW10" i="1"/>
  <c r="EW11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6" i="1"/>
  <c r="FP7" i="1" a="1"/>
  <c r="FP15" i="1" a="1"/>
  <c r="FP23" i="1" a="1"/>
  <c r="FP31" i="1" a="1"/>
  <c r="FP39" i="1" a="1"/>
  <c r="FP47" i="1" a="1"/>
  <c r="FP55" i="1" a="1"/>
  <c r="FP63" i="1" a="1"/>
  <c r="FP71" i="1" a="1"/>
  <c r="FP79" i="1" a="1"/>
  <c r="FP87" i="1" a="1"/>
  <c r="FP95" i="1" a="1"/>
  <c r="FP103" i="1" a="1"/>
  <c r="FP111" i="1" a="1"/>
  <c r="FP119" i="1" a="1"/>
  <c r="FP127" i="1" a="1"/>
  <c r="FP135" i="1" a="1"/>
  <c r="FP143" i="1" a="1"/>
  <c r="FP151" i="1" a="1"/>
  <c r="FP159" i="1" a="1"/>
  <c r="FP167" i="1" a="1"/>
  <c r="FP175" i="1" a="1"/>
  <c r="FP22" i="1" a="1"/>
  <c r="FP30" i="1" a="1"/>
  <c r="FP8" i="1" a="1"/>
  <c r="FP16" i="1" a="1"/>
  <c r="FP24" i="1" a="1"/>
  <c r="FP32" i="1" a="1"/>
  <c r="FP40" i="1" a="1"/>
  <c r="FP48" i="1" a="1"/>
  <c r="FP56" i="1" a="1"/>
  <c r="FP64" i="1" a="1"/>
  <c r="FP72" i="1" a="1"/>
  <c r="FP80" i="1" a="1"/>
  <c r="FP88" i="1" a="1"/>
  <c r="FP96" i="1" a="1"/>
  <c r="FP104" i="1" a="1"/>
  <c r="FP112" i="1" a="1"/>
  <c r="FP120" i="1" a="1"/>
  <c r="FP128" i="1" a="1"/>
  <c r="FP136" i="1" a="1"/>
  <c r="FP144" i="1" a="1"/>
  <c r="FP152" i="1" a="1"/>
  <c r="FP160" i="1" a="1"/>
  <c r="FP168" i="1" a="1"/>
  <c r="FP176" i="1" a="1"/>
  <c r="FP102" i="1" a="1"/>
  <c r="FP94" i="1" a="1"/>
  <c r="FP9" i="1" a="1"/>
  <c r="FP17" i="1" a="1"/>
  <c r="FP25" i="1" a="1"/>
  <c r="FP33" i="1" a="1"/>
  <c r="FP41" i="1" a="1"/>
  <c r="FP49" i="1" a="1"/>
  <c r="FP57" i="1" a="1"/>
  <c r="FP65" i="1" a="1"/>
  <c r="FP73" i="1" a="1"/>
  <c r="FP81" i="1" a="1"/>
  <c r="FP89" i="1" a="1"/>
  <c r="FP97" i="1" a="1"/>
  <c r="FP105" i="1" a="1"/>
  <c r="FP113" i="1" a="1"/>
  <c r="FP121" i="1" a="1"/>
  <c r="FP129" i="1" a="1"/>
  <c r="FP137" i="1" a="1"/>
  <c r="FP145" i="1" a="1"/>
  <c r="FP153" i="1" a="1"/>
  <c r="FP161" i="1" a="1"/>
  <c r="FP169" i="1" a="1"/>
  <c r="FP177" i="1" a="1"/>
  <c r="FP70" i="1" a="1"/>
  <c r="FP62" i="1" a="1"/>
  <c r="FP10" i="1" a="1"/>
  <c r="FP18" i="1" a="1"/>
  <c r="FP26" i="1" a="1"/>
  <c r="FP34" i="1" a="1"/>
  <c r="FP42" i="1" a="1"/>
  <c r="FP50" i="1" a="1"/>
  <c r="FP58" i="1" a="1"/>
  <c r="FP66" i="1" a="1"/>
  <c r="FP74" i="1" a="1"/>
  <c r="FP82" i="1" a="1"/>
  <c r="FP90" i="1" a="1"/>
  <c r="FP98" i="1" a="1"/>
  <c r="FP106" i="1" a="1"/>
  <c r="FP114" i="1" a="1"/>
  <c r="FP122" i="1" a="1"/>
  <c r="FP130" i="1" a="1"/>
  <c r="FP138" i="1" a="1"/>
  <c r="FP146" i="1" a="1"/>
  <c r="FP154" i="1" a="1"/>
  <c r="FP162" i="1" a="1"/>
  <c r="FP170" i="1" a="1"/>
  <c r="FP178" i="1" a="1"/>
  <c r="FP86" i="1" a="1"/>
  <c r="FP174" i="1" a="1"/>
  <c r="FP78" i="1" a="1"/>
  <c r="FP11" i="1" a="1"/>
  <c r="FP19" i="1" a="1"/>
  <c r="FP27" i="1" a="1"/>
  <c r="FP35" i="1" a="1"/>
  <c r="FP43" i="1" a="1"/>
  <c r="FP51" i="1" a="1"/>
  <c r="FP59" i="1" a="1"/>
  <c r="FP67" i="1" a="1"/>
  <c r="FP75" i="1" a="1"/>
  <c r="FP83" i="1" a="1"/>
  <c r="FP91" i="1" a="1"/>
  <c r="FP99" i="1" a="1"/>
  <c r="FP107" i="1" a="1"/>
  <c r="FP115" i="1" a="1"/>
  <c r="FP123" i="1" a="1"/>
  <c r="FP131" i="1" a="1"/>
  <c r="FP139" i="1" a="1"/>
  <c r="FP147" i="1" a="1"/>
  <c r="FP155" i="1" a="1"/>
  <c r="FP163" i="1" a="1"/>
  <c r="FP171" i="1" a="1"/>
  <c r="FP179" i="1" a="1"/>
  <c r="FP46" i="1" a="1"/>
  <c r="FP118" i="1" a="1"/>
  <c r="FP12" i="1" a="1"/>
  <c r="FP20" i="1" a="1"/>
  <c r="FP28" i="1" a="1"/>
  <c r="FP36" i="1" a="1"/>
  <c r="FP44" i="1" a="1"/>
  <c r="FP52" i="1" a="1"/>
  <c r="FP60" i="1" a="1"/>
  <c r="FP68" i="1" a="1"/>
  <c r="FP76" i="1" a="1"/>
  <c r="FP84" i="1" a="1"/>
  <c r="FP92" i="1" a="1"/>
  <c r="FP100" i="1" a="1"/>
  <c r="FP108" i="1" a="1"/>
  <c r="FP116" i="1" a="1"/>
  <c r="FP124" i="1" a="1"/>
  <c r="FP132" i="1" a="1"/>
  <c r="FP140" i="1" a="1"/>
  <c r="FP148" i="1" a="1"/>
  <c r="FP156" i="1" a="1"/>
  <c r="FP164" i="1" a="1"/>
  <c r="FP172" i="1" a="1"/>
  <c r="FP180" i="1" a="1"/>
  <c r="FP38" i="1" a="1"/>
  <c r="FP110" i="1" a="1"/>
  <c r="FP13" i="1" a="1"/>
  <c r="FP21" i="1" a="1"/>
  <c r="FP29" i="1" a="1"/>
  <c r="FP37" i="1" a="1"/>
  <c r="FP45" i="1" a="1"/>
  <c r="FP53" i="1" a="1"/>
  <c r="FP61" i="1" a="1"/>
  <c r="FP69" i="1" a="1"/>
  <c r="FP77" i="1" a="1"/>
  <c r="FP85" i="1" a="1"/>
  <c r="FP93" i="1" a="1"/>
  <c r="FP101" i="1" a="1"/>
  <c r="FP109" i="1" a="1"/>
  <c r="FP117" i="1" a="1"/>
  <c r="FP125" i="1" a="1"/>
  <c r="FP133" i="1" a="1"/>
  <c r="FP141" i="1" a="1"/>
  <c r="FP149" i="1" a="1"/>
  <c r="FP157" i="1" a="1"/>
  <c r="FP165" i="1" a="1"/>
  <c r="FP173" i="1" a="1"/>
  <c r="FP181" i="1" a="1"/>
  <c r="FP54" i="1" a="1"/>
  <c r="FP14" i="1" a="1"/>
  <c r="FP126" i="1" a="1"/>
  <c r="FP134" i="1" a="1"/>
  <c r="FP142" i="1" a="1"/>
  <c r="FP150" i="1" a="1"/>
  <c r="FP158" i="1" a="1"/>
  <c r="FP166" i="1" a="1"/>
  <c r="FP6" i="1" a="1"/>
  <c r="FN7" i="1" a="1"/>
  <c r="FN15" i="1" a="1"/>
  <c r="FN23" i="1" a="1"/>
  <c r="FN31" i="1" a="1"/>
  <c r="FN39" i="1" a="1"/>
  <c r="FN47" i="1" a="1"/>
  <c r="FN55" i="1" a="1"/>
  <c r="FN63" i="1" a="1"/>
  <c r="FN71" i="1" a="1"/>
  <c r="FN79" i="1" a="1"/>
  <c r="FN87" i="1" a="1"/>
  <c r="FN95" i="1" a="1"/>
  <c r="FN103" i="1" a="1"/>
  <c r="FN111" i="1" a="1"/>
  <c r="FN119" i="1" a="1"/>
  <c r="FN127" i="1" a="1"/>
  <c r="FN135" i="1" a="1"/>
  <c r="FN143" i="1" a="1"/>
  <c r="FN151" i="1" a="1"/>
  <c r="FN159" i="1" a="1"/>
  <c r="FN167" i="1" a="1"/>
  <c r="FN175" i="1" a="1"/>
  <c r="FN8" i="1" a="1"/>
  <c r="FN16" i="1" a="1"/>
  <c r="FN24" i="1" a="1"/>
  <c r="FN32" i="1" a="1"/>
  <c r="FN40" i="1" a="1"/>
  <c r="FN48" i="1" a="1"/>
  <c r="FN56" i="1" a="1"/>
  <c r="FN64" i="1" a="1"/>
  <c r="FN72" i="1" a="1"/>
  <c r="FN80" i="1" a="1"/>
  <c r="FN88" i="1" a="1"/>
  <c r="FN96" i="1" a="1"/>
  <c r="FN104" i="1" a="1"/>
  <c r="FN112" i="1" a="1"/>
  <c r="FN120" i="1" a="1"/>
  <c r="FN128" i="1" a="1"/>
  <c r="FN136" i="1" a="1"/>
  <c r="FN144" i="1" a="1"/>
  <c r="FN152" i="1" a="1"/>
  <c r="FN160" i="1" a="1"/>
  <c r="FN168" i="1" a="1"/>
  <c r="FN176" i="1" a="1"/>
  <c r="FN174" i="1" a="1"/>
  <c r="FN9" i="1" a="1"/>
  <c r="FN17" i="1" a="1"/>
  <c r="FN25" i="1" a="1"/>
  <c r="FN33" i="1" a="1"/>
  <c r="FN41" i="1" a="1"/>
  <c r="FN49" i="1" a="1"/>
  <c r="FN57" i="1" a="1"/>
  <c r="FN65" i="1" a="1"/>
  <c r="FN73" i="1" a="1"/>
  <c r="FN81" i="1" a="1"/>
  <c r="FN89" i="1" a="1"/>
  <c r="FN97" i="1" a="1"/>
  <c r="FN105" i="1" a="1"/>
  <c r="FN113" i="1" a="1"/>
  <c r="FN121" i="1" a="1"/>
  <c r="FN129" i="1" a="1"/>
  <c r="FN137" i="1" a="1"/>
  <c r="FN145" i="1" a="1"/>
  <c r="FN153" i="1" a="1"/>
  <c r="FN161" i="1" a="1"/>
  <c r="FN169" i="1" a="1"/>
  <c r="FN177" i="1" a="1"/>
  <c r="FN10" i="1" a="1"/>
  <c r="FN18" i="1" a="1"/>
  <c r="FN26" i="1" a="1"/>
  <c r="FN34" i="1" a="1"/>
  <c r="FN42" i="1" a="1"/>
  <c r="FN50" i="1" a="1"/>
  <c r="FN58" i="1" a="1"/>
  <c r="FN66" i="1" a="1"/>
  <c r="FN74" i="1" a="1"/>
  <c r="FN82" i="1" a="1"/>
  <c r="FN90" i="1" a="1"/>
  <c r="FN98" i="1" a="1"/>
  <c r="FN106" i="1" a="1"/>
  <c r="FN114" i="1" a="1"/>
  <c r="FN122" i="1" a="1"/>
  <c r="FN130" i="1" a="1"/>
  <c r="FN138" i="1" a="1"/>
  <c r="FN146" i="1" a="1"/>
  <c r="FN154" i="1" a="1"/>
  <c r="FN162" i="1" a="1"/>
  <c r="FN170" i="1" a="1"/>
  <c r="FN178" i="1" a="1"/>
  <c r="FN94" i="1" a="1"/>
  <c r="FN11" i="1" a="1"/>
  <c r="FN19" i="1" a="1"/>
  <c r="FN27" i="1" a="1"/>
  <c r="FN35" i="1" a="1"/>
  <c r="FN43" i="1" a="1"/>
  <c r="FN51" i="1" a="1"/>
  <c r="FN59" i="1" a="1"/>
  <c r="FN67" i="1" a="1"/>
  <c r="FN75" i="1" a="1"/>
  <c r="FN83" i="1" a="1"/>
  <c r="FN91" i="1" a="1"/>
  <c r="FN99" i="1" a="1"/>
  <c r="FN107" i="1" a="1"/>
  <c r="FN115" i="1" a="1"/>
  <c r="FN123" i="1" a="1"/>
  <c r="FN131" i="1" a="1"/>
  <c r="FN139" i="1" a="1"/>
  <c r="FN147" i="1" a="1"/>
  <c r="FN155" i="1" a="1"/>
  <c r="FN163" i="1" a="1"/>
  <c r="FN171" i="1" a="1"/>
  <c r="FN179" i="1" a="1"/>
  <c r="FN118" i="1" a="1"/>
  <c r="FN110" i="1" a="1"/>
  <c r="FN12" i="1" a="1"/>
  <c r="FN20" i="1" a="1"/>
  <c r="FN28" i="1" a="1"/>
  <c r="FN36" i="1" a="1"/>
  <c r="FN44" i="1" a="1"/>
  <c r="FN52" i="1" a="1"/>
  <c r="FN60" i="1" a="1"/>
  <c r="FN68" i="1" a="1"/>
  <c r="FN76" i="1" a="1"/>
  <c r="FN84" i="1" a="1"/>
  <c r="FN92" i="1" a="1"/>
  <c r="FN100" i="1" a="1"/>
  <c r="FN108" i="1" a="1"/>
  <c r="FN116" i="1" a="1"/>
  <c r="FN124" i="1" a="1"/>
  <c r="FN132" i="1" a="1"/>
  <c r="FN140" i="1" a="1"/>
  <c r="FN148" i="1" a="1"/>
  <c r="FN156" i="1" a="1"/>
  <c r="FN164" i="1" a="1"/>
  <c r="FN172" i="1" a="1"/>
  <c r="FN180" i="1" a="1"/>
  <c r="FN13" i="1" a="1"/>
  <c r="FN21" i="1" a="1"/>
  <c r="FN29" i="1" a="1"/>
  <c r="FN37" i="1" a="1"/>
  <c r="FN45" i="1" a="1"/>
  <c r="FN53" i="1" a="1"/>
  <c r="FN61" i="1" a="1"/>
  <c r="FN69" i="1" a="1"/>
  <c r="FN77" i="1" a="1"/>
  <c r="FN85" i="1" a="1"/>
  <c r="FN93" i="1" a="1"/>
  <c r="FN101" i="1" a="1"/>
  <c r="FN109" i="1" a="1"/>
  <c r="FN117" i="1" a="1"/>
  <c r="FN125" i="1" a="1"/>
  <c r="FN133" i="1" a="1"/>
  <c r="FN141" i="1" a="1"/>
  <c r="FN149" i="1" a="1"/>
  <c r="FN157" i="1" a="1"/>
  <c r="FN165" i="1" a="1"/>
  <c r="FN173" i="1" a="1"/>
  <c r="FN181" i="1" a="1"/>
  <c r="FN46" i="1" a="1"/>
  <c r="FN14" i="1" a="1"/>
  <c r="FN22" i="1" a="1"/>
  <c r="FN30" i="1" a="1"/>
  <c r="FN38" i="1" a="1"/>
  <c r="FN54" i="1" a="1"/>
  <c r="FN62" i="1" a="1"/>
  <c r="FN70" i="1" a="1"/>
  <c r="FN78" i="1" a="1"/>
  <c r="FN86" i="1" a="1"/>
  <c r="FN102" i="1" a="1"/>
  <c r="FN126" i="1" a="1"/>
  <c r="FN134" i="1" a="1"/>
  <c r="FN142" i="1" a="1"/>
  <c r="FN150" i="1" a="1"/>
  <c r="FN158" i="1" a="1"/>
  <c r="FN166" i="1" a="1"/>
  <c r="FN6" i="1" a="1"/>
  <c r="FE7" i="1" a="1"/>
  <c r="FE15" i="1" a="1"/>
  <c r="FE23" i="1" a="1"/>
  <c r="FE31" i="1" a="1"/>
  <c r="FE39" i="1" a="1"/>
  <c r="FE47" i="1" a="1"/>
  <c r="FE55" i="1" a="1"/>
  <c r="FE63" i="1" a="1"/>
  <c r="FE71" i="1" a="1"/>
  <c r="FE79" i="1" a="1"/>
  <c r="FE87" i="1" a="1"/>
  <c r="FE95" i="1" a="1"/>
  <c r="FE103" i="1" a="1"/>
  <c r="FE111" i="1" a="1"/>
  <c r="FE119" i="1" a="1"/>
  <c r="FE127" i="1" a="1"/>
  <c r="FE135" i="1" a="1"/>
  <c r="FE143" i="1" a="1"/>
  <c r="FE151" i="1" a="1"/>
  <c r="FE159" i="1" a="1"/>
  <c r="FE167" i="1" a="1"/>
  <c r="FE175" i="1" a="1"/>
  <c r="FE183" i="1" a="1"/>
  <c r="FE191" i="1" a="1"/>
  <c r="FE199" i="1" a="1"/>
  <c r="FE207" i="1" a="1"/>
  <c r="FE215" i="1" a="1"/>
  <c r="FE223" i="1" a="1"/>
  <c r="FE231" i="1" a="1"/>
  <c r="FE239" i="1" a="1"/>
  <c r="FE247" i="1" a="1"/>
  <c r="FE255" i="1" a="1"/>
  <c r="FE263" i="1" a="1"/>
  <c r="FE271" i="1" a="1"/>
  <c r="FE279" i="1" a="1"/>
  <c r="FE287" i="1" a="1"/>
  <c r="FE295" i="1" a="1"/>
  <c r="FE303" i="1" a="1"/>
  <c r="FE311" i="1" a="1"/>
  <c r="FE319" i="1" a="1"/>
  <c r="FE327" i="1" a="1"/>
  <c r="FE335" i="1" a="1"/>
  <c r="FE351" i="1" a="1"/>
  <c r="FE359" i="1" a="1"/>
  <c r="FE367" i="1" a="1"/>
  <c r="FE375" i="1" a="1"/>
  <c r="FE383" i="1" a="1"/>
  <c r="FE391" i="1" a="1"/>
  <c r="FE399" i="1" a="1"/>
  <c r="FE415" i="1" a="1"/>
  <c r="FE431" i="1" a="1"/>
  <c r="FE439" i="1" a="1"/>
  <c r="FE447" i="1" a="1"/>
  <c r="FE408" i="1" a="1"/>
  <c r="FE404" i="1" a="1"/>
  <c r="FE118" i="1" a="1"/>
  <c r="FE310" i="1" a="1"/>
  <c r="FE288" i="1" a="1"/>
  <c r="FE352" i="1" a="1"/>
  <c r="FE360" i="1" a="1"/>
  <c r="FE368" i="1" a="1"/>
  <c r="FE376" i="1" a="1"/>
  <c r="FE384" i="1" a="1"/>
  <c r="FE392" i="1" a="1"/>
  <c r="FE400" i="1" a="1"/>
  <c r="FE424" i="1" a="1"/>
  <c r="FE432" i="1" a="1"/>
  <c r="FE440" i="1" a="1"/>
  <c r="FE428" i="1" a="1"/>
  <c r="FE182" i="1" a="1"/>
  <c r="FE398" i="1" a="1"/>
  <c r="FE8" i="1" a="1"/>
  <c r="FE16" i="1" a="1"/>
  <c r="FE24" i="1" a="1"/>
  <c r="FE32" i="1" a="1"/>
  <c r="FE40" i="1" a="1"/>
  <c r="FE48" i="1" a="1"/>
  <c r="FE56" i="1" a="1"/>
  <c r="FE64" i="1" a="1"/>
  <c r="FE72" i="1" a="1"/>
  <c r="FE80" i="1" a="1"/>
  <c r="FE88" i="1" a="1"/>
  <c r="FE96" i="1" a="1"/>
  <c r="FE104" i="1" a="1"/>
  <c r="FE112" i="1" a="1"/>
  <c r="FE120" i="1" a="1"/>
  <c r="FE128" i="1" a="1"/>
  <c r="FE136" i="1" a="1"/>
  <c r="FE144" i="1" a="1"/>
  <c r="FE152" i="1" a="1"/>
  <c r="FE160" i="1" a="1"/>
  <c r="FE168" i="1" a="1"/>
  <c r="FE176" i="1" a="1"/>
  <c r="FE184" i="1" a="1"/>
  <c r="FE192" i="1" a="1"/>
  <c r="FE200" i="1" a="1"/>
  <c r="FE208" i="1" a="1"/>
  <c r="FE216" i="1" a="1"/>
  <c r="FE224" i="1" a="1"/>
  <c r="FE232" i="1" a="1"/>
  <c r="FE240" i="1" a="1"/>
  <c r="FE248" i="1" a="1"/>
  <c r="FE256" i="1" a="1"/>
  <c r="FE264" i="1" a="1"/>
  <c r="FE272" i="1" a="1"/>
  <c r="FE280" i="1" a="1"/>
  <c r="FE296" i="1" a="1"/>
  <c r="FE304" i="1" a="1"/>
  <c r="FE312" i="1" a="1"/>
  <c r="FE320" i="1" a="1"/>
  <c r="FE328" i="1" a="1"/>
  <c r="FE336" i="1" a="1"/>
  <c r="FE344" i="1" a="1"/>
  <c r="FE270" i="1" a="1"/>
  <c r="FE305" i="1" a="1"/>
  <c r="FE377" i="1" a="1"/>
  <c r="FE393" i="1" a="1"/>
  <c r="FE409" i="1" a="1"/>
  <c r="FE433" i="1" a="1"/>
  <c r="FE126" i="1" a="1"/>
  <c r="FE390" i="1" a="1"/>
  <c r="FE9" i="1" a="1"/>
  <c r="FE17" i="1" a="1"/>
  <c r="FE25" i="1" a="1"/>
  <c r="FE33" i="1" a="1"/>
  <c r="FE41" i="1" a="1"/>
  <c r="FE49" i="1" a="1"/>
  <c r="FE57" i="1" a="1"/>
  <c r="FE65" i="1" a="1"/>
  <c r="FE73" i="1" a="1"/>
  <c r="FE81" i="1" a="1"/>
  <c r="FE89" i="1" a="1"/>
  <c r="FE97" i="1" a="1"/>
  <c r="FE105" i="1" a="1"/>
  <c r="FE113" i="1" a="1"/>
  <c r="FE121" i="1" a="1"/>
  <c r="FE129" i="1" a="1"/>
  <c r="FE137" i="1" a="1"/>
  <c r="FE145" i="1" a="1"/>
  <c r="FE153" i="1" a="1"/>
  <c r="FE161" i="1" a="1"/>
  <c r="FE169" i="1" a="1"/>
  <c r="FE177" i="1" a="1"/>
  <c r="FE185" i="1" a="1"/>
  <c r="FE193" i="1" a="1"/>
  <c r="FE201" i="1" a="1"/>
  <c r="FE209" i="1" a="1"/>
  <c r="FE217" i="1" a="1"/>
  <c r="FE225" i="1" a="1"/>
  <c r="FE233" i="1" a="1"/>
  <c r="FE241" i="1" a="1"/>
  <c r="FE249" i="1" a="1"/>
  <c r="FE257" i="1" a="1"/>
  <c r="FE265" i="1" a="1"/>
  <c r="FE273" i="1" a="1"/>
  <c r="FE281" i="1" a="1"/>
  <c r="FE289" i="1" a="1"/>
  <c r="FE297" i="1" a="1"/>
  <c r="FE313" i="1" a="1"/>
  <c r="FE321" i="1" a="1"/>
  <c r="FE329" i="1" a="1"/>
  <c r="FE337" i="1" a="1"/>
  <c r="FE345" i="1" a="1"/>
  <c r="FE353" i="1" a="1"/>
  <c r="FE361" i="1" a="1"/>
  <c r="FE369" i="1" a="1"/>
  <c r="FE385" i="1" a="1"/>
  <c r="FE401" i="1" a="1"/>
  <c r="FE417" i="1" a="1"/>
  <c r="FE425" i="1" a="1"/>
  <c r="FE441" i="1" a="1"/>
  <c r="FE444" i="1" a="1"/>
  <c r="FE214" i="1" a="1"/>
  <c r="FE322" i="1" a="1"/>
  <c r="FE402" i="1" a="1"/>
  <c r="FE426" i="1" a="1"/>
  <c r="FE442" i="1" a="1"/>
  <c r="FE427" i="1" a="1"/>
  <c r="FE70" i="1" a="1"/>
  <c r="FE374" i="1" a="1"/>
  <c r="FE10" i="1" a="1"/>
  <c r="FE18" i="1" a="1"/>
  <c r="FE26" i="1" a="1"/>
  <c r="FE34" i="1" a="1"/>
  <c r="FE42" i="1" a="1"/>
  <c r="FE50" i="1" a="1"/>
  <c r="FE58" i="1" a="1"/>
  <c r="FE66" i="1" a="1"/>
  <c r="FE74" i="1" a="1"/>
  <c r="FE82" i="1" a="1"/>
  <c r="FE90" i="1" a="1"/>
  <c r="FE98" i="1" a="1"/>
  <c r="FE106" i="1" a="1"/>
  <c r="FE114" i="1" a="1"/>
  <c r="FE122" i="1" a="1"/>
  <c r="FE130" i="1" a="1"/>
  <c r="FE138" i="1" a="1"/>
  <c r="FE146" i="1" a="1"/>
  <c r="FE154" i="1" a="1"/>
  <c r="FE162" i="1" a="1"/>
  <c r="FE170" i="1" a="1"/>
  <c r="FE178" i="1" a="1"/>
  <c r="FE186" i="1" a="1"/>
  <c r="FE194" i="1" a="1"/>
  <c r="FE202" i="1" a="1"/>
  <c r="FE210" i="1" a="1"/>
  <c r="FE218" i="1" a="1"/>
  <c r="FE226" i="1" a="1"/>
  <c r="FE234" i="1" a="1"/>
  <c r="FE242" i="1" a="1"/>
  <c r="FE250" i="1" a="1"/>
  <c r="FE258" i="1" a="1"/>
  <c r="FE266" i="1" a="1"/>
  <c r="FE274" i="1" a="1"/>
  <c r="FE282" i="1" a="1"/>
  <c r="FE290" i="1" a="1"/>
  <c r="FE298" i="1" a="1"/>
  <c r="FE306" i="1" a="1"/>
  <c r="FE314" i="1" a="1"/>
  <c r="FE330" i="1" a="1"/>
  <c r="FE338" i="1" a="1"/>
  <c r="FE346" i="1" a="1"/>
  <c r="FE354" i="1" a="1"/>
  <c r="FE362" i="1" a="1"/>
  <c r="FE370" i="1" a="1"/>
  <c r="FE378" i="1" a="1"/>
  <c r="FE386" i="1" a="1"/>
  <c r="FE394" i="1" a="1"/>
  <c r="FE410" i="1" a="1"/>
  <c r="FE418" i="1" a="1"/>
  <c r="FE434" i="1" a="1"/>
  <c r="FE403" i="1" a="1"/>
  <c r="FE86" i="1" a="1"/>
  <c r="FE326" i="1" a="1"/>
  <c r="FE203" i="1" a="1"/>
  <c r="FE243" i="1" a="1"/>
  <c r="FE251" i="1" a="1"/>
  <c r="FE267" i="1" a="1"/>
  <c r="FE283" i="1" a="1"/>
  <c r="FE291" i="1" a="1"/>
  <c r="FE307" i="1" a="1"/>
  <c r="FE323" i="1" a="1"/>
  <c r="FE347" i="1" a="1"/>
  <c r="FE363" i="1" a="1"/>
  <c r="FE379" i="1" a="1"/>
  <c r="FE395" i="1" a="1"/>
  <c r="FE419" i="1" a="1"/>
  <c r="FE443" i="1" a="1"/>
  <c r="FE396" i="1" a="1"/>
  <c r="FE134" i="1" a="1"/>
  <c r="FE302" i="1" a="1"/>
  <c r="FE366" i="1" a="1"/>
  <c r="FE414" i="1" a="1"/>
  <c r="FE438" i="1" a="1"/>
  <c r="FE11" i="1" a="1"/>
  <c r="FE19" i="1" a="1"/>
  <c r="FE27" i="1" a="1"/>
  <c r="FE35" i="1" a="1"/>
  <c r="FE43" i="1" a="1"/>
  <c r="FE51" i="1" a="1"/>
  <c r="FE59" i="1" a="1"/>
  <c r="FE67" i="1" a="1"/>
  <c r="FE75" i="1" a="1"/>
  <c r="FE83" i="1" a="1"/>
  <c r="FE91" i="1" a="1"/>
  <c r="FE99" i="1" a="1"/>
  <c r="FE107" i="1" a="1"/>
  <c r="FE115" i="1" a="1"/>
  <c r="FE123" i="1" a="1"/>
  <c r="FE131" i="1" a="1"/>
  <c r="FE139" i="1" a="1"/>
  <c r="FE147" i="1" a="1"/>
  <c r="FE155" i="1" a="1"/>
  <c r="FE163" i="1" a="1"/>
  <c r="FE171" i="1" a="1"/>
  <c r="FE179" i="1" a="1"/>
  <c r="FE187" i="1" a="1"/>
  <c r="FE195" i="1" a="1"/>
  <c r="FE211" i="1" a="1"/>
  <c r="FE219" i="1" a="1"/>
  <c r="FE227" i="1" a="1"/>
  <c r="FE235" i="1" a="1"/>
  <c r="FE259" i="1" a="1"/>
  <c r="FE275" i="1" a="1"/>
  <c r="FE299" i="1" a="1"/>
  <c r="FE315" i="1" a="1"/>
  <c r="FE331" i="1" a="1"/>
  <c r="FE339" i="1" a="1"/>
  <c r="FE355" i="1" a="1"/>
  <c r="FE371" i="1" a="1"/>
  <c r="FE387" i="1" a="1"/>
  <c r="FE411" i="1" a="1"/>
  <c r="FE435" i="1" a="1"/>
  <c r="FE420" i="1" a="1"/>
  <c r="FE150" i="1" a="1"/>
  <c r="FE342" i="1" a="1"/>
  <c r="FE382" i="1" a="1"/>
  <c r="FE406" i="1" a="1"/>
  <c r="FE430" i="1" a="1"/>
  <c r="FE228" i="1" a="1"/>
  <c r="FE268" i="1" a="1"/>
  <c r="FE276" i="1" a="1"/>
  <c r="FE284" i="1" a="1"/>
  <c r="FE292" i="1" a="1"/>
  <c r="FE300" i="1" a="1"/>
  <c r="FE308" i="1" a="1"/>
  <c r="FE316" i="1" a="1"/>
  <c r="FE324" i="1" a="1"/>
  <c r="FE332" i="1" a="1"/>
  <c r="FE340" i="1" a="1"/>
  <c r="FE348" i="1" a="1"/>
  <c r="FE356" i="1" a="1"/>
  <c r="FE364" i="1" a="1"/>
  <c r="FE372" i="1" a="1"/>
  <c r="FE380" i="1" a="1"/>
  <c r="FE412" i="1" a="1"/>
  <c r="FE436" i="1" a="1"/>
  <c r="FE46" i="1" a="1"/>
  <c r="FE262" i="1" a="1"/>
  <c r="FE350" i="1" a="1"/>
  <c r="FE446" i="1" a="1"/>
  <c r="FE12" i="1" a="1"/>
  <c r="FE20" i="1" a="1"/>
  <c r="FE28" i="1" a="1"/>
  <c r="FE36" i="1" a="1"/>
  <c r="FE44" i="1" a="1"/>
  <c r="FE52" i="1" a="1"/>
  <c r="FE60" i="1" a="1"/>
  <c r="FE68" i="1" a="1"/>
  <c r="FE76" i="1" a="1"/>
  <c r="FE84" i="1" a="1"/>
  <c r="FE92" i="1" a="1"/>
  <c r="FE100" i="1" a="1"/>
  <c r="FE108" i="1" a="1"/>
  <c r="FE116" i="1" a="1"/>
  <c r="FE124" i="1" a="1"/>
  <c r="FE132" i="1" a="1"/>
  <c r="FE140" i="1" a="1"/>
  <c r="FE148" i="1" a="1"/>
  <c r="FE156" i="1" a="1"/>
  <c r="FE164" i="1" a="1"/>
  <c r="FE172" i="1" a="1"/>
  <c r="FE180" i="1" a="1"/>
  <c r="FE188" i="1" a="1"/>
  <c r="FE196" i="1" a="1"/>
  <c r="FE204" i="1" a="1"/>
  <c r="FE212" i="1" a="1"/>
  <c r="FE220" i="1" a="1"/>
  <c r="FE236" i="1" a="1"/>
  <c r="FE244" i="1" a="1"/>
  <c r="FE252" i="1" a="1"/>
  <c r="FE260" i="1" a="1"/>
  <c r="FE174" i="1" a="1"/>
  <c r="FE422" i="1" a="1"/>
  <c r="FE245" i="1" a="1"/>
  <c r="FE285" i="1" a="1"/>
  <c r="FE301" i="1" a="1"/>
  <c r="FE309" i="1" a="1"/>
  <c r="FE317" i="1" a="1"/>
  <c r="FE325" i="1" a="1"/>
  <c r="FE333" i="1" a="1"/>
  <c r="FE341" i="1" a="1"/>
  <c r="FE349" i="1" a="1"/>
  <c r="FE357" i="1" a="1"/>
  <c r="FE365" i="1" a="1"/>
  <c r="FE373" i="1" a="1"/>
  <c r="FE381" i="1" a="1"/>
  <c r="FE389" i="1" a="1"/>
  <c r="FE397" i="1" a="1"/>
  <c r="FE405" i="1" a="1"/>
  <c r="FE413" i="1" a="1"/>
  <c r="FE421" i="1" a="1"/>
  <c r="FE429" i="1" a="1"/>
  <c r="FE437" i="1" a="1"/>
  <c r="FE445" i="1" a="1"/>
  <c r="FE22" i="1" a="1"/>
  <c r="FE246" i="1" a="1"/>
  <c r="FE334" i="1" a="1"/>
  <c r="FE13" i="1" a="1"/>
  <c r="FE21" i="1" a="1"/>
  <c r="FE29" i="1" a="1"/>
  <c r="FE37" i="1" a="1"/>
  <c r="FE45" i="1" a="1"/>
  <c r="FE53" i="1" a="1"/>
  <c r="FE61" i="1" a="1"/>
  <c r="FE69" i="1" a="1"/>
  <c r="FE77" i="1" a="1"/>
  <c r="FE85" i="1" a="1"/>
  <c r="FE93" i="1" a="1"/>
  <c r="FE101" i="1" a="1"/>
  <c r="FE109" i="1" a="1"/>
  <c r="FE117" i="1" a="1"/>
  <c r="FE125" i="1" a="1"/>
  <c r="FE133" i="1" a="1"/>
  <c r="FE141" i="1" a="1"/>
  <c r="FE149" i="1" a="1"/>
  <c r="FE157" i="1" a="1"/>
  <c r="FE165" i="1" a="1"/>
  <c r="FE173" i="1" a="1"/>
  <c r="FE181" i="1" a="1"/>
  <c r="FE189" i="1" a="1"/>
  <c r="FE197" i="1" a="1"/>
  <c r="FE205" i="1" a="1"/>
  <c r="FE213" i="1" a="1"/>
  <c r="FE221" i="1" a="1"/>
  <c r="FE229" i="1" a="1"/>
  <c r="FE237" i="1" a="1"/>
  <c r="FE253" i="1" a="1"/>
  <c r="FE261" i="1" a="1"/>
  <c r="FE269" i="1" a="1"/>
  <c r="FE277" i="1" a="1"/>
  <c r="FE293" i="1" a="1"/>
  <c r="FE38" i="1" a="1"/>
  <c r="FE278" i="1" a="1"/>
  <c r="FE14" i="1" a="1"/>
  <c r="FE30" i="1" a="1"/>
  <c r="FE54" i="1" a="1"/>
  <c r="FE62" i="1" a="1"/>
  <c r="FE78" i="1" a="1"/>
  <c r="FE94" i="1" a="1"/>
  <c r="FE110" i="1" a="1"/>
  <c r="FE142" i="1" a="1"/>
  <c r="FE158" i="1" a="1"/>
  <c r="FE166" i="1" a="1"/>
  <c r="FE190" i="1" a="1"/>
  <c r="FE198" i="1" a="1"/>
  <c r="FE206" i="1" a="1"/>
  <c r="FE222" i="1" a="1"/>
  <c r="FE230" i="1" a="1"/>
  <c r="FE238" i="1" a="1"/>
  <c r="FE254" i="1" a="1"/>
  <c r="FE286" i="1" a="1"/>
  <c r="FE318" i="1" a="1"/>
  <c r="FE358" i="1" a="1"/>
  <c r="FE343" i="1" a="1"/>
  <c r="FE407" i="1" a="1"/>
  <c r="FE423" i="1" a="1"/>
  <c r="FE416" i="1" a="1"/>
  <c r="FE388" i="1" a="1"/>
  <c r="FE102" i="1" a="1"/>
  <c r="FE294" i="1" a="1"/>
  <c r="FE6" i="1" a="1"/>
  <c r="FD7" i="1" a="1"/>
  <c r="FD15" i="1" a="1"/>
  <c r="FD23" i="1" a="1"/>
  <c r="FD31" i="1" a="1"/>
  <c r="FD39" i="1" a="1"/>
  <c r="FD47" i="1" a="1"/>
  <c r="FD55" i="1" a="1"/>
  <c r="FD63" i="1" a="1"/>
  <c r="FD71" i="1" a="1"/>
  <c r="FD79" i="1" a="1"/>
  <c r="FD87" i="1" a="1"/>
  <c r="FD95" i="1" a="1"/>
  <c r="FD103" i="1" a="1"/>
  <c r="FD111" i="1" a="1"/>
  <c r="FD119" i="1" a="1"/>
  <c r="FD127" i="1" a="1"/>
  <c r="FD135" i="1" a="1"/>
  <c r="FD143" i="1" a="1"/>
  <c r="FD151" i="1" a="1"/>
  <c r="FD159" i="1" a="1"/>
  <c r="FD167" i="1" a="1"/>
  <c r="FD175" i="1" a="1"/>
  <c r="FD183" i="1" a="1"/>
  <c r="FD191" i="1" a="1"/>
  <c r="FD199" i="1" a="1"/>
  <c r="FD207" i="1" a="1"/>
  <c r="FD215" i="1" a="1"/>
  <c r="FD223" i="1" a="1"/>
  <c r="FD231" i="1" a="1"/>
  <c r="FD239" i="1" a="1"/>
  <c r="FD247" i="1" a="1"/>
  <c r="FD255" i="1" a="1"/>
  <c r="FD263" i="1" a="1"/>
  <c r="FD271" i="1" a="1"/>
  <c r="FD279" i="1" a="1"/>
  <c r="FD287" i="1" a="1"/>
  <c r="FD295" i="1" a="1"/>
  <c r="FD303" i="1" a="1"/>
  <c r="FD311" i="1" a="1"/>
  <c r="FD319" i="1" a="1"/>
  <c r="FD327" i="1" a="1"/>
  <c r="FD335" i="1" a="1"/>
  <c r="FD343" i="1" a="1"/>
  <c r="FD351" i="1" a="1"/>
  <c r="FD359" i="1" a="1"/>
  <c r="FD367" i="1" a="1"/>
  <c r="FD375" i="1" a="1"/>
  <c r="FD383" i="1" a="1"/>
  <c r="FD391" i="1" a="1"/>
  <c r="FD399" i="1" a="1"/>
  <c r="FD407" i="1" a="1"/>
  <c r="FD415" i="1" a="1"/>
  <c r="FD423" i="1" a="1"/>
  <c r="FD431" i="1" a="1"/>
  <c r="FD447" i="1" a="1"/>
  <c r="FD76" i="1" a="1"/>
  <c r="FD252" i="1" a="1"/>
  <c r="FD316" i="1" a="1"/>
  <c r="FD372" i="1" a="1"/>
  <c r="FD428" i="1" a="1"/>
  <c r="FD52" i="1" a="1"/>
  <c r="FD324" i="1" a="1"/>
  <c r="FD436" i="1" a="1"/>
  <c r="FD8" i="1" a="1"/>
  <c r="FD16" i="1" a="1"/>
  <c r="FD24" i="1" a="1"/>
  <c r="FD32" i="1" a="1"/>
  <c r="FD40" i="1" a="1"/>
  <c r="FD48" i="1" a="1"/>
  <c r="FD56" i="1" a="1"/>
  <c r="FD64" i="1" a="1"/>
  <c r="FD72" i="1" a="1"/>
  <c r="FD80" i="1" a="1"/>
  <c r="FD88" i="1" a="1"/>
  <c r="FD96" i="1" a="1"/>
  <c r="FD104" i="1" a="1"/>
  <c r="FD112" i="1" a="1"/>
  <c r="FD120" i="1" a="1"/>
  <c r="FD128" i="1" a="1"/>
  <c r="FD136" i="1" a="1"/>
  <c r="FD144" i="1" a="1"/>
  <c r="FD152" i="1" a="1"/>
  <c r="FD160" i="1" a="1"/>
  <c r="FD168" i="1" a="1"/>
  <c r="FD176" i="1" a="1"/>
  <c r="FD184" i="1" a="1"/>
  <c r="FD192" i="1" a="1"/>
  <c r="FD200" i="1" a="1"/>
  <c r="FD208" i="1" a="1"/>
  <c r="FD216" i="1" a="1"/>
  <c r="FD224" i="1" a="1"/>
  <c r="FD232" i="1" a="1"/>
  <c r="FD240" i="1" a="1"/>
  <c r="FD248" i="1" a="1"/>
  <c r="FD256" i="1" a="1"/>
  <c r="FD264" i="1" a="1"/>
  <c r="FD272" i="1" a="1"/>
  <c r="FD280" i="1" a="1"/>
  <c r="FD288" i="1" a="1"/>
  <c r="FD296" i="1" a="1"/>
  <c r="FD304" i="1" a="1"/>
  <c r="FD312" i="1" a="1"/>
  <c r="FD320" i="1" a="1"/>
  <c r="FD328" i="1" a="1"/>
  <c r="FD336" i="1" a="1"/>
  <c r="FD344" i="1" a="1"/>
  <c r="FD352" i="1" a="1"/>
  <c r="FD360" i="1" a="1"/>
  <c r="FD368" i="1" a="1"/>
  <c r="FD376" i="1" a="1"/>
  <c r="FD384" i="1" a="1"/>
  <c r="FD392" i="1" a="1"/>
  <c r="FD400" i="1" a="1"/>
  <c r="FD408" i="1" a="1"/>
  <c r="FD416" i="1" a="1"/>
  <c r="FD424" i="1" a="1"/>
  <c r="FD432" i="1" a="1"/>
  <c r="FD440" i="1" a="1"/>
  <c r="FD44" i="1" a="1"/>
  <c r="FD204" i="1" a="1"/>
  <c r="FD348" i="1" a="1"/>
  <c r="FD444" i="1" a="1"/>
  <c r="FD301" i="1" a="1"/>
  <c r="FD28" i="1" a="1"/>
  <c r="FD188" i="1" a="1"/>
  <c r="FD228" i="1" a="1"/>
  <c r="FD268" i="1" a="1"/>
  <c r="FD332" i="1" a="1"/>
  <c r="FD396" i="1" a="1"/>
  <c r="FD9" i="1" a="1"/>
  <c r="FD17" i="1" a="1"/>
  <c r="FD25" i="1" a="1"/>
  <c r="FD33" i="1" a="1"/>
  <c r="FD41" i="1" a="1"/>
  <c r="FD49" i="1" a="1"/>
  <c r="FD57" i="1" a="1"/>
  <c r="FD65" i="1" a="1"/>
  <c r="FD73" i="1" a="1"/>
  <c r="FD81" i="1" a="1"/>
  <c r="FD89" i="1" a="1"/>
  <c r="FD97" i="1" a="1"/>
  <c r="FD105" i="1" a="1"/>
  <c r="FD113" i="1" a="1"/>
  <c r="FD121" i="1" a="1"/>
  <c r="FD129" i="1" a="1"/>
  <c r="FD137" i="1" a="1"/>
  <c r="FD145" i="1" a="1"/>
  <c r="FD153" i="1" a="1"/>
  <c r="FD161" i="1" a="1"/>
  <c r="FD169" i="1" a="1"/>
  <c r="FD177" i="1" a="1"/>
  <c r="FD185" i="1" a="1"/>
  <c r="FD193" i="1" a="1"/>
  <c r="FD201" i="1" a="1"/>
  <c r="FD209" i="1" a="1"/>
  <c r="FD217" i="1" a="1"/>
  <c r="FD225" i="1" a="1"/>
  <c r="FD233" i="1" a="1"/>
  <c r="FD241" i="1" a="1"/>
  <c r="FD249" i="1" a="1"/>
  <c r="FD257" i="1" a="1"/>
  <c r="FD265" i="1" a="1"/>
  <c r="FD273" i="1" a="1"/>
  <c r="FD281" i="1" a="1"/>
  <c r="FD289" i="1" a="1"/>
  <c r="FD297" i="1" a="1"/>
  <c r="FD305" i="1" a="1"/>
  <c r="FD313" i="1" a="1"/>
  <c r="FD321" i="1" a="1"/>
  <c r="FD329" i="1" a="1"/>
  <c r="FD337" i="1" a="1"/>
  <c r="FD345" i="1" a="1"/>
  <c r="FD353" i="1" a="1"/>
  <c r="FD361" i="1" a="1"/>
  <c r="FD369" i="1" a="1"/>
  <c r="FD377" i="1" a="1"/>
  <c r="FD385" i="1" a="1"/>
  <c r="FD393" i="1" a="1"/>
  <c r="FD401" i="1" a="1"/>
  <c r="FD409" i="1" a="1"/>
  <c r="FD417" i="1" a="1"/>
  <c r="FD425" i="1" a="1"/>
  <c r="FD433" i="1" a="1"/>
  <c r="FD441" i="1" a="1"/>
  <c r="FD36" i="1" a="1"/>
  <c r="FD164" i="1" a="1"/>
  <c r="FD356" i="1" a="1"/>
  <c r="FD60" i="1" a="1"/>
  <c r="FD244" i="1" a="1"/>
  <c r="FD380" i="1" a="1"/>
  <c r="FD10" i="1" a="1"/>
  <c r="FD18" i="1" a="1"/>
  <c r="FD26" i="1" a="1"/>
  <c r="FD34" i="1" a="1"/>
  <c r="FD42" i="1" a="1"/>
  <c r="FD50" i="1" a="1"/>
  <c r="FD58" i="1" a="1"/>
  <c r="FD66" i="1" a="1"/>
  <c r="FD74" i="1" a="1"/>
  <c r="FD82" i="1" a="1"/>
  <c r="FD90" i="1" a="1"/>
  <c r="FD98" i="1" a="1"/>
  <c r="FD106" i="1" a="1"/>
  <c r="FD114" i="1" a="1"/>
  <c r="FD122" i="1" a="1"/>
  <c r="FD130" i="1" a="1"/>
  <c r="FD138" i="1" a="1"/>
  <c r="FD146" i="1" a="1"/>
  <c r="FD154" i="1" a="1"/>
  <c r="FD162" i="1" a="1"/>
  <c r="FD170" i="1" a="1"/>
  <c r="FD178" i="1" a="1"/>
  <c r="FD186" i="1" a="1"/>
  <c r="FD194" i="1" a="1"/>
  <c r="FD202" i="1" a="1"/>
  <c r="FD210" i="1" a="1"/>
  <c r="FD218" i="1" a="1"/>
  <c r="FD226" i="1" a="1"/>
  <c r="FD234" i="1" a="1"/>
  <c r="FD242" i="1" a="1"/>
  <c r="FD250" i="1" a="1"/>
  <c r="FD258" i="1" a="1"/>
  <c r="FD266" i="1" a="1"/>
  <c r="FD274" i="1" a="1"/>
  <c r="FD282" i="1" a="1"/>
  <c r="FD290" i="1" a="1"/>
  <c r="FD298" i="1" a="1"/>
  <c r="FD306" i="1" a="1"/>
  <c r="FD314" i="1" a="1"/>
  <c r="FD322" i="1" a="1"/>
  <c r="FD330" i="1" a="1"/>
  <c r="FD338" i="1" a="1"/>
  <c r="FD346" i="1" a="1"/>
  <c r="FD354" i="1" a="1"/>
  <c r="FD362" i="1" a="1"/>
  <c r="FD370" i="1" a="1"/>
  <c r="FD378" i="1" a="1"/>
  <c r="FD386" i="1" a="1"/>
  <c r="FD394" i="1" a="1"/>
  <c r="FD402" i="1" a="1"/>
  <c r="FD410" i="1" a="1"/>
  <c r="FD418" i="1" a="1"/>
  <c r="FD426" i="1" a="1"/>
  <c r="FD434" i="1" a="1"/>
  <c r="FD442" i="1" a="1"/>
  <c r="FD68" i="1" a="1"/>
  <c r="FD196" i="1" a="1"/>
  <c r="FD260" i="1" a="1"/>
  <c r="FD300" i="1" a="1"/>
  <c r="FD420" i="1" a="1"/>
  <c r="FD317" i="1" a="1"/>
  <c r="FD427" i="1" a="1"/>
  <c r="FD156" i="1" a="1"/>
  <c r="FD11" i="1" a="1"/>
  <c r="FD19" i="1" a="1"/>
  <c r="FD27" i="1" a="1"/>
  <c r="FD35" i="1" a="1"/>
  <c r="FD43" i="1" a="1"/>
  <c r="FD51" i="1" a="1"/>
  <c r="FD59" i="1" a="1"/>
  <c r="FD67" i="1" a="1"/>
  <c r="FD75" i="1" a="1"/>
  <c r="FD83" i="1" a="1"/>
  <c r="FD91" i="1" a="1"/>
  <c r="FD99" i="1" a="1"/>
  <c r="FD107" i="1" a="1"/>
  <c r="FD115" i="1" a="1"/>
  <c r="FD123" i="1" a="1"/>
  <c r="FD131" i="1" a="1"/>
  <c r="FD139" i="1" a="1"/>
  <c r="FD147" i="1" a="1"/>
  <c r="FD155" i="1" a="1"/>
  <c r="FD163" i="1" a="1"/>
  <c r="FD171" i="1" a="1"/>
  <c r="FD179" i="1" a="1"/>
  <c r="FD187" i="1" a="1"/>
  <c r="FD195" i="1" a="1"/>
  <c r="FD203" i="1" a="1"/>
  <c r="FD211" i="1" a="1"/>
  <c r="FD219" i="1" a="1"/>
  <c r="FD227" i="1" a="1"/>
  <c r="FD235" i="1" a="1"/>
  <c r="FD243" i="1" a="1"/>
  <c r="FD251" i="1" a="1"/>
  <c r="FD259" i="1" a="1"/>
  <c r="FD267" i="1" a="1"/>
  <c r="FD275" i="1" a="1"/>
  <c r="FD283" i="1" a="1"/>
  <c r="FD291" i="1" a="1"/>
  <c r="FD299" i="1" a="1"/>
  <c r="FD307" i="1" a="1"/>
  <c r="FD315" i="1" a="1"/>
  <c r="FD323" i="1" a="1"/>
  <c r="FD331" i="1" a="1"/>
  <c r="FD339" i="1" a="1"/>
  <c r="FD347" i="1" a="1"/>
  <c r="FD355" i="1" a="1"/>
  <c r="FD363" i="1" a="1"/>
  <c r="FD371" i="1" a="1"/>
  <c r="FD379" i="1" a="1"/>
  <c r="FD387" i="1" a="1"/>
  <c r="FD395" i="1" a="1"/>
  <c r="FD403" i="1" a="1"/>
  <c r="FD411" i="1" a="1"/>
  <c r="FD419" i="1" a="1"/>
  <c r="FD435" i="1" a="1"/>
  <c r="FD443" i="1" a="1"/>
  <c r="FD20" i="1" a="1"/>
  <c r="FD140" i="1" a="1"/>
  <c r="FD180" i="1" a="1"/>
  <c r="FD220" i="1" a="1"/>
  <c r="FD276" i="1" a="1"/>
  <c r="FD292" i="1" a="1"/>
  <c r="FD340" i="1" a="1"/>
  <c r="FD404" i="1" a="1"/>
  <c r="FD293" i="1" a="1"/>
  <c r="FD12" i="1" a="1"/>
  <c r="FD92" i="1" a="1"/>
  <c r="FD100" i="1" a="1"/>
  <c r="FD108" i="1" a="1"/>
  <c r="FD116" i="1" a="1"/>
  <c r="FD124" i="1" a="1"/>
  <c r="FD132" i="1" a="1"/>
  <c r="FD148" i="1" a="1"/>
  <c r="FD172" i="1" a="1"/>
  <c r="FD236" i="1" a="1"/>
  <c r="FD388" i="1" a="1"/>
  <c r="FD285" i="1" a="1"/>
  <c r="FD13" i="1" a="1"/>
  <c r="FD21" i="1" a="1"/>
  <c r="FD29" i="1" a="1"/>
  <c r="FD37" i="1" a="1"/>
  <c r="FD45" i="1" a="1"/>
  <c r="FD53" i="1" a="1"/>
  <c r="FD61" i="1" a="1"/>
  <c r="FD69" i="1" a="1"/>
  <c r="FD77" i="1" a="1"/>
  <c r="FD85" i="1" a="1"/>
  <c r="FD93" i="1" a="1"/>
  <c r="FD101" i="1" a="1"/>
  <c r="FD109" i="1" a="1"/>
  <c r="FD117" i="1" a="1"/>
  <c r="FD125" i="1" a="1"/>
  <c r="FD133" i="1" a="1"/>
  <c r="FD141" i="1" a="1"/>
  <c r="FD149" i="1" a="1"/>
  <c r="FD157" i="1" a="1"/>
  <c r="FD165" i="1" a="1"/>
  <c r="FD173" i="1" a="1"/>
  <c r="FD181" i="1" a="1"/>
  <c r="FD189" i="1" a="1"/>
  <c r="FD197" i="1" a="1"/>
  <c r="FD205" i="1" a="1"/>
  <c r="FD213" i="1" a="1"/>
  <c r="FD221" i="1" a="1"/>
  <c r="FD229" i="1" a="1"/>
  <c r="FD237" i="1" a="1"/>
  <c r="FD245" i="1" a="1"/>
  <c r="FD253" i="1" a="1"/>
  <c r="FD261" i="1" a="1"/>
  <c r="FD269" i="1" a="1"/>
  <c r="FD277" i="1" a="1"/>
  <c r="FD325" i="1" a="1"/>
  <c r="FD341" i="1" a="1"/>
  <c r="FD349" i="1" a="1"/>
  <c r="FD365" i="1" a="1"/>
  <c r="FD381" i="1" a="1"/>
  <c r="FD389" i="1" a="1"/>
  <c r="FD397" i="1" a="1"/>
  <c r="FD405" i="1" a="1"/>
  <c r="FD429" i="1" a="1"/>
  <c r="FD437" i="1" a="1"/>
  <c r="FD445" i="1" a="1"/>
  <c r="FD439" i="1" a="1"/>
  <c r="FD84" i="1" a="1"/>
  <c r="FD212" i="1" a="1"/>
  <c r="FD284" i="1" a="1"/>
  <c r="FD308" i="1" a="1"/>
  <c r="FD364" i="1" a="1"/>
  <c r="FD412" i="1" a="1"/>
  <c r="FD309" i="1" a="1"/>
  <c r="FD14" i="1" a="1"/>
  <c r="FD222" i="1" a="1"/>
  <c r="FD22" i="1" a="1"/>
  <c r="FD110" i="1" a="1"/>
  <c r="FD174" i="1" a="1"/>
  <c r="FD238" i="1" a="1"/>
  <c r="FD302" i="1" a="1"/>
  <c r="FD358" i="1" a="1"/>
  <c r="FD414" i="1" a="1"/>
  <c r="FD30" i="1" a="1"/>
  <c r="FD421" i="1" a="1"/>
  <c r="FD38" i="1" a="1"/>
  <c r="FD118" i="1" a="1"/>
  <c r="FD182" i="1" a="1"/>
  <c r="FD246" i="1" a="1"/>
  <c r="FD310" i="1" a="1"/>
  <c r="FD366" i="1" a="1"/>
  <c r="FD286" i="1" a="1"/>
  <c r="FD46" i="1" a="1"/>
  <c r="FD373" i="1" a="1"/>
  <c r="FD422" i="1" a="1"/>
  <c r="FD158" i="1" a="1"/>
  <c r="FD54" i="1" a="1"/>
  <c r="FD126" i="1" a="1"/>
  <c r="FD190" i="1" a="1"/>
  <c r="FD254" i="1" a="1"/>
  <c r="FD318" i="1" a="1"/>
  <c r="FD62" i="1" a="1"/>
  <c r="FD374" i="1" a="1"/>
  <c r="FD430" i="1" a="1"/>
  <c r="FD406" i="1" a="1"/>
  <c r="FD70" i="1" a="1"/>
  <c r="FD134" i="1" a="1"/>
  <c r="FD198" i="1" a="1"/>
  <c r="FD262" i="1" a="1"/>
  <c r="FD326" i="1" a="1"/>
  <c r="FD333" i="1" a="1"/>
  <c r="FD382" i="1" a="1"/>
  <c r="FD438" i="1" a="1"/>
  <c r="FD78" i="1" a="1"/>
  <c r="FD142" i="1" a="1"/>
  <c r="FD206" i="1" a="1"/>
  <c r="FD270" i="1" a="1"/>
  <c r="FD334" i="1" a="1"/>
  <c r="FD390" i="1" a="1"/>
  <c r="FD446" i="1" a="1"/>
  <c r="FD86" i="1" a="1"/>
  <c r="FD150" i="1" a="1"/>
  <c r="FD214" i="1" a="1"/>
  <c r="FD278" i="1" a="1"/>
  <c r="FD342" i="1" a="1"/>
  <c r="FD398" i="1" a="1"/>
  <c r="FD94" i="1" a="1"/>
  <c r="FD350" i="1" a="1"/>
  <c r="FD102" i="1" a="1"/>
  <c r="FD166" i="1" a="1"/>
  <c r="FD230" i="1" a="1"/>
  <c r="FD294" i="1" a="1"/>
  <c r="FD357" i="1" a="1"/>
  <c r="FD413" i="1" a="1"/>
  <c r="FD6" i="1" a="1"/>
  <c r="FB7" i="1" a="1"/>
  <c r="FB15" i="1" a="1"/>
  <c r="FB23" i="1" a="1"/>
  <c r="FB31" i="1" a="1"/>
  <c r="FB39" i="1" a="1"/>
  <c r="FB47" i="1" a="1"/>
  <c r="FB55" i="1" a="1"/>
  <c r="FB63" i="1" a="1"/>
  <c r="FB71" i="1" a="1"/>
  <c r="FB79" i="1" a="1"/>
  <c r="FB87" i="1" a="1"/>
  <c r="FB95" i="1" a="1"/>
  <c r="FB103" i="1" a="1"/>
  <c r="FB111" i="1" a="1"/>
  <c r="FB119" i="1" a="1"/>
  <c r="FB127" i="1" a="1"/>
  <c r="FB135" i="1" a="1"/>
  <c r="FB143" i="1" a="1"/>
  <c r="FB151" i="1" a="1"/>
  <c r="FB159" i="1" a="1"/>
  <c r="FB167" i="1" a="1"/>
  <c r="FB175" i="1" a="1"/>
  <c r="FB183" i="1" a="1"/>
  <c r="FB191" i="1" a="1"/>
  <c r="FB199" i="1" a="1"/>
  <c r="FB207" i="1" a="1"/>
  <c r="FB215" i="1" a="1"/>
  <c r="FB223" i="1" a="1"/>
  <c r="FB231" i="1" a="1"/>
  <c r="FB239" i="1" a="1"/>
  <c r="FB247" i="1" a="1"/>
  <c r="FB255" i="1" a="1"/>
  <c r="FB263" i="1" a="1"/>
  <c r="FB271" i="1" a="1"/>
  <c r="FB279" i="1" a="1"/>
  <c r="FB287" i="1" a="1"/>
  <c r="FB295" i="1" a="1"/>
  <c r="FB303" i="1" a="1"/>
  <c r="FB311" i="1" a="1"/>
  <c r="FB319" i="1" a="1"/>
  <c r="FB327" i="1" a="1"/>
  <c r="FB335" i="1" a="1"/>
  <c r="FB343" i="1" a="1"/>
  <c r="FB351" i="1" a="1"/>
  <c r="FB359" i="1" a="1"/>
  <c r="FB367" i="1" a="1"/>
  <c r="FB375" i="1" a="1"/>
  <c r="FB383" i="1" a="1"/>
  <c r="FB391" i="1" a="1"/>
  <c r="FB399" i="1" a="1"/>
  <c r="FB407" i="1" a="1"/>
  <c r="FB415" i="1" a="1"/>
  <c r="FB423" i="1" a="1"/>
  <c r="FB431" i="1" a="1"/>
  <c r="FB439" i="1" a="1"/>
  <c r="FB447" i="1" a="1"/>
  <c r="FB29" i="1" a="1"/>
  <c r="FB101" i="1" a="1"/>
  <c r="FB149" i="1" a="1"/>
  <c r="FB173" i="1" a="1"/>
  <c r="FB213" i="1" a="1"/>
  <c r="FB269" i="1" a="1"/>
  <c r="FB317" i="1" a="1"/>
  <c r="FB349" i="1" a="1"/>
  <c r="FB373" i="1" a="1"/>
  <c r="FB397" i="1" a="1"/>
  <c r="FB445" i="1" a="1"/>
  <c r="FB46" i="1" a="1"/>
  <c r="FB118" i="1" a="1"/>
  <c r="FB158" i="1" a="1"/>
  <c r="FB206" i="1" a="1"/>
  <c r="FB278" i="1" a="1"/>
  <c r="FB326" i="1" a="1"/>
  <c r="FB358" i="1" a="1"/>
  <c r="FB440" i="1" a="1"/>
  <c r="FB53" i="1" a="1"/>
  <c r="FB197" i="1" a="1"/>
  <c r="FB301" i="1" a="1"/>
  <c r="FB54" i="1" a="1"/>
  <c r="FB166" i="1" a="1"/>
  <c r="FB286" i="1" a="1"/>
  <c r="FB374" i="1" a="1"/>
  <c r="FB8" i="1" a="1"/>
  <c r="FB16" i="1" a="1"/>
  <c r="FB24" i="1" a="1"/>
  <c r="FB32" i="1" a="1"/>
  <c r="FB40" i="1" a="1"/>
  <c r="FB48" i="1" a="1"/>
  <c r="FB56" i="1" a="1"/>
  <c r="FB64" i="1" a="1"/>
  <c r="FB72" i="1" a="1"/>
  <c r="FB80" i="1" a="1"/>
  <c r="FB88" i="1" a="1"/>
  <c r="FB96" i="1" a="1"/>
  <c r="FB104" i="1" a="1"/>
  <c r="FB112" i="1" a="1"/>
  <c r="FB120" i="1" a="1"/>
  <c r="FB128" i="1" a="1"/>
  <c r="FB136" i="1" a="1"/>
  <c r="FB144" i="1" a="1"/>
  <c r="FB152" i="1" a="1"/>
  <c r="FB160" i="1" a="1"/>
  <c r="FB168" i="1" a="1"/>
  <c r="FB176" i="1" a="1"/>
  <c r="FB184" i="1" a="1"/>
  <c r="FB192" i="1" a="1"/>
  <c r="FB200" i="1" a="1"/>
  <c r="FB208" i="1" a="1"/>
  <c r="FB216" i="1" a="1"/>
  <c r="FB224" i="1" a="1"/>
  <c r="FB232" i="1" a="1"/>
  <c r="FB240" i="1" a="1"/>
  <c r="FB248" i="1" a="1"/>
  <c r="FB256" i="1" a="1"/>
  <c r="FB264" i="1" a="1"/>
  <c r="FB272" i="1" a="1"/>
  <c r="FB280" i="1" a="1"/>
  <c r="FB288" i="1" a="1"/>
  <c r="FB296" i="1" a="1"/>
  <c r="FB304" i="1" a="1"/>
  <c r="FB312" i="1" a="1"/>
  <c r="FB320" i="1" a="1"/>
  <c r="FB328" i="1" a="1"/>
  <c r="FB336" i="1" a="1"/>
  <c r="FB344" i="1" a="1"/>
  <c r="FB352" i="1" a="1"/>
  <c r="FB360" i="1" a="1"/>
  <c r="FB368" i="1" a="1"/>
  <c r="FB376" i="1" a="1"/>
  <c r="FB384" i="1" a="1"/>
  <c r="FB392" i="1" a="1"/>
  <c r="FB400" i="1" a="1"/>
  <c r="FB408" i="1" a="1"/>
  <c r="FB416" i="1" a="1"/>
  <c r="FB424" i="1" a="1"/>
  <c r="FB432" i="1" a="1"/>
  <c r="FB61" i="1" a="1"/>
  <c r="FB181" i="1" a="1"/>
  <c r="FB237" i="1" a="1"/>
  <c r="FB277" i="1" a="1"/>
  <c r="FB333" i="1" a="1"/>
  <c r="FB365" i="1" a="1"/>
  <c r="FB381" i="1" a="1"/>
  <c r="FB38" i="1" a="1"/>
  <c r="FB142" i="1" a="1"/>
  <c r="FB198" i="1" a="1"/>
  <c r="FB246" i="1" a="1"/>
  <c r="FB382" i="1" a="1"/>
  <c r="FB430" i="1" a="1"/>
  <c r="FB433" i="1" a="1"/>
  <c r="FB45" i="1" a="1"/>
  <c r="FB109" i="1" a="1"/>
  <c r="FB133" i="1" a="1"/>
  <c r="FB157" i="1" a="1"/>
  <c r="FB189" i="1" a="1"/>
  <c r="FB221" i="1" a="1"/>
  <c r="FB261" i="1" a="1"/>
  <c r="FB325" i="1" a="1"/>
  <c r="FB429" i="1" a="1"/>
  <c r="FB70" i="1" a="1"/>
  <c r="FB110" i="1" a="1"/>
  <c r="FB182" i="1" a="1"/>
  <c r="FB254" i="1" a="1"/>
  <c r="FB294" i="1" a="1"/>
  <c r="FB366" i="1" a="1"/>
  <c r="FB9" i="1" a="1"/>
  <c r="FB17" i="1" a="1"/>
  <c r="FB25" i="1" a="1"/>
  <c r="FB33" i="1" a="1"/>
  <c r="FB41" i="1" a="1"/>
  <c r="FB49" i="1" a="1"/>
  <c r="FB57" i="1" a="1"/>
  <c r="FB65" i="1" a="1"/>
  <c r="FB73" i="1" a="1"/>
  <c r="FB81" i="1" a="1"/>
  <c r="FB89" i="1" a="1"/>
  <c r="FB97" i="1" a="1"/>
  <c r="FB105" i="1" a="1"/>
  <c r="FB113" i="1" a="1"/>
  <c r="FB121" i="1" a="1"/>
  <c r="FB129" i="1" a="1"/>
  <c r="FB137" i="1" a="1"/>
  <c r="FB145" i="1" a="1"/>
  <c r="FB153" i="1" a="1"/>
  <c r="FB161" i="1" a="1"/>
  <c r="FB169" i="1" a="1"/>
  <c r="FB177" i="1" a="1"/>
  <c r="FB185" i="1" a="1"/>
  <c r="FB193" i="1" a="1"/>
  <c r="FB201" i="1" a="1"/>
  <c r="FB209" i="1" a="1"/>
  <c r="FB217" i="1" a="1"/>
  <c r="FB225" i="1" a="1"/>
  <c r="FB233" i="1" a="1"/>
  <c r="FB241" i="1" a="1"/>
  <c r="FB249" i="1" a="1"/>
  <c r="FB257" i="1" a="1"/>
  <c r="FB265" i="1" a="1"/>
  <c r="FB273" i="1" a="1"/>
  <c r="FB281" i="1" a="1"/>
  <c r="FB289" i="1" a="1"/>
  <c r="FB297" i="1" a="1"/>
  <c r="FB305" i="1" a="1"/>
  <c r="FB313" i="1" a="1"/>
  <c r="FB321" i="1" a="1"/>
  <c r="FB329" i="1" a="1"/>
  <c r="FB337" i="1" a="1"/>
  <c r="FB345" i="1" a="1"/>
  <c r="FB353" i="1" a="1"/>
  <c r="FB361" i="1" a="1"/>
  <c r="FB369" i="1" a="1"/>
  <c r="FB377" i="1" a="1"/>
  <c r="FB385" i="1" a="1"/>
  <c r="FB393" i="1" a="1"/>
  <c r="FB401" i="1" a="1"/>
  <c r="FB409" i="1" a="1"/>
  <c r="FB417" i="1" a="1"/>
  <c r="FB425" i="1" a="1"/>
  <c r="FB441" i="1" a="1"/>
  <c r="FB85" i="1" a="1"/>
  <c r="FB102" i="1" a="1"/>
  <c r="FB293" i="1" a="1"/>
  <c r="FB94" i="1" a="1"/>
  <c r="FB334" i="1" a="1"/>
  <c r="FB414" i="1" a="1"/>
  <c r="FB438" i="1" a="1"/>
  <c r="FB10" i="1" a="1"/>
  <c r="FB18" i="1" a="1"/>
  <c r="FB26" i="1" a="1"/>
  <c r="FB34" i="1" a="1"/>
  <c r="FB42" i="1" a="1"/>
  <c r="FB50" i="1" a="1"/>
  <c r="FB58" i="1" a="1"/>
  <c r="FB66" i="1" a="1"/>
  <c r="FB74" i="1" a="1"/>
  <c r="FB82" i="1" a="1"/>
  <c r="FB90" i="1" a="1"/>
  <c r="FB98" i="1" a="1"/>
  <c r="FB106" i="1" a="1"/>
  <c r="FB114" i="1" a="1"/>
  <c r="FB122" i="1" a="1"/>
  <c r="FB130" i="1" a="1"/>
  <c r="FB138" i="1" a="1"/>
  <c r="FB146" i="1" a="1"/>
  <c r="FB154" i="1" a="1"/>
  <c r="FB162" i="1" a="1"/>
  <c r="FB170" i="1" a="1"/>
  <c r="FB178" i="1" a="1"/>
  <c r="FB186" i="1" a="1"/>
  <c r="FB194" i="1" a="1"/>
  <c r="FB202" i="1" a="1"/>
  <c r="FB210" i="1" a="1"/>
  <c r="FB218" i="1" a="1"/>
  <c r="FB226" i="1" a="1"/>
  <c r="FB234" i="1" a="1"/>
  <c r="FB242" i="1" a="1"/>
  <c r="FB250" i="1" a="1"/>
  <c r="FB258" i="1" a="1"/>
  <c r="FB266" i="1" a="1"/>
  <c r="FB274" i="1" a="1"/>
  <c r="FB282" i="1" a="1"/>
  <c r="FB290" i="1" a="1"/>
  <c r="FB298" i="1" a="1"/>
  <c r="FB306" i="1" a="1"/>
  <c r="FB314" i="1" a="1"/>
  <c r="FB322" i="1" a="1"/>
  <c r="FB330" i="1" a="1"/>
  <c r="FB338" i="1" a="1"/>
  <c r="FB346" i="1" a="1"/>
  <c r="FB354" i="1" a="1"/>
  <c r="FB362" i="1" a="1"/>
  <c r="FB370" i="1" a="1"/>
  <c r="FB378" i="1" a="1"/>
  <c r="FB386" i="1" a="1"/>
  <c r="FB394" i="1" a="1"/>
  <c r="FB402" i="1" a="1"/>
  <c r="FB410" i="1" a="1"/>
  <c r="FB418" i="1" a="1"/>
  <c r="FB426" i="1" a="1"/>
  <c r="FB434" i="1" a="1"/>
  <c r="FB442" i="1" a="1"/>
  <c r="FB21" i="1" a="1"/>
  <c r="FB141" i="1" a="1"/>
  <c r="FB229" i="1" a="1"/>
  <c r="FB285" i="1" a="1"/>
  <c r="FB341" i="1" a="1"/>
  <c r="FB421" i="1" a="1"/>
  <c r="FB62" i="1" a="1"/>
  <c r="FB126" i="1" a="1"/>
  <c r="FB174" i="1" a="1"/>
  <c r="FB318" i="1" a="1"/>
  <c r="FB427" i="1" a="1"/>
  <c r="FB93" i="1" a="1"/>
  <c r="FB389" i="1" a="1"/>
  <c r="FB78" i="1" a="1"/>
  <c r="FB230" i="1" a="1"/>
  <c r="FB342" i="1" a="1"/>
  <c r="FB406" i="1" a="1"/>
  <c r="FB11" i="1" a="1"/>
  <c r="FB19" i="1" a="1"/>
  <c r="FB27" i="1" a="1"/>
  <c r="FB35" i="1" a="1"/>
  <c r="FB43" i="1" a="1"/>
  <c r="FB51" i="1" a="1"/>
  <c r="FB59" i="1" a="1"/>
  <c r="FB67" i="1" a="1"/>
  <c r="FB75" i="1" a="1"/>
  <c r="FB83" i="1" a="1"/>
  <c r="FB91" i="1" a="1"/>
  <c r="FB99" i="1" a="1"/>
  <c r="FB107" i="1" a="1"/>
  <c r="FB115" i="1" a="1"/>
  <c r="FB123" i="1" a="1"/>
  <c r="FB131" i="1" a="1"/>
  <c r="FB139" i="1" a="1"/>
  <c r="FB147" i="1" a="1"/>
  <c r="FB155" i="1" a="1"/>
  <c r="FB163" i="1" a="1"/>
  <c r="FB171" i="1" a="1"/>
  <c r="FB179" i="1" a="1"/>
  <c r="FB187" i="1" a="1"/>
  <c r="FB195" i="1" a="1"/>
  <c r="FB203" i="1" a="1"/>
  <c r="FB211" i="1" a="1"/>
  <c r="FB219" i="1" a="1"/>
  <c r="FB227" i="1" a="1"/>
  <c r="FB235" i="1" a="1"/>
  <c r="FB243" i="1" a="1"/>
  <c r="FB251" i="1" a="1"/>
  <c r="FB259" i="1" a="1"/>
  <c r="FB267" i="1" a="1"/>
  <c r="FB275" i="1" a="1"/>
  <c r="FB283" i="1" a="1"/>
  <c r="FB291" i="1" a="1"/>
  <c r="FB299" i="1" a="1"/>
  <c r="FB307" i="1" a="1"/>
  <c r="FB315" i="1" a="1"/>
  <c r="FB323" i="1" a="1"/>
  <c r="FB331" i="1" a="1"/>
  <c r="FB339" i="1" a="1"/>
  <c r="FB347" i="1" a="1"/>
  <c r="FB355" i="1" a="1"/>
  <c r="FB363" i="1" a="1"/>
  <c r="FB371" i="1" a="1"/>
  <c r="FB379" i="1" a="1"/>
  <c r="FB387" i="1" a="1"/>
  <c r="FB395" i="1" a="1"/>
  <c r="FB403" i="1" a="1"/>
  <c r="FB411" i="1" a="1"/>
  <c r="FB419" i="1" a="1"/>
  <c r="FB435" i="1" a="1"/>
  <c r="FB443" i="1" a="1"/>
  <c r="FB77" i="1" a="1"/>
  <c r="FB405" i="1" a="1"/>
  <c r="FB86" i="1" a="1"/>
  <c r="FB422" i="1" a="1"/>
  <c r="FB420" i="1" a="1"/>
  <c r="FB37" i="1" a="1"/>
  <c r="FB117" i="1" a="1"/>
  <c r="FB165" i="1" a="1"/>
  <c r="FB205" i="1" a="1"/>
  <c r="FB245" i="1" a="1"/>
  <c r="FB413" i="1" a="1"/>
  <c r="FB30" i="1" a="1"/>
  <c r="FB150" i="1" a="1"/>
  <c r="FB214" i="1" a="1"/>
  <c r="FB310" i="1" a="1"/>
  <c r="FB12" i="1" a="1"/>
  <c r="FB20" i="1" a="1"/>
  <c r="FB28" i="1" a="1"/>
  <c r="FB36" i="1" a="1"/>
  <c r="FB44" i="1" a="1"/>
  <c r="FB52" i="1" a="1"/>
  <c r="FB60" i="1" a="1"/>
  <c r="FB68" i="1" a="1"/>
  <c r="FB76" i="1" a="1"/>
  <c r="FB84" i="1" a="1"/>
  <c r="FB92" i="1" a="1"/>
  <c r="FB100" i="1" a="1"/>
  <c r="FB108" i="1" a="1"/>
  <c r="FB116" i="1" a="1"/>
  <c r="FB124" i="1" a="1"/>
  <c r="FB132" i="1" a="1"/>
  <c r="FB140" i="1" a="1"/>
  <c r="FB148" i="1" a="1"/>
  <c r="FB156" i="1" a="1"/>
  <c r="FB164" i="1" a="1"/>
  <c r="FB172" i="1" a="1"/>
  <c r="FB180" i="1" a="1"/>
  <c r="FB188" i="1" a="1"/>
  <c r="FB196" i="1" a="1"/>
  <c r="FB204" i="1" a="1"/>
  <c r="FB212" i="1" a="1"/>
  <c r="FB220" i="1" a="1"/>
  <c r="FB228" i="1" a="1"/>
  <c r="FB236" i="1" a="1"/>
  <c r="FB244" i="1" a="1"/>
  <c r="FB252" i="1" a="1"/>
  <c r="FB260" i="1" a="1"/>
  <c r="FB268" i="1" a="1"/>
  <c r="FB276" i="1" a="1"/>
  <c r="FB284" i="1" a="1"/>
  <c r="FB292" i="1" a="1"/>
  <c r="FB300" i="1" a="1"/>
  <c r="FB308" i="1" a="1"/>
  <c r="FB316" i="1" a="1"/>
  <c r="FB324" i="1" a="1"/>
  <c r="FB332" i="1" a="1"/>
  <c r="FB340" i="1" a="1"/>
  <c r="FB348" i="1" a="1"/>
  <c r="FB356" i="1" a="1"/>
  <c r="FB364" i="1" a="1"/>
  <c r="FB372" i="1" a="1"/>
  <c r="FB380" i="1" a="1"/>
  <c r="FB388" i="1" a="1"/>
  <c r="FB396" i="1" a="1"/>
  <c r="FB404" i="1" a="1"/>
  <c r="FB412" i="1" a="1"/>
  <c r="FB428" i="1" a="1"/>
  <c r="FB436" i="1" a="1"/>
  <c r="FB444" i="1" a="1"/>
  <c r="FB69" i="1" a="1"/>
  <c r="FB125" i="1" a="1"/>
  <c r="FB253" i="1" a="1"/>
  <c r="FB309" i="1" a="1"/>
  <c r="FB357" i="1" a="1"/>
  <c r="FB14" i="1" a="1"/>
  <c r="FB222" i="1" a="1"/>
  <c r="FB262" i="1" a="1"/>
  <c r="FB398" i="1" a="1"/>
  <c r="FB446" i="1" a="1"/>
  <c r="FB13" i="1" a="1"/>
  <c r="FB437" i="1" a="1"/>
  <c r="FB22" i="1" a="1"/>
  <c r="FB134" i="1" a="1"/>
  <c r="FB190" i="1" a="1"/>
  <c r="FB238" i="1" a="1"/>
  <c r="FB270" i="1" a="1"/>
  <c r="FB302" i="1" a="1"/>
  <c r="FB350" i="1" a="1"/>
  <c r="FB390" i="1" a="1"/>
  <c r="FB6" i="1" a="1"/>
  <c r="K38" i="6" l="1"/>
  <c r="J29" i="6"/>
  <c r="FP166" i="1"/>
  <c r="FP158" i="1"/>
  <c r="FP150" i="1"/>
  <c r="FP142" i="1"/>
  <c r="FP134" i="1"/>
  <c r="FP126" i="1"/>
  <c r="FP14" i="1"/>
  <c r="FP54" i="1"/>
  <c r="FP181" i="1"/>
  <c r="FP173" i="1"/>
  <c r="FP165" i="1"/>
  <c r="FP157" i="1"/>
  <c r="FP149" i="1"/>
  <c r="FP141" i="1"/>
  <c r="FP133" i="1"/>
  <c r="FP125" i="1"/>
  <c r="FP117" i="1"/>
  <c r="FP109" i="1"/>
  <c r="FP101" i="1"/>
  <c r="FP93" i="1"/>
  <c r="FP85" i="1"/>
  <c r="FP77" i="1"/>
  <c r="FP69" i="1"/>
  <c r="FP61" i="1"/>
  <c r="FP53" i="1"/>
  <c r="FP45" i="1"/>
  <c r="FP37" i="1"/>
  <c r="FP29" i="1"/>
  <c r="FP21" i="1"/>
  <c r="FP13" i="1"/>
  <c r="FP110" i="1"/>
  <c r="FP38" i="1"/>
  <c r="FP180" i="1"/>
  <c r="FP172" i="1"/>
  <c r="FP164" i="1"/>
  <c r="FP156" i="1"/>
  <c r="FP148" i="1"/>
  <c r="FP140" i="1"/>
  <c r="FP132" i="1"/>
  <c r="FP124" i="1"/>
  <c r="FP116" i="1"/>
  <c r="FP108" i="1"/>
  <c r="FP100" i="1"/>
  <c r="FP92" i="1"/>
  <c r="FP84" i="1"/>
  <c r="FP76" i="1"/>
  <c r="FP68" i="1"/>
  <c r="FP60" i="1"/>
  <c r="FP52" i="1"/>
  <c r="FP44" i="1"/>
  <c r="FP36" i="1"/>
  <c r="FP28" i="1"/>
  <c r="FP20" i="1"/>
  <c r="FP12" i="1"/>
  <c r="FP118" i="1"/>
  <c r="FP46" i="1"/>
  <c r="FP179" i="1"/>
  <c r="FP171" i="1"/>
  <c r="FP163" i="1"/>
  <c r="FP155" i="1"/>
  <c r="FP147" i="1"/>
  <c r="FP139" i="1"/>
  <c r="FP131" i="1"/>
  <c r="FP123" i="1"/>
  <c r="FP115" i="1"/>
  <c r="FP107" i="1"/>
  <c r="FP99" i="1"/>
  <c r="FP91" i="1"/>
  <c r="FP83" i="1"/>
  <c r="FP75" i="1"/>
  <c r="FP67" i="1"/>
  <c r="FP59" i="1"/>
  <c r="FP51" i="1"/>
  <c r="FP43" i="1"/>
  <c r="FP35" i="1"/>
  <c r="FP27" i="1"/>
  <c r="FP19" i="1"/>
  <c r="FP11" i="1"/>
  <c r="FP78" i="1"/>
  <c r="FP174" i="1"/>
  <c r="FP86" i="1"/>
  <c r="FP178" i="1"/>
  <c r="FP170" i="1"/>
  <c r="FP162" i="1"/>
  <c r="FP154" i="1"/>
  <c r="FP146" i="1"/>
  <c r="FP138" i="1"/>
  <c r="FP130" i="1"/>
  <c r="FP122" i="1"/>
  <c r="FP114" i="1"/>
  <c r="FP106" i="1"/>
  <c r="FP98" i="1"/>
  <c r="FP90" i="1"/>
  <c r="FP82" i="1"/>
  <c r="FP74" i="1"/>
  <c r="FP66" i="1"/>
  <c r="FP58" i="1"/>
  <c r="FP50" i="1"/>
  <c r="FP42" i="1"/>
  <c r="FP34" i="1"/>
  <c r="FP26" i="1"/>
  <c r="FP18" i="1"/>
  <c r="FP10" i="1"/>
  <c r="FP62" i="1"/>
  <c r="FP70" i="1"/>
  <c r="FP177" i="1"/>
  <c r="FP169" i="1"/>
  <c r="FP161" i="1"/>
  <c r="FP153" i="1"/>
  <c r="FP145" i="1"/>
  <c r="FP137" i="1"/>
  <c r="FP129" i="1"/>
  <c r="FP121" i="1"/>
  <c r="FP113" i="1"/>
  <c r="FP105" i="1"/>
  <c r="FP97" i="1"/>
  <c r="FP89" i="1"/>
  <c r="FP81" i="1"/>
  <c r="FP73" i="1"/>
  <c r="FP65" i="1"/>
  <c r="FP57" i="1"/>
  <c r="FP49" i="1"/>
  <c r="FP41" i="1"/>
  <c r="FP33" i="1"/>
  <c r="FP25" i="1"/>
  <c r="FP17" i="1"/>
  <c r="FP9" i="1"/>
  <c r="FP94" i="1"/>
  <c r="FP102" i="1"/>
  <c r="FP176" i="1"/>
  <c r="FP168" i="1"/>
  <c r="FP160" i="1"/>
  <c r="FP152" i="1"/>
  <c r="FP144" i="1"/>
  <c r="FP136" i="1"/>
  <c r="FP128" i="1"/>
  <c r="FP120" i="1"/>
  <c r="FP112" i="1"/>
  <c r="FP104" i="1"/>
  <c r="FP96" i="1"/>
  <c r="FP88" i="1"/>
  <c r="FP80" i="1"/>
  <c r="FP72" i="1"/>
  <c r="FP64" i="1"/>
  <c r="FP56" i="1"/>
  <c r="FP48" i="1"/>
  <c r="FP40" i="1"/>
  <c r="FP32" i="1"/>
  <c r="FP24" i="1"/>
  <c r="FP16" i="1"/>
  <c r="FP8" i="1"/>
  <c r="FP30" i="1"/>
  <c r="FP22" i="1"/>
  <c r="FP175" i="1"/>
  <c r="FP167" i="1"/>
  <c r="FP159" i="1"/>
  <c r="FP151" i="1"/>
  <c r="FP143" i="1"/>
  <c r="FP135" i="1"/>
  <c r="FP127" i="1"/>
  <c r="FP119" i="1"/>
  <c r="FP111" i="1"/>
  <c r="FP103" i="1"/>
  <c r="FP95" i="1"/>
  <c r="FP87" i="1"/>
  <c r="FP79" i="1"/>
  <c r="FP71" i="1"/>
  <c r="FP63" i="1"/>
  <c r="FP55" i="1"/>
  <c r="FP47" i="1"/>
  <c r="FP39" i="1"/>
  <c r="FP31" i="1"/>
  <c r="FP23" i="1"/>
  <c r="FP15" i="1"/>
  <c r="FP7" i="1"/>
  <c r="FP6" i="1"/>
  <c r="FN166" i="1"/>
  <c r="FN158" i="1"/>
  <c r="FN150" i="1"/>
  <c r="FN142" i="1"/>
  <c r="FN134" i="1"/>
  <c r="FN126" i="1"/>
  <c r="FN102" i="1"/>
  <c r="FN86" i="1"/>
  <c r="FN78" i="1"/>
  <c r="FN70" i="1"/>
  <c r="FN62" i="1"/>
  <c r="FN54" i="1"/>
  <c r="FN38" i="1"/>
  <c r="FN30" i="1"/>
  <c r="FN22" i="1"/>
  <c r="FN14" i="1"/>
  <c r="FN46" i="1"/>
  <c r="FN181" i="1"/>
  <c r="FN173" i="1"/>
  <c r="FN165" i="1"/>
  <c r="FN157" i="1"/>
  <c r="FN149" i="1"/>
  <c r="FN141" i="1"/>
  <c r="FN133" i="1"/>
  <c r="FN125" i="1"/>
  <c r="FN117" i="1"/>
  <c r="FN109" i="1"/>
  <c r="FN101" i="1"/>
  <c r="FN93" i="1"/>
  <c r="FN85" i="1"/>
  <c r="FN77" i="1"/>
  <c r="FN69" i="1"/>
  <c r="FN61" i="1"/>
  <c r="FN53" i="1"/>
  <c r="FN45" i="1"/>
  <c r="FN37" i="1"/>
  <c r="FN29" i="1"/>
  <c r="FN21" i="1"/>
  <c r="FN13" i="1"/>
  <c r="FN180" i="1"/>
  <c r="FN172" i="1"/>
  <c r="FN164" i="1"/>
  <c r="FN156" i="1"/>
  <c r="FN148" i="1"/>
  <c r="FN140" i="1"/>
  <c r="FN132" i="1"/>
  <c r="FN124" i="1"/>
  <c r="FN116" i="1"/>
  <c r="FN108" i="1"/>
  <c r="FN100" i="1"/>
  <c r="FN92" i="1"/>
  <c r="FN84" i="1"/>
  <c r="FN76" i="1"/>
  <c r="FN68" i="1"/>
  <c r="FN60" i="1"/>
  <c r="FN52" i="1"/>
  <c r="FN44" i="1"/>
  <c r="FN36" i="1"/>
  <c r="FN28" i="1"/>
  <c r="FN20" i="1"/>
  <c r="FN12" i="1"/>
  <c r="FN110" i="1"/>
  <c r="FN118" i="1"/>
  <c r="FN179" i="1"/>
  <c r="FN171" i="1"/>
  <c r="FN163" i="1"/>
  <c r="FN155" i="1"/>
  <c r="FN147" i="1"/>
  <c r="FN139" i="1"/>
  <c r="FN131" i="1"/>
  <c r="FN123" i="1"/>
  <c r="FN115" i="1"/>
  <c r="FN107" i="1"/>
  <c r="FN99" i="1"/>
  <c r="FN91" i="1"/>
  <c r="FN83" i="1"/>
  <c r="FN75" i="1"/>
  <c r="FN67" i="1"/>
  <c r="FN59" i="1"/>
  <c r="FN51" i="1"/>
  <c r="FN43" i="1"/>
  <c r="FN35" i="1"/>
  <c r="FN27" i="1"/>
  <c r="FN19" i="1"/>
  <c r="FN11" i="1"/>
  <c r="FN94" i="1"/>
  <c r="FN178" i="1"/>
  <c r="FN170" i="1"/>
  <c r="FN162" i="1"/>
  <c r="FN154" i="1"/>
  <c r="FN146" i="1"/>
  <c r="FN138" i="1"/>
  <c r="FN130" i="1"/>
  <c r="FN122" i="1"/>
  <c r="FN114" i="1"/>
  <c r="FN106" i="1"/>
  <c r="FN98" i="1"/>
  <c r="FN90" i="1"/>
  <c r="FN82" i="1"/>
  <c r="FN74" i="1"/>
  <c r="FN66" i="1"/>
  <c r="FN58" i="1"/>
  <c r="FN50" i="1"/>
  <c r="FN42" i="1"/>
  <c r="FN34" i="1"/>
  <c r="FN26" i="1"/>
  <c r="FN18" i="1"/>
  <c r="FN10" i="1"/>
  <c r="FN177" i="1"/>
  <c r="FN169" i="1"/>
  <c r="FN161" i="1"/>
  <c r="FN153" i="1"/>
  <c r="FN145" i="1"/>
  <c r="FN137" i="1"/>
  <c r="FN129" i="1"/>
  <c r="FN121" i="1"/>
  <c r="FN113" i="1"/>
  <c r="FN105" i="1"/>
  <c r="FN97" i="1"/>
  <c r="FN89" i="1"/>
  <c r="FN81" i="1"/>
  <c r="FN73" i="1"/>
  <c r="FN65" i="1"/>
  <c r="FN57" i="1"/>
  <c r="FN49" i="1"/>
  <c r="FN41" i="1"/>
  <c r="FN33" i="1"/>
  <c r="FN25" i="1"/>
  <c r="FN17" i="1"/>
  <c r="FN9" i="1"/>
  <c r="FN174" i="1"/>
  <c r="FN176" i="1"/>
  <c r="FN168" i="1"/>
  <c r="FN160" i="1"/>
  <c r="FN152" i="1"/>
  <c r="FN144" i="1"/>
  <c r="FN136" i="1"/>
  <c r="FN128" i="1"/>
  <c r="FN120" i="1"/>
  <c r="FN112" i="1"/>
  <c r="FN104" i="1"/>
  <c r="FN96" i="1"/>
  <c r="FN88" i="1"/>
  <c r="FN80" i="1"/>
  <c r="FN72" i="1"/>
  <c r="FN64" i="1"/>
  <c r="FN56" i="1"/>
  <c r="FN48" i="1"/>
  <c r="FN40" i="1"/>
  <c r="FN32" i="1"/>
  <c r="FN24" i="1"/>
  <c r="FN16" i="1"/>
  <c r="FN8" i="1"/>
  <c r="FN175" i="1"/>
  <c r="FN167" i="1"/>
  <c r="FN159" i="1"/>
  <c r="FN151" i="1"/>
  <c r="FN143" i="1"/>
  <c r="FN135" i="1"/>
  <c r="FN127" i="1"/>
  <c r="FN119" i="1"/>
  <c r="FN111" i="1"/>
  <c r="FN103" i="1"/>
  <c r="FN95" i="1"/>
  <c r="FN87" i="1"/>
  <c r="FN79" i="1"/>
  <c r="FN71" i="1"/>
  <c r="FN63" i="1"/>
  <c r="FN55" i="1"/>
  <c r="FN47" i="1"/>
  <c r="FN39" i="1"/>
  <c r="FN31" i="1"/>
  <c r="FN23" i="1"/>
  <c r="FN15" i="1"/>
  <c r="FN7" i="1"/>
  <c r="FN6" i="1"/>
  <c r="FE294" i="1"/>
  <c r="FG294" i="1" s="1"/>
  <c r="FE102" i="1"/>
  <c r="FG102" i="1" s="1"/>
  <c r="FE388" i="1"/>
  <c r="FG388" i="1" s="1"/>
  <c r="FE416" i="1"/>
  <c r="FG416" i="1" s="1"/>
  <c r="FE423" i="1"/>
  <c r="FG423" i="1" s="1"/>
  <c r="FE407" i="1"/>
  <c r="FG407" i="1" s="1"/>
  <c r="FE343" i="1"/>
  <c r="FG343" i="1" s="1"/>
  <c r="FE358" i="1"/>
  <c r="FG358" i="1" s="1"/>
  <c r="FE318" i="1"/>
  <c r="FG318" i="1" s="1"/>
  <c r="FE286" i="1"/>
  <c r="FG286" i="1" s="1"/>
  <c r="FE254" i="1"/>
  <c r="FG254" i="1" s="1"/>
  <c r="FE238" i="1"/>
  <c r="FG238" i="1" s="1"/>
  <c r="FE230" i="1"/>
  <c r="FG230" i="1" s="1"/>
  <c r="FE222" i="1"/>
  <c r="FG222" i="1" s="1"/>
  <c r="FE206" i="1"/>
  <c r="FG206" i="1" s="1"/>
  <c r="FE198" i="1"/>
  <c r="FG198" i="1" s="1"/>
  <c r="FE190" i="1"/>
  <c r="FG190" i="1" s="1"/>
  <c r="FE166" i="1"/>
  <c r="FG166" i="1" s="1"/>
  <c r="FE158" i="1"/>
  <c r="FG158" i="1" s="1"/>
  <c r="FE142" i="1"/>
  <c r="FG142" i="1" s="1"/>
  <c r="FE110" i="1"/>
  <c r="FG110" i="1" s="1"/>
  <c r="FE94" i="1"/>
  <c r="FG94" i="1" s="1"/>
  <c r="FE78" i="1"/>
  <c r="FG78" i="1" s="1"/>
  <c r="FE62" i="1"/>
  <c r="FG62" i="1" s="1"/>
  <c r="FE54" i="1"/>
  <c r="FG54" i="1" s="1"/>
  <c r="FE30" i="1"/>
  <c r="FG30" i="1" s="1"/>
  <c r="FE14" i="1"/>
  <c r="FG14" i="1" s="1"/>
  <c r="FE278" i="1"/>
  <c r="FG278" i="1" s="1"/>
  <c r="FE38" i="1"/>
  <c r="FG38" i="1" s="1"/>
  <c r="FE293" i="1"/>
  <c r="FG293" i="1" s="1"/>
  <c r="FE277" i="1"/>
  <c r="FG277" i="1" s="1"/>
  <c r="FE269" i="1"/>
  <c r="FG269" i="1" s="1"/>
  <c r="FE261" i="1"/>
  <c r="FG261" i="1" s="1"/>
  <c r="FE253" i="1"/>
  <c r="FG253" i="1" s="1"/>
  <c r="FE237" i="1"/>
  <c r="FG237" i="1" s="1"/>
  <c r="FE229" i="1"/>
  <c r="FG229" i="1" s="1"/>
  <c r="FE221" i="1"/>
  <c r="FG221" i="1" s="1"/>
  <c r="FE213" i="1"/>
  <c r="FG213" i="1" s="1"/>
  <c r="FE205" i="1"/>
  <c r="FG205" i="1" s="1"/>
  <c r="FE197" i="1"/>
  <c r="FG197" i="1" s="1"/>
  <c r="FE189" i="1"/>
  <c r="FG189" i="1" s="1"/>
  <c r="FE181" i="1"/>
  <c r="FG181" i="1" s="1"/>
  <c r="FE173" i="1"/>
  <c r="FG173" i="1" s="1"/>
  <c r="FE165" i="1"/>
  <c r="FG165" i="1" s="1"/>
  <c r="FE157" i="1"/>
  <c r="FG157" i="1" s="1"/>
  <c r="FE149" i="1"/>
  <c r="FG149" i="1" s="1"/>
  <c r="FE141" i="1"/>
  <c r="FG141" i="1" s="1"/>
  <c r="FE133" i="1"/>
  <c r="FG133" i="1" s="1"/>
  <c r="FE125" i="1"/>
  <c r="FG125" i="1" s="1"/>
  <c r="FE117" i="1"/>
  <c r="FG117" i="1" s="1"/>
  <c r="FE109" i="1"/>
  <c r="FG109" i="1" s="1"/>
  <c r="FE101" i="1"/>
  <c r="FG101" i="1" s="1"/>
  <c r="FE93" i="1"/>
  <c r="FG93" i="1" s="1"/>
  <c r="FE85" i="1"/>
  <c r="FG85" i="1" s="1"/>
  <c r="FE77" i="1"/>
  <c r="FG77" i="1" s="1"/>
  <c r="FE69" i="1"/>
  <c r="FG69" i="1" s="1"/>
  <c r="FE61" i="1"/>
  <c r="FG61" i="1" s="1"/>
  <c r="FE53" i="1"/>
  <c r="FG53" i="1" s="1"/>
  <c r="FE45" i="1"/>
  <c r="FG45" i="1" s="1"/>
  <c r="FE37" i="1"/>
  <c r="FG37" i="1" s="1"/>
  <c r="FE29" i="1"/>
  <c r="FG29" i="1" s="1"/>
  <c r="FE21" i="1"/>
  <c r="FG21" i="1" s="1"/>
  <c r="FE13" i="1"/>
  <c r="FG13" i="1" s="1"/>
  <c r="FE334" i="1"/>
  <c r="FG334" i="1" s="1"/>
  <c r="FE246" i="1"/>
  <c r="FG246" i="1" s="1"/>
  <c r="FE22" i="1"/>
  <c r="FG22" i="1" s="1"/>
  <c r="FE445" i="1"/>
  <c r="FG445" i="1" s="1"/>
  <c r="FE437" i="1"/>
  <c r="FG437" i="1" s="1"/>
  <c r="FE429" i="1"/>
  <c r="FG429" i="1" s="1"/>
  <c r="FE421" i="1"/>
  <c r="FG421" i="1" s="1"/>
  <c r="FE413" i="1"/>
  <c r="FG413" i="1" s="1"/>
  <c r="FE405" i="1"/>
  <c r="FG405" i="1" s="1"/>
  <c r="FE397" i="1"/>
  <c r="FG397" i="1" s="1"/>
  <c r="FE389" i="1"/>
  <c r="FG389" i="1" s="1"/>
  <c r="FE381" i="1"/>
  <c r="FG381" i="1" s="1"/>
  <c r="FE373" i="1"/>
  <c r="FG373" i="1" s="1"/>
  <c r="FE365" i="1"/>
  <c r="FG365" i="1" s="1"/>
  <c r="FE357" i="1"/>
  <c r="FG357" i="1" s="1"/>
  <c r="FE349" i="1"/>
  <c r="FG349" i="1" s="1"/>
  <c r="FE341" i="1"/>
  <c r="FG341" i="1" s="1"/>
  <c r="FE333" i="1"/>
  <c r="FG333" i="1" s="1"/>
  <c r="FE325" i="1"/>
  <c r="FG325" i="1" s="1"/>
  <c r="FE317" i="1"/>
  <c r="FG317" i="1" s="1"/>
  <c r="FE309" i="1"/>
  <c r="FG309" i="1" s="1"/>
  <c r="FE301" i="1"/>
  <c r="FG301" i="1" s="1"/>
  <c r="FE285" i="1"/>
  <c r="FG285" i="1" s="1"/>
  <c r="FE245" i="1"/>
  <c r="FG245" i="1" s="1"/>
  <c r="FE422" i="1"/>
  <c r="FG422" i="1" s="1"/>
  <c r="FE174" i="1"/>
  <c r="FG174" i="1" s="1"/>
  <c r="FE260" i="1"/>
  <c r="FG260" i="1" s="1"/>
  <c r="FE252" i="1"/>
  <c r="FG252" i="1" s="1"/>
  <c r="FE244" i="1"/>
  <c r="FG244" i="1" s="1"/>
  <c r="FE236" i="1"/>
  <c r="FG236" i="1" s="1"/>
  <c r="FE220" i="1"/>
  <c r="FG220" i="1" s="1"/>
  <c r="FE212" i="1"/>
  <c r="FG212" i="1" s="1"/>
  <c r="FE204" i="1"/>
  <c r="FG204" i="1" s="1"/>
  <c r="FE196" i="1"/>
  <c r="FG196" i="1" s="1"/>
  <c r="FE188" i="1"/>
  <c r="FG188" i="1" s="1"/>
  <c r="FE180" i="1"/>
  <c r="FG180" i="1" s="1"/>
  <c r="FE172" i="1"/>
  <c r="FG172" i="1" s="1"/>
  <c r="FE164" i="1"/>
  <c r="FG164" i="1" s="1"/>
  <c r="FE156" i="1"/>
  <c r="FG156" i="1" s="1"/>
  <c r="FE148" i="1"/>
  <c r="FG148" i="1" s="1"/>
  <c r="FE140" i="1"/>
  <c r="FG140" i="1" s="1"/>
  <c r="FE132" i="1"/>
  <c r="FG132" i="1" s="1"/>
  <c r="FE124" i="1"/>
  <c r="FG124" i="1" s="1"/>
  <c r="FE116" i="1"/>
  <c r="FG116" i="1" s="1"/>
  <c r="FE108" i="1"/>
  <c r="FG108" i="1" s="1"/>
  <c r="FE100" i="1"/>
  <c r="FG100" i="1" s="1"/>
  <c r="FE92" i="1"/>
  <c r="FG92" i="1" s="1"/>
  <c r="FE84" i="1"/>
  <c r="FG84" i="1" s="1"/>
  <c r="FE76" i="1"/>
  <c r="FG76" i="1" s="1"/>
  <c r="FE68" i="1"/>
  <c r="FG68" i="1" s="1"/>
  <c r="FE60" i="1"/>
  <c r="FG60" i="1" s="1"/>
  <c r="FE52" i="1"/>
  <c r="FG52" i="1" s="1"/>
  <c r="FE44" i="1"/>
  <c r="FG44" i="1" s="1"/>
  <c r="FE36" i="1"/>
  <c r="FG36" i="1" s="1"/>
  <c r="FE28" i="1"/>
  <c r="FG28" i="1" s="1"/>
  <c r="FE20" i="1"/>
  <c r="FG20" i="1" s="1"/>
  <c r="FE12" i="1"/>
  <c r="FG12" i="1" s="1"/>
  <c r="FE446" i="1"/>
  <c r="FG446" i="1" s="1"/>
  <c r="FE350" i="1"/>
  <c r="FG350" i="1" s="1"/>
  <c r="FE262" i="1"/>
  <c r="FG262" i="1" s="1"/>
  <c r="FE46" i="1"/>
  <c r="FG46" i="1" s="1"/>
  <c r="FE436" i="1"/>
  <c r="FG436" i="1" s="1"/>
  <c r="FE412" i="1"/>
  <c r="FG412" i="1" s="1"/>
  <c r="FE380" i="1"/>
  <c r="FG380" i="1" s="1"/>
  <c r="FE372" i="1"/>
  <c r="FG372" i="1" s="1"/>
  <c r="FE364" i="1"/>
  <c r="FG364" i="1" s="1"/>
  <c r="FE356" i="1"/>
  <c r="FG356" i="1" s="1"/>
  <c r="FE348" i="1"/>
  <c r="FG348" i="1" s="1"/>
  <c r="FE340" i="1"/>
  <c r="FG340" i="1" s="1"/>
  <c r="FE332" i="1"/>
  <c r="FG332" i="1" s="1"/>
  <c r="FE324" i="1"/>
  <c r="FG324" i="1" s="1"/>
  <c r="FE316" i="1"/>
  <c r="FG316" i="1" s="1"/>
  <c r="FE308" i="1"/>
  <c r="FG308" i="1" s="1"/>
  <c r="FE300" i="1"/>
  <c r="FG300" i="1" s="1"/>
  <c r="FE292" i="1"/>
  <c r="FG292" i="1" s="1"/>
  <c r="FE284" i="1"/>
  <c r="FG284" i="1" s="1"/>
  <c r="FE276" i="1"/>
  <c r="FG276" i="1" s="1"/>
  <c r="FE268" i="1"/>
  <c r="FG268" i="1" s="1"/>
  <c r="FE228" i="1"/>
  <c r="FG228" i="1" s="1"/>
  <c r="FE430" i="1"/>
  <c r="FG430" i="1" s="1"/>
  <c r="FE406" i="1"/>
  <c r="FG406" i="1" s="1"/>
  <c r="FE382" i="1"/>
  <c r="FG382" i="1" s="1"/>
  <c r="FE342" i="1"/>
  <c r="FG342" i="1" s="1"/>
  <c r="FE150" i="1"/>
  <c r="FG150" i="1" s="1"/>
  <c r="FE420" i="1"/>
  <c r="FG420" i="1" s="1"/>
  <c r="FE435" i="1"/>
  <c r="FG435" i="1" s="1"/>
  <c r="FE411" i="1"/>
  <c r="FG411" i="1" s="1"/>
  <c r="FE387" i="1"/>
  <c r="FG387" i="1" s="1"/>
  <c r="FE371" i="1"/>
  <c r="FG371" i="1" s="1"/>
  <c r="FE355" i="1"/>
  <c r="FG355" i="1" s="1"/>
  <c r="FE339" i="1"/>
  <c r="FG339" i="1" s="1"/>
  <c r="FE331" i="1"/>
  <c r="FG331" i="1" s="1"/>
  <c r="FE315" i="1"/>
  <c r="FG315" i="1" s="1"/>
  <c r="FE299" i="1"/>
  <c r="FG299" i="1" s="1"/>
  <c r="FE275" i="1"/>
  <c r="FG275" i="1" s="1"/>
  <c r="FE259" i="1"/>
  <c r="FG259" i="1" s="1"/>
  <c r="FE235" i="1"/>
  <c r="FG235" i="1" s="1"/>
  <c r="FE227" i="1"/>
  <c r="FG227" i="1" s="1"/>
  <c r="FE219" i="1"/>
  <c r="FG219" i="1" s="1"/>
  <c r="FE211" i="1"/>
  <c r="FG211" i="1" s="1"/>
  <c r="FE195" i="1"/>
  <c r="FG195" i="1" s="1"/>
  <c r="FE187" i="1"/>
  <c r="FG187" i="1" s="1"/>
  <c r="FE179" i="1"/>
  <c r="FG179" i="1" s="1"/>
  <c r="FE171" i="1"/>
  <c r="FG171" i="1" s="1"/>
  <c r="FE163" i="1"/>
  <c r="FG163" i="1" s="1"/>
  <c r="FE155" i="1"/>
  <c r="FG155" i="1" s="1"/>
  <c r="FE147" i="1"/>
  <c r="FG147" i="1" s="1"/>
  <c r="FE139" i="1"/>
  <c r="FG139" i="1" s="1"/>
  <c r="FE131" i="1"/>
  <c r="FG131" i="1" s="1"/>
  <c r="FE123" i="1"/>
  <c r="FG123" i="1" s="1"/>
  <c r="FE115" i="1"/>
  <c r="FG115" i="1" s="1"/>
  <c r="FE107" i="1"/>
  <c r="FG107" i="1" s="1"/>
  <c r="FE99" i="1"/>
  <c r="FG99" i="1" s="1"/>
  <c r="FE91" i="1"/>
  <c r="FG91" i="1" s="1"/>
  <c r="FE83" i="1"/>
  <c r="FG83" i="1" s="1"/>
  <c r="FE75" i="1"/>
  <c r="FG75" i="1" s="1"/>
  <c r="FE67" i="1"/>
  <c r="FG67" i="1" s="1"/>
  <c r="FE59" i="1"/>
  <c r="FG59" i="1" s="1"/>
  <c r="FE51" i="1"/>
  <c r="FG51" i="1" s="1"/>
  <c r="FE43" i="1"/>
  <c r="FG43" i="1" s="1"/>
  <c r="FE35" i="1"/>
  <c r="FG35" i="1" s="1"/>
  <c r="FE27" i="1"/>
  <c r="FG27" i="1" s="1"/>
  <c r="FE19" i="1"/>
  <c r="FG19" i="1" s="1"/>
  <c r="FE11" i="1"/>
  <c r="FG11" i="1" s="1"/>
  <c r="FE438" i="1"/>
  <c r="FG438" i="1" s="1"/>
  <c r="FE414" i="1"/>
  <c r="FG414" i="1" s="1"/>
  <c r="FE366" i="1"/>
  <c r="FG366" i="1" s="1"/>
  <c r="FE302" i="1"/>
  <c r="FG302" i="1" s="1"/>
  <c r="FE134" i="1"/>
  <c r="FG134" i="1" s="1"/>
  <c r="FE396" i="1"/>
  <c r="FG396" i="1" s="1"/>
  <c r="FE443" i="1"/>
  <c r="FG443" i="1" s="1"/>
  <c r="FE419" i="1"/>
  <c r="FG419" i="1" s="1"/>
  <c r="FE395" i="1"/>
  <c r="FG395" i="1" s="1"/>
  <c r="FE379" i="1"/>
  <c r="FG379" i="1" s="1"/>
  <c r="FE363" i="1"/>
  <c r="FG363" i="1" s="1"/>
  <c r="FE347" i="1"/>
  <c r="FG347" i="1" s="1"/>
  <c r="FE323" i="1"/>
  <c r="FG323" i="1" s="1"/>
  <c r="FE307" i="1"/>
  <c r="FG307" i="1" s="1"/>
  <c r="FE291" i="1"/>
  <c r="FG291" i="1" s="1"/>
  <c r="FE283" i="1"/>
  <c r="FG283" i="1" s="1"/>
  <c r="FE267" i="1"/>
  <c r="FG267" i="1" s="1"/>
  <c r="FE251" i="1"/>
  <c r="FG251" i="1" s="1"/>
  <c r="FE243" i="1"/>
  <c r="FG243" i="1" s="1"/>
  <c r="FE203" i="1"/>
  <c r="FG203" i="1" s="1"/>
  <c r="FE326" i="1"/>
  <c r="FG326" i="1" s="1"/>
  <c r="FE86" i="1"/>
  <c r="FG86" i="1" s="1"/>
  <c r="FE403" i="1"/>
  <c r="FG403" i="1" s="1"/>
  <c r="FE434" i="1"/>
  <c r="FG434" i="1" s="1"/>
  <c r="FE418" i="1"/>
  <c r="FG418" i="1" s="1"/>
  <c r="FE410" i="1"/>
  <c r="FG410" i="1" s="1"/>
  <c r="FE394" i="1"/>
  <c r="FG394" i="1" s="1"/>
  <c r="FE386" i="1"/>
  <c r="FG386" i="1" s="1"/>
  <c r="FE378" i="1"/>
  <c r="FG378" i="1" s="1"/>
  <c r="FE370" i="1"/>
  <c r="FG370" i="1" s="1"/>
  <c r="FE362" i="1"/>
  <c r="FG362" i="1" s="1"/>
  <c r="FE354" i="1"/>
  <c r="FG354" i="1" s="1"/>
  <c r="FE346" i="1"/>
  <c r="FG346" i="1" s="1"/>
  <c r="FE338" i="1"/>
  <c r="FG338" i="1" s="1"/>
  <c r="FE330" i="1"/>
  <c r="FG330" i="1" s="1"/>
  <c r="FE314" i="1"/>
  <c r="FG314" i="1" s="1"/>
  <c r="FE306" i="1"/>
  <c r="FG306" i="1" s="1"/>
  <c r="FE298" i="1"/>
  <c r="FG298" i="1" s="1"/>
  <c r="FE290" i="1"/>
  <c r="FG290" i="1" s="1"/>
  <c r="FE282" i="1"/>
  <c r="FG282" i="1" s="1"/>
  <c r="FE274" i="1"/>
  <c r="FG274" i="1" s="1"/>
  <c r="FE266" i="1"/>
  <c r="FG266" i="1" s="1"/>
  <c r="FE258" i="1"/>
  <c r="FG258" i="1" s="1"/>
  <c r="FE250" i="1"/>
  <c r="FG250" i="1" s="1"/>
  <c r="FE242" i="1"/>
  <c r="FG242" i="1" s="1"/>
  <c r="FE234" i="1"/>
  <c r="FG234" i="1" s="1"/>
  <c r="FE226" i="1"/>
  <c r="FG226" i="1" s="1"/>
  <c r="FE218" i="1"/>
  <c r="FG218" i="1" s="1"/>
  <c r="FE210" i="1"/>
  <c r="FG210" i="1" s="1"/>
  <c r="FE202" i="1"/>
  <c r="FG202" i="1" s="1"/>
  <c r="FE194" i="1"/>
  <c r="FG194" i="1" s="1"/>
  <c r="FE186" i="1"/>
  <c r="FG186" i="1" s="1"/>
  <c r="FE178" i="1"/>
  <c r="FG178" i="1" s="1"/>
  <c r="FE170" i="1"/>
  <c r="FG170" i="1" s="1"/>
  <c r="FE162" i="1"/>
  <c r="FG162" i="1" s="1"/>
  <c r="FE154" i="1"/>
  <c r="FG154" i="1" s="1"/>
  <c r="FE146" i="1"/>
  <c r="FG146" i="1" s="1"/>
  <c r="FE138" i="1"/>
  <c r="FG138" i="1" s="1"/>
  <c r="FE130" i="1"/>
  <c r="FG130" i="1" s="1"/>
  <c r="FE122" i="1"/>
  <c r="FG122" i="1" s="1"/>
  <c r="FE114" i="1"/>
  <c r="FG114" i="1" s="1"/>
  <c r="FE106" i="1"/>
  <c r="FG106" i="1" s="1"/>
  <c r="FE98" i="1"/>
  <c r="FG98" i="1" s="1"/>
  <c r="FE90" i="1"/>
  <c r="FG90" i="1" s="1"/>
  <c r="FE82" i="1"/>
  <c r="FG82" i="1" s="1"/>
  <c r="FE74" i="1"/>
  <c r="FG74" i="1" s="1"/>
  <c r="FE66" i="1"/>
  <c r="FG66" i="1" s="1"/>
  <c r="FE58" i="1"/>
  <c r="FG58" i="1" s="1"/>
  <c r="FE50" i="1"/>
  <c r="FG50" i="1" s="1"/>
  <c r="FE42" i="1"/>
  <c r="FG42" i="1" s="1"/>
  <c r="FE34" i="1"/>
  <c r="FG34" i="1" s="1"/>
  <c r="FE26" i="1"/>
  <c r="FG26" i="1" s="1"/>
  <c r="FE18" i="1"/>
  <c r="FG18" i="1" s="1"/>
  <c r="FE10" i="1"/>
  <c r="FG10" i="1" s="1"/>
  <c r="FE374" i="1"/>
  <c r="FG374" i="1" s="1"/>
  <c r="FE70" i="1"/>
  <c r="FG70" i="1" s="1"/>
  <c r="FE427" i="1"/>
  <c r="FG427" i="1" s="1"/>
  <c r="FE442" i="1"/>
  <c r="FG442" i="1" s="1"/>
  <c r="FE426" i="1"/>
  <c r="FG426" i="1" s="1"/>
  <c r="FE402" i="1"/>
  <c r="FG402" i="1" s="1"/>
  <c r="FE322" i="1"/>
  <c r="FG322" i="1" s="1"/>
  <c r="FE214" i="1"/>
  <c r="FG214" i="1" s="1"/>
  <c r="FE444" i="1"/>
  <c r="FG444" i="1" s="1"/>
  <c r="FE441" i="1"/>
  <c r="FG441" i="1" s="1"/>
  <c r="FE425" i="1"/>
  <c r="FG425" i="1" s="1"/>
  <c r="FE417" i="1"/>
  <c r="FG417" i="1" s="1"/>
  <c r="FE401" i="1"/>
  <c r="FG401" i="1" s="1"/>
  <c r="FE385" i="1"/>
  <c r="FG385" i="1" s="1"/>
  <c r="FE369" i="1"/>
  <c r="FG369" i="1" s="1"/>
  <c r="FE361" i="1"/>
  <c r="FG361" i="1" s="1"/>
  <c r="FE353" i="1"/>
  <c r="FG353" i="1" s="1"/>
  <c r="FE345" i="1"/>
  <c r="FG345" i="1" s="1"/>
  <c r="FE337" i="1"/>
  <c r="FG337" i="1" s="1"/>
  <c r="FE329" i="1"/>
  <c r="FG329" i="1" s="1"/>
  <c r="FE321" i="1"/>
  <c r="FG321" i="1" s="1"/>
  <c r="FE313" i="1"/>
  <c r="FG313" i="1" s="1"/>
  <c r="FE297" i="1"/>
  <c r="FG297" i="1" s="1"/>
  <c r="FE289" i="1"/>
  <c r="FG289" i="1" s="1"/>
  <c r="FE281" i="1"/>
  <c r="FG281" i="1" s="1"/>
  <c r="FE273" i="1"/>
  <c r="FG273" i="1" s="1"/>
  <c r="FE265" i="1"/>
  <c r="FG265" i="1" s="1"/>
  <c r="FE257" i="1"/>
  <c r="FG257" i="1" s="1"/>
  <c r="FE249" i="1"/>
  <c r="FG249" i="1" s="1"/>
  <c r="FE241" i="1"/>
  <c r="FG241" i="1" s="1"/>
  <c r="FE233" i="1"/>
  <c r="FG233" i="1" s="1"/>
  <c r="FE225" i="1"/>
  <c r="FG225" i="1" s="1"/>
  <c r="FE217" i="1"/>
  <c r="FG217" i="1" s="1"/>
  <c r="FE209" i="1"/>
  <c r="FG209" i="1" s="1"/>
  <c r="FE201" i="1"/>
  <c r="FG201" i="1" s="1"/>
  <c r="FE193" i="1"/>
  <c r="FG193" i="1" s="1"/>
  <c r="FE185" i="1"/>
  <c r="FG185" i="1" s="1"/>
  <c r="FE177" i="1"/>
  <c r="FG177" i="1" s="1"/>
  <c r="FE169" i="1"/>
  <c r="FG169" i="1" s="1"/>
  <c r="FE161" i="1"/>
  <c r="FG161" i="1" s="1"/>
  <c r="FE153" i="1"/>
  <c r="FG153" i="1" s="1"/>
  <c r="FE145" i="1"/>
  <c r="FG145" i="1" s="1"/>
  <c r="FE137" i="1"/>
  <c r="FG137" i="1" s="1"/>
  <c r="FE129" i="1"/>
  <c r="FG129" i="1" s="1"/>
  <c r="FE121" i="1"/>
  <c r="FG121" i="1" s="1"/>
  <c r="FE113" i="1"/>
  <c r="FG113" i="1" s="1"/>
  <c r="FE105" i="1"/>
  <c r="FG105" i="1" s="1"/>
  <c r="FE97" i="1"/>
  <c r="FG97" i="1" s="1"/>
  <c r="FE89" i="1"/>
  <c r="FG89" i="1" s="1"/>
  <c r="FE81" i="1"/>
  <c r="FG81" i="1" s="1"/>
  <c r="FE73" i="1"/>
  <c r="FG73" i="1" s="1"/>
  <c r="FE65" i="1"/>
  <c r="FG65" i="1" s="1"/>
  <c r="FE57" i="1"/>
  <c r="FG57" i="1" s="1"/>
  <c r="FE49" i="1"/>
  <c r="FG49" i="1" s="1"/>
  <c r="FE41" i="1"/>
  <c r="FG41" i="1" s="1"/>
  <c r="FE33" i="1"/>
  <c r="FG33" i="1" s="1"/>
  <c r="FE25" i="1"/>
  <c r="FG25" i="1" s="1"/>
  <c r="FE17" i="1"/>
  <c r="FG17" i="1" s="1"/>
  <c r="FE9" i="1"/>
  <c r="FG9" i="1" s="1"/>
  <c r="FE390" i="1"/>
  <c r="FG390" i="1" s="1"/>
  <c r="FE126" i="1"/>
  <c r="FG126" i="1" s="1"/>
  <c r="FE433" i="1"/>
  <c r="FG433" i="1" s="1"/>
  <c r="FE409" i="1"/>
  <c r="FG409" i="1" s="1"/>
  <c r="FE393" i="1"/>
  <c r="FG393" i="1" s="1"/>
  <c r="FE377" i="1"/>
  <c r="FG377" i="1" s="1"/>
  <c r="FE305" i="1"/>
  <c r="FG305" i="1" s="1"/>
  <c r="FE270" i="1"/>
  <c r="FG270" i="1" s="1"/>
  <c r="FE344" i="1"/>
  <c r="FG344" i="1" s="1"/>
  <c r="FE336" i="1"/>
  <c r="FG336" i="1" s="1"/>
  <c r="FE328" i="1"/>
  <c r="FG328" i="1" s="1"/>
  <c r="FE320" i="1"/>
  <c r="FG320" i="1" s="1"/>
  <c r="FE312" i="1"/>
  <c r="FG312" i="1" s="1"/>
  <c r="FE304" i="1"/>
  <c r="FG304" i="1" s="1"/>
  <c r="FE296" i="1"/>
  <c r="FG296" i="1" s="1"/>
  <c r="FE280" i="1"/>
  <c r="FG280" i="1" s="1"/>
  <c r="FE272" i="1"/>
  <c r="FG272" i="1" s="1"/>
  <c r="FE264" i="1"/>
  <c r="FG264" i="1" s="1"/>
  <c r="FE256" i="1"/>
  <c r="FG256" i="1" s="1"/>
  <c r="FE248" i="1"/>
  <c r="FG248" i="1" s="1"/>
  <c r="FE240" i="1"/>
  <c r="FG240" i="1" s="1"/>
  <c r="FE232" i="1"/>
  <c r="FG232" i="1" s="1"/>
  <c r="FE224" i="1"/>
  <c r="FG224" i="1" s="1"/>
  <c r="FE216" i="1"/>
  <c r="FG216" i="1" s="1"/>
  <c r="FE208" i="1"/>
  <c r="FG208" i="1" s="1"/>
  <c r="FE200" i="1"/>
  <c r="FG200" i="1" s="1"/>
  <c r="FE192" i="1"/>
  <c r="FG192" i="1" s="1"/>
  <c r="FE184" i="1"/>
  <c r="FG184" i="1" s="1"/>
  <c r="FE176" i="1"/>
  <c r="FG176" i="1" s="1"/>
  <c r="FE168" i="1"/>
  <c r="FG168" i="1" s="1"/>
  <c r="FE160" i="1"/>
  <c r="FG160" i="1" s="1"/>
  <c r="FE152" i="1"/>
  <c r="FG152" i="1" s="1"/>
  <c r="FE144" i="1"/>
  <c r="FG144" i="1" s="1"/>
  <c r="FE136" i="1"/>
  <c r="FG136" i="1" s="1"/>
  <c r="FE128" i="1"/>
  <c r="FG128" i="1" s="1"/>
  <c r="FE120" i="1"/>
  <c r="FG120" i="1" s="1"/>
  <c r="FE112" i="1"/>
  <c r="FG112" i="1" s="1"/>
  <c r="FE104" i="1"/>
  <c r="FG104" i="1" s="1"/>
  <c r="FE96" i="1"/>
  <c r="FG96" i="1" s="1"/>
  <c r="FE88" i="1"/>
  <c r="FG88" i="1" s="1"/>
  <c r="FE80" i="1"/>
  <c r="FG80" i="1" s="1"/>
  <c r="FE72" i="1"/>
  <c r="FG72" i="1" s="1"/>
  <c r="FE64" i="1"/>
  <c r="FG64" i="1" s="1"/>
  <c r="FE56" i="1"/>
  <c r="FG56" i="1" s="1"/>
  <c r="FE48" i="1"/>
  <c r="FG48" i="1" s="1"/>
  <c r="FE40" i="1"/>
  <c r="FG40" i="1" s="1"/>
  <c r="FE32" i="1"/>
  <c r="FG32" i="1" s="1"/>
  <c r="FE24" i="1"/>
  <c r="FG24" i="1" s="1"/>
  <c r="FE16" i="1"/>
  <c r="FG16" i="1" s="1"/>
  <c r="FE8" i="1"/>
  <c r="FG8" i="1" s="1"/>
  <c r="FE398" i="1"/>
  <c r="FG398" i="1" s="1"/>
  <c r="FE182" i="1"/>
  <c r="FG182" i="1" s="1"/>
  <c r="FE428" i="1"/>
  <c r="FG428" i="1" s="1"/>
  <c r="FE440" i="1"/>
  <c r="FG440" i="1" s="1"/>
  <c r="FE432" i="1"/>
  <c r="FG432" i="1" s="1"/>
  <c r="FE424" i="1"/>
  <c r="FG424" i="1" s="1"/>
  <c r="FE400" i="1"/>
  <c r="FG400" i="1" s="1"/>
  <c r="FE392" i="1"/>
  <c r="FG392" i="1" s="1"/>
  <c r="FE384" i="1"/>
  <c r="FG384" i="1" s="1"/>
  <c r="FE376" i="1"/>
  <c r="FG376" i="1" s="1"/>
  <c r="FE368" i="1"/>
  <c r="FG368" i="1" s="1"/>
  <c r="FE360" i="1"/>
  <c r="FG360" i="1" s="1"/>
  <c r="FE352" i="1"/>
  <c r="FG352" i="1" s="1"/>
  <c r="FE288" i="1"/>
  <c r="FG288" i="1" s="1"/>
  <c r="FE310" i="1"/>
  <c r="FG310" i="1" s="1"/>
  <c r="FE118" i="1"/>
  <c r="FG118" i="1" s="1"/>
  <c r="FE404" i="1"/>
  <c r="FG404" i="1" s="1"/>
  <c r="FE408" i="1"/>
  <c r="FG408" i="1" s="1"/>
  <c r="FE447" i="1"/>
  <c r="FG447" i="1" s="1"/>
  <c r="FE439" i="1"/>
  <c r="FG439" i="1" s="1"/>
  <c r="FE431" i="1"/>
  <c r="FG431" i="1" s="1"/>
  <c r="FE415" i="1"/>
  <c r="FG415" i="1" s="1"/>
  <c r="FE399" i="1"/>
  <c r="FG399" i="1" s="1"/>
  <c r="FE391" i="1"/>
  <c r="FG391" i="1" s="1"/>
  <c r="FE383" i="1"/>
  <c r="FG383" i="1" s="1"/>
  <c r="FE375" i="1"/>
  <c r="FG375" i="1" s="1"/>
  <c r="FE367" i="1"/>
  <c r="FG367" i="1" s="1"/>
  <c r="FE359" i="1"/>
  <c r="FG359" i="1" s="1"/>
  <c r="FE351" i="1"/>
  <c r="FG351" i="1" s="1"/>
  <c r="FE335" i="1"/>
  <c r="FG335" i="1" s="1"/>
  <c r="FE327" i="1"/>
  <c r="FG327" i="1" s="1"/>
  <c r="FE319" i="1"/>
  <c r="FG319" i="1" s="1"/>
  <c r="FE311" i="1"/>
  <c r="FG311" i="1" s="1"/>
  <c r="FE303" i="1"/>
  <c r="FG303" i="1" s="1"/>
  <c r="FE295" i="1"/>
  <c r="FG295" i="1" s="1"/>
  <c r="FE287" i="1"/>
  <c r="FG287" i="1" s="1"/>
  <c r="FE279" i="1"/>
  <c r="FG279" i="1" s="1"/>
  <c r="FE271" i="1"/>
  <c r="FG271" i="1" s="1"/>
  <c r="FE263" i="1"/>
  <c r="FG263" i="1" s="1"/>
  <c r="FE255" i="1"/>
  <c r="FG255" i="1" s="1"/>
  <c r="FE247" i="1"/>
  <c r="FG247" i="1" s="1"/>
  <c r="FE239" i="1"/>
  <c r="FG239" i="1" s="1"/>
  <c r="FE231" i="1"/>
  <c r="FG231" i="1" s="1"/>
  <c r="FE223" i="1"/>
  <c r="FG223" i="1" s="1"/>
  <c r="FE215" i="1"/>
  <c r="FG215" i="1" s="1"/>
  <c r="FE207" i="1"/>
  <c r="FG207" i="1" s="1"/>
  <c r="FE199" i="1"/>
  <c r="FG199" i="1" s="1"/>
  <c r="FE191" i="1"/>
  <c r="FG191" i="1" s="1"/>
  <c r="FE183" i="1"/>
  <c r="FG183" i="1" s="1"/>
  <c r="FE175" i="1"/>
  <c r="FG175" i="1" s="1"/>
  <c r="FE167" i="1"/>
  <c r="FG167" i="1" s="1"/>
  <c r="FE159" i="1"/>
  <c r="FG159" i="1" s="1"/>
  <c r="FE151" i="1"/>
  <c r="FG151" i="1" s="1"/>
  <c r="FE143" i="1"/>
  <c r="FG143" i="1" s="1"/>
  <c r="FE135" i="1"/>
  <c r="FG135" i="1" s="1"/>
  <c r="FE127" i="1"/>
  <c r="FG127" i="1" s="1"/>
  <c r="FE119" i="1"/>
  <c r="FG119" i="1" s="1"/>
  <c r="FE111" i="1"/>
  <c r="FG111" i="1" s="1"/>
  <c r="FE103" i="1"/>
  <c r="FG103" i="1" s="1"/>
  <c r="FE95" i="1"/>
  <c r="FG95" i="1" s="1"/>
  <c r="FE87" i="1"/>
  <c r="FG87" i="1" s="1"/>
  <c r="FE79" i="1"/>
  <c r="FG79" i="1" s="1"/>
  <c r="FE71" i="1"/>
  <c r="FG71" i="1" s="1"/>
  <c r="FE63" i="1"/>
  <c r="FG63" i="1" s="1"/>
  <c r="FE55" i="1"/>
  <c r="FG55" i="1" s="1"/>
  <c r="FE47" i="1"/>
  <c r="FG47" i="1" s="1"/>
  <c r="FE39" i="1"/>
  <c r="FG39" i="1" s="1"/>
  <c r="FE31" i="1"/>
  <c r="FG31" i="1" s="1"/>
  <c r="FE23" i="1"/>
  <c r="FG23" i="1" s="1"/>
  <c r="FE15" i="1"/>
  <c r="FG15" i="1" s="1"/>
  <c r="FE7" i="1"/>
  <c r="FG7" i="1" s="1"/>
  <c r="FE6" i="1"/>
  <c r="FG6" i="1" s="1"/>
  <c r="FD413" i="1"/>
  <c r="FF413" i="1" s="1"/>
  <c r="FD357" i="1"/>
  <c r="FF357" i="1" s="1"/>
  <c r="FD294" i="1"/>
  <c r="FF294" i="1" s="1"/>
  <c r="FD230" i="1"/>
  <c r="FF230" i="1" s="1"/>
  <c r="FD166" i="1"/>
  <c r="FF166" i="1" s="1"/>
  <c r="FD102" i="1"/>
  <c r="FF102" i="1" s="1"/>
  <c r="FD350" i="1"/>
  <c r="FF350" i="1" s="1"/>
  <c r="FD94" i="1"/>
  <c r="FF94" i="1" s="1"/>
  <c r="FD398" i="1"/>
  <c r="FF398" i="1" s="1"/>
  <c r="FD342" i="1"/>
  <c r="FF342" i="1" s="1"/>
  <c r="FD278" i="1"/>
  <c r="FF278" i="1" s="1"/>
  <c r="FD214" i="1"/>
  <c r="FF214" i="1" s="1"/>
  <c r="FD150" i="1"/>
  <c r="FF150" i="1" s="1"/>
  <c r="FD86" i="1"/>
  <c r="FF86" i="1" s="1"/>
  <c r="FD446" i="1"/>
  <c r="FF446" i="1" s="1"/>
  <c r="FD390" i="1"/>
  <c r="FF390" i="1" s="1"/>
  <c r="FD334" i="1"/>
  <c r="FF334" i="1" s="1"/>
  <c r="FD270" i="1"/>
  <c r="FF270" i="1" s="1"/>
  <c r="FD206" i="1"/>
  <c r="FF206" i="1" s="1"/>
  <c r="FD142" i="1"/>
  <c r="FF142" i="1" s="1"/>
  <c r="FD78" i="1"/>
  <c r="FF78" i="1" s="1"/>
  <c r="FD438" i="1"/>
  <c r="FF438" i="1" s="1"/>
  <c r="FD382" i="1"/>
  <c r="FF382" i="1" s="1"/>
  <c r="FD333" i="1"/>
  <c r="FF333" i="1" s="1"/>
  <c r="FD326" i="1"/>
  <c r="FF326" i="1" s="1"/>
  <c r="FD262" i="1"/>
  <c r="FF262" i="1" s="1"/>
  <c r="FD198" i="1"/>
  <c r="FF198" i="1" s="1"/>
  <c r="FD134" i="1"/>
  <c r="FF134" i="1" s="1"/>
  <c r="FD70" i="1"/>
  <c r="FF70" i="1" s="1"/>
  <c r="FD406" i="1"/>
  <c r="FF406" i="1" s="1"/>
  <c r="FD430" i="1"/>
  <c r="FF430" i="1" s="1"/>
  <c r="FD374" i="1"/>
  <c r="FF374" i="1" s="1"/>
  <c r="FD62" i="1"/>
  <c r="FF62" i="1" s="1"/>
  <c r="FD318" i="1"/>
  <c r="FF318" i="1" s="1"/>
  <c r="FD254" i="1"/>
  <c r="FF254" i="1" s="1"/>
  <c r="FD190" i="1"/>
  <c r="FF190" i="1" s="1"/>
  <c r="FD126" i="1"/>
  <c r="FF126" i="1" s="1"/>
  <c r="FD54" i="1"/>
  <c r="FF54" i="1" s="1"/>
  <c r="FD158" i="1"/>
  <c r="FF158" i="1" s="1"/>
  <c r="FD422" i="1"/>
  <c r="FF422" i="1" s="1"/>
  <c r="FD373" i="1"/>
  <c r="FF373" i="1" s="1"/>
  <c r="FD46" i="1"/>
  <c r="FF46" i="1" s="1"/>
  <c r="FD286" i="1"/>
  <c r="FF286" i="1" s="1"/>
  <c r="FD366" i="1"/>
  <c r="FF366" i="1" s="1"/>
  <c r="FD310" i="1"/>
  <c r="FF310" i="1" s="1"/>
  <c r="FD246" i="1"/>
  <c r="FF246" i="1" s="1"/>
  <c r="FD182" i="1"/>
  <c r="FF182" i="1" s="1"/>
  <c r="FD118" i="1"/>
  <c r="FF118" i="1" s="1"/>
  <c r="FD38" i="1"/>
  <c r="FF38" i="1" s="1"/>
  <c r="FD421" i="1"/>
  <c r="FF421" i="1" s="1"/>
  <c r="FD30" i="1"/>
  <c r="FF30" i="1" s="1"/>
  <c r="FD414" i="1"/>
  <c r="FF414" i="1" s="1"/>
  <c r="FD358" i="1"/>
  <c r="FF358" i="1" s="1"/>
  <c r="FD302" i="1"/>
  <c r="FF302" i="1" s="1"/>
  <c r="FD238" i="1"/>
  <c r="FF238" i="1" s="1"/>
  <c r="FD174" i="1"/>
  <c r="FF174" i="1" s="1"/>
  <c r="FD110" i="1"/>
  <c r="FF110" i="1" s="1"/>
  <c r="FD22" i="1"/>
  <c r="FF22" i="1" s="1"/>
  <c r="FD222" i="1"/>
  <c r="FF222" i="1" s="1"/>
  <c r="FD14" i="1"/>
  <c r="FF14" i="1" s="1"/>
  <c r="FD309" i="1"/>
  <c r="FF309" i="1" s="1"/>
  <c r="FD412" i="1"/>
  <c r="FF412" i="1" s="1"/>
  <c r="FD364" i="1"/>
  <c r="FF364" i="1" s="1"/>
  <c r="FD308" i="1"/>
  <c r="FF308" i="1" s="1"/>
  <c r="FD284" i="1"/>
  <c r="FF284" i="1" s="1"/>
  <c r="FD212" i="1"/>
  <c r="FF212" i="1" s="1"/>
  <c r="FD84" i="1"/>
  <c r="FF84" i="1" s="1"/>
  <c r="FD439" i="1"/>
  <c r="FF439" i="1" s="1"/>
  <c r="FD445" i="1"/>
  <c r="FF445" i="1" s="1"/>
  <c r="FD437" i="1"/>
  <c r="FF437" i="1" s="1"/>
  <c r="FD429" i="1"/>
  <c r="FF429" i="1" s="1"/>
  <c r="FD405" i="1"/>
  <c r="FF405" i="1" s="1"/>
  <c r="FD397" i="1"/>
  <c r="FF397" i="1" s="1"/>
  <c r="FD389" i="1"/>
  <c r="FF389" i="1" s="1"/>
  <c r="FD381" i="1"/>
  <c r="FF381" i="1" s="1"/>
  <c r="FD365" i="1"/>
  <c r="FF365" i="1" s="1"/>
  <c r="FD349" i="1"/>
  <c r="FF349" i="1" s="1"/>
  <c r="FD341" i="1"/>
  <c r="FF341" i="1" s="1"/>
  <c r="FD325" i="1"/>
  <c r="FF325" i="1" s="1"/>
  <c r="FD277" i="1"/>
  <c r="FF277" i="1" s="1"/>
  <c r="FD269" i="1"/>
  <c r="FF269" i="1" s="1"/>
  <c r="FD261" i="1"/>
  <c r="FF261" i="1" s="1"/>
  <c r="FD253" i="1"/>
  <c r="FF253" i="1" s="1"/>
  <c r="FD245" i="1"/>
  <c r="FF245" i="1" s="1"/>
  <c r="FD237" i="1"/>
  <c r="FF237" i="1" s="1"/>
  <c r="FD229" i="1"/>
  <c r="FF229" i="1" s="1"/>
  <c r="FD221" i="1"/>
  <c r="FF221" i="1" s="1"/>
  <c r="FD213" i="1"/>
  <c r="FF213" i="1" s="1"/>
  <c r="FD205" i="1"/>
  <c r="FF205" i="1" s="1"/>
  <c r="FD197" i="1"/>
  <c r="FF197" i="1" s="1"/>
  <c r="FD189" i="1"/>
  <c r="FF189" i="1" s="1"/>
  <c r="FD181" i="1"/>
  <c r="FF181" i="1" s="1"/>
  <c r="FD173" i="1"/>
  <c r="FF173" i="1" s="1"/>
  <c r="FD165" i="1"/>
  <c r="FF165" i="1" s="1"/>
  <c r="FD157" i="1"/>
  <c r="FF157" i="1" s="1"/>
  <c r="FD149" i="1"/>
  <c r="FF149" i="1" s="1"/>
  <c r="FD141" i="1"/>
  <c r="FF141" i="1" s="1"/>
  <c r="FD133" i="1"/>
  <c r="FF133" i="1" s="1"/>
  <c r="FD125" i="1"/>
  <c r="FF125" i="1" s="1"/>
  <c r="FD117" i="1"/>
  <c r="FF117" i="1" s="1"/>
  <c r="FD109" i="1"/>
  <c r="FF109" i="1" s="1"/>
  <c r="FD101" i="1"/>
  <c r="FF101" i="1" s="1"/>
  <c r="FD93" i="1"/>
  <c r="FF93" i="1" s="1"/>
  <c r="FD85" i="1"/>
  <c r="FF85" i="1" s="1"/>
  <c r="FD77" i="1"/>
  <c r="FF77" i="1" s="1"/>
  <c r="FD69" i="1"/>
  <c r="FF69" i="1" s="1"/>
  <c r="FD61" i="1"/>
  <c r="FF61" i="1" s="1"/>
  <c r="FD53" i="1"/>
  <c r="FF53" i="1" s="1"/>
  <c r="FD45" i="1"/>
  <c r="FF45" i="1" s="1"/>
  <c r="FD37" i="1"/>
  <c r="FF37" i="1" s="1"/>
  <c r="FD29" i="1"/>
  <c r="FF29" i="1" s="1"/>
  <c r="FD21" i="1"/>
  <c r="FF21" i="1" s="1"/>
  <c r="FD13" i="1"/>
  <c r="FF13" i="1" s="1"/>
  <c r="FD285" i="1"/>
  <c r="FF285" i="1" s="1"/>
  <c r="FD388" i="1"/>
  <c r="FF388" i="1" s="1"/>
  <c r="FD236" i="1"/>
  <c r="FF236" i="1" s="1"/>
  <c r="FD172" i="1"/>
  <c r="FF172" i="1" s="1"/>
  <c r="FD148" i="1"/>
  <c r="FF148" i="1" s="1"/>
  <c r="FD132" i="1"/>
  <c r="FF132" i="1" s="1"/>
  <c r="FD124" i="1"/>
  <c r="FF124" i="1" s="1"/>
  <c r="FD116" i="1"/>
  <c r="FF116" i="1" s="1"/>
  <c r="FD108" i="1"/>
  <c r="FF108" i="1" s="1"/>
  <c r="FD100" i="1"/>
  <c r="FF100" i="1" s="1"/>
  <c r="FD92" i="1"/>
  <c r="FF92" i="1" s="1"/>
  <c r="FD12" i="1"/>
  <c r="FF12" i="1" s="1"/>
  <c r="FD293" i="1"/>
  <c r="FF293" i="1" s="1"/>
  <c r="FD404" i="1"/>
  <c r="FF404" i="1" s="1"/>
  <c r="FD340" i="1"/>
  <c r="FF340" i="1" s="1"/>
  <c r="FD292" i="1"/>
  <c r="FF292" i="1" s="1"/>
  <c r="FD276" i="1"/>
  <c r="FF276" i="1" s="1"/>
  <c r="FD220" i="1"/>
  <c r="FF220" i="1" s="1"/>
  <c r="FD180" i="1"/>
  <c r="FF180" i="1" s="1"/>
  <c r="FD140" i="1"/>
  <c r="FF140" i="1" s="1"/>
  <c r="FD20" i="1"/>
  <c r="FF20" i="1" s="1"/>
  <c r="FD443" i="1"/>
  <c r="FF443" i="1" s="1"/>
  <c r="FD435" i="1"/>
  <c r="FF435" i="1" s="1"/>
  <c r="FD419" i="1"/>
  <c r="FF419" i="1" s="1"/>
  <c r="FD411" i="1"/>
  <c r="FF411" i="1" s="1"/>
  <c r="FD403" i="1"/>
  <c r="FF403" i="1" s="1"/>
  <c r="FD395" i="1"/>
  <c r="FF395" i="1" s="1"/>
  <c r="FD387" i="1"/>
  <c r="FF387" i="1" s="1"/>
  <c r="FD379" i="1"/>
  <c r="FF379" i="1" s="1"/>
  <c r="FD371" i="1"/>
  <c r="FF371" i="1" s="1"/>
  <c r="FD363" i="1"/>
  <c r="FF363" i="1" s="1"/>
  <c r="FD355" i="1"/>
  <c r="FF355" i="1" s="1"/>
  <c r="FD347" i="1"/>
  <c r="FF347" i="1" s="1"/>
  <c r="FD339" i="1"/>
  <c r="FF339" i="1" s="1"/>
  <c r="FD331" i="1"/>
  <c r="FF331" i="1" s="1"/>
  <c r="FD323" i="1"/>
  <c r="FF323" i="1" s="1"/>
  <c r="FD315" i="1"/>
  <c r="FF315" i="1" s="1"/>
  <c r="FD307" i="1"/>
  <c r="FF307" i="1" s="1"/>
  <c r="FD299" i="1"/>
  <c r="FF299" i="1" s="1"/>
  <c r="FD291" i="1"/>
  <c r="FF291" i="1" s="1"/>
  <c r="FD283" i="1"/>
  <c r="FF283" i="1" s="1"/>
  <c r="FD275" i="1"/>
  <c r="FF275" i="1" s="1"/>
  <c r="FD267" i="1"/>
  <c r="FF267" i="1" s="1"/>
  <c r="FD259" i="1"/>
  <c r="FF259" i="1" s="1"/>
  <c r="FD251" i="1"/>
  <c r="FF251" i="1" s="1"/>
  <c r="FD243" i="1"/>
  <c r="FF243" i="1" s="1"/>
  <c r="FD235" i="1"/>
  <c r="FF235" i="1" s="1"/>
  <c r="FD227" i="1"/>
  <c r="FF227" i="1" s="1"/>
  <c r="FD219" i="1"/>
  <c r="FF219" i="1" s="1"/>
  <c r="FD211" i="1"/>
  <c r="FF211" i="1" s="1"/>
  <c r="FD203" i="1"/>
  <c r="FF203" i="1" s="1"/>
  <c r="FD195" i="1"/>
  <c r="FF195" i="1" s="1"/>
  <c r="FD187" i="1"/>
  <c r="FF187" i="1" s="1"/>
  <c r="FD179" i="1"/>
  <c r="FF179" i="1" s="1"/>
  <c r="FD171" i="1"/>
  <c r="FF171" i="1" s="1"/>
  <c r="FD163" i="1"/>
  <c r="FF163" i="1" s="1"/>
  <c r="FD155" i="1"/>
  <c r="FF155" i="1" s="1"/>
  <c r="FD147" i="1"/>
  <c r="FF147" i="1" s="1"/>
  <c r="FD139" i="1"/>
  <c r="FF139" i="1" s="1"/>
  <c r="FD131" i="1"/>
  <c r="FF131" i="1" s="1"/>
  <c r="FD123" i="1"/>
  <c r="FF123" i="1" s="1"/>
  <c r="FD115" i="1"/>
  <c r="FF115" i="1" s="1"/>
  <c r="FD107" i="1"/>
  <c r="FF107" i="1" s="1"/>
  <c r="FD99" i="1"/>
  <c r="FF99" i="1" s="1"/>
  <c r="FD91" i="1"/>
  <c r="FF91" i="1" s="1"/>
  <c r="FD83" i="1"/>
  <c r="FF83" i="1" s="1"/>
  <c r="FD75" i="1"/>
  <c r="FF75" i="1" s="1"/>
  <c r="FD67" i="1"/>
  <c r="FF67" i="1" s="1"/>
  <c r="FD59" i="1"/>
  <c r="FF59" i="1" s="1"/>
  <c r="FD51" i="1"/>
  <c r="FF51" i="1" s="1"/>
  <c r="FD43" i="1"/>
  <c r="FF43" i="1" s="1"/>
  <c r="FD35" i="1"/>
  <c r="FF35" i="1" s="1"/>
  <c r="FD27" i="1"/>
  <c r="FF27" i="1" s="1"/>
  <c r="FD19" i="1"/>
  <c r="FF19" i="1" s="1"/>
  <c r="FD11" i="1"/>
  <c r="FF11" i="1" s="1"/>
  <c r="FD156" i="1"/>
  <c r="FF156" i="1" s="1"/>
  <c r="FD427" i="1"/>
  <c r="FF427" i="1" s="1"/>
  <c r="FD317" i="1"/>
  <c r="FF317" i="1" s="1"/>
  <c r="FD420" i="1"/>
  <c r="FF420" i="1" s="1"/>
  <c r="FD300" i="1"/>
  <c r="FF300" i="1" s="1"/>
  <c r="FD260" i="1"/>
  <c r="FF260" i="1" s="1"/>
  <c r="FD196" i="1"/>
  <c r="FF196" i="1" s="1"/>
  <c r="FD68" i="1"/>
  <c r="FF68" i="1" s="1"/>
  <c r="FD442" i="1"/>
  <c r="FF442" i="1" s="1"/>
  <c r="FD434" i="1"/>
  <c r="FF434" i="1" s="1"/>
  <c r="FD426" i="1"/>
  <c r="FF426" i="1" s="1"/>
  <c r="FD418" i="1"/>
  <c r="FF418" i="1" s="1"/>
  <c r="FD410" i="1"/>
  <c r="FF410" i="1" s="1"/>
  <c r="FD402" i="1"/>
  <c r="FF402" i="1" s="1"/>
  <c r="FD394" i="1"/>
  <c r="FF394" i="1" s="1"/>
  <c r="FD386" i="1"/>
  <c r="FF386" i="1" s="1"/>
  <c r="FD378" i="1"/>
  <c r="FF378" i="1" s="1"/>
  <c r="FD370" i="1"/>
  <c r="FF370" i="1" s="1"/>
  <c r="FD362" i="1"/>
  <c r="FF362" i="1" s="1"/>
  <c r="FD354" i="1"/>
  <c r="FF354" i="1" s="1"/>
  <c r="FD346" i="1"/>
  <c r="FF346" i="1" s="1"/>
  <c r="FD338" i="1"/>
  <c r="FF338" i="1" s="1"/>
  <c r="FD330" i="1"/>
  <c r="FF330" i="1" s="1"/>
  <c r="FD322" i="1"/>
  <c r="FF322" i="1" s="1"/>
  <c r="FD314" i="1"/>
  <c r="FF314" i="1" s="1"/>
  <c r="FD306" i="1"/>
  <c r="FF306" i="1" s="1"/>
  <c r="FD298" i="1"/>
  <c r="FF298" i="1" s="1"/>
  <c r="FD290" i="1"/>
  <c r="FF290" i="1" s="1"/>
  <c r="FD282" i="1"/>
  <c r="FF282" i="1" s="1"/>
  <c r="FD274" i="1"/>
  <c r="FF274" i="1" s="1"/>
  <c r="FD266" i="1"/>
  <c r="FF266" i="1" s="1"/>
  <c r="FD258" i="1"/>
  <c r="FF258" i="1" s="1"/>
  <c r="FD250" i="1"/>
  <c r="FF250" i="1" s="1"/>
  <c r="FD242" i="1"/>
  <c r="FF242" i="1" s="1"/>
  <c r="FD234" i="1"/>
  <c r="FF234" i="1" s="1"/>
  <c r="FD226" i="1"/>
  <c r="FF226" i="1" s="1"/>
  <c r="FD218" i="1"/>
  <c r="FF218" i="1" s="1"/>
  <c r="FD210" i="1"/>
  <c r="FF210" i="1" s="1"/>
  <c r="FD202" i="1"/>
  <c r="FF202" i="1" s="1"/>
  <c r="FD194" i="1"/>
  <c r="FF194" i="1" s="1"/>
  <c r="FD186" i="1"/>
  <c r="FF186" i="1" s="1"/>
  <c r="FD178" i="1"/>
  <c r="FF178" i="1" s="1"/>
  <c r="FD170" i="1"/>
  <c r="FF170" i="1" s="1"/>
  <c r="FD162" i="1"/>
  <c r="FF162" i="1" s="1"/>
  <c r="FD154" i="1"/>
  <c r="FF154" i="1" s="1"/>
  <c r="FD146" i="1"/>
  <c r="FF146" i="1" s="1"/>
  <c r="FD138" i="1"/>
  <c r="FF138" i="1" s="1"/>
  <c r="FD130" i="1"/>
  <c r="FF130" i="1" s="1"/>
  <c r="FD122" i="1"/>
  <c r="FF122" i="1" s="1"/>
  <c r="FD114" i="1"/>
  <c r="FF114" i="1" s="1"/>
  <c r="FD106" i="1"/>
  <c r="FF106" i="1" s="1"/>
  <c r="FD98" i="1"/>
  <c r="FF98" i="1" s="1"/>
  <c r="FD90" i="1"/>
  <c r="FF90" i="1" s="1"/>
  <c r="FD82" i="1"/>
  <c r="FF82" i="1" s="1"/>
  <c r="FD74" i="1"/>
  <c r="FF74" i="1" s="1"/>
  <c r="FD66" i="1"/>
  <c r="FF66" i="1" s="1"/>
  <c r="FD58" i="1"/>
  <c r="FF58" i="1" s="1"/>
  <c r="FD50" i="1"/>
  <c r="FF50" i="1" s="1"/>
  <c r="FD42" i="1"/>
  <c r="FF42" i="1" s="1"/>
  <c r="FD34" i="1"/>
  <c r="FF34" i="1" s="1"/>
  <c r="FD26" i="1"/>
  <c r="FF26" i="1" s="1"/>
  <c r="FD18" i="1"/>
  <c r="FF18" i="1" s="1"/>
  <c r="FD10" i="1"/>
  <c r="FF10" i="1" s="1"/>
  <c r="FD380" i="1"/>
  <c r="FF380" i="1" s="1"/>
  <c r="FD244" i="1"/>
  <c r="FF244" i="1" s="1"/>
  <c r="FD60" i="1"/>
  <c r="FF60" i="1" s="1"/>
  <c r="FD356" i="1"/>
  <c r="FF356" i="1" s="1"/>
  <c r="FD164" i="1"/>
  <c r="FF164" i="1" s="1"/>
  <c r="FD36" i="1"/>
  <c r="FF36" i="1" s="1"/>
  <c r="FD441" i="1"/>
  <c r="FF441" i="1" s="1"/>
  <c r="FD433" i="1"/>
  <c r="FF433" i="1" s="1"/>
  <c r="FD425" i="1"/>
  <c r="FF425" i="1" s="1"/>
  <c r="FD417" i="1"/>
  <c r="FF417" i="1" s="1"/>
  <c r="FD409" i="1"/>
  <c r="FF409" i="1" s="1"/>
  <c r="FD401" i="1"/>
  <c r="FF401" i="1" s="1"/>
  <c r="FD393" i="1"/>
  <c r="FF393" i="1" s="1"/>
  <c r="FD385" i="1"/>
  <c r="FF385" i="1" s="1"/>
  <c r="FD377" i="1"/>
  <c r="FF377" i="1" s="1"/>
  <c r="FD369" i="1"/>
  <c r="FF369" i="1" s="1"/>
  <c r="FD361" i="1"/>
  <c r="FF361" i="1" s="1"/>
  <c r="FD353" i="1"/>
  <c r="FF353" i="1" s="1"/>
  <c r="FD345" i="1"/>
  <c r="FF345" i="1" s="1"/>
  <c r="FD337" i="1"/>
  <c r="FF337" i="1" s="1"/>
  <c r="FD329" i="1"/>
  <c r="FF329" i="1" s="1"/>
  <c r="FD321" i="1"/>
  <c r="FF321" i="1" s="1"/>
  <c r="FD313" i="1"/>
  <c r="FF313" i="1" s="1"/>
  <c r="FD305" i="1"/>
  <c r="FF305" i="1" s="1"/>
  <c r="FD297" i="1"/>
  <c r="FF297" i="1" s="1"/>
  <c r="FD289" i="1"/>
  <c r="FF289" i="1" s="1"/>
  <c r="FD281" i="1"/>
  <c r="FF281" i="1" s="1"/>
  <c r="FD273" i="1"/>
  <c r="FF273" i="1" s="1"/>
  <c r="FD265" i="1"/>
  <c r="FF265" i="1" s="1"/>
  <c r="FD257" i="1"/>
  <c r="FF257" i="1" s="1"/>
  <c r="FD249" i="1"/>
  <c r="FF249" i="1" s="1"/>
  <c r="FD241" i="1"/>
  <c r="FF241" i="1" s="1"/>
  <c r="FD233" i="1"/>
  <c r="FF233" i="1" s="1"/>
  <c r="FD225" i="1"/>
  <c r="FF225" i="1" s="1"/>
  <c r="FD217" i="1"/>
  <c r="FF217" i="1" s="1"/>
  <c r="FD209" i="1"/>
  <c r="FF209" i="1" s="1"/>
  <c r="FD201" i="1"/>
  <c r="FF201" i="1" s="1"/>
  <c r="FD193" i="1"/>
  <c r="FF193" i="1" s="1"/>
  <c r="FD185" i="1"/>
  <c r="FF185" i="1" s="1"/>
  <c r="FD177" i="1"/>
  <c r="FF177" i="1" s="1"/>
  <c r="FD169" i="1"/>
  <c r="FF169" i="1" s="1"/>
  <c r="FD161" i="1"/>
  <c r="FF161" i="1" s="1"/>
  <c r="FD153" i="1"/>
  <c r="FF153" i="1" s="1"/>
  <c r="FD145" i="1"/>
  <c r="FF145" i="1" s="1"/>
  <c r="FD137" i="1"/>
  <c r="FF137" i="1" s="1"/>
  <c r="FD129" i="1"/>
  <c r="FF129" i="1" s="1"/>
  <c r="FD121" i="1"/>
  <c r="FF121" i="1" s="1"/>
  <c r="FD113" i="1"/>
  <c r="FF113" i="1" s="1"/>
  <c r="FD105" i="1"/>
  <c r="FF105" i="1" s="1"/>
  <c r="FD97" i="1"/>
  <c r="FF97" i="1" s="1"/>
  <c r="FD89" i="1"/>
  <c r="FF89" i="1" s="1"/>
  <c r="FD81" i="1"/>
  <c r="FF81" i="1" s="1"/>
  <c r="FD73" i="1"/>
  <c r="FF73" i="1" s="1"/>
  <c r="FD65" i="1"/>
  <c r="FF65" i="1" s="1"/>
  <c r="FD57" i="1"/>
  <c r="FF57" i="1" s="1"/>
  <c r="FD49" i="1"/>
  <c r="FF49" i="1" s="1"/>
  <c r="FD41" i="1"/>
  <c r="FF41" i="1" s="1"/>
  <c r="FD33" i="1"/>
  <c r="FF33" i="1" s="1"/>
  <c r="FD25" i="1"/>
  <c r="FF25" i="1" s="1"/>
  <c r="FD17" i="1"/>
  <c r="FF17" i="1" s="1"/>
  <c r="FD9" i="1"/>
  <c r="FF9" i="1" s="1"/>
  <c r="FD396" i="1"/>
  <c r="FF396" i="1" s="1"/>
  <c r="FD332" i="1"/>
  <c r="FF332" i="1" s="1"/>
  <c r="FD268" i="1"/>
  <c r="FF268" i="1" s="1"/>
  <c r="FD228" i="1"/>
  <c r="FF228" i="1" s="1"/>
  <c r="FD188" i="1"/>
  <c r="FF188" i="1" s="1"/>
  <c r="FD28" i="1"/>
  <c r="FF28" i="1" s="1"/>
  <c r="FD301" i="1"/>
  <c r="FF301" i="1" s="1"/>
  <c r="FD444" i="1"/>
  <c r="FF444" i="1" s="1"/>
  <c r="FD348" i="1"/>
  <c r="FF348" i="1" s="1"/>
  <c r="FD204" i="1"/>
  <c r="FF204" i="1" s="1"/>
  <c r="FD44" i="1"/>
  <c r="FF44" i="1" s="1"/>
  <c r="FD440" i="1"/>
  <c r="FF440" i="1" s="1"/>
  <c r="FD432" i="1"/>
  <c r="FF432" i="1" s="1"/>
  <c r="FD424" i="1"/>
  <c r="FF424" i="1" s="1"/>
  <c r="FD416" i="1"/>
  <c r="FF416" i="1" s="1"/>
  <c r="FD408" i="1"/>
  <c r="FF408" i="1" s="1"/>
  <c r="FD400" i="1"/>
  <c r="FF400" i="1" s="1"/>
  <c r="FD392" i="1"/>
  <c r="FF392" i="1" s="1"/>
  <c r="FD384" i="1"/>
  <c r="FF384" i="1" s="1"/>
  <c r="FD376" i="1"/>
  <c r="FF376" i="1" s="1"/>
  <c r="FD368" i="1"/>
  <c r="FF368" i="1" s="1"/>
  <c r="FD360" i="1"/>
  <c r="FF360" i="1" s="1"/>
  <c r="FD352" i="1"/>
  <c r="FF352" i="1" s="1"/>
  <c r="FD344" i="1"/>
  <c r="FF344" i="1" s="1"/>
  <c r="FD336" i="1"/>
  <c r="FF336" i="1" s="1"/>
  <c r="FD328" i="1"/>
  <c r="FF328" i="1" s="1"/>
  <c r="FD320" i="1"/>
  <c r="FF320" i="1" s="1"/>
  <c r="FD312" i="1"/>
  <c r="FF312" i="1" s="1"/>
  <c r="FD304" i="1"/>
  <c r="FF304" i="1" s="1"/>
  <c r="FD296" i="1"/>
  <c r="FF296" i="1" s="1"/>
  <c r="FD288" i="1"/>
  <c r="FF288" i="1" s="1"/>
  <c r="FD280" i="1"/>
  <c r="FF280" i="1" s="1"/>
  <c r="FD272" i="1"/>
  <c r="FF272" i="1" s="1"/>
  <c r="FD264" i="1"/>
  <c r="FF264" i="1" s="1"/>
  <c r="FD256" i="1"/>
  <c r="FF256" i="1" s="1"/>
  <c r="FD248" i="1"/>
  <c r="FF248" i="1" s="1"/>
  <c r="FD240" i="1"/>
  <c r="FF240" i="1" s="1"/>
  <c r="FD232" i="1"/>
  <c r="FF232" i="1" s="1"/>
  <c r="FD224" i="1"/>
  <c r="FF224" i="1" s="1"/>
  <c r="FD216" i="1"/>
  <c r="FF216" i="1" s="1"/>
  <c r="FD208" i="1"/>
  <c r="FF208" i="1" s="1"/>
  <c r="FD200" i="1"/>
  <c r="FF200" i="1" s="1"/>
  <c r="FD192" i="1"/>
  <c r="FF192" i="1" s="1"/>
  <c r="FD184" i="1"/>
  <c r="FF184" i="1" s="1"/>
  <c r="FD176" i="1"/>
  <c r="FF176" i="1" s="1"/>
  <c r="FD168" i="1"/>
  <c r="FF168" i="1" s="1"/>
  <c r="FD160" i="1"/>
  <c r="FF160" i="1" s="1"/>
  <c r="FD152" i="1"/>
  <c r="FF152" i="1" s="1"/>
  <c r="FD144" i="1"/>
  <c r="FF144" i="1" s="1"/>
  <c r="FD136" i="1"/>
  <c r="FF136" i="1" s="1"/>
  <c r="FD128" i="1"/>
  <c r="FF128" i="1" s="1"/>
  <c r="FD120" i="1"/>
  <c r="FF120" i="1" s="1"/>
  <c r="FD112" i="1"/>
  <c r="FF112" i="1" s="1"/>
  <c r="FD104" i="1"/>
  <c r="FF104" i="1" s="1"/>
  <c r="FD96" i="1"/>
  <c r="FF96" i="1" s="1"/>
  <c r="FD88" i="1"/>
  <c r="FF88" i="1" s="1"/>
  <c r="FD80" i="1"/>
  <c r="FF80" i="1" s="1"/>
  <c r="FD72" i="1"/>
  <c r="FF72" i="1" s="1"/>
  <c r="FD64" i="1"/>
  <c r="FF64" i="1" s="1"/>
  <c r="FD56" i="1"/>
  <c r="FF56" i="1" s="1"/>
  <c r="FD48" i="1"/>
  <c r="FF48" i="1" s="1"/>
  <c r="FD40" i="1"/>
  <c r="FF40" i="1" s="1"/>
  <c r="FD32" i="1"/>
  <c r="FF32" i="1" s="1"/>
  <c r="FD24" i="1"/>
  <c r="FF24" i="1" s="1"/>
  <c r="FD16" i="1"/>
  <c r="FF16" i="1" s="1"/>
  <c r="FD8" i="1"/>
  <c r="FF8" i="1" s="1"/>
  <c r="FD436" i="1"/>
  <c r="FF436" i="1" s="1"/>
  <c r="FD324" i="1"/>
  <c r="FF324" i="1" s="1"/>
  <c r="FD52" i="1"/>
  <c r="FF52" i="1" s="1"/>
  <c r="FD428" i="1"/>
  <c r="FF428" i="1" s="1"/>
  <c r="FD372" i="1"/>
  <c r="FF372" i="1" s="1"/>
  <c r="FD316" i="1"/>
  <c r="FF316" i="1" s="1"/>
  <c r="FD252" i="1"/>
  <c r="FF252" i="1" s="1"/>
  <c r="FD76" i="1"/>
  <c r="FF76" i="1" s="1"/>
  <c r="FD447" i="1"/>
  <c r="FF447" i="1" s="1"/>
  <c r="FD431" i="1"/>
  <c r="FF431" i="1" s="1"/>
  <c r="FD423" i="1"/>
  <c r="FF423" i="1" s="1"/>
  <c r="FD415" i="1"/>
  <c r="FF415" i="1" s="1"/>
  <c r="FD407" i="1"/>
  <c r="FF407" i="1" s="1"/>
  <c r="FD399" i="1"/>
  <c r="FF399" i="1" s="1"/>
  <c r="FD391" i="1"/>
  <c r="FF391" i="1" s="1"/>
  <c r="FD383" i="1"/>
  <c r="FF383" i="1" s="1"/>
  <c r="FD375" i="1"/>
  <c r="FF375" i="1" s="1"/>
  <c r="FD367" i="1"/>
  <c r="FF367" i="1" s="1"/>
  <c r="FD359" i="1"/>
  <c r="FF359" i="1" s="1"/>
  <c r="FD351" i="1"/>
  <c r="FF351" i="1" s="1"/>
  <c r="FD343" i="1"/>
  <c r="FF343" i="1" s="1"/>
  <c r="FD335" i="1"/>
  <c r="FF335" i="1" s="1"/>
  <c r="FD327" i="1"/>
  <c r="FF327" i="1" s="1"/>
  <c r="FD319" i="1"/>
  <c r="FF319" i="1" s="1"/>
  <c r="FD311" i="1"/>
  <c r="FF311" i="1" s="1"/>
  <c r="FD303" i="1"/>
  <c r="FF303" i="1" s="1"/>
  <c r="FD295" i="1"/>
  <c r="FF295" i="1" s="1"/>
  <c r="FD287" i="1"/>
  <c r="FF287" i="1" s="1"/>
  <c r="FD279" i="1"/>
  <c r="FF279" i="1" s="1"/>
  <c r="FD271" i="1"/>
  <c r="FF271" i="1" s="1"/>
  <c r="FD263" i="1"/>
  <c r="FF263" i="1" s="1"/>
  <c r="FD255" i="1"/>
  <c r="FF255" i="1" s="1"/>
  <c r="FD247" i="1"/>
  <c r="FF247" i="1" s="1"/>
  <c r="FD239" i="1"/>
  <c r="FF239" i="1" s="1"/>
  <c r="FD231" i="1"/>
  <c r="FF231" i="1" s="1"/>
  <c r="FD223" i="1"/>
  <c r="FF223" i="1" s="1"/>
  <c r="FD215" i="1"/>
  <c r="FF215" i="1" s="1"/>
  <c r="FD207" i="1"/>
  <c r="FF207" i="1" s="1"/>
  <c r="FD199" i="1"/>
  <c r="FF199" i="1" s="1"/>
  <c r="FD191" i="1"/>
  <c r="FF191" i="1" s="1"/>
  <c r="FD183" i="1"/>
  <c r="FF183" i="1" s="1"/>
  <c r="FD175" i="1"/>
  <c r="FF175" i="1" s="1"/>
  <c r="FD167" i="1"/>
  <c r="FF167" i="1" s="1"/>
  <c r="FD159" i="1"/>
  <c r="FF159" i="1" s="1"/>
  <c r="FD151" i="1"/>
  <c r="FF151" i="1" s="1"/>
  <c r="FD143" i="1"/>
  <c r="FF143" i="1" s="1"/>
  <c r="FD135" i="1"/>
  <c r="FF135" i="1" s="1"/>
  <c r="FD127" i="1"/>
  <c r="FF127" i="1" s="1"/>
  <c r="FD119" i="1"/>
  <c r="FF119" i="1" s="1"/>
  <c r="FD111" i="1"/>
  <c r="FF111" i="1" s="1"/>
  <c r="FD103" i="1"/>
  <c r="FF103" i="1" s="1"/>
  <c r="FD95" i="1"/>
  <c r="FF95" i="1" s="1"/>
  <c r="FD87" i="1"/>
  <c r="FF87" i="1" s="1"/>
  <c r="FD79" i="1"/>
  <c r="FF79" i="1" s="1"/>
  <c r="FD71" i="1"/>
  <c r="FF71" i="1" s="1"/>
  <c r="FD63" i="1"/>
  <c r="FF63" i="1" s="1"/>
  <c r="FD55" i="1"/>
  <c r="FF55" i="1" s="1"/>
  <c r="FD47" i="1"/>
  <c r="FF47" i="1" s="1"/>
  <c r="FD39" i="1"/>
  <c r="FF39" i="1" s="1"/>
  <c r="FD31" i="1"/>
  <c r="FF31" i="1" s="1"/>
  <c r="FD23" i="1"/>
  <c r="FF23" i="1" s="1"/>
  <c r="FD15" i="1"/>
  <c r="FF15" i="1" s="1"/>
  <c r="FD7" i="1"/>
  <c r="FF7" i="1" s="1"/>
  <c r="FD6" i="1"/>
  <c r="FF6" i="1" s="1"/>
  <c r="FB390" i="1"/>
  <c r="FB350" i="1"/>
  <c r="FB302" i="1"/>
  <c r="FB270" i="1"/>
  <c r="FB238" i="1"/>
  <c r="FB190" i="1"/>
  <c r="FB134" i="1"/>
  <c r="FB22" i="1"/>
  <c r="FB437" i="1"/>
  <c r="FB13" i="1"/>
  <c r="FB446" i="1"/>
  <c r="FB398" i="1"/>
  <c r="FB262" i="1"/>
  <c r="FB222" i="1"/>
  <c r="FB14" i="1"/>
  <c r="FB357" i="1"/>
  <c r="FB309" i="1"/>
  <c r="FB253" i="1"/>
  <c r="FB125" i="1"/>
  <c r="FB69" i="1"/>
  <c r="FB444" i="1"/>
  <c r="FB436" i="1"/>
  <c r="FB428" i="1"/>
  <c r="FB412" i="1"/>
  <c r="FB404" i="1"/>
  <c r="FB396" i="1"/>
  <c r="FB388" i="1"/>
  <c r="FB380" i="1"/>
  <c r="FB372" i="1"/>
  <c r="FB364" i="1"/>
  <c r="FB356" i="1"/>
  <c r="FB348" i="1"/>
  <c r="FB340" i="1"/>
  <c r="FB332" i="1"/>
  <c r="FB324" i="1"/>
  <c r="FB316" i="1"/>
  <c r="FB308" i="1"/>
  <c r="FB300" i="1"/>
  <c r="FB292" i="1"/>
  <c r="FB284" i="1"/>
  <c r="FB276" i="1"/>
  <c r="FB268" i="1"/>
  <c r="FB260" i="1"/>
  <c r="FB252" i="1"/>
  <c r="FB244" i="1"/>
  <c r="FB236" i="1"/>
  <c r="FB228" i="1"/>
  <c r="FB220" i="1"/>
  <c r="FB212" i="1"/>
  <c r="FB204" i="1"/>
  <c r="FB196" i="1"/>
  <c r="FB188" i="1"/>
  <c r="FB180" i="1"/>
  <c r="FB172" i="1"/>
  <c r="FB164" i="1"/>
  <c r="FB156" i="1"/>
  <c r="FB148" i="1"/>
  <c r="FB140" i="1"/>
  <c r="FB132" i="1"/>
  <c r="FB124" i="1"/>
  <c r="FB116" i="1"/>
  <c r="FB108" i="1"/>
  <c r="FB100" i="1"/>
  <c r="FB92" i="1"/>
  <c r="FB84" i="1"/>
  <c r="FB76" i="1"/>
  <c r="FB68" i="1"/>
  <c r="FB60" i="1"/>
  <c r="FB52" i="1"/>
  <c r="FB44" i="1"/>
  <c r="FB36" i="1"/>
  <c r="FB28" i="1"/>
  <c r="FB20" i="1"/>
  <c r="FB12" i="1"/>
  <c r="FB310" i="1"/>
  <c r="FB214" i="1"/>
  <c r="FB150" i="1"/>
  <c r="FB30" i="1"/>
  <c r="FB413" i="1"/>
  <c r="FB245" i="1"/>
  <c r="FB205" i="1"/>
  <c r="FB165" i="1"/>
  <c r="FB117" i="1"/>
  <c r="FB37" i="1"/>
  <c r="FB420" i="1"/>
  <c r="FB422" i="1"/>
  <c r="FB86" i="1"/>
  <c r="FB405" i="1"/>
  <c r="FB77" i="1"/>
  <c r="FB443" i="1"/>
  <c r="FB435" i="1"/>
  <c r="FB419" i="1"/>
  <c r="FB411" i="1"/>
  <c r="FB403" i="1"/>
  <c r="FB395" i="1"/>
  <c r="FB387" i="1"/>
  <c r="FB379" i="1"/>
  <c r="FB371" i="1"/>
  <c r="FB363" i="1"/>
  <c r="FB355" i="1"/>
  <c r="FB347" i="1"/>
  <c r="FB339" i="1"/>
  <c r="FB331" i="1"/>
  <c r="FB323" i="1"/>
  <c r="FB315" i="1"/>
  <c r="FB307" i="1"/>
  <c r="FB299" i="1"/>
  <c r="FB291" i="1"/>
  <c r="FB283" i="1"/>
  <c r="FB275" i="1"/>
  <c r="FB267" i="1"/>
  <c r="FB259" i="1"/>
  <c r="FB251" i="1"/>
  <c r="FB243" i="1"/>
  <c r="FB235" i="1"/>
  <c r="FB227" i="1"/>
  <c r="FB219" i="1"/>
  <c r="FB211" i="1"/>
  <c r="FB203" i="1"/>
  <c r="FB195" i="1"/>
  <c r="FB187" i="1"/>
  <c r="FB179" i="1"/>
  <c r="FB171" i="1"/>
  <c r="FB163" i="1"/>
  <c r="FB155" i="1"/>
  <c r="FB147" i="1"/>
  <c r="FB139" i="1"/>
  <c r="FB131" i="1"/>
  <c r="FB123" i="1"/>
  <c r="FB115" i="1"/>
  <c r="FB107" i="1"/>
  <c r="FB99" i="1"/>
  <c r="FB91" i="1"/>
  <c r="FB83" i="1"/>
  <c r="FB75" i="1"/>
  <c r="FB67" i="1"/>
  <c r="FB59" i="1"/>
  <c r="FB51" i="1"/>
  <c r="FB43" i="1"/>
  <c r="FB35" i="1"/>
  <c r="FB27" i="1"/>
  <c r="FB19" i="1"/>
  <c r="FB11" i="1"/>
  <c r="FB406" i="1"/>
  <c r="FB342" i="1"/>
  <c r="FB230" i="1"/>
  <c r="FB78" i="1"/>
  <c r="FB389" i="1"/>
  <c r="FB93" i="1"/>
  <c r="FB427" i="1"/>
  <c r="FB318" i="1"/>
  <c r="FB174" i="1"/>
  <c r="FB126" i="1"/>
  <c r="FB62" i="1"/>
  <c r="FB421" i="1"/>
  <c r="FB341" i="1"/>
  <c r="FB285" i="1"/>
  <c r="FB229" i="1"/>
  <c r="FB141" i="1"/>
  <c r="FB21" i="1"/>
  <c r="FB442" i="1"/>
  <c r="FB434" i="1"/>
  <c r="FB426" i="1"/>
  <c r="FB418" i="1"/>
  <c r="FB410" i="1"/>
  <c r="FB402" i="1"/>
  <c r="FB394" i="1"/>
  <c r="FB386" i="1"/>
  <c r="FB378" i="1"/>
  <c r="FB370" i="1"/>
  <c r="FB362" i="1"/>
  <c r="FB354" i="1"/>
  <c r="FB346" i="1"/>
  <c r="FB338" i="1"/>
  <c r="FB330" i="1"/>
  <c r="FB322" i="1"/>
  <c r="FB314" i="1"/>
  <c r="FB306" i="1"/>
  <c r="FB298" i="1"/>
  <c r="FB290" i="1"/>
  <c r="FB282" i="1"/>
  <c r="FB274" i="1"/>
  <c r="FB266" i="1"/>
  <c r="FB258" i="1"/>
  <c r="FB250" i="1"/>
  <c r="FB242" i="1"/>
  <c r="FB234" i="1"/>
  <c r="FB226" i="1"/>
  <c r="FB218" i="1"/>
  <c r="FB210" i="1"/>
  <c r="FB202" i="1"/>
  <c r="FB194" i="1"/>
  <c r="FB186" i="1"/>
  <c r="FB178" i="1"/>
  <c r="FB170" i="1"/>
  <c r="FB162" i="1"/>
  <c r="FB154" i="1"/>
  <c r="FB146" i="1"/>
  <c r="FB138" i="1"/>
  <c r="FB130" i="1"/>
  <c r="FB122" i="1"/>
  <c r="FB114" i="1"/>
  <c r="FB106" i="1"/>
  <c r="FB98" i="1"/>
  <c r="FB90" i="1"/>
  <c r="FB82" i="1"/>
  <c r="FB74" i="1"/>
  <c r="FB66" i="1"/>
  <c r="FB58" i="1"/>
  <c r="FB50" i="1"/>
  <c r="FB42" i="1"/>
  <c r="FB34" i="1"/>
  <c r="FB26" i="1"/>
  <c r="FB18" i="1"/>
  <c r="FB10" i="1"/>
  <c r="FB438" i="1"/>
  <c r="FB414" i="1"/>
  <c r="FB334" i="1"/>
  <c r="FB94" i="1"/>
  <c r="FB293" i="1"/>
  <c r="FB102" i="1"/>
  <c r="FB85" i="1"/>
  <c r="FB441" i="1"/>
  <c r="FB425" i="1"/>
  <c r="FB417" i="1"/>
  <c r="FB409" i="1"/>
  <c r="FB401" i="1"/>
  <c r="FB393" i="1"/>
  <c r="FB385" i="1"/>
  <c r="FB377" i="1"/>
  <c r="FB369" i="1"/>
  <c r="FB361" i="1"/>
  <c r="FB353" i="1"/>
  <c r="FB345" i="1"/>
  <c r="FB337" i="1"/>
  <c r="FB329" i="1"/>
  <c r="FB321" i="1"/>
  <c r="FB313" i="1"/>
  <c r="FB305" i="1"/>
  <c r="FB297" i="1"/>
  <c r="FB289" i="1"/>
  <c r="FB281" i="1"/>
  <c r="FB273" i="1"/>
  <c r="FB265" i="1"/>
  <c r="FB257" i="1"/>
  <c r="FB249" i="1"/>
  <c r="FB241" i="1"/>
  <c r="FB233" i="1"/>
  <c r="FB225" i="1"/>
  <c r="FB217" i="1"/>
  <c r="FB209" i="1"/>
  <c r="FB201" i="1"/>
  <c r="FB193" i="1"/>
  <c r="FB185" i="1"/>
  <c r="FB177" i="1"/>
  <c r="FB169" i="1"/>
  <c r="FB161" i="1"/>
  <c r="FB153" i="1"/>
  <c r="FB145" i="1"/>
  <c r="FB137" i="1"/>
  <c r="FB129" i="1"/>
  <c r="FB121" i="1"/>
  <c r="FB113" i="1"/>
  <c r="FB105" i="1"/>
  <c r="FB97" i="1"/>
  <c r="FB89" i="1"/>
  <c r="FB81" i="1"/>
  <c r="FB73" i="1"/>
  <c r="FB65" i="1"/>
  <c r="FB57" i="1"/>
  <c r="FB49" i="1"/>
  <c r="FB41" i="1"/>
  <c r="FB33" i="1"/>
  <c r="FB25" i="1"/>
  <c r="FB17" i="1"/>
  <c r="FB9" i="1"/>
  <c r="FB366" i="1"/>
  <c r="FB294" i="1"/>
  <c r="FB254" i="1"/>
  <c r="FB182" i="1"/>
  <c r="FB110" i="1"/>
  <c r="FB70" i="1"/>
  <c r="FB429" i="1"/>
  <c r="FB325" i="1"/>
  <c r="FB261" i="1"/>
  <c r="FB221" i="1"/>
  <c r="FB189" i="1"/>
  <c r="FB157" i="1"/>
  <c r="FB133" i="1"/>
  <c r="FB109" i="1"/>
  <c r="FB45" i="1"/>
  <c r="FB433" i="1"/>
  <c r="FB430" i="1"/>
  <c r="FB382" i="1"/>
  <c r="FB246" i="1"/>
  <c r="FB198" i="1"/>
  <c r="FB142" i="1"/>
  <c r="FB38" i="1"/>
  <c r="FB381" i="1"/>
  <c r="FB365" i="1"/>
  <c r="FB333" i="1"/>
  <c r="FB277" i="1"/>
  <c r="FB237" i="1"/>
  <c r="FB181" i="1"/>
  <c r="FB61" i="1"/>
  <c r="FB432" i="1"/>
  <c r="FB424" i="1"/>
  <c r="FB416" i="1"/>
  <c r="FB408" i="1"/>
  <c r="FB400" i="1"/>
  <c r="FB392" i="1"/>
  <c r="FB384" i="1"/>
  <c r="FB376" i="1"/>
  <c r="FB368" i="1"/>
  <c r="FB360" i="1"/>
  <c r="FB352" i="1"/>
  <c r="FB344" i="1"/>
  <c r="FB336" i="1"/>
  <c r="FB328" i="1"/>
  <c r="FB320" i="1"/>
  <c r="FB312" i="1"/>
  <c r="FB304" i="1"/>
  <c r="FB296" i="1"/>
  <c r="FB288" i="1"/>
  <c r="FB280" i="1"/>
  <c r="FB272" i="1"/>
  <c r="FB264" i="1"/>
  <c r="FB256" i="1"/>
  <c r="FB248" i="1"/>
  <c r="FB240" i="1"/>
  <c r="FB232" i="1"/>
  <c r="FB224" i="1"/>
  <c r="FB216" i="1"/>
  <c r="FB208" i="1"/>
  <c r="FB200" i="1"/>
  <c r="FB192" i="1"/>
  <c r="FB184" i="1"/>
  <c r="FB176" i="1"/>
  <c r="FB168" i="1"/>
  <c r="FB160" i="1"/>
  <c r="FB152" i="1"/>
  <c r="FB144" i="1"/>
  <c r="FB136" i="1"/>
  <c r="FB128" i="1"/>
  <c r="FB120" i="1"/>
  <c r="FB112" i="1"/>
  <c r="FB104" i="1"/>
  <c r="FB96" i="1"/>
  <c r="FB88" i="1"/>
  <c r="FB80" i="1"/>
  <c r="FB72" i="1"/>
  <c r="FB64" i="1"/>
  <c r="FB56" i="1"/>
  <c r="FB48" i="1"/>
  <c r="FB40" i="1"/>
  <c r="FB32" i="1"/>
  <c r="FB24" i="1"/>
  <c r="FB16" i="1"/>
  <c r="FB8" i="1"/>
  <c r="FB374" i="1"/>
  <c r="FB286" i="1"/>
  <c r="FB166" i="1"/>
  <c r="FB54" i="1"/>
  <c r="FB301" i="1"/>
  <c r="FB197" i="1"/>
  <c r="FB53" i="1"/>
  <c r="FB440" i="1"/>
  <c r="FB358" i="1"/>
  <c r="FB326" i="1"/>
  <c r="FB278" i="1"/>
  <c r="FB206" i="1"/>
  <c r="FB158" i="1"/>
  <c r="FB118" i="1"/>
  <c r="FB46" i="1"/>
  <c r="FB445" i="1"/>
  <c r="FB397" i="1"/>
  <c r="FB373" i="1"/>
  <c r="FB349" i="1"/>
  <c r="FB317" i="1"/>
  <c r="FB269" i="1"/>
  <c r="FB213" i="1"/>
  <c r="FB173" i="1"/>
  <c r="FB149" i="1"/>
  <c r="FB101" i="1"/>
  <c r="FB29" i="1"/>
  <c r="FB447" i="1"/>
  <c r="FB439" i="1"/>
  <c r="FB431" i="1"/>
  <c r="FB423" i="1"/>
  <c r="FB415" i="1"/>
  <c r="FB407" i="1"/>
  <c r="FB399" i="1"/>
  <c r="FB391" i="1"/>
  <c r="FB383" i="1"/>
  <c r="FB375" i="1"/>
  <c r="FB367" i="1"/>
  <c r="FB359" i="1"/>
  <c r="FB351" i="1"/>
  <c r="FB343" i="1"/>
  <c r="FB335" i="1"/>
  <c r="FB327" i="1"/>
  <c r="FB319" i="1"/>
  <c r="FB311" i="1"/>
  <c r="FB303" i="1"/>
  <c r="FB295" i="1"/>
  <c r="FB287" i="1"/>
  <c r="FB279" i="1"/>
  <c r="FB271" i="1"/>
  <c r="FB263" i="1"/>
  <c r="FB255" i="1"/>
  <c r="FB247" i="1"/>
  <c r="FB239" i="1"/>
  <c r="FB231" i="1"/>
  <c r="FB223" i="1"/>
  <c r="FB215" i="1"/>
  <c r="FB207" i="1"/>
  <c r="FB199" i="1"/>
  <c r="FB191" i="1"/>
  <c r="FB183" i="1"/>
  <c r="FB175" i="1"/>
  <c r="FB167" i="1"/>
  <c r="FB159" i="1"/>
  <c r="FB151" i="1"/>
  <c r="FB143" i="1"/>
  <c r="FB135" i="1"/>
  <c r="FB127" i="1"/>
  <c r="FB119" i="1"/>
  <c r="FB111" i="1"/>
  <c r="FB103" i="1"/>
  <c r="FB95" i="1"/>
  <c r="FB87" i="1"/>
  <c r="FB79" i="1"/>
  <c r="FB71" i="1"/>
  <c r="FB63" i="1"/>
  <c r="FB55" i="1"/>
  <c r="FB47" i="1"/>
  <c r="FB39" i="1"/>
  <c r="FB31" i="1"/>
  <c r="FB23" i="1"/>
  <c r="FB15" i="1"/>
  <c r="FB7" i="1"/>
  <c r="FB6" i="1"/>
  <c r="CI15" i="1" l="1"/>
  <c r="CI16" i="1"/>
  <c r="CI17" i="1"/>
  <c r="CI18" i="1"/>
  <c r="CI19" i="1"/>
  <c r="CI5" i="1"/>
  <c r="CI6" i="1"/>
  <c r="CI7" i="1"/>
  <c r="CI8" i="1"/>
  <c r="CI9" i="1"/>
  <c r="CI4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H17" i="1" s="1"/>
  <c r="CF18" i="1"/>
  <c r="CH18" i="1" s="1"/>
  <c r="CF19" i="1"/>
  <c r="CH19" i="1" s="1"/>
  <c r="CF4" i="1"/>
  <c r="CG4" i="1" s="1"/>
  <c r="CG19" i="1" l="1"/>
  <c r="CG15" i="1"/>
  <c r="CG16" i="1"/>
  <c r="CG17" i="1"/>
  <c r="CG18" i="1"/>
  <c r="CH4" i="1"/>
  <c r="CH9" i="1"/>
  <c r="CH7" i="1"/>
  <c r="CH6" i="1"/>
  <c r="CH5" i="1"/>
  <c r="CH8" i="1"/>
  <c r="BQ7" i="1"/>
  <c r="BQ8" i="1"/>
  <c r="BQ9" i="1"/>
  <c r="BQ10" i="1"/>
  <c r="BQ11" i="1"/>
  <c r="BQ12" i="1"/>
  <c r="BQ13" i="1"/>
  <c r="BQ14" i="1"/>
  <c r="BQ15" i="1"/>
  <c r="BQ6" i="1"/>
  <c r="X15" i="1" l="1"/>
  <c r="X14" i="1"/>
  <c r="X13" i="1"/>
  <c r="X12" i="1"/>
  <c r="X11" i="1"/>
  <c r="X10" i="1"/>
  <c r="X9" i="1"/>
  <c r="X8" i="1"/>
  <c r="X7" i="1"/>
  <c r="X6" i="1"/>
  <c r="E21" i="6" l="1"/>
  <c r="J32" i="6" s="1"/>
  <c r="J33" i="6" s="1"/>
  <c r="K3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74A077-5306-4E51-BE81-FAF1A1651208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<sst xmlns="http://schemas.openxmlformats.org/spreadsheetml/2006/main" count="1526" uniqueCount="922">
  <si>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</si>
  <si>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</si>
  <si>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</si>
  <si>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</si>
  <si>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</si>
  <si>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</si>
  <si>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</si>
  <si>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</si>
  <si>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</si>
  <si>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</si>
  <si>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</si>
  <si>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</si>
  <si>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</si>
  <si>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</si>
  <si>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</si>
  <si>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</si>
  <si>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</si>
  <si>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</si>
  <si>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</si>
  <si>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</si>
  <si>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</si>
  <si>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</si>
  <si>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t>A</t>
  </si>
  <si>
    <t>Đặc Trưng Hình Học</t>
  </si>
  <si>
    <t>B. QUY TRÌNH TÍNH TOÁN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</si>
  <si>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</si>
  <si>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</si>
  <si>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2. Vật Liệu - Đặc Trưng Hình Học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</si>
  <si>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</si>
  <si>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</si>
  <si>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</si>
  <si>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</si>
  <si>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</si>
  <si>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</si>
  <si>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</si>
  <si>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</si>
  <si>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t>B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</si>
  <si>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</si>
  <si>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</si>
  <si>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</si>
  <si>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</si>
  <si>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</si>
  <si>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</si>
  <si>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</si>
  <si>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</si>
  <si>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D</t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</si>
  <si>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</si>
  <si>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</si>
  <si>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</si>
  <si>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</si>
  <si>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</si>
  <si>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</si>
  <si>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</si>
  <si>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</si>
  <si>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</si>
  <si>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</si>
  <si>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</si>
  <si>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</si>
  <si>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</si>
  <si>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</si>
  <si>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</si>
  <si>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</si>
  <si>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</si>
  <si>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</si>
  <si>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</si>
  <si>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</si>
  <si>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</si>
  <si>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</si>
  <si>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</si>
  <si>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</si>
  <si>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</si>
  <si>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</si>
  <si>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</si>
  <si>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</si>
  <si>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</si>
  <si>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</si>
  <si>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</si>
  <si>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</si>
  <si>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</si>
  <si>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</si>
  <si>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</si>
  <si>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</si>
  <si>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</si>
  <si>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</si>
  <si>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</si>
  <si>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</si>
  <si>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</si>
  <si>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</si>
  <si>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</si>
  <si>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</si>
  <si>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</si>
  <si>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</si>
  <si>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</si>
  <si>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</si>
  <si>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</si>
  <si>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</si>
  <si>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</si>
  <si>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</si>
  <si>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</si>
  <si>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</si>
  <si>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</si>
  <si>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</si>
  <si>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</si>
  <si>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</si>
  <si>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</si>
  <si>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</si>
  <si>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</si>
  <si>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</si>
  <si>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</si>
  <si>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</si>
  <si>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</si>
  <si>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</si>
  <si>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</si>
  <si>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</si>
  <si>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</si>
  <si>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</si>
  <si>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</si>
  <si>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</si>
  <si>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</si>
  <si>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</si>
  <si>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</si>
  <si>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</si>
  <si>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</si>
  <si>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</si>
  <si>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</si>
  <si>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</si>
  <si>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</si>
  <si>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</si>
  <si>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</si>
  <si>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</si>
  <si>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</si>
  <si>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</si>
  <si>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</si>
  <si>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</si>
  <si>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H</t>
  </si>
  <si>
    <t>Diện tích</t>
  </si>
  <si>
    <t>Loại xà gồ</t>
  </si>
  <si>
    <t>Ký hiệu</t>
  </si>
  <si>
    <t>Kích thước hình học</t>
  </si>
  <si>
    <t>L</t>
  </si>
  <si>
    <t>t</t>
  </si>
  <si>
    <t>Trọng tâm</t>
  </si>
  <si>
    <t>x</t>
  </si>
  <si>
    <t>y</t>
  </si>
  <si>
    <t>S</t>
  </si>
  <si>
    <t>Trọng lượng</t>
  </si>
  <si>
    <t>P</t>
  </si>
  <si>
    <t>kg/m</t>
  </si>
  <si>
    <t>Jx</t>
  </si>
  <si>
    <t>Jy</t>
  </si>
  <si>
    <t>cm4</t>
  </si>
  <si>
    <t>Wx</t>
  </si>
  <si>
    <t>Wy</t>
  </si>
  <si>
    <t>cm3</t>
  </si>
  <si>
    <t>Moment
quán tính</t>
  </si>
  <si>
    <t>Moment
kháng uốn</t>
  </si>
  <si>
    <t>XG C</t>
  </si>
  <si>
    <t>XG Z</t>
  </si>
  <si>
    <t>Vật liệu</t>
  </si>
  <si>
    <t>m</t>
  </si>
  <si>
    <t>Z150x62x68x18x1.8</t>
  </si>
  <si>
    <t>Z150x62x68x18x2</t>
  </si>
  <si>
    <t>Z150x62x68x18x2.3</t>
  </si>
  <si>
    <t>Z150x62x68x18x2.5</t>
  </si>
  <si>
    <t>Z150x62x68x18x3</t>
  </si>
  <si>
    <t>Z200x62x68x20x1.8</t>
  </si>
  <si>
    <t>Z200x62x68x20x2</t>
  </si>
  <si>
    <t>Z200x62x68x20x2.3</t>
  </si>
  <si>
    <t>Z200x62x68x20x2.5</t>
  </si>
  <si>
    <t>Z200x62x68x20x3</t>
  </si>
  <si>
    <t>Z150x72x78x18x1.8</t>
  </si>
  <si>
    <t>Z150x72x78x18x2</t>
  </si>
  <si>
    <t>Z150x72x78x18x2.3</t>
  </si>
  <si>
    <t>Z150x72x78x18x2.5</t>
  </si>
  <si>
    <t>Z150x72x78x18x3</t>
  </si>
  <si>
    <t>Z200x72x78x20x1.8</t>
  </si>
  <si>
    <t>Z200x72x78x20x2</t>
  </si>
  <si>
    <t>Z200x72x78x20x2.3</t>
  </si>
  <si>
    <t>Z200x72x78x20x2.5</t>
  </si>
  <si>
    <t>Z200x72x78x20x3</t>
  </si>
  <si>
    <t>Z250x72x78x20x1.8</t>
  </si>
  <si>
    <t>Z250x72x78x20x2</t>
  </si>
  <si>
    <t>Z250x72x78x20x2.3</t>
  </si>
  <si>
    <t>Z250x72x78x20x2.5</t>
  </si>
  <si>
    <t>Z250x72x78x20x3</t>
  </si>
  <si>
    <t>Z300x72x78x20x1.8</t>
  </si>
  <si>
    <t>Z300x72x78x20x2</t>
  </si>
  <si>
    <t>Z300x72x78x20x2.3</t>
  </si>
  <si>
    <t>Z300x72x78x20x2.5</t>
  </si>
  <si>
    <t>Z300x72x78x20x3</t>
  </si>
  <si>
    <t>W1</t>
  </si>
  <si>
    <t>W2</t>
  </si>
  <si>
    <t>C80x50x15x1.8</t>
  </si>
  <si>
    <t>C80x50x15x2</t>
  </si>
  <si>
    <t>C80x50x15x2.3</t>
  </si>
  <si>
    <t>C80x50x15x2.5</t>
  </si>
  <si>
    <t>C80x50x15x3</t>
  </si>
  <si>
    <t>C100x50x15x1.8</t>
  </si>
  <si>
    <t>C100x50x15x2</t>
  </si>
  <si>
    <t>C100x50x15x2.3</t>
  </si>
  <si>
    <t>C100x50x15x2.5</t>
  </si>
  <si>
    <t>C100x50x15x3</t>
  </si>
  <si>
    <t>C125x50x18x1.8</t>
  </si>
  <si>
    <t>C125x50x18x2</t>
  </si>
  <si>
    <t>C125x50x18x2.3</t>
  </si>
  <si>
    <t>C125x50x18x2.5</t>
  </si>
  <si>
    <t>C125x50x18x3</t>
  </si>
  <si>
    <t>C150x50x18x1.8</t>
  </si>
  <si>
    <t>C150x50x18x2</t>
  </si>
  <si>
    <t>C150x50x18x2.3</t>
  </si>
  <si>
    <t>C150x50x18x2.5</t>
  </si>
  <si>
    <t>C150x50x18x3</t>
  </si>
  <si>
    <t>C150x65x18x1.8</t>
  </si>
  <si>
    <t>C150x65x18x2</t>
  </si>
  <si>
    <t>C150x65x18x2.3</t>
  </si>
  <si>
    <t>C150x65x18x2.5</t>
  </si>
  <si>
    <t>C150x65x18x3</t>
  </si>
  <si>
    <t>C175x65x20x1.8</t>
  </si>
  <si>
    <t>C175x65x20x2</t>
  </si>
  <si>
    <t>C175x65x20x2.3</t>
  </si>
  <si>
    <t>C175x65x20x2.5</t>
  </si>
  <si>
    <t>C175x65x20x3</t>
  </si>
  <si>
    <t>C200x65x20x1.8</t>
  </si>
  <si>
    <t>C200x65x20x2</t>
  </si>
  <si>
    <t>C200x65x20x2.3</t>
  </si>
  <si>
    <t>C200x65x20x2.5</t>
  </si>
  <si>
    <t>C200x65x20x3</t>
  </si>
  <si>
    <t>C250x65x20x1.8</t>
  </si>
  <si>
    <t>C250x65x20x2</t>
  </si>
  <si>
    <t>C250x65x20x2.3</t>
  </si>
  <si>
    <t>C250x65x20x2.5</t>
  </si>
  <si>
    <t>C250x65x20x3</t>
  </si>
  <si>
    <t>C300x65x20x1.8</t>
  </si>
  <si>
    <t>C300x65x20x2</t>
  </si>
  <si>
    <t>C300x65x20x2.3</t>
  </si>
  <si>
    <t>C300x65x20x2.5</t>
  </si>
  <si>
    <t>C300x65x20x3</t>
  </si>
  <si>
    <t>Wy,min</t>
  </si>
  <si>
    <r>
      <t>cm</t>
    </r>
    <r>
      <rPr>
        <b/>
        <vertAlign val="superscript"/>
        <sz val="10"/>
        <color theme="0"/>
        <rFont val="Arial"/>
        <family val="2"/>
      </rPr>
      <t>2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</si>
  <si>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</si>
  <si>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</si>
  <si>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t>I</t>
  </si>
  <si>
    <t>Hộp-12x0.5</t>
  </si>
  <si>
    <t>Hộp-12x0.6</t>
  </si>
  <si>
    <t>Hộp-12x0.7</t>
  </si>
  <si>
    <t>Hộp-12x0.8</t>
  </si>
  <si>
    <t>Hộp-12x0.9</t>
  </si>
  <si>
    <t>Hộp-12x1</t>
  </si>
  <si>
    <t>Hộp-12x1.1</t>
  </si>
  <si>
    <t>Hộp-12x1.2</t>
  </si>
  <si>
    <t>Hộp-14x0.5</t>
  </si>
  <si>
    <t>Hộp-14x0.6</t>
  </si>
  <si>
    <t>Hộp-14x0.7</t>
  </si>
  <si>
    <t>Hộp-14x0.8</t>
  </si>
  <si>
    <t>Hộp-14x0.9</t>
  </si>
  <si>
    <t>Hộp-14x1</t>
  </si>
  <si>
    <t>Hộp-14x1.1</t>
  </si>
  <si>
    <t>Hộp-14x1.2</t>
  </si>
  <si>
    <t>Hộp-14x1.4</t>
  </si>
  <si>
    <t>Hộp-16x0.5</t>
  </si>
  <si>
    <t>Hộp-16x0.6</t>
  </si>
  <si>
    <t>Hộp-16x0.7</t>
  </si>
  <si>
    <t>Hộp-16x0.8</t>
  </si>
  <si>
    <t>Hộp-16x0.9</t>
  </si>
  <si>
    <t>Hộp-16x1</t>
  </si>
  <si>
    <t>Hộp-16x1.1</t>
  </si>
  <si>
    <t>Hộp-16x1.2</t>
  </si>
  <si>
    <t>Hộp-16x1.4</t>
  </si>
  <si>
    <t>Hộp-13x26x0.6</t>
  </si>
  <si>
    <t>Hộp-13x26x0.7</t>
  </si>
  <si>
    <t>Hộp-13x26x0.8</t>
  </si>
  <si>
    <t>Hộp-13x26x0.9</t>
  </si>
  <si>
    <t>Hộp-13x26x1</t>
  </si>
  <si>
    <t>Hộp-13x26x1.1</t>
  </si>
  <si>
    <t>Hộp-13x26x1.2</t>
  </si>
  <si>
    <t>Hộp-13x26x1.4</t>
  </si>
  <si>
    <t>Hộp-13x26x1.5</t>
  </si>
  <si>
    <t>Hộp-13x26x1.6</t>
  </si>
  <si>
    <t>Hộp-10x30x0.6</t>
  </si>
  <si>
    <t>Hộp-10x30x0.7</t>
  </si>
  <si>
    <t>Hộp-10x30x0.8</t>
  </si>
  <si>
    <t>Hộp-10x30x0.9</t>
  </si>
  <si>
    <t>Hộp-10x30x1</t>
  </si>
  <si>
    <t>Hộp-10x30x1.1</t>
  </si>
  <si>
    <t>Hộp-10x30x1.2</t>
  </si>
  <si>
    <t>Hộp-10x30x1.4</t>
  </si>
  <si>
    <t>Hộp-10x30x1.5</t>
  </si>
  <si>
    <t>Hộp-10x30x1.6</t>
  </si>
  <si>
    <t>Hộp-10x30x1.7</t>
  </si>
  <si>
    <t>Hộp-10x30x1.8</t>
  </si>
  <si>
    <t>Hộp-10x30x1.9</t>
  </si>
  <si>
    <t>Hộp-10x30x2</t>
  </si>
  <si>
    <t>Hộp-20x0.6</t>
  </si>
  <si>
    <t>Hộp-20x0.7</t>
  </si>
  <si>
    <t>Hộp-20x0.8</t>
  </si>
  <si>
    <t>Hộp-20x0.9</t>
  </si>
  <si>
    <t>Hộp-20x1</t>
  </si>
  <si>
    <t>Hộp-20x1.1</t>
  </si>
  <si>
    <t>Hộp-20x1.2</t>
  </si>
  <si>
    <t>Hộp-20x1.4</t>
  </si>
  <si>
    <t>Hộp-20x1.5</t>
  </si>
  <si>
    <t>Hộp-20x1.6</t>
  </si>
  <si>
    <t>Hộp-20x1.7</t>
  </si>
  <si>
    <t>Hộp-20x1.8</t>
  </si>
  <si>
    <t>Hộp-20x1.9</t>
  </si>
  <si>
    <t>Hộp-20x2</t>
  </si>
  <si>
    <t>Hộp-20x30x0.7</t>
  </si>
  <si>
    <t>Hộp-20x30x0.8</t>
  </si>
  <si>
    <t>Hộp-20x30x0.9</t>
  </si>
  <si>
    <t>Hộp-20x30x1</t>
  </si>
  <si>
    <t>Hộp-20x30x1.1</t>
  </si>
  <si>
    <t>Hộp-20x30x1.2</t>
  </si>
  <si>
    <t>Hộp-20x30x1.4</t>
  </si>
  <si>
    <t>Hộp-20x30x1.5</t>
  </si>
  <si>
    <t>Hộp-20x30x1.6</t>
  </si>
  <si>
    <t>Hộp-20x30x1.7</t>
  </si>
  <si>
    <t>Hộp-20x30x1.8</t>
  </si>
  <si>
    <t>Hộp-20x30x1.9</t>
  </si>
  <si>
    <t>Hộp-20x30x2</t>
  </si>
  <si>
    <t>Hộp-25x0.7</t>
  </si>
  <si>
    <t>Hộp-25x0.8</t>
  </si>
  <si>
    <t>Hộp-25x0.9</t>
  </si>
  <si>
    <t>Hộp-25x1</t>
  </si>
  <si>
    <t>Hộp-25x1.1</t>
  </si>
  <si>
    <t>Hộp-25x1.2</t>
  </si>
  <si>
    <t>Hộp-25x1.4</t>
  </si>
  <si>
    <t>Hộp-25x1.5</t>
  </si>
  <si>
    <t>Hộp-25x1.6</t>
  </si>
  <si>
    <t>Hộp-25x1.7</t>
  </si>
  <si>
    <t>Hộp-25x1.8</t>
  </si>
  <si>
    <t>Hộp-25x1.9</t>
  </si>
  <si>
    <t>Hộp-25x2</t>
  </si>
  <si>
    <t>Hộp-20x40x0.7</t>
  </si>
  <si>
    <t>Hộp-20x40x0.8</t>
  </si>
  <si>
    <t>Hộp-20x40x0.9</t>
  </si>
  <si>
    <t>Hộp-20x40x1</t>
  </si>
  <si>
    <t>Hộp-20x40x1.1</t>
  </si>
  <si>
    <t>Hộp-20x40x1.2</t>
  </si>
  <si>
    <t>Hộp-20x40x1.4</t>
  </si>
  <si>
    <t>Hộp-20x40x1.5</t>
  </si>
  <si>
    <t>Hộp-20x40x1.6</t>
  </si>
  <si>
    <t>Hộp-20x40x1.7</t>
  </si>
  <si>
    <t>Hộp-20x40x1.8</t>
  </si>
  <si>
    <t>Hộp-20x40x1.9</t>
  </si>
  <si>
    <t>Hộp-20x40x2</t>
  </si>
  <si>
    <t>Hộp-20x40x2.1</t>
  </si>
  <si>
    <t>Hộp-20x40x2.2</t>
  </si>
  <si>
    <t>Hộp-20x40x2.3</t>
  </si>
  <si>
    <t>Hộp-20x40x2.4</t>
  </si>
  <si>
    <t>Hộp-30x0.7</t>
  </si>
  <si>
    <t>Hộp-30x0.8</t>
  </si>
  <si>
    <t>Hộp-30x0.9</t>
  </si>
  <si>
    <t>Hộp-30x1</t>
  </si>
  <si>
    <t>Hộp-30x1.1</t>
  </si>
  <si>
    <t>Hộp-30x1.2</t>
  </si>
  <si>
    <t>Hộp-30x1.4</t>
  </si>
  <si>
    <t>Hộp-30x1.5</t>
  </si>
  <si>
    <t>Hộp-30x1.6</t>
  </si>
  <si>
    <t>Hộp-30x1.7</t>
  </si>
  <si>
    <t>Hộp-30x1.8</t>
  </si>
  <si>
    <t>Hộp-30x1.9</t>
  </si>
  <si>
    <t>Hộp-30x2</t>
  </si>
  <si>
    <t>Hộp-30x2.1</t>
  </si>
  <si>
    <t>Hộp-30x2.2</t>
  </si>
  <si>
    <t>Hộp-30x2.3</t>
  </si>
  <si>
    <t>Hộp-30x2.4</t>
  </si>
  <si>
    <t>Hộp-25x50x0.7</t>
  </si>
  <si>
    <t>Hộp-25x50x0.8</t>
  </si>
  <si>
    <t>Hộp-25x50x0.9</t>
  </si>
  <si>
    <t>Hộp-25x50x1</t>
  </si>
  <si>
    <t>Hộp-25x50x1.1</t>
  </si>
  <si>
    <t>Hộp-25x50x1.2</t>
  </si>
  <si>
    <t>Hộp-25x50x1.4</t>
  </si>
  <si>
    <t>Hộp-25x50x1.5</t>
  </si>
  <si>
    <t>Hộp-25x50x1.6</t>
  </si>
  <si>
    <t>Hộp-25x50x1.7</t>
  </si>
  <si>
    <t>Hộp-25x50x1.8</t>
  </si>
  <si>
    <t>Hộp-25x50x1.9</t>
  </si>
  <si>
    <t>Hộp-25x50x2</t>
  </si>
  <si>
    <t>Hộp-25x50x2.1</t>
  </si>
  <si>
    <t>Hộp-25x50x2.2</t>
  </si>
  <si>
    <t>Hộp-25x50x2.3</t>
  </si>
  <si>
    <t>Hộp-25x50x2.4</t>
  </si>
  <si>
    <t>Hộp-25x50x2.5</t>
  </si>
  <si>
    <t>Hộp-25x50x2.7</t>
  </si>
  <si>
    <t>Hộp-25x50x2.8</t>
  </si>
  <si>
    <t>Hộp-25x50x2.9</t>
  </si>
  <si>
    <t>Hộp-25x50x3</t>
  </si>
  <si>
    <t>Hộp-30x60x0.8</t>
  </si>
  <si>
    <t>Hộp-30x60x0.9</t>
  </si>
  <si>
    <t>Hộp-30x60x1</t>
  </si>
  <si>
    <t>Hộp-30x60x1.1</t>
  </si>
  <si>
    <t>Hộp-30x60x1.2</t>
  </si>
  <si>
    <t>Hộp-30x60x1.4</t>
  </si>
  <si>
    <t>Hộp-30x60x1.5</t>
  </si>
  <si>
    <t>Hộp-30x60x1.6</t>
  </si>
  <si>
    <t>Hộp-30x60x1.7</t>
  </si>
  <si>
    <t>Hộp-30x60x1.8</t>
  </si>
  <si>
    <t>Hộp-30x60x1.9</t>
  </si>
  <si>
    <t>Hộp-30x60x2</t>
  </si>
  <si>
    <t>Hộp-30x60x2.1</t>
  </si>
  <si>
    <t>Hộp-30x60x2.2</t>
  </si>
  <si>
    <t>Hộp-30x60x2.3</t>
  </si>
  <si>
    <t>Hộp-30x60x2.4</t>
  </si>
  <si>
    <t>Hộp-30x60x2.5</t>
  </si>
  <si>
    <t>Hộp-30x60x2.7</t>
  </si>
  <si>
    <t>Hộp-30x60x2.8</t>
  </si>
  <si>
    <t>Hộp-30x60x2.9</t>
  </si>
  <si>
    <t>Hộp-30x60x3</t>
  </si>
  <si>
    <t>Hộp-30x60x3.1</t>
  </si>
  <si>
    <t>Hộp-30x50x0.8</t>
  </si>
  <si>
    <t>Hộp-30x50x0.9</t>
  </si>
  <si>
    <t>Hộp-30x50x1</t>
  </si>
  <si>
    <t>Hộp-30x50x1.1</t>
  </si>
  <si>
    <t>Hộp-30x50x1.2</t>
  </si>
  <si>
    <t>Hộp-30x50x1.4</t>
  </si>
  <si>
    <t>Hộp-30x50x1.5</t>
  </si>
  <si>
    <t>Hộp-30x50x1.6</t>
  </si>
  <si>
    <t>Hộp-30x50x1.7</t>
  </si>
  <si>
    <t>Hộp-30x50x1.8</t>
  </si>
  <si>
    <t>Hộp-30x50x1.9</t>
  </si>
  <si>
    <t>Hộp-30x50x2</t>
  </si>
  <si>
    <t>Hộp-30x50x2.1</t>
  </si>
  <si>
    <t>Hộp-30x50x2.2</t>
  </si>
  <si>
    <t>Hộp-30x50x2.3</t>
  </si>
  <si>
    <t>Hộp-30x50x2.4</t>
  </si>
  <si>
    <t>Hộp-30x50x2.5</t>
  </si>
  <si>
    <t>Hộp-30x50x2.7</t>
  </si>
  <si>
    <t>Hộp-30x50x2.8</t>
  </si>
  <si>
    <t>Hộp-30x50x2.9</t>
  </si>
  <si>
    <t>Hộp-30x50x3</t>
  </si>
  <si>
    <t>Hộp-30x50x3.1</t>
  </si>
  <si>
    <t>Hộp-40x0.8</t>
  </si>
  <si>
    <t>Hộp-40x0.9</t>
  </si>
  <si>
    <t>Hộp-40x1</t>
  </si>
  <si>
    <t>Hộp-40x1.1</t>
  </si>
  <si>
    <t>Hộp-40x1.2</t>
  </si>
  <si>
    <t>Hộp-40x1.4</t>
  </si>
  <si>
    <t>Hộp-40x1.5</t>
  </si>
  <si>
    <t>Hộp-40x1.6</t>
  </si>
  <si>
    <t>Hộp-40x1.7</t>
  </si>
  <si>
    <t>Hộp-40x1.8</t>
  </si>
  <si>
    <t>Hộp-40x1.9</t>
  </si>
  <si>
    <t>Hộp-40x2</t>
  </si>
  <si>
    <t>Hộp-40x2.1</t>
  </si>
  <si>
    <t>Hộp-40x2.2</t>
  </si>
  <si>
    <t>Hộp-40x2.3</t>
  </si>
  <si>
    <t>Hộp-40x2.4</t>
  </si>
  <si>
    <t>Hộp-40x2.5</t>
  </si>
  <si>
    <t>Hộp-40x2.7</t>
  </si>
  <si>
    <t>Hộp-40x2.8</t>
  </si>
  <si>
    <t>Hộp-40x2.9</t>
  </si>
  <si>
    <t>Hộp-40x3</t>
  </si>
  <si>
    <t>Hộp-40x3.1</t>
  </si>
  <si>
    <t>Hộp-40x60x1</t>
  </si>
  <si>
    <t>Hộp-40x60x1.1</t>
  </si>
  <si>
    <t>Hộp-40x60x1.2</t>
  </si>
  <si>
    <t>Hộp-40x60x1.4</t>
  </si>
  <si>
    <t>Hộp-40x60x1.5</t>
  </si>
  <si>
    <t>Hộp-40x60x1.6</t>
  </si>
  <si>
    <t>Hộp-40x60x1.7</t>
  </si>
  <si>
    <t>Hộp-40x60x1.8</t>
  </si>
  <si>
    <t>Hộp-40x60x1.9</t>
  </si>
  <si>
    <t>Hộp-40x60x2</t>
  </si>
  <si>
    <t>Hộp-40x60x2.1</t>
  </si>
  <si>
    <t>Hộp-40x60x2.2</t>
  </si>
  <si>
    <t>Hộp-40x60x2.3</t>
  </si>
  <si>
    <t>Hộp-40x60x2.4</t>
  </si>
  <si>
    <t>Hộp-40x60x2.5</t>
  </si>
  <si>
    <t>Hộp-40x60x2.7</t>
  </si>
  <si>
    <t>Hộp-40x60x2.8</t>
  </si>
  <si>
    <t>Hộp-40x60x2.9</t>
  </si>
  <si>
    <t>Hộp-40x60x3</t>
  </si>
  <si>
    <t>Hộp-40x60x3.1</t>
  </si>
  <si>
    <t>Hộp-40x60x3.2</t>
  </si>
  <si>
    <t>Hộp-40x60x3.3</t>
  </si>
  <si>
    <t>Hộp-40x60x3.4</t>
  </si>
  <si>
    <t>Hộp-50x1</t>
  </si>
  <si>
    <t>Hộp-50x1.1</t>
  </si>
  <si>
    <t>Hộp-50x1.2</t>
  </si>
  <si>
    <t>Hộp-50x1.4</t>
  </si>
  <si>
    <t>Hộp-50x1.5</t>
  </si>
  <si>
    <t>Hộp-50x1.6</t>
  </si>
  <si>
    <t>Hộp-50x1.7</t>
  </si>
  <si>
    <t>Hộp-50x1.8</t>
  </si>
  <si>
    <t>Hộp-50x1.9</t>
  </si>
  <si>
    <t>Hộp-50x2</t>
  </si>
  <si>
    <t>Hộp-50x2.1</t>
  </si>
  <si>
    <t>Hộp-50x2.2</t>
  </si>
  <si>
    <t>Hộp-50x2.3</t>
  </si>
  <si>
    <t>Hộp-50x2.4</t>
  </si>
  <si>
    <t>Hộp-50x2.5</t>
  </si>
  <si>
    <t>Hộp-50x2.7</t>
  </si>
  <si>
    <t>Hộp-50x2.8</t>
  </si>
  <si>
    <t>Hộp-50x2.9</t>
  </si>
  <si>
    <t>Hộp-50x3</t>
  </si>
  <si>
    <t>Hộp-50x3.1</t>
  </si>
  <si>
    <t>Hộp-50x3.2</t>
  </si>
  <si>
    <t>Hộp-50x3.3</t>
  </si>
  <si>
    <t>Hộp-50x3.4</t>
  </si>
  <si>
    <t>Hộp-40x80x1</t>
  </si>
  <si>
    <t>Hộp-40x80x1.1</t>
  </si>
  <si>
    <t>Hộp-40x80x1.2</t>
  </si>
  <si>
    <t>Hộp-40x80x1.4</t>
  </si>
  <si>
    <t>Hộp-40x80x1.5</t>
  </si>
  <si>
    <t>Hộp-40x80x1.6</t>
  </si>
  <si>
    <t>Hộp-40x80x1.7</t>
  </si>
  <si>
    <t>Hộp-40x80x1.8</t>
  </si>
  <si>
    <t>Hộp-40x80x1.9</t>
  </si>
  <si>
    <t>Hộp-40x80x2</t>
  </si>
  <si>
    <t>Hộp-40x80x2.1</t>
  </si>
  <si>
    <t>Hộp-40x80x2.2</t>
  </si>
  <si>
    <t>Hộp-40x80x2.3</t>
  </si>
  <si>
    <t>Hộp-40x80x2.4</t>
  </si>
  <si>
    <t>Hộp-40x80x2.5</t>
  </si>
  <si>
    <t>Hộp-40x80x2.7</t>
  </si>
  <si>
    <t>Hộp-40x80x2.8</t>
  </si>
  <si>
    <t>Hộp-40x80x2.9</t>
  </si>
  <si>
    <t>Hộp-40x80x3</t>
  </si>
  <si>
    <t>Hộp-40x80x3.1</t>
  </si>
  <si>
    <t>Hộp-40x80x3.2</t>
  </si>
  <si>
    <t>Hộp-40x80x3.4</t>
  </si>
  <si>
    <t>Hộp-40x80x3.5</t>
  </si>
  <si>
    <t>Hộp-60x1</t>
  </si>
  <si>
    <t>Hộp-60x1.1</t>
  </si>
  <si>
    <t>Hộp-60x1.2</t>
  </si>
  <si>
    <t>Hộp-60x1.4</t>
  </si>
  <si>
    <t>Hộp-60x1.5</t>
  </si>
  <si>
    <t>Hộp-60x1.6</t>
  </si>
  <si>
    <t>Hộp-60x1.7</t>
  </si>
  <si>
    <t>Hộp-60x1.8</t>
  </si>
  <si>
    <t>Hộp-60x1.9</t>
  </si>
  <si>
    <t>Hộp-60x2</t>
  </si>
  <si>
    <t>Hộp-60x2.1</t>
  </si>
  <si>
    <t>Hộp-60x2.2</t>
  </si>
  <si>
    <t>Hộp-60x2.3</t>
  </si>
  <si>
    <t>Hộp-60x2.4</t>
  </si>
  <si>
    <t>Hộp-60x2.5</t>
  </si>
  <si>
    <t>Hộp-60x2.7</t>
  </si>
  <si>
    <t>Hộp-60x2.8</t>
  </si>
  <si>
    <t>Hộp-60x2.9</t>
  </si>
  <si>
    <t>Hộp-60x3</t>
  </si>
  <si>
    <t>Hộp-60x3.1</t>
  </si>
  <si>
    <t>Hộp-60x3.2</t>
  </si>
  <si>
    <t>Hộp-60x3.4</t>
  </si>
  <si>
    <t>Hộp-60x3.5</t>
  </si>
  <si>
    <t>Hộp-40x100x1.4</t>
  </si>
  <si>
    <t>Hộp-40x100x1.5</t>
  </si>
  <si>
    <t>Hộp-40x100x1.6</t>
  </si>
  <si>
    <t>Hộp-40x100x1.7</t>
  </si>
  <si>
    <t>Hộp-40x100x1.8</t>
  </si>
  <si>
    <t>Hộp-40x100x1.9</t>
  </si>
  <si>
    <t>Hộp-40x100x2</t>
  </si>
  <si>
    <t>Hộp-40x100x2.1</t>
  </si>
  <si>
    <t>Hộp-40x100x2.2</t>
  </si>
  <si>
    <t>Hộp-40x100x2.3</t>
  </si>
  <si>
    <t>Hộp-40x100x2.4</t>
  </si>
  <si>
    <t>Hộp-40x100x2.5</t>
  </si>
  <si>
    <t>Hộp-40x100x2.7</t>
  </si>
  <si>
    <t>Hộp-40x100x2.8</t>
  </si>
  <si>
    <t>Hộp-40x100x2.9</t>
  </si>
  <si>
    <t>Hộp-40x100x3</t>
  </si>
  <si>
    <t>Hộp-40x100x3.1</t>
  </si>
  <si>
    <t>Hộp-40x100x3.2</t>
  </si>
  <si>
    <t>Hộp-40x100x3.4</t>
  </si>
  <si>
    <t>Hộp-40x100x3.5</t>
  </si>
  <si>
    <t>Hộp-40x100x3.7</t>
  </si>
  <si>
    <t>Hộp-40x100x3.8</t>
  </si>
  <si>
    <t>Hộp-40x100x3.9</t>
  </si>
  <si>
    <t>Hộp-40x100x4</t>
  </si>
  <si>
    <t>Hộp-50x100x1.4</t>
  </si>
  <si>
    <t>Hộp-50x100x1.5</t>
  </si>
  <si>
    <t>Hộp-50x100x1.6</t>
  </si>
  <si>
    <t>Hộp-50x100x1.7</t>
  </si>
  <si>
    <t>Hộp-50x100x1.8</t>
  </si>
  <si>
    <t>Hộp-50x100x1.9</t>
  </si>
  <si>
    <t>Hộp-50x100x2</t>
  </si>
  <si>
    <t>Hộp-50x100x2.1</t>
  </si>
  <si>
    <t>Hộp-50x100x2.2</t>
  </si>
  <si>
    <t>Hộp-50x100x2.3</t>
  </si>
  <si>
    <t>Hộp-50x100x2.4</t>
  </si>
  <si>
    <t>Hộp-50x100x2.5</t>
  </si>
  <si>
    <t>Hộp-50x100x2.7</t>
  </si>
  <si>
    <t>Hộp-50x100x2.8</t>
  </si>
  <si>
    <t>Hộp-50x100x2.9</t>
  </si>
  <si>
    <t>Hộp-50x100x3</t>
  </si>
  <si>
    <t>Hộp-50x100x3.1</t>
  </si>
  <si>
    <t>Hộp-50x100x3.2</t>
  </si>
  <si>
    <t>Hộp-50x100x3.4</t>
  </si>
  <si>
    <t>Hộp-50x100x3.5</t>
  </si>
  <si>
    <t>Hộp-50x100x3.7</t>
  </si>
  <si>
    <t>Hộp-50x100x3.8</t>
  </si>
  <si>
    <t>Hộp-50x100x3.9</t>
  </si>
  <si>
    <t>Hộp-50x100x4</t>
  </si>
  <si>
    <t>Hộp-60x120x1.4</t>
  </si>
  <si>
    <t>Hộp-60x120x1.5</t>
  </si>
  <si>
    <t>Hộp-60x120x1.6</t>
  </si>
  <si>
    <t>Hộp-60x120x1.7</t>
  </si>
  <si>
    <t>Hộp-60x120x1.8</t>
  </si>
  <si>
    <t>Hộp-60x120x1.9</t>
  </si>
  <si>
    <t>Hộp-60x120x2</t>
  </si>
  <si>
    <t>Hộp-60x120x2.1</t>
  </si>
  <si>
    <t>Hộp-60x120x2.2</t>
  </si>
  <si>
    <t>Hộp-60x120x2.3</t>
  </si>
  <si>
    <t>Hộp-60x120x2.4</t>
  </si>
  <si>
    <t>Hộp-60x120x2.5</t>
  </si>
  <si>
    <t>Hộp-60x120x2.7</t>
  </si>
  <si>
    <t>Hộp-60x120x2.8</t>
  </si>
  <si>
    <t>Hộp-60x120x2.9</t>
  </si>
  <si>
    <t>Hộp-60x120x3</t>
  </si>
  <si>
    <t>Hộp-60x120x3.1</t>
  </si>
  <si>
    <t>Hộp-60x120x3.2</t>
  </si>
  <si>
    <t>Hộp-60x120x3.4</t>
  </si>
  <si>
    <t>Hộp-60x120x3.5</t>
  </si>
  <si>
    <t>Hộp-60x120x3.7</t>
  </si>
  <si>
    <t>Hộp-60x120x3.8</t>
  </si>
  <si>
    <t>Hộp-60x120x3.9</t>
  </si>
  <si>
    <t>Hộp-60x120x4</t>
  </si>
  <si>
    <t>Hộp-100x1.8</t>
  </si>
  <si>
    <t>Hộp-100x1.9</t>
  </si>
  <si>
    <t>Hộp-100x2</t>
  </si>
  <si>
    <t>Hộp-100x2.1</t>
  </si>
  <si>
    <t>Hộp-100x2.2</t>
  </si>
  <si>
    <t>Hộp-100x2.3</t>
  </si>
  <si>
    <t>Hộp-100x2.4</t>
  </si>
  <si>
    <t>Hộp-100x2.5</t>
  </si>
  <si>
    <t>Hộp-100x2.7</t>
  </si>
  <si>
    <t>Hộp-100x2.8</t>
  </si>
  <si>
    <t>Hộp-100x2.9</t>
  </si>
  <si>
    <t>Hộp-100x3</t>
  </si>
  <si>
    <t>Hộp-100x3.1</t>
  </si>
  <si>
    <t>Hộp-100x3.2</t>
  </si>
  <si>
    <t>Hộp-100x3.4</t>
  </si>
  <si>
    <t>Hộp-100x3.5</t>
  </si>
  <si>
    <t>Hộp-100x3.7</t>
  </si>
  <si>
    <t>Hộp-100x3.8</t>
  </si>
  <si>
    <t>Hộp-100x3.9</t>
  </si>
  <si>
    <t>Hộp-100x4</t>
  </si>
  <si>
    <t>Hộp-100x4.5</t>
  </si>
  <si>
    <t>Hộp-100x5</t>
  </si>
  <si>
    <t>Hộp-100x150x1.8</t>
  </si>
  <si>
    <t>Hộp-100x150x1.9</t>
  </si>
  <si>
    <t>Hộp-100x150x2</t>
  </si>
  <si>
    <t>Hộp-100x150x2.1</t>
  </si>
  <si>
    <t>Hộp-100x150x2.2</t>
  </si>
  <si>
    <t>Hộp-100x150x2.3</t>
  </si>
  <si>
    <t>Hộp-100x150x2.4</t>
  </si>
  <si>
    <t>Hộp-100x150x2.5</t>
  </si>
  <si>
    <t>Hộp-100x150x2.7</t>
  </si>
  <si>
    <t>Hộp-100x150x2.8</t>
  </si>
  <si>
    <t>Hộp-100x150x2.9</t>
  </si>
  <si>
    <t>Hộp-100x150x3</t>
  </si>
  <si>
    <t>Hộp-100x150x3.1</t>
  </si>
  <si>
    <t>Hộp-100x150x3.2</t>
  </si>
  <si>
    <t>Hộp-100x150x3.4</t>
  </si>
  <si>
    <t>Hộp-100x150x3.5</t>
  </si>
  <si>
    <t>Hộp-100x150x3.7</t>
  </si>
  <si>
    <t>Hộp-100x150x3.8</t>
  </si>
  <si>
    <t>Hộp-100x150x3.9</t>
  </si>
  <si>
    <t>Hộp-100x150x4</t>
  </si>
  <si>
    <t>Hộp-100x150x4.5</t>
  </si>
  <si>
    <t>Hộp-100x150x5</t>
  </si>
  <si>
    <t>Hộp-100x200x1.8</t>
  </si>
  <si>
    <t>Hộp-100x200x1.9</t>
  </si>
  <si>
    <t>Hộp-100x200x2</t>
  </si>
  <si>
    <t>Hộp-100x200x2.1</t>
  </si>
  <si>
    <t>Hộp-100x200x2.2</t>
  </si>
  <si>
    <t>Hộp-100x200x2.3</t>
  </si>
  <si>
    <t>Hộp-100x200x2.4</t>
  </si>
  <si>
    <t>Hộp-100x200x2.5</t>
  </si>
  <si>
    <t>Hộp-100x200x2.7</t>
  </si>
  <si>
    <t>Hộp-100x200x2.8</t>
  </si>
  <si>
    <t>Hộp-100x200x2.9</t>
  </si>
  <si>
    <t>Hộp-100x200x3</t>
  </si>
  <si>
    <t>Hộp-100x200x3.1</t>
  </si>
  <si>
    <t>Hộp-100x200x3.2</t>
  </si>
  <si>
    <t>Hộp-100x200x3.4</t>
  </si>
  <si>
    <t>Hộp-100x200x3.5</t>
  </si>
  <si>
    <t>Hộp-100x200x3.7</t>
  </si>
  <si>
    <t>Hộp-100x200x3.8</t>
  </si>
  <si>
    <t>Hộp-100x200x3.9</t>
  </si>
  <si>
    <t>Hộp-100x200x4</t>
  </si>
  <si>
    <t>Hộp-100x200x4.5</t>
  </si>
  <si>
    <t>Hộp-100x200x5</t>
  </si>
  <si>
    <t>0.5</t>
  </si>
  <si>
    <t>0.6</t>
  </si>
  <si>
    <t>0.7</t>
  </si>
  <si>
    <t>0.8</t>
  </si>
  <si>
    <t>0.9</t>
  </si>
  <si>
    <t>1</t>
  </si>
  <si>
    <t>1.1</t>
  </si>
  <si>
    <t>1.2</t>
  </si>
  <si>
    <t>1.4</t>
  </si>
  <si>
    <t>1.5</t>
  </si>
  <si>
    <t>1.6</t>
  </si>
  <si>
    <t>1.7</t>
  </si>
  <si>
    <t>1.8</t>
  </si>
  <si>
    <t>1.9</t>
  </si>
  <si>
    <t>2</t>
  </si>
  <si>
    <t>2.1</t>
  </si>
  <si>
    <t>2.2</t>
  </si>
  <si>
    <t>2.3</t>
  </si>
  <si>
    <t>2.4</t>
  </si>
  <si>
    <t>2.5</t>
  </si>
  <si>
    <t>2.7</t>
  </si>
  <si>
    <t>2.8</t>
  </si>
  <si>
    <t>2.9</t>
  </si>
  <si>
    <t>3</t>
  </si>
  <si>
    <t>3.1</t>
  </si>
  <si>
    <t>3.2</t>
  </si>
  <si>
    <t>3.3</t>
  </si>
  <si>
    <t>3.4</t>
  </si>
  <si>
    <t>3.5</t>
  </si>
  <si>
    <t>3.7</t>
  </si>
  <si>
    <t>3.8</t>
  </si>
  <si>
    <t>3.9</t>
  </si>
  <si>
    <t>4</t>
  </si>
  <si>
    <t>4.5</t>
  </si>
  <si>
    <t>5</t>
  </si>
  <si>
    <t>Ống-13.8x0.6</t>
  </si>
  <si>
    <t>Ống-13.8x0.7</t>
  </si>
  <si>
    <t>Ống-13.8x0.8</t>
  </si>
  <si>
    <t>Ống-13.8x0.9</t>
  </si>
  <si>
    <t>Ống-13.8x1</t>
  </si>
  <si>
    <t>Ống-13.8x1.1</t>
  </si>
  <si>
    <t>Ống-13.8x1.2</t>
  </si>
  <si>
    <t>Ống-15.9x0.6</t>
  </si>
  <si>
    <t>Ống-15.9x0.7</t>
  </si>
  <si>
    <t>Ống-15.9x0.8</t>
  </si>
  <si>
    <t>Ống-15.9x0.9</t>
  </si>
  <si>
    <t>Ống-15.9x1</t>
  </si>
  <si>
    <t>Ống-15.9x1.1</t>
  </si>
  <si>
    <t>Ống-15.9x1.2</t>
  </si>
  <si>
    <t>Ống-15.9x1.4</t>
  </si>
  <si>
    <t>Ống-15.9x1.5</t>
  </si>
  <si>
    <t>Ống-19.1x0.6</t>
  </si>
  <si>
    <t>Ống-19.1x0.7</t>
  </si>
  <si>
    <t>Ống-19.1x0.8</t>
  </si>
  <si>
    <t>Ống-19.1x0.9</t>
  </si>
  <si>
    <t>Ống-19.1x1</t>
  </si>
  <si>
    <t>Ống-19.1x1.1</t>
  </si>
  <si>
    <t>Ống-19.1x1.2</t>
  </si>
  <si>
    <t>Ống-19.1x1.4</t>
  </si>
  <si>
    <t>Ống-19.1x1.5</t>
  </si>
  <si>
    <t>Ống-21x0.9</t>
  </si>
  <si>
    <t>Ống-21x1</t>
  </si>
  <si>
    <t>Ống-21x1.1</t>
  </si>
  <si>
    <t>Ống-21x1.2</t>
  </si>
  <si>
    <t>Ống-21x1.4</t>
  </si>
  <si>
    <t>Ống-21x1.5</t>
  </si>
  <si>
    <t>Ống-21x1.7</t>
  </si>
  <si>
    <t>Ống-21x1.8</t>
  </si>
  <si>
    <t>Ống-21x2</t>
  </si>
  <si>
    <t>Ống-22.2x0.6</t>
  </si>
  <si>
    <t>Ống-22.2x0.7</t>
  </si>
  <si>
    <t>Ống-22.2x0.8</t>
  </si>
  <si>
    <t>Ống-22.2x0.9</t>
  </si>
  <si>
    <t>Ống-22.2x1</t>
  </si>
  <si>
    <t>Ống-22.2x1.1</t>
  </si>
  <si>
    <t>Ống-22.2x1.2</t>
  </si>
  <si>
    <t>Ống-22.2x1.4</t>
  </si>
  <si>
    <t>Ống-22.2x1.5</t>
  </si>
  <si>
    <t>Ống-25.4x0.6</t>
  </si>
  <si>
    <t>Ống-25.4x0.7</t>
  </si>
  <si>
    <t>Ống-25.4x0.8</t>
  </si>
  <si>
    <t>Ống-25.4x0.9</t>
  </si>
  <si>
    <t>Ống-25.4x1</t>
  </si>
  <si>
    <t>Ống-25.4x1.1</t>
  </si>
  <si>
    <t>Ống-25.4x1.2</t>
  </si>
  <si>
    <t>Ống-25.4x1.4</t>
  </si>
  <si>
    <t>Ống-25.4x1.5</t>
  </si>
  <si>
    <t>Ống-27x0.9</t>
  </si>
  <si>
    <t>Ống-27x1</t>
  </si>
  <si>
    <t>Ống-27x1.1</t>
  </si>
  <si>
    <t>Ống-27x1.2</t>
  </si>
  <si>
    <t>Ống-27x1.4</t>
  </si>
  <si>
    <t>Ống-27x1.5</t>
  </si>
  <si>
    <t>Ống-27x1.7</t>
  </si>
  <si>
    <t>Ống-27x1.8</t>
  </si>
  <si>
    <t>Ống-27x2</t>
  </si>
  <si>
    <t>Ống-31.8x0.8</t>
  </si>
  <si>
    <t>Ống-31.8x0.9</t>
  </si>
  <si>
    <t>Ống-31.8x1</t>
  </si>
  <si>
    <t>Ống-31.8x1.1</t>
  </si>
  <si>
    <t>Ống-31.8x1.2</t>
  </si>
  <si>
    <t>Ống-31.8x1.4</t>
  </si>
  <si>
    <t>Ống-31.8x1.5</t>
  </si>
  <si>
    <t>Ống-31.8x1.7</t>
  </si>
  <si>
    <t>Ống-31.8x1.8</t>
  </si>
  <si>
    <t>Ống-31.8x2</t>
  </si>
  <si>
    <t>Ống-34x0.9</t>
  </si>
  <si>
    <t>Ống-34x1</t>
  </si>
  <si>
    <t>Ống-34x1.1</t>
  </si>
  <si>
    <t>Ống-34x1.2</t>
  </si>
  <si>
    <t>Ống-34x1.4</t>
  </si>
  <si>
    <t>Ống-34x1.5</t>
  </si>
  <si>
    <t>Ống-34x1.7</t>
  </si>
  <si>
    <t>Ống-34x1.8</t>
  </si>
  <si>
    <t>Ống-34x2</t>
  </si>
  <si>
    <t>Ống-34x2.3</t>
  </si>
  <si>
    <t>Ống-34x2.5</t>
  </si>
  <si>
    <t>Ống-34x2.8</t>
  </si>
  <si>
    <t>Ống-34x3</t>
  </si>
  <si>
    <t>Ống-38.1x0.8</t>
  </si>
  <si>
    <t>Ống-38.1x0.9</t>
  </si>
  <si>
    <t>Ống-38.1x1</t>
  </si>
  <si>
    <t>Ống-38.1x1.1</t>
  </si>
  <si>
    <t>Ống-38.1x1.2</t>
  </si>
  <si>
    <t>Ống-38.1x1.4</t>
  </si>
  <si>
    <t>Ống-38.1x1.5</t>
  </si>
  <si>
    <t>Ống-38.1x1.7</t>
  </si>
  <si>
    <t>Ống-38.1x1.8</t>
  </si>
  <si>
    <t>Ống-38.1x2</t>
  </si>
  <si>
    <t>Ống-38.1x2.3</t>
  </si>
  <si>
    <t>Ống-38.1x2.5</t>
  </si>
  <si>
    <t>Ống-38.1x2.8</t>
  </si>
  <si>
    <t>Ống-38.1x3</t>
  </si>
  <si>
    <t>Ống-42x0.8</t>
  </si>
  <si>
    <t>Ống-42x0.9</t>
  </si>
  <si>
    <t>Ống-42x1</t>
  </si>
  <si>
    <t>Ống-42x1.1</t>
  </si>
  <si>
    <t>Ống-42x1.2</t>
  </si>
  <si>
    <t>Ống-42x1.4</t>
  </si>
  <si>
    <t>Ống-42x1.5</t>
  </si>
  <si>
    <t>Ống-42x1.7</t>
  </si>
  <si>
    <t>Ống-42x1.8</t>
  </si>
  <si>
    <t>Ống-42x2</t>
  </si>
  <si>
    <t>Ống-42x2.3</t>
  </si>
  <si>
    <t>Ống-42x2.5</t>
  </si>
  <si>
    <t>Ống-42x2.8</t>
  </si>
  <si>
    <t>Ống-42x3</t>
  </si>
  <si>
    <t>Ống-49x0.8</t>
  </si>
  <si>
    <t>Ống-49x0.9</t>
  </si>
  <si>
    <t>Ống-49x1</t>
  </si>
  <si>
    <t>Ống-49x1.1</t>
  </si>
  <si>
    <t>Ống-49x1.2</t>
  </si>
  <si>
    <t>Ống-49x1.4</t>
  </si>
  <si>
    <t>Ống-49x1.5</t>
  </si>
  <si>
    <t>Ống-49x1.7</t>
  </si>
  <si>
    <t>Ống-49x1.8</t>
  </si>
  <si>
    <t>Ống-49x2</t>
  </si>
  <si>
    <t>Ống-49x2.3</t>
  </si>
  <si>
    <t>Ống-49x2.5</t>
  </si>
  <si>
    <t>Ống-49x2.8</t>
  </si>
  <si>
    <t>Ống-49x3</t>
  </si>
  <si>
    <t>Ống-60x1</t>
  </si>
  <si>
    <t>Ống-60x1.1</t>
  </si>
  <si>
    <t>Ống-60x1.2</t>
  </si>
  <si>
    <t>Ống-60x1.4</t>
  </si>
  <si>
    <t>Ống-60x1.5</t>
  </si>
  <si>
    <t>Ống-60x1.7</t>
  </si>
  <si>
    <t>Ống-60x1.8</t>
  </si>
  <si>
    <t>Ống-60x2</t>
  </si>
  <si>
    <t>Ống-60x2.3</t>
  </si>
  <si>
    <t>Ống-60x2.5</t>
  </si>
  <si>
    <t>Ống-60x2.8</t>
  </si>
  <si>
    <t>Ống-60x3</t>
  </si>
  <si>
    <t>Ống-76x1.1</t>
  </si>
  <si>
    <t>Ống-76x1.2</t>
  </si>
  <si>
    <t>Ống-76x1.4</t>
  </si>
  <si>
    <t>Ống-76x1.5</t>
  </si>
  <si>
    <t>Ống-76x1.7</t>
  </si>
  <si>
    <t>Ống-76x1.8</t>
  </si>
  <si>
    <t>Ống-76x2</t>
  </si>
  <si>
    <t>Ống-76x2.3</t>
  </si>
  <si>
    <t>Ống-76x2.5</t>
  </si>
  <si>
    <t>Ống-76x2.8</t>
  </si>
  <si>
    <t>Ống-76x3</t>
  </si>
  <si>
    <t>Ống-90x1.2</t>
  </si>
  <si>
    <t>Ống-90x1.4</t>
  </si>
  <si>
    <t>Ống-90x1.5</t>
  </si>
  <si>
    <t>Ống-90x1.7</t>
  </si>
  <si>
    <t>Ống-90x1.8</t>
  </si>
  <si>
    <t>Ống-90x2</t>
  </si>
  <si>
    <t>Ống-90x2.3</t>
  </si>
  <si>
    <t>Ống-90x2.5</t>
  </si>
  <si>
    <t>Ống-90x2.8</t>
  </si>
  <si>
    <t>Ống-90x3</t>
  </si>
  <si>
    <t>Ống-114x1.4</t>
  </si>
  <si>
    <t>Ống-114x1.5</t>
  </si>
  <si>
    <t>Ống-114x1.7</t>
  </si>
  <si>
    <t>Ống-114x1.8</t>
  </si>
  <si>
    <t>Ống-114x2</t>
  </si>
  <si>
    <t>Ống-114x2.3</t>
  </si>
  <si>
    <t>Ống-114x2.5</t>
  </si>
  <si>
    <t>Ống-114x2.8</t>
  </si>
  <si>
    <t>Ống-114x3</t>
  </si>
  <si>
    <t>Ống-140x1.5</t>
  </si>
  <si>
    <t>Ống-140x1.7</t>
  </si>
  <si>
    <t>Ống-140x1.8</t>
  </si>
  <si>
    <t>Ống-140x2</t>
  </si>
  <si>
    <t>Ống-140x2.3</t>
  </si>
  <si>
    <t>Ống-140x2.5</t>
  </si>
  <si>
    <t>Ống-140x2.8</t>
  </si>
  <si>
    <t>Ống-140x3</t>
  </si>
  <si>
    <t>THUYẾT MINH TÍNH TOÁN TY XÀ GỒ</t>
  </si>
  <si>
    <t>1. Ty xà gồ</t>
  </si>
  <si>
    <t>D =</t>
  </si>
  <si>
    <t>i</t>
  </si>
  <si>
    <t>cm</t>
  </si>
  <si>
    <t>3. Nội lực cấu kiện</t>
  </si>
  <si>
    <t>N =</t>
  </si>
  <si>
    <t>kN</t>
  </si>
  <si>
    <r>
      <rPr>
        <sz val="10"/>
        <color theme="1"/>
        <rFont val="Symbol"/>
        <family val="1"/>
        <charset val="2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</si>
  <si>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</si>
  <si>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L = </t>
    </r>
    <r>
      <rPr>
        <sz val="10"/>
        <color theme="1"/>
        <rFont val="Symbol"/>
        <family val="1"/>
        <charset val="2"/>
      </rPr>
      <t>m</t>
    </r>
    <r>
      <rPr>
        <sz val="10"/>
        <color theme="1"/>
        <rFont val="Calibri"/>
        <family val="1"/>
        <charset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</si>
  <si>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l</t>
    </r>
    <r>
      <rPr>
        <sz val="10"/>
        <color theme="1"/>
        <rFont val="Calibri"/>
        <family val="1"/>
        <charset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</si>
  <si>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sz val="14.5"/>
        <color theme="1"/>
        <rFont val="Calibri"/>
        <family val="2"/>
      </rPr>
      <t xml:space="preserve"> </t>
    </r>
    <r>
      <rPr>
        <sz val="10"/>
        <color theme="1"/>
        <rFont val="Calibri"/>
        <family val="2"/>
        <scheme val="minor"/>
      </rPr>
      <t>= N/A =</t>
    </r>
  </si>
  <si>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</si>
  <si>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t>1. Tính toán độ bền (Mục 7.1.1)</t>
  </si>
  <si>
    <t>N &gt; 0, lực dọc gây kéo</t>
  </si>
  <si>
    <t>N &lt; 0, lực dọc gây nén</t>
  </si>
  <si>
    <r>
      <t>λ̅</t>
    </r>
    <r>
      <rPr>
        <vertAlign val="subscript"/>
        <sz val="10"/>
        <rFont val="Calibri"/>
        <family val="2"/>
        <scheme val="minor"/>
      </rPr>
      <t>b</t>
    </r>
    <r>
      <rPr>
        <sz val="10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</si>
  <si>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j</t>
    </r>
    <r>
      <rPr>
        <sz val="14.5"/>
        <color theme="1"/>
        <rFont val="Calibri"/>
        <family val="2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</si>
  <si>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sz val="14.5"/>
        <color theme="1"/>
        <rFont val="Calibri"/>
        <family val="2"/>
      </rPr>
      <t xml:space="preserve"> </t>
    </r>
    <r>
      <rPr>
        <sz val="10"/>
        <color theme="1"/>
        <rFont val="Calibri"/>
        <family val="2"/>
        <scheme val="minor"/>
      </rPr>
      <t>= N/(</t>
    </r>
    <r>
      <rPr>
        <sz val="10"/>
        <color theme="1"/>
        <rFont val="Symbol"/>
        <family val="1"/>
        <charset val="2"/>
      </rPr>
      <t>j</t>
    </r>
    <r>
      <rPr>
        <sz val="10"/>
        <color theme="1"/>
        <rFont val="Calibri"/>
        <family val="2"/>
        <scheme val="minor"/>
      </rPr>
      <t>A) =</t>
    </r>
  </si>
  <si>
    <t>2. Tính toán ổn định (Mục 7.1.2)</t>
  </si>
  <si>
    <t>Kết luận: Cấu kiện đảm bảo khả năng chịu lực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</si>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</sst>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_(* #,##0_);_(* \(#,##0\);_(* &quot;-&quot;??_);_(@_)"/>
    <numFmt numFmtId="166" formatCode="0.000"/>
  </numFmts>
  <fonts count="42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charset val="2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sz val="10"/>
      <color rgb="FF0000FF"/>
      <name val="Arial"/>
      <family val="2"/>
    </font>
    <font>
      <b/>
      <vertAlign val="superscript"/>
      <sz val="10"/>
      <color theme="0"/>
      <name val="Arial"/>
      <family val="2"/>
    </font>
    <font>
      <sz val="14.5"/>
      <color theme="1"/>
      <name val="Calibri"/>
      <family val="2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8">
    <xf numFmtId="0" fontId="0" fillId="0" borderId="0"/>
    <xf numFmtId="0" fontId="18" fillId="0" borderId="0"/>
    <xf numFmtId="0" fontId="20" fillId="7" borderId="20" applyNumberFormat="0" applyAlignment="0" applyProtection="0"/>
    <xf numFmtId="0" fontId="26" fillId="0" borderId="0"/>
    <xf numFmtId="164" fontId="26" fillId="0" borderId="0" applyFont="0" applyFill="0" applyBorder="0" applyAlignment="0" applyProtection="0"/>
    <xf numFmtId="0" fontId="31" fillId="0" borderId="0"/>
    <xf numFmtId="0" fontId="35" fillId="0" borderId="0"/>
    <xf numFmtId="0" fontId="35" fillId="0" borderId="0"/>
  </cellStyleXfs>
  <cellXfs count="151">
    <xf numFmtId="0" fontId="0" fillId="0" borderId="0" xfId="0"/>
    <xf numFmtId="0" fontId="1" fillId="0" borderId="0" xfId="0" applyFont="1"/>
    <xf numFmtId="0" fontId="1" fillId="2" borderId="10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vertical="top"/>
    </xf>
    <xf numFmtId="0" fontId="2" fillId="2" borderId="16" xfId="0" applyFont="1" applyFill="1" applyBorder="1" applyAlignment="1">
      <alignment horizontal="left" indent="1"/>
    </xf>
    <xf numFmtId="0" fontId="1" fillId="2" borderId="16" xfId="0" applyFont="1" applyFill="1" applyBorder="1" applyAlignment="1">
      <alignment horizontal="left" vertical="top" indent="2"/>
    </xf>
    <xf numFmtId="0" fontId="1" fillId="2" borderId="15" xfId="0" applyFont="1" applyFill="1" applyBorder="1"/>
    <xf numFmtId="0" fontId="1" fillId="2" borderId="16" xfId="0" applyFont="1" applyFill="1" applyBorder="1"/>
    <xf numFmtId="0" fontId="1" fillId="2" borderId="5" xfId="0" applyFont="1" applyFill="1" applyBorder="1"/>
    <xf numFmtId="0" fontId="1" fillId="2" borderId="12" xfId="0" applyFont="1" applyFill="1" applyBorder="1" applyAlignment="1">
      <alignment horizontal="center" vertical="top"/>
    </xf>
    <xf numFmtId="1" fontId="1" fillId="2" borderId="12" xfId="0" applyNumberFormat="1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top"/>
    </xf>
    <xf numFmtId="0" fontId="16" fillId="5" borderId="10" xfId="0" applyFont="1" applyFill="1" applyBorder="1" applyAlignment="1">
      <alignment horizontal="center"/>
    </xf>
    <xf numFmtId="0" fontId="11" fillId="2" borderId="15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6" borderId="0" xfId="0" applyFont="1" applyFill="1"/>
    <xf numFmtId="0" fontId="16" fillId="5" borderId="0" xfId="0" applyFont="1" applyFill="1" applyAlignment="1">
      <alignment horizontal="center" wrapText="1"/>
    </xf>
    <xf numFmtId="0" fontId="9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24" fillId="2" borderId="12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4" fillId="2" borderId="0" xfId="0" applyFont="1" applyFill="1" applyAlignment="1">
      <alignment horizontal="center" vertical="center"/>
    </xf>
    <xf numFmtId="0" fontId="27" fillId="0" borderId="27" xfId="3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center" vertical="center"/>
    </xf>
    <xf numFmtId="165" fontId="28" fillId="0" borderId="12" xfId="4" applyNumberFormat="1" applyFont="1" applyBorder="1" applyAlignment="1" applyProtection="1">
      <alignment horizontal="center" vertical="center"/>
      <protection hidden="1"/>
    </xf>
    <xf numFmtId="164" fontId="28" fillId="0" borderId="12" xfId="3" applyNumberFormat="1" applyFont="1" applyBorder="1" applyAlignment="1" applyProtection="1">
      <alignment horizontal="center" vertical="center"/>
      <protection hidden="1"/>
    </xf>
    <xf numFmtId="2" fontId="28" fillId="0" borderId="12" xfId="3" applyNumberFormat="1" applyFont="1" applyBorder="1" applyAlignment="1" applyProtection="1">
      <alignment horizontal="center" vertical="center"/>
      <protection hidden="1"/>
    </xf>
    <xf numFmtId="0" fontId="27" fillId="0" borderId="28" xfId="3" applyFont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165" fontId="28" fillId="0" borderId="29" xfId="4" applyNumberFormat="1" applyFont="1" applyBorder="1" applyAlignment="1" applyProtection="1">
      <alignment horizontal="center" vertical="center"/>
      <protection hidden="1"/>
    </xf>
    <xf numFmtId="164" fontId="28" fillId="0" borderId="29" xfId="3" applyNumberFormat="1" applyFont="1" applyBorder="1" applyAlignment="1" applyProtection="1">
      <alignment horizontal="center" vertical="center"/>
      <protection hidden="1"/>
    </xf>
    <xf numFmtId="2" fontId="28" fillId="0" borderId="29" xfId="3" applyNumberFormat="1" applyFont="1" applyBorder="1" applyAlignment="1" applyProtection="1">
      <alignment horizontal="center" vertical="center"/>
      <protection hidden="1"/>
    </xf>
    <xf numFmtId="0" fontId="29" fillId="5" borderId="12" xfId="3" applyFont="1" applyFill="1" applyBorder="1" applyAlignment="1">
      <alignment horizontal="center" vertical="center" wrapText="1"/>
    </xf>
    <xf numFmtId="0" fontId="27" fillId="0" borderId="30" xfId="3" applyFont="1" applyBorder="1" applyAlignment="1" applyProtection="1">
      <alignment horizontal="center" vertical="center"/>
      <protection hidden="1"/>
    </xf>
    <xf numFmtId="0" fontId="0" fillId="0" borderId="31" xfId="0" applyBorder="1" applyAlignment="1">
      <alignment horizontal="center" vertical="center"/>
    </xf>
    <xf numFmtId="165" fontId="28" fillId="0" borderId="31" xfId="4" applyNumberFormat="1" applyFont="1" applyBorder="1" applyAlignment="1" applyProtection="1">
      <alignment horizontal="center" vertical="center"/>
      <protection hidden="1"/>
    </xf>
    <xf numFmtId="164" fontId="28" fillId="0" borderId="31" xfId="3" applyNumberFormat="1" applyFont="1" applyBorder="1" applyAlignment="1" applyProtection="1">
      <alignment horizontal="center" vertical="center"/>
      <protection hidden="1"/>
    </xf>
    <xf numFmtId="2" fontId="28" fillId="0" borderId="31" xfId="3" applyNumberFormat="1" applyFont="1" applyBorder="1" applyAlignment="1" applyProtection="1">
      <alignment horizontal="center" vertical="center"/>
      <protection hidden="1"/>
    </xf>
    <xf numFmtId="0" fontId="29" fillId="5" borderId="12" xfId="3" applyFont="1" applyFill="1" applyBorder="1" applyAlignment="1">
      <alignment vertical="center"/>
    </xf>
    <xf numFmtId="2" fontId="28" fillId="0" borderId="4" xfId="3" applyNumberFormat="1" applyFont="1" applyBorder="1" applyAlignment="1" applyProtection="1">
      <alignment horizontal="center" vertical="center"/>
      <protection hidden="1"/>
    </xf>
    <xf numFmtId="2" fontId="28" fillId="0" borderId="17" xfId="3" applyNumberFormat="1" applyFont="1" applyBorder="1" applyAlignment="1" applyProtection="1">
      <alignment horizontal="center" vertical="center"/>
      <protection hidden="1"/>
    </xf>
    <xf numFmtId="2" fontId="28" fillId="0" borderId="32" xfId="3" applyNumberFormat="1" applyFont="1" applyBorder="1" applyAlignment="1" applyProtection="1">
      <alignment horizontal="center" vertical="center"/>
      <protection hidden="1"/>
    </xf>
    <xf numFmtId="0" fontId="1" fillId="0" borderId="12" xfId="0" applyFont="1" applyBorder="1"/>
    <xf numFmtId="0" fontId="32" fillId="8" borderId="12" xfId="5" applyFont="1" applyFill="1" applyBorder="1" applyAlignment="1">
      <alignment horizontal="center" vertical="center"/>
    </xf>
    <xf numFmtId="0" fontId="33" fillId="8" borderId="12" xfId="0" applyFont="1" applyFill="1" applyBorder="1" applyAlignment="1">
      <alignment vertical="center"/>
    </xf>
    <xf numFmtId="0" fontId="32" fillId="8" borderId="17" xfId="6" applyFont="1" applyFill="1" applyBorder="1" applyAlignment="1">
      <alignment horizontal="center" vertical="center"/>
    </xf>
    <xf numFmtId="0" fontId="32" fillId="8" borderId="17" xfId="5" applyFont="1" applyFill="1" applyBorder="1" applyAlignment="1">
      <alignment horizontal="center" vertical="center"/>
    </xf>
    <xf numFmtId="1" fontId="28" fillId="2" borderId="12" xfId="6" applyNumberFormat="1" applyFont="1" applyFill="1" applyBorder="1" applyAlignment="1">
      <alignment vertical="center"/>
    </xf>
    <xf numFmtId="0" fontId="28" fillId="2" borderId="12" xfId="6" applyFont="1" applyFill="1" applyBorder="1" applyAlignment="1">
      <alignment vertical="center"/>
    </xf>
    <xf numFmtId="0" fontId="28" fillId="2" borderId="17" xfId="6" applyFont="1" applyFill="1" applyBorder="1" applyAlignment="1">
      <alignment vertical="center"/>
    </xf>
    <xf numFmtId="0" fontId="37" fillId="2" borderId="12" xfId="5" applyFont="1" applyFill="1" applyBorder="1" applyAlignment="1">
      <alignment horizontal="left" vertical="center"/>
    </xf>
    <xf numFmtId="0" fontId="37" fillId="2" borderId="17" xfId="5" applyFont="1" applyFill="1" applyBorder="1" applyAlignment="1">
      <alignment horizontal="left" vertical="center"/>
    </xf>
    <xf numFmtId="0" fontId="37" fillId="2" borderId="17" xfId="6" applyFont="1" applyFill="1" applyBorder="1" applyAlignment="1">
      <alignment horizontal="left" vertical="center"/>
    </xf>
    <xf numFmtId="0" fontId="37" fillId="2" borderId="17" xfId="7" applyFont="1" applyFill="1" applyBorder="1" applyAlignment="1">
      <alignment horizontal="left" vertical="center"/>
    </xf>
    <xf numFmtId="0" fontId="33" fillId="8" borderId="12" xfId="0" applyFont="1" applyFill="1" applyBorder="1" applyAlignment="1">
      <alignment horizontal="center" vertical="center"/>
    </xf>
    <xf numFmtId="0" fontId="37" fillId="2" borderId="12" xfId="5" applyFont="1" applyFill="1" applyBorder="1" applyAlignment="1">
      <alignment horizontal="center" vertical="center"/>
    </xf>
    <xf numFmtId="1" fontId="28" fillId="2" borderId="12" xfId="6" applyNumberFormat="1" applyFont="1" applyFill="1" applyBorder="1" applyAlignment="1">
      <alignment horizontal="center" vertical="center"/>
    </xf>
    <xf numFmtId="0" fontId="28" fillId="2" borderId="12" xfId="6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vertical="center"/>
    </xf>
    <xf numFmtId="0" fontId="1" fillId="2" borderId="15" xfId="0" applyFont="1" applyFill="1" applyBorder="1" applyAlignment="1">
      <alignment horizontal="center" vertical="top"/>
    </xf>
    <xf numFmtId="164" fontId="1" fillId="2" borderId="15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center"/>
    </xf>
    <xf numFmtId="0" fontId="1" fillId="0" borderId="12" xfId="0" applyFont="1" applyBorder="1" applyAlignment="1">
      <alignment horizontal="left" vertical="center"/>
    </xf>
    <xf numFmtId="0" fontId="27" fillId="4" borderId="12" xfId="3" applyFont="1" applyFill="1" applyBorder="1" applyAlignment="1">
      <alignment horizontal="center" vertical="center" wrapText="1"/>
    </xf>
    <xf numFmtId="0" fontId="29" fillId="5" borderId="3" xfId="3" applyFont="1" applyFill="1" applyBorder="1" applyAlignment="1">
      <alignment vertical="center" wrapText="1"/>
    </xf>
    <xf numFmtId="0" fontId="29" fillId="5" borderId="6" xfId="3" applyFont="1" applyFill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2" fontId="1" fillId="2" borderId="12" xfId="0" applyNumberFormat="1" applyFont="1" applyFill="1" applyBorder="1" applyAlignment="1">
      <alignment horizontal="center" vertical="center"/>
    </xf>
    <xf numFmtId="166" fontId="1" fillId="2" borderId="12" xfId="0" applyNumberFormat="1" applyFont="1" applyFill="1" applyBorder="1" applyAlignment="1">
      <alignment horizontal="center" vertical="center"/>
    </xf>
    <xf numFmtId="0" fontId="0" fillId="2" borderId="12" xfId="0" applyFill="1" applyBorder="1"/>
    <xf numFmtId="0" fontId="27" fillId="4" borderId="26" xfId="3" applyFont="1" applyFill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center"/>
    </xf>
    <xf numFmtId="166" fontId="1" fillId="0" borderId="0" xfId="0" applyNumberFormat="1" applyFont="1"/>
    <xf numFmtId="0" fontId="16" fillId="5" borderId="11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2" fontId="1" fillId="2" borderId="12" xfId="0" applyNumberFormat="1" applyFont="1" applyFill="1" applyBorder="1" applyAlignment="1">
      <alignment horizontal="center" vertical="top"/>
    </xf>
    <xf numFmtId="166" fontId="1" fillId="2" borderId="12" xfId="0" applyNumberFormat="1" applyFont="1" applyFill="1" applyBorder="1" applyAlignment="1">
      <alignment horizontal="center" vertical="top"/>
    </xf>
    <xf numFmtId="164" fontId="1" fillId="2" borderId="0" xfId="0" applyNumberFormat="1" applyFont="1" applyFill="1" applyAlignment="1">
      <alignment horizontal="center" vertical="top"/>
    </xf>
    <xf numFmtId="0" fontId="1" fillId="2" borderId="0" xfId="0" applyFont="1" applyFill="1" applyAlignment="1">
      <alignment vertical="top"/>
    </xf>
    <xf numFmtId="0" fontId="1" fillId="2" borderId="0" xfId="0" applyFont="1" applyFill="1"/>
    <xf numFmtId="0" fontId="4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right" vertical="top"/>
    </xf>
    <xf numFmtId="164" fontId="1" fillId="2" borderId="0" xfId="0" applyNumberFormat="1" applyFont="1" applyFill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right" vertical="top"/>
    </xf>
    <xf numFmtId="164" fontId="1" fillId="2" borderId="15" xfId="0" applyNumberFormat="1" applyFont="1" applyFill="1" applyBorder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164" fontId="21" fillId="2" borderId="0" xfId="0" applyNumberFormat="1" applyFont="1" applyFill="1" applyAlignment="1">
      <alignment horizontal="center" vertical="center"/>
    </xf>
    <xf numFmtId="164" fontId="1" fillId="2" borderId="15" xfId="0" applyNumberFormat="1" applyFont="1" applyFill="1" applyBorder="1" applyAlignment="1">
      <alignment horizontal="left" vertical="center"/>
    </xf>
    <xf numFmtId="0" fontId="6" fillId="2" borderId="0" xfId="0" applyFont="1" applyFill="1" applyAlignment="1">
      <alignment horizontal="right" vertical="top"/>
    </xf>
    <xf numFmtId="164" fontId="20" fillId="7" borderId="20" xfId="2" applyNumberFormat="1" applyAlignment="1">
      <alignment horizontal="center" vertical="top"/>
    </xf>
    <xf numFmtId="2" fontId="21" fillId="2" borderId="0" xfId="0" applyNumberFormat="1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indent="1"/>
    </xf>
    <xf numFmtId="164" fontId="1" fillId="2" borderId="5" xfId="0" applyNumberFormat="1" applyFont="1" applyFill="1" applyBorder="1" applyAlignment="1">
      <alignment horizontal="right" vertical="center"/>
    </xf>
    <xf numFmtId="2" fontId="9" fillId="2" borderId="5" xfId="0" applyNumberFormat="1" applyFont="1" applyFill="1" applyBorder="1" applyAlignment="1">
      <alignment vertical="top"/>
    </xf>
    <xf numFmtId="0" fontId="1" fillId="2" borderId="5" xfId="0" applyFont="1" applyFill="1" applyBorder="1" applyAlignment="1">
      <alignment vertical="top"/>
    </xf>
    <xf numFmtId="0" fontId="1" fillId="2" borderId="5" xfId="0" applyFont="1" applyFill="1" applyBorder="1" applyAlignment="1">
      <alignment horizontal="left" vertical="top" indent="3"/>
    </xf>
    <xf numFmtId="0" fontId="1" fillId="2" borderId="5" xfId="0" applyFont="1" applyFill="1" applyBorder="1" applyAlignment="1">
      <alignment horizontal="right" vertical="top"/>
    </xf>
    <xf numFmtId="164" fontId="1" fillId="2" borderId="6" xfId="0" applyNumberFormat="1" applyFont="1" applyFill="1" applyBorder="1" applyAlignment="1">
      <alignment horizontal="right" vertical="center"/>
    </xf>
    <xf numFmtId="0" fontId="1" fillId="2" borderId="12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9" fillId="4" borderId="18" xfId="0" applyFont="1" applyFill="1" applyBorder="1" applyAlignment="1">
      <alignment horizontal="left" vertical="center"/>
    </xf>
    <xf numFmtId="0" fontId="19" fillId="4" borderId="19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29" fillId="5" borderId="1" xfId="3" applyFont="1" applyFill="1" applyBorder="1" applyAlignment="1">
      <alignment horizontal="center" vertical="center" wrapText="1"/>
    </xf>
    <xf numFmtId="0" fontId="29" fillId="5" borderId="2" xfId="3" applyFont="1" applyFill="1" applyBorder="1" applyAlignment="1">
      <alignment horizontal="center" vertical="center" wrapText="1"/>
    </xf>
    <xf numFmtId="0" fontId="29" fillId="5" borderId="4" xfId="3" applyFont="1" applyFill="1" applyBorder="1" applyAlignment="1">
      <alignment horizontal="center" vertical="center" wrapText="1"/>
    </xf>
    <xf numFmtId="0" fontId="29" fillId="5" borderId="5" xfId="3" applyFont="1" applyFill="1" applyBorder="1" applyAlignment="1">
      <alignment horizontal="center" vertical="center" wrapText="1"/>
    </xf>
    <xf numFmtId="0" fontId="29" fillId="5" borderId="12" xfId="3" applyFont="1" applyFill="1" applyBorder="1" applyAlignment="1">
      <alignment horizontal="center" vertical="center" wrapText="1"/>
    </xf>
    <xf numFmtId="0" fontId="29" fillId="5" borderId="26" xfId="3" applyFont="1" applyFill="1" applyBorder="1" applyAlignment="1">
      <alignment horizontal="center" vertical="center"/>
    </xf>
    <xf numFmtId="0" fontId="29" fillId="5" borderId="33" xfId="3" applyFont="1" applyFill="1" applyBorder="1" applyAlignment="1">
      <alignment horizontal="center" vertical="center"/>
    </xf>
    <xf numFmtId="0" fontId="29" fillId="5" borderId="31" xfId="3" applyFont="1" applyFill="1" applyBorder="1" applyAlignment="1">
      <alignment horizontal="center" vertical="center"/>
    </xf>
    <xf numFmtId="0" fontId="29" fillId="5" borderId="3" xfId="3" applyFont="1" applyFill="1" applyBorder="1" applyAlignment="1">
      <alignment horizontal="center" vertical="center" wrapText="1"/>
    </xf>
    <xf numFmtId="0" fontId="29" fillId="5" borderId="6" xfId="3" applyFont="1" applyFill="1" applyBorder="1" applyAlignment="1">
      <alignment horizontal="center" vertical="center" wrapText="1"/>
    </xf>
    <xf numFmtId="0" fontId="16" fillId="5" borderId="21" xfId="0" applyFont="1" applyFill="1" applyBorder="1" applyAlignment="1">
      <alignment horizontal="center" wrapText="1"/>
    </xf>
    <xf numFmtId="0" fontId="16" fillId="5" borderId="22" xfId="0" applyFont="1" applyFill="1" applyBorder="1" applyAlignment="1">
      <alignment horizontal="center" wrapText="1"/>
    </xf>
    <xf numFmtId="0" fontId="16" fillId="5" borderId="7" xfId="0" applyFont="1" applyFill="1" applyBorder="1" applyAlignment="1">
      <alignment horizontal="center" wrapText="1"/>
    </xf>
    <xf numFmtId="0" fontId="16" fillId="5" borderId="0" xfId="0" applyFont="1" applyFill="1" applyAlignment="1">
      <alignment horizontal="center" wrapText="1"/>
    </xf>
    <xf numFmtId="0" fontId="32" fillId="8" borderId="12" xfId="5" applyFont="1" applyFill="1" applyBorder="1" applyAlignment="1">
      <alignment horizontal="center" vertical="center"/>
    </xf>
    <xf numFmtId="0" fontId="29" fillId="5" borderId="12" xfId="3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/>
    </xf>
    <xf numFmtId="0" fontId="16" fillId="5" borderId="24" xfId="0" applyFont="1" applyFill="1" applyBorder="1" applyAlignment="1">
      <alignment horizontal="center"/>
    </xf>
    <xf numFmtId="0" fontId="16" fillId="5" borderId="25" xfId="0" applyFont="1" applyFill="1" applyBorder="1" applyAlignment="1">
      <alignment horizontal="center"/>
    </xf>
    <xf numFmtId="0" fontId="40" fillId="5" borderId="10" xfId="0" applyFont="1" applyFill="1" applyBorder="1" applyAlignment="1">
      <alignment horizontal="center"/>
    </xf>
    <xf numFmtId="0" fontId="16" fillId="5" borderId="34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</cellXfs>
  <cellStyles count="8">
    <cellStyle name="Calculation" xfId="2" builtinId="22"/>
    <cellStyle name="Comma 2" xfId="4" xr:uid="{75DDBDBA-DEF6-400D-BF6C-B961748DFEB3}"/>
    <cellStyle name="Normal" xfId="0" builtinId="0"/>
    <cellStyle name="Normal 2" xfId="6" xr:uid="{A4BF5999-4BD9-4121-A2D4-63C064D6281E}"/>
    <cellStyle name="Normal 2 2" xfId="7" xr:uid="{D0B881B4-57B4-4617-880D-E22319A2BBF7}"/>
    <cellStyle name="Normal 5" xfId="3" xr:uid="{1848E8DB-0876-4B85-9D87-E2A4B00DA696}"/>
    <cellStyle name="Normal 6" xfId="1" xr:uid="{00000000-0005-0000-0000-000002000000}"/>
    <cellStyle name="Normal_Sheet3" xfId="5" xr:uid="{B7043AC0-18F0-40B2-971C-9E43781D153A}"/>
  </cellStyles>
  <dxfs count="6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54891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48993A-3100-4B55-84CF-DC37CFFFB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18CF6395-FFC7-45AA-AA82-F3F634681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A1:FS448"/>
  <sheetViews>
    <sheetView showGridLines="0" zoomScale="115" zoomScaleNormal="115" zoomScaleSheetLayoutView="100" workbookViewId="0">
      <pane ySplit="5" topLeftCell="A6" activePane="bottomLeft" state="frozen"/>
      <selection activeCell="CF1" sqref="CF1"/>
      <selection pane="bottomLeft" activeCell="M19" sqref="M19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19" customWidth="1"/>
    <col min="11" max="15" width="7.33203125" style="1"/>
    <col min="16" max="20" width="0" style="1" hidden="1" customWidth="1"/>
    <col min="21" max="21" width="3.33203125" style="19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19" customWidth="1"/>
    <col min="48" max="50" width="7.33203125" style="1"/>
    <col min="51" max="51" width="3.33203125" style="19" customWidth="1"/>
    <col min="52" max="54" width="7.33203125" style="1"/>
    <col min="55" max="59" width="0" style="1" hidden="1" customWidth="1"/>
    <col min="60" max="60" width="3.33203125" style="19" customWidth="1"/>
    <col min="61" max="62" width="7.33203125" style="1"/>
    <col min="63" max="63" width="7.88671875" style="1" bestFit="1" customWidth="1"/>
    <col min="64" max="69" width="7.33203125" style="1"/>
    <col min="70" max="79" width="0" style="1" hidden="1" customWidth="1"/>
    <col min="80" max="80" width="3.33203125" style="19" customWidth="1"/>
    <col min="81" max="81" width="9.5546875" style="55" bestFit="1" customWidth="1"/>
    <col min="82" max="83" width="9.5546875" style="64" customWidth="1"/>
    <col min="84" max="85" width="5" style="55" bestFit="1" customWidth="1"/>
    <col min="86" max="86" width="5" style="55" customWidth="1"/>
    <col min="87" max="87" width="5" style="55" bestFit="1" customWidth="1"/>
    <col min="88" max="88" width="7" style="56" bestFit="1" customWidth="1"/>
    <col min="89" max="103" width="0" style="1" hidden="1" customWidth="1"/>
    <col min="104" max="104" width="3.33203125" style="19" customWidth="1"/>
    <col min="105" max="105" width="8.5546875" style="69" customWidth="1"/>
    <col min="106" max="106" width="16.88671875" style="70" bestFit="1" customWidth="1"/>
    <col min="107" max="113" width="7.33203125" style="69"/>
    <col min="114" max="115" width="7.33203125" style="69" customWidth="1"/>
    <col min="116" max="119" width="7.33203125" style="69"/>
    <col min="120" max="120" width="8" style="69" hidden="1" customWidth="1"/>
    <col min="121" max="122" width="7.33203125" style="69" hidden="1" customWidth="1"/>
    <col min="123" max="129" width="7.33203125" style="1" hidden="1" customWidth="1"/>
    <col min="130" max="130" width="3.33203125" style="19" customWidth="1"/>
    <col min="131" max="131" width="8.5546875" style="69" customWidth="1"/>
    <col min="132" max="132" width="16.88671875" style="70" bestFit="1" customWidth="1"/>
    <col min="133" max="145" width="7.33203125" style="69"/>
    <col min="146" max="146" width="8" style="69" hidden="1" customWidth="1"/>
    <col min="147" max="148" width="0" style="69" hidden="1" customWidth="1"/>
    <col min="149" max="151" width="7.33203125" style="1" hidden="1" customWidth="1"/>
    <col min="152" max="152" width="3.33203125" style="19" customWidth="1"/>
    <col min="153" max="153" width="8.5546875" style="69" customWidth="1"/>
    <col min="154" max="154" width="16.44140625" style="1" bestFit="1" customWidth="1"/>
    <col min="155" max="157" width="7.33203125" style="74"/>
    <col min="158" max="159" width="7.33203125" style="69"/>
    <col min="160" max="160" width="6.5546875" style="69" customWidth="1"/>
    <col min="161" max="163" width="7.33203125" style="69"/>
    <col min="164" max="164" width="0" style="1" hidden="1" customWidth="1"/>
    <col min="165" max="165" width="3.33203125" style="19" customWidth="1"/>
    <col min="166" max="166" width="8.5546875" style="69" customWidth="1"/>
    <col min="167" max="167" width="16.44140625" style="1" bestFit="1" customWidth="1"/>
    <col min="168" max="169" width="7.33203125" style="74"/>
    <col min="170" max="175" width="7.33203125" style="69"/>
    <col min="176" max="16384" width="7.33203125" style="1"/>
  </cols>
  <sheetData>
    <row r="1" spans="1:175" ht="15">
      <c r="A1" s="82" t="s">
        <v>2</v>
      </c>
      <c r="B1" s="14" t="s">
        <v>18</v>
      </c>
      <c r="C1" s="14" t="s">
        <v>29</v>
      </c>
      <c r="D1" s="14" t="s">
        <v>30</v>
      </c>
      <c r="E1" s="148" t="s">
        <v>917</v>
      </c>
      <c r="F1" s="26"/>
      <c r="G1" s="26"/>
      <c r="H1" s="26"/>
      <c r="I1" s="26"/>
      <c r="K1" s="137" t="s">
        <v>46</v>
      </c>
      <c r="L1" s="138"/>
      <c r="M1" s="138"/>
      <c r="N1" s="138"/>
      <c r="O1" s="138"/>
      <c r="P1" s="20"/>
      <c r="Q1" s="20"/>
      <c r="R1" s="20"/>
      <c r="S1" s="20"/>
      <c r="T1" s="20"/>
      <c r="V1" s="143" t="s">
        <v>56</v>
      </c>
      <c r="W1" s="143"/>
      <c r="X1" s="143"/>
      <c r="Y1" s="143"/>
      <c r="Z1" s="143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V1" s="145" t="s">
        <v>109</v>
      </c>
      <c r="AW1" s="146"/>
      <c r="AX1" s="147"/>
      <c r="AZ1" s="145" t="s">
        <v>57</v>
      </c>
      <c r="BA1" s="146"/>
      <c r="BB1" s="147"/>
      <c r="BI1" s="131" t="s">
        <v>66</v>
      </c>
      <c r="BJ1" s="131"/>
      <c r="BK1" s="142" t="s">
        <v>91</v>
      </c>
      <c r="BL1" s="131" t="s">
        <v>67</v>
      </c>
      <c r="BM1" s="131"/>
      <c r="BN1" s="131"/>
      <c r="BO1" s="131"/>
      <c r="BP1" s="142" t="s">
        <v>96</v>
      </c>
      <c r="BQ1" s="142"/>
      <c r="CC1" s="129" t="s">
        <v>67</v>
      </c>
      <c r="CD1" s="130"/>
      <c r="CE1" s="130"/>
      <c r="CF1" s="130"/>
      <c r="CG1" s="130"/>
      <c r="CH1" s="130"/>
      <c r="CI1" s="130"/>
      <c r="CJ1" s="130"/>
      <c r="DA1" s="131" t="s">
        <v>136</v>
      </c>
      <c r="DB1" s="132" t="s">
        <v>137</v>
      </c>
      <c r="DC1" s="127" t="s">
        <v>138</v>
      </c>
      <c r="DD1" s="128"/>
      <c r="DE1" s="128"/>
      <c r="DF1" s="128"/>
      <c r="DG1" s="128"/>
      <c r="DH1" s="131" t="s">
        <v>141</v>
      </c>
      <c r="DI1" s="131"/>
      <c r="DJ1" s="131" t="s">
        <v>135</v>
      </c>
      <c r="DK1" s="131" t="s">
        <v>145</v>
      </c>
      <c r="DL1" s="131" t="s">
        <v>154</v>
      </c>
      <c r="DM1" s="131"/>
      <c r="DN1" s="127" t="s">
        <v>155</v>
      </c>
      <c r="DO1" s="128"/>
      <c r="DP1" s="72"/>
      <c r="DQ1" s="131"/>
      <c r="DR1" s="131"/>
      <c r="EA1" s="131" t="s">
        <v>136</v>
      </c>
      <c r="EB1" s="132" t="s">
        <v>137</v>
      </c>
      <c r="EC1" s="127" t="s">
        <v>138</v>
      </c>
      <c r="ED1" s="128"/>
      <c r="EE1" s="128"/>
      <c r="EF1" s="128"/>
      <c r="EG1" s="128"/>
      <c r="EH1" s="131" t="s">
        <v>141</v>
      </c>
      <c r="EI1" s="131"/>
      <c r="EJ1" s="131" t="s">
        <v>135</v>
      </c>
      <c r="EK1" s="131" t="s">
        <v>145</v>
      </c>
      <c r="EL1" s="131" t="s">
        <v>154</v>
      </c>
      <c r="EM1" s="131"/>
      <c r="EN1" s="127" t="s">
        <v>155</v>
      </c>
      <c r="EO1" s="128"/>
      <c r="EP1" s="135"/>
      <c r="EQ1" s="131"/>
      <c r="ER1" s="131"/>
      <c r="EW1" s="131" t="s">
        <v>136</v>
      </c>
      <c r="EX1" s="132" t="s">
        <v>137</v>
      </c>
      <c r="EY1" s="127" t="s">
        <v>138</v>
      </c>
      <c r="EZ1" s="128"/>
      <c r="FA1" s="128"/>
      <c r="FB1" s="131" t="s">
        <v>135</v>
      </c>
      <c r="FC1" s="131" t="s">
        <v>145</v>
      </c>
      <c r="FD1" s="131" t="s">
        <v>154</v>
      </c>
      <c r="FE1" s="131"/>
      <c r="FF1" s="127" t="s">
        <v>155</v>
      </c>
      <c r="FG1" s="128"/>
      <c r="FJ1" s="131" t="s">
        <v>136</v>
      </c>
      <c r="FK1" s="132" t="s">
        <v>137</v>
      </c>
      <c r="FL1" s="127" t="s">
        <v>138</v>
      </c>
      <c r="FM1" s="128"/>
      <c r="FN1" s="131" t="s">
        <v>135</v>
      </c>
      <c r="FO1" s="131" t="s">
        <v>145</v>
      </c>
      <c r="FP1" s="131" t="s">
        <v>154</v>
      </c>
      <c r="FQ1" s="131"/>
      <c r="FR1" s="127" t="s">
        <v>155</v>
      </c>
      <c r="FS1" s="128"/>
    </row>
    <row r="2" spans="1:175" ht="15.6">
      <c r="A2" s="83"/>
      <c r="B2" s="14" t="s">
        <v>19</v>
      </c>
      <c r="C2" s="14" t="s">
        <v>19</v>
      </c>
      <c r="D2" s="14" t="s">
        <v>19</v>
      </c>
      <c r="E2" s="149"/>
      <c r="F2" s="26"/>
      <c r="G2" s="26"/>
      <c r="H2" s="26"/>
      <c r="I2" s="26"/>
      <c r="K2" s="139"/>
      <c r="L2" s="140"/>
      <c r="M2" s="140"/>
      <c r="N2" s="140"/>
      <c r="O2" s="140"/>
      <c r="P2" s="20"/>
      <c r="Q2" s="20"/>
      <c r="R2" s="20"/>
      <c r="S2" s="20"/>
      <c r="T2" s="20"/>
      <c r="V2" s="144"/>
      <c r="W2" s="144"/>
      <c r="X2" s="144"/>
      <c r="Y2" s="144"/>
      <c r="Z2" s="144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V2" s="14" t="s">
        <v>110</v>
      </c>
      <c r="AW2" s="14" t="s">
        <v>22</v>
      </c>
      <c r="AX2" s="14" t="s">
        <v>36</v>
      </c>
      <c r="AZ2" s="14" t="s">
        <v>58</v>
      </c>
      <c r="BA2" s="14" t="s">
        <v>59</v>
      </c>
      <c r="BB2" s="14" t="s">
        <v>60</v>
      </c>
      <c r="BI2" s="131"/>
      <c r="BJ2" s="131"/>
      <c r="BK2" s="142"/>
      <c r="BL2" s="131" t="s">
        <v>68</v>
      </c>
      <c r="BM2" s="131"/>
      <c r="BN2" s="131" t="s">
        <v>69</v>
      </c>
      <c r="BO2" s="131"/>
      <c r="BP2" s="142"/>
      <c r="BQ2" s="142"/>
      <c r="CC2" s="141" t="s">
        <v>111</v>
      </c>
      <c r="CD2" s="61" t="s">
        <v>126</v>
      </c>
      <c r="CE2" s="61" t="s">
        <v>110</v>
      </c>
      <c r="CF2" s="51" t="s">
        <v>112</v>
      </c>
      <c r="CG2" s="51" t="s">
        <v>113</v>
      </c>
      <c r="CH2" s="51" t="s">
        <v>114</v>
      </c>
      <c r="CI2" s="51" t="s">
        <v>115</v>
      </c>
      <c r="CJ2" s="52" t="s">
        <v>116</v>
      </c>
      <c r="DA2" s="131"/>
      <c r="DB2" s="133"/>
      <c r="DC2" s="129"/>
      <c r="DD2" s="130"/>
      <c r="DE2" s="130"/>
      <c r="DF2" s="130"/>
      <c r="DG2" s="130"/>
      <c r="DH2" s="131"/>
      <c r="DI2" s="131"/>
      <c r="DJ2" s="131"/>
      <c r="DK2" s="131"/>
      <c r="DL2" s="131"/>
      <c r="DM2" s="131"/>
      <c r="DN2" s="129"/>
      <c r="DO2" s="130"/>
      <c r="DP2" s="73"/>
      <c r="DQ2" s="131"/>
      <c r="DR2" s="131"/>
      <c r="EA2" s="131"/>
      <c r="EB2" s="133"/>
      <c r="EC2" s="129"/>
      <c r="ED2" s="130"/>
      <c r="EE2" s="130"/>
      <c r="EF2" s="130"/>
      <c r="EG2" s="130"/>
      <c r="EH2" s="131"/>
      <c r="EI2" s="131"/>
      <c r="EJ2" s="131"/>
      <c r="EK2" s="131"/>
      <c r="EL2" s="131"/>
      <c r="EM2" s="131"/>
      <c r="EN2" s="129"/>
      <c r="EO2" s="130"/>
      <c r="EP2" s="136"/>
      <c r="EQ2" s="131"/>
      <c r="ER2" s="131"/>
      <c r="EW2" s="131"/>
      <c r="EX2" s="133"/>
      <c r="EY2" s="129"/>
      <c r="EZ2" s="130"/>
      <c r="FA2" s="130"/>
      <c r="FB2" s="131"/>
      <c r="FC2" s="131"/>
      <c r="FD2" s="131"/>
      <c r="FE2" s="131"/>
      <c r="FF2" s="129"/>
      <c r="FG2" s="130"/>
      <c r="FJ2" s="131"/>
      <c r="FK2" s="133"/>
      <c r="FL2" s="129"/>
      <c r="FM2" s="130"/>
      <c r="FN2" s="131"/>
      <c r="FO2" s="131"/>
      <c r="FP2" s="131"/>
      <c r="FQ2" s="131"/>
      <c r="FR2" s="129"/>
      <c r="FS2" s="130"/>
    </row>
    <row r="3" spans="1:175" ht="15.6">
      <c r="A3" s="16" t="s">
        <v>31</v>
      </c>
      <c r="B3" s="2">
        <f>2.06*10^5</f>
        <v>206000</v>
      </c>
      <c r="C3" s="2">
        <v>235</v>
      </c>
      <c r="D3" s="150">
        <v>370</v>
      </c>
      <c r="E3" s="84">
        <v>1.1000000000000001</v>
      </c>
      <c r="F3" s="27"/>
      <c r="G3" s="27"/>
      <c r="H3" s="27"/>
      <c r="I3" s="27"/>
      <c r="K3" s="21" t="s">
        <v>47</v>
      </c>
      <c r="L3" s="21" t="s">
        <v>48</v>
      </c>
      <c r="M3" s="21" t="s">
        <v>49</v>
      </c>
      <c r="N3" s="21" t="s">
        <v>50</v>
      </c>
      <c r="O3" s="21" t="s">
        <v>51</v>
      </c>
      <c r="P3" s="17"/>
      <c r="Q3" s="17"/>
      <c r="R3" s="17"/>
      <c r="S3" s="17"/>
      <c r="T3" s="17"/>
      <c r="V3" s="22" t="s">
        <v>45</v>
      </c>
      <c r="W3" s="22" t="s">
        <v>52</v>
      </c>
      <c r="X3" s="22" t="s">
        <v>53</v>
      </c>
      <c r="Y3" s="22" t="s">
        <v>54</v>
      </c>
      <c r="Z3" s="24" t="s">
        <v>55</v>
      </c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V3" s="3">
        <v>360</v>
      </c>
      <c r="AW3" s="3">
        <v>560</v>
      </c>
      <c r="AX3" s="3">
        <v>475</v>
      </c>
      <c r="AZ3" s="3" t="s">
        <v>61</v>
      </c>
      <c r="BA3" s="3">
        <v>430</v>
      </c>
      <c r="BB3" s="3">
        <v>180</v>
      </c>
      <c r="BI3" s="131"/>
      <c r="BJ3" s="131"/>
      <c r="BK3" s="142"/>
      <c r="BL3" s="39" t="s">
        <v>92</v>
      </c>
      <c r="BM3" s="39" t="s">
        <v>93</v>
      </c>
      <c r="BN3" s="39" t="s">
        <v>94</v>
      </c>
      <c r="BO3" s="39" t="s">
        <v>95</v>
      </c>
      <c r="BP3" s="132" t="s">
        <v>107</v>
      </c>
      <c r="BQ3" s="45" t="s">
        <v>108</v>
      </c>
      <c r="CC3" s="141"/>
      <c r="CD3" s="50" t="s">
        <v>28</v>
      </c>
      <c r="CE3" s="50" t="s">
        <v>28</v>
      </c>
      <c r="CF3" s="50" t="s">
        <v>28</v>
      </c>
      <c r="CG3" s="50" t="s">
        <v>28</v>
      </c>
      <c r="CH3" s="50" t="s">
        <v>28</v>
      </c>
      <c r="CI3" s="50" t="s">
        <v>28</v>
      </c>
      <c r="CJ3" s="53" t="s">
        <v>28</v>
      </c>
      <c r="DA3" s="131"/>
      <c r="DB3" s="133"/>
      <c r="DC3" s="39" t="s">
        <v>134</v>
      </c>
      <c r="DD3" s="39" t="s">
        <v>190</v>
      </c>
      <c r="DE3" s="39" t="s">
        <v>191</v>
      </c>
      <c r="DF3" s="39" t="s">
        <v>139</v>
      </c>
      <c r="DG3" s="39" t="s">
        <v>140</v>
      </c>
      <c r="DH3" s="39" t="s">
        <v>142</v>
      </c>
      <c r="DI3" s="39" t="s">
        <v>143</v>
      </c>
      <c r="DJ3" s="39" t="s">
        <v>144</v>
      </c>
      <c r="DK3" s="39" t="s">
        <v>146</v>
      </c>
      <c r="DL3" s="39" t="s">
        <v>148</v>
      </c>
      <c r="DM3" s="39" t="s">
        <v>149</v>
      </c>
      <c r="DN3" s="39" t="s">
        <v>151</v>
      </c>
      <c r="DO3" s="39" t="s">
        <v>152</v>
      </c>
      <c r="DP3" s="39"/>
      <c r="DQ3" s="39"/>
      <c r="DR3" s="39"/>
      <c r="EA3" s="131"/>
      <c r="EB3" s="133"/>
      <c r="EC3" s="39" t="s">
        <v>134</v>
      </c>
      <c r="ED3" s="39" t="s">
        <v>190</v>
      </c>
      <c r="EE3" s="39" t="s">
        <v>191</v>
      </c>
      <c r="EF3" s="39" t="s">
        <v>139</v>
      </c>
      <c r="EG3" s="39" t="s">
        <v>140</v>
      </c>
      <c r="EH3" s="39" t="s">
        <v>142</v>
      </c>
      <c r="EI3" s="39" t="s">
        <v>143</v>
      </c>
      <c r="EJ3" s="39" t="s">
        <v>144</v>
      </c>
      <c r="EK3" s="39" t="s">
        <v>146</v>
      </c>
      <c r="EL3" s="39" t="s">
        <v>148</v>
      </c>
      <c r="EM3" s="39" t="s">
        <v>149</v>
      </c>
      <c r="EN3" s="39" t="s">
        <v>151</v>
      </c>
      <c r="EO3" s="39" t="s">
        <v>152</v>
      </c>
      <c r="EP3" s="39" t="s">
        <v>237</v>
      </c>
      <c r="EQ3" s="39"/>
      <c r="ER3" s="39"/>
      <c r="EW3" s="131"/>
      <c r="EX3" s="133"/>
      <c r="EY3" s="39" t="s">
        <v>36</v>
      </c>
      <c r="EZ3" s="39" t="s">
        <v>134</v>
      </c>
      <c r="FA3" s="39" t="s">
        <v>140</v>
      </c>
      <c r="FB3" s="39" t="s">
        <v>144</v>
      </c>
      <c r="FC3" s="39" t="s">
        <v>146</v>
      </c>
      <c r="FD3" s="39" t="s">
        <v>148</v>
      </c>
      <c r="FE3" s="39" t="s">
        <v>149</v>
      </c>
      <c r="FF3" s="39" t="s">
        <v>151</v>
      </c>
      <c r="FG3" s="39" t="s">
        <v>152</v>
      </c>
      <c r="FJ3" s="131"/>
      <c r="FK3" s="133"/>
      <c r="FL3" s="39" t="s">
        <v>45</v>
      </c>
      <c r="FM3" s="39" t="s">
        <v>140</v>
      </c>
      <c r="FN3" s="39" t="s">
        <v>144</v>
      </c>
      <c r="FO3" s="39" t="s">
        <v>146</v>
      </c>
      <c r="FP3" s="39" t="s">
        <v>148</v>
      </c>
      <c r="FQ3" s="39" t="s">
        <v>149</v>
      </c>
      <c r="FR3" s="39" t="s">
        <v>151</v>
      </c>
      <c r="FS3" s="39" t="s">
        <v>152</v>
      </c>
    </row>
    <row r="4" spans="1:175" ht="15.6">
      <c r="A4" s="16" t="s">
        <v>32</v>
      </c>
      <c r="B4" s="2">
        <f t="shared" ref="B4:B33" si="0">2.06*10^5</f>
        <v>206000</v>
      </c>
      <c r="C4" s="2">
        <v>345</v>
      </c>
      <c r="D4" s="150">
        <v>510</v>
      </c>
      <c r="E4" s="84">
        <v>1.1000000000000001</v>
      </c>
      <c r="F4" s="27"/>
      <c r="G4" s="27"/>
      <c r="H4" s="27"/>
      <c r="I4" s="27"/>
      <c r="K4" s="21">
        <v>5.6</v>
      </c>
      <c r="L4" s="21">
        <v>500</v>
      </c>
      <c r="M4" s="21">
        <v>300</v>
      </c>
      <c r="N4" s="21">
        <v>210</v>
      </c>
      <c r="O4" s="21">
        <v>225</v>
      </c>
      <c r="P4" s="17"/>
      <c r="Q4" s="17"/>
      <c r="R4" s="17"/>
      <c r="S4" s="17"/>
      <c r="T4" s="17"/>
      <c r="V4" s="23">
        <v>10</v>
      </c>
      <c r="W4" s="3">
        <v>1.5</v>
      </c>
      <c r="X4" s="12">
        <v>78.5</v>
      </c>
      <c r="Y4" s="3">
        <v>57.1</v>
      </c>
      <c r="Z4" s="3">
        <v>1</v>
      </c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V4" s="3">
        <v>370</v>
      </c>
      <c r="AW4" s="3">
        <v>580</v>
      </c>
      <c r="AX4" s="3">
        <v>485</v>
      </c>
      <c r="AZ4" s="3" t="s">
        <v>62</v>
      </c>
      <c r="BA4" s="3">
        <v>510</v>
      </c>
      <c r="BB4" s="3">
        <v>225</v>
      </c>
      <c r="BI4" s="131"/>
      <c r="BJ4" s="131"/>
      <c r="BK4" s="39" t="s">
        <v>28</v>
      </c>
      <c r="BL4" s="39" t="s">
        <v>28</v>
      </c>
      <c r="BM4" s="39" t="s">
        <v>28</v>
      </c>
      <c r="BN4" s="39" t="s">
        <v>28</v>
      </c>
      <c r="BO4" s="39" t="s">
        <v>28</v>
      </c>
      <c r="BP4" s="134"/>
      <c r="BQ4" s="39" t="s">
        <v>28</v>
      </c>
      <c r="CC4" s="57" t="s">
        <v>117</v>
      </c>
      <c r="CD4" s="62">
        <v>235</v>
      </c>
      <c r="CE4" s="62">
        <v>373</v>
      </c>
      <c r="CF4" s="57">
        <f>CD4</f>
        <v>235</v>
      </c>
      <c r="CG4" s="57">
        <f>CF4/1.15</f>
        <v>204.34782608695653</v>
      </c>
      <c r="CH4" s="57">
        <f>CF4</f>
        <v>235</v>
      </c>
      <c r="CI4" s="57">
        <f>0.7*CD4</f>
        <v>164.5</v>
      </c>
      <c r="CJ4" s="58">
        <v>200000</v>
      </c>
      <c r="DA4" s="131"/>
      <c r="DB4" s="134"/>
      <c r="DC4" s="39" t="s">
        <v>1</v>
      </c>
      <c r="DD4" s="39" t="s">
        <v>1</v>
      </c>
      <c r="DE4" s="39" t="s">
        <v>1</v>
      </c>
      <c r="DF4" s="39" t="s">
        <v>1</v>
      </c>
      <c r="DG4" s="39" t="s">
        <v>1</v>
      </c>
      <c r="DH4" s="39" t="s">
        <v>1</v>
      </c>
      <c r="DI4" s="39" t="s">
        <v>1</v>
      </c>
      <c r="DJ4" s="39" t="s">
        <v>238</v>
      </c>
      <c r="DK4" s="39" t="s">
        <v>147</v>
      </c>
      <c r="DL4" s="39" t="s">
        <v>150</v>
      </c>
      <c r="DM4" s="39" t="s">
        <v>150</v>
      </c>
      <c r="DN4" s="39" t="s">
        <v>153</v>
      </c>
      <c r="DO4" s="39" t="s">
        <v>153</v>
      </c>
      <c r="DP4" s="39"/>
      <c r="DQ4" s="39"/>
      <c r="DR4" s="39"/>
      <c r="EA4" s="131"/>
      <c r="EB4" s="134"/>
      <c r="EC4" s="39" t="s">
        <v>1</v>
      </c>
      <c r="ED4" s="39" t="s">
        <v>1</v>
      </c>
      <c r="EE4" s="39" t="s">
        <v>1</v>
      </c>
      <c r="EF4" s="39" t="s">
        <v>1</v>
      </c>
      <c r="EG4" s="39" t="s">
        <v>1</v>
      </c>
      <c r="EH4" s="39" t="s">
        <v>1</v>
      </c>
      <c r="EI4" s="39" t="s">
        <v>1</v>
      </c>
      <c r="EJ4" s="39" t="s">
        <v>238</v>
      </c>
      <c r="EK4" s="39" t="s">
        <v>147</v>
      </c>
      <c r="EL4" s="39" t="s">
        <v>150</v>
      </c>
      <c r="EM4" s="39" t="s">
        <v>150</v>
      </c>
      <c r="EN4" s="39" t="s">
        <v>153</v>
      </c>
      <c r="EO4" s="39" t="s">
        <v>153</v>
      </c>
      <c r="EP4" s="39" t="s">
        <v>153</v>
      </c>
      <c r="EQ4" s="39"/>
      <c r="ER4" s="39"/>
      <c r="EW4" s="131"/>
      <c r="EX4" s="134"/>
      <c r="EY4" s="39" t="s">
        <v>1</v>
      </c>
      <c r="EZ4" s="39" t="s">
        <v>1</v>
      </c>
      <c r="FA4" s="39" t="s">
        <v>1</v>
      </c>
      <c r="FB4" s="39" t="s">
        <v>238</v>
      </c>
      <c r="FC4" s="39" t="s">
        <v>147</v>
      </c>
      <c r="FD4" s="39" t="s">
        <v>150</v>
      </c>
      <c r="FE4" s="39" t="s">
        <v>150</v>
      </c>
      <c r="FF4" s="39" t="s">
        <v>153</v>
      </c>
      <c r="FG4" s="39" t="s">
        <v>153</v>
      </c>
      <c r="FJ4" s="131"/>
      <c r="FK4" s="134"/>
      <c r="FL4" s="39" t="s">
        <v>1</v>
      </c>
      <c r="FM4" s="39" t="s">
        <v>1</v>
      </c>
      <c r="FN4" s="39" t="s">
        <v>238</v>
      </c>
      <c r="FO4" s="39" t="s">
        <v>147</v>
      </c>
      <c r="FP4" s="39" t="s">
        <v>150</v>
      </c>
      <c r="FQ4" s="39" t="s">
        <v>150</v>
      </c>
      <c r="FR4" s="39" t="s">
        <v>153</v>
      </c>
      <c r="FS4" s="39" t="s">
        <v>153</v>
      </c>
    </row>
    <row r="5" spans="1:175" ht="14.4">
      <c r="A5" s="16" t="s">
        <v>918</v>
      </c>
      <c r="B5" s="2">
        <f t="shared" si="0"/>
        <v>206000</v>
      </c>
      <c r="C5" s="2">
        <v>355</v>
      </c>
      <c r="D5" s="150">
        <v>510</v>
      </c>
      <c r="E5" s="84">
        <v>1.1000000000000001</v>
      </c>
      <c r="F5" s="27"/>
      <c r="G5" s="27"/>
      <c r="H5" s="27"/>
      <c r="I5" s="27"/>
      <c r="K5" s="21">
        <v>5.8</v>
      </c>
      <c r="L5" s="21">
        <v>500</v>
      </c>
      <c r="M5" s="21">
        <v>400</v>
      </c>
      <c r="N5" s="21">
        <v>210</v>
      </c>
      <c r="O5" s="21">
        <v>210</v>
      </c>
      <c r="P5" s="17"/>
      <c r="Q5" s="17"/>
      <c r="R5" s="17"/>
      <c r="S5" s="17"/>
      <c r="T5" s="17"/>
      <c r="V5" s="23">
        <v>12</v>
      </c>
      <c r="W5" s="3">
        <v>1.5</v>
      </c>
      <c r="X5" s="12">
        <v>113</v>
      </c>
      <c r="Y5" s="3">
        <v>84.2</v>
      </c>
      <c r="Z5" s="3">
        <v>1</v>
      </c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V5" s="3">
        <v>380</v>
      </c>
      <c r="AW5" s="3">
        <v>590</v>
      </c>
      <c r="AX5" s="3">
        <v>500</v>
      </c>
      <c r="AZ5" s="3" t="s">
        <v>63</v>
      </c>
      <c r="BA5" s="3">
        <v>410</v>
      </c>
      <c r="BB5" s="3">
        <v>180</v>
      </c>
      <c r="BI5" s="40" t="s">
        <v>70</v>
      </c>
      <c r="BJ5" s="41" t="s">
        <v>71</v>
      </c>
      <c r="BK5" s="42">
        <v>19000</v>
      </c>
      <c r="BL5" s="43">
        <v>7.5</v>
      </c>
      <c r="BM5" s="43">
        <v>6</v>
      </c>
      <c r="BN5" s="44">
        <v>0.85</v>
      </c>
      <c r="BO5" s="46">
        <v>0.56000000000000005</v>
      </c>
      <c r="BP5" s="49"/>
      <c r="BQ5" s="49"/>
      <c r="CC5" s="57" t="s">
        <v>118</v>
      </c>
      <c r="CD5" s="62">
        <v>295</v>
      </c>
      <c r="CE5" s="62">
        <v>490</v>
      </c>
      <c r="CF5" s="57">
        <f t="shared" ref="CF5:CF19" si="1">CD5</f>
        <v>295</v>
      </c>
      <c r="CG5" s="57">
        <f t="shared" ref="CG5:CG19" si="2">CF5/1.15</f>
        <v>256.52173913043481</v>
      </c>
      <c r="CH5" s="57">
        <f t="shared" ref="CH5:CH19" si="3">CF5</f>
        <v>295</v>
      </c>
      <c r="CI5" s="57">
        <f t="shared" ref="CI5:CI19" si="4">0.7*CD5</f>
        <v>206.5</v>
      </c>
      <c r="CJ5" s="58">
        <v>200000</v>
      </c>
      <c r="DA5" s="71">
        <v>0</v>
      </c>
      <c r="DB5" s="71">
        <v>1</v>
      </c>
      <c r="DC5" s="71">
        <v>2</v>
      </c>
      <c r="DD5" s="71">
        <v>3</v>
      </c>
      <c r="DE5" s="71">
        <v>4</v>
      </c>
      <c r="DF5" s="71">
        <v>5</v>
      </c>
      <c r="DG5" s="71">
        <v>6</v>
      </c>
      <c r="DH5" s="71">
        <v>7</v>
      </c>
      <c r="DI5" s="71">
        <v>8</v>
      </c>
      <c r="DJ5" s="71">
        <v>9</v>
      </c>
      <c r="DK5" s="71">
        <v>10</v>
      </c>
      <c r="DL5" s="71">
        <v>11</v>
      </c>
      <c r="DM5" s="71">
        <v>12</v>
      </c>
      <c r="DN5" s="71">
        <v>13</v>
      </c>
      <c r="DO5" s="71">
        <v>14</v>
      </c>
      <c r="DP5" s="71"/>
      <c r="DQ5" s="71"/>
      <c r="DR5" s="71"/>
      <c r="EA5" s="71">
        <v>0</v>
      </c>
      <c r="EB5" s="71">
        <v>1</v>
      </c>
      <c r="EC5" s="71">
        <v>2</v>
      </c>
      <c r="ED5" s="71">
        <v>3</v>
      </c>
      <c r="EE5" s="71">
        <v>4</v>
      </c>
      <c r="EF5" s="71">
        <v>5</v>
      </c>
      <c r="EG5" s="71">
        <v>6</v>
      </c>
      <c r="EH5" s="71">
        <v>7</v>
      </c>
      <c r="EI5" s="71">
        <v>8</v>
      </c>
      <c r="EJ5" s="71">
        <v>9</v>
      </c>
      <c r="EK5" s="71">
        <v>10</v>
      </c>
      <c r="EL5" s="71">
        <v>11</v>
      </c>
      <c r="EM5" s="71">
        <v>12</v>
      </c>
      <c r="EN5" s="71">
        <v>13</v>
      </c>
      <c r="EO5" s="71">
        <v>14</v>
      </c>
      <c r="EP5" s="71">
        <v>15</v>
      </c>
      <c r="EQ5" s="71"/>
      <c r="ER5" s="71"/>
      <c r="EW5" s="78">
        <v>0</v>
      </c>
      <c r="EX5" s="78">
        <v>1</v>
      </c>
      <c r="EY5" s="78">
        <v>2</v>
      </c>
      <c r="EZ5" s="78">
        <v>3</v>
      </c>
      <c r="FA5" s="78">
        <v>4</v>
      </c>
      <c r="FB5" s="78">
        <v>5</v>
      </c>
      <c r="FC5" s="78">
        <v>6</v>
      </c>
      <c r="FD5" s="78">
        <v>7</v>
      </c>
      <c r="FE5" s="78">
        <v>8</v>
      </c>
      <c r="FF5" s="78">
        <v>9</v>
      </c>
      <c r="FG5" s="78">
        <v>10</v>
      </c>
      <c r="FJ5" s="78">
        <v>0</v>
      </c>
      <c r="FK5" s="78">
        <v>1</v>
      </c>
      <c r="FL5" s="78">
        <v>2</v>
      </c>
      <c r="FM5" s="78">
        <v>3</v>
      </c>
      <c r="FN5" s="78">
        <v>4</v>
      </c>
      <c r="FO5" s="78">
        <v>5</v>
      </c>
      <c r="FP5" s="78">
        <v>6</v>
      </c>
      <c r="FQ5" s="78">
        <v>7</v>
      </c>
      <c r="FR5" s="78">
        <v>8</v>
      </c>
      <c r="FS5" s="78">
        <v>9</v>
      </c>
    </row>
    <row r="6" spans="1:175" ht="14.4">
      <c r="A6" s="16" t="s">
        <v>34</v>
      </c>
      <c r="B6" s="2">
        <f t="shared" si="0"/>
        <v>206000</v>
      </c>
      <c r="C6" s="2">
        <v>250</v>
      </c>
      <c r="D6" s="150">
        <v>400</v>
      </c>
      <c r="E6" s="84">
        <v>1.1000000000000001</v>
      </c>
      <c r="F6" s="27"/>
      <c r="G6" s="27"/>
      <c r="H6" s="27"/>
      <c r="I6" s="27"/>
      <c r="K6" s="21">
        <v>8.8000000000000007</v>
      </c>
      <c r="L6" s="21">
        <v>830</v>
      </c>
      <c r="M6" s="21">
        <v>660</v>
      </c>
      <c r="N6" s="21">
        <v>332</v>
      </c>
      <c r="O6" s="21">
        <v>448</v>
      </c>
      <c r="P6" s="17"/>
      <c r="Q6" s="17"/>
      <c r="R6" s="17"/>
      <c r="S6" s="17"/>
      <c r="T6" s="17"/>
      <c r="V6" s="23">
        <v>16</v>
      </c>
      <c r="W6" s="3">
        <v>2</v>
      </c>
      <c r="X6" s="12">
        <f t="shared" ref="X6:X15" si="5">PI()*V6^2/4</f>
        <v>201.06192982974676</v>
      </c>
      <c r="Y6" s="3">
        <v>157</v>
      </c>
      <c r="Z6" s="3">
        <v>1</v>
      </c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V6" s="3">
        <v>390</v>
      </c>
      <c r="AW6" s="3">
        <v>610</v>
      </c>
      <c r="AX6" s="3">
        <v>515</v>
      </c>
      <c r="AZ6" s="3" t="s">
        <v>64</v>
      </c>
      <c r="BA6" s="3">
        <v>450</v>
      </c>
      <c r="BB6" s="3">
        <v>200</v>
      </c>
      <c r="BI6" s="29" t="s">
        <v>72</v>
      </c>
      <c r="BJ6" s="30" t="s">
        <v>73</v>
      </c>
      <c r="BK6" s="31">
        <v>24000</v>
      </c>
      <c r="BL6" s="32">
        <v>11</v>
      </c>
      <c r="BM6" s="32">
        <v>8.5</v>
      </c>
      <c r="BN6" s="33">
        <v>1.1000000000000001</v>
      </c>
      <c r="BO6" s="47">
        <v>0.75</v>
      </c>
      <c r="BP6" s="49" t="s">
        <v>97</v>
      </c>
      <c r="BQ6" s="49">
        <f>VALUE(MID(BP6,2,2))</f>
        <v>12</v>
      </c>
      <c r="CC6" s="57" t="s">
        <v>119</v>
      </c>
      <c r="CD6" s="62">
        <v>390</v>
      </c>
      <c r="CE6" s="62">
        <v>590</v>
      </c>
      <c r="CF6" s="57">
        <f t="shared" si="1"/>
        <v>390</v>
      </c>
      <c r="CG6" s="57">
        <f t="shared" si="2"/>
        <v>339.13043478260875</v>
      </c>
      <c r="CH6" s="57">
        <f t="shared" si="3"/>
        <v>390</v>
      </c>
      <c r="CI6" s="57">
        <f t="shared" si="4"/>
        <v>273</v>
      </c>
      <c r="CJ6" s="58">
        <v>200000</v>
      </c>
      <c r="DA6" s="69" t="s">
        <v>157</v>
      </c>
      <c r="DB6" s="70" t="s">
        <v>160</v>
      </c>
      <c r="DC6" s="69">
        <v>150</v>
      </c>
      <c r="DD6" s="69">
        <v>62</v>
      </c>
      <c r="DE6" s="69">
        <v>68</v>
      </c>
      <c r="DF6" s="69">
        <v>18</v>
      </c>
      <c r="DG6" s="69">
        <v>1.8</v>
      </c>
      <c r="DH6" s="69">
        <v>2.42</v>
      </c>
      <c r="DI6" s="69">
        <v>73.5</v>
      </c>
      <c r="DJ6" s="69">
        <v>5.4</v>
      </c>
      <c r="DK6" s="69">
        <v>4.24</v>
      </c>
      <c r="DL6" s="69">
        <v>194.72900000000001</v>
      </c>
      <c r="DM6" s="69">
        <v>48.701999999999998</v>
      </c>
      <c r="DN6" s="69">
        <v>25.460999999999999</v>
      </c>
      <c r="DO6" s="69">
        <v>7.4260000000000002</v>
      </c>
      <c r="EA6" s="69" t="s">
        <v>156</v>
      </c>
      <c r="EB6" s="70" t="s">
        <v>192</v>
      </c>
      <c r="EC6" s="69">
        <v>80</v>
      </c>
      <c r="ED6" s="69">
        <v>50</v>
      </c>
      <c r="EE6" s="69">
        <v>50</v>
      </c>
      <c r="EF6" s="69">
        <v>15</v>
      </c>
      <c r="EG6" s="69">
        <v>1.8</v>
      </c>
      <c r="EH6" s="69">
        <v>17.03</v>
      </c>
      <c r="EJ6" s="69">
        <v>3.42</v>
      </c>
      <c r="EK6" s="69">
        <v>2.68</v>
      </c>
      <c r="EL6" s="69">
        <v>37.186999999999998</v>
      </c>
      <c r="EM6" s="69">
        <v>10.993</v>
      </c>
      <c r="EN6" s="69">
        <v>9.2970000000000006</v>
      </c>
      <c r="EO6" s="69">
        <v>3.335</v>
      </c>
      <c r="EW6" s="3" t="e">
        <f>Cal!#REF!</f>
        <v>#REF!</v>
      </c>
      <c r="EX6" s="77" t="s">
        <v>242</v>
      </c>
      <c r="EY6" s="3">
        <v>12</v>
      </c>
      <c r="EZ6" s="3">
        <v>12</v>
      </c>
      <c r="FA6" s="3" t="s">
        <v>684</v>
      </c>
      <c r="FB6" s="75" cm="1">
        <f t="array" ref="FB6">_xll.DCEPropSectBox(EY6, EZ6, FA6, 1, 1, "Area")/100</f>
        <v>0.22356194490192344</v>
      </c>
      <c r="FC6" s="75">
        <f>7850*(FB6/10000)</f>
        <v>0.17549612674800991</v>
      </c>
      <c r="FD6" s="75" cm="1">
        <f t="array" ref="FD6">_xll.DCEPropSectBox(EY6, EZ6, FA6, 1, 1, "Ix")/10000</f>
        <v>4.8547450636632718E-2</v>
      </c>
      <c r="FE6" s="75" cm="1">
        <f t="array" ref="FE6">_xll.DCEPropSectBox(EY6, EZ6, FA6, 1, 1, "Iy")/10000</f>
        <v>4.8547450636632718E-2</v>
      </c>
      <c r="FF6" s="75">
        <f t="shared" ref="FF6:FF69" si="6">FD6/(EZ6/20)</f>
        <v>8.0912417727721203E-2</v>
      </c>
      <c r="FG6" s="75">
        <f t="shared" ref="FG6:FG69" si="7">FE6/(EY6/20)</f>
        <v>8.0912417727721203E-2</v>
      </c>
      <c r="FJ6" s="3" t="e">
        <f>Cal!#REF!</f>
        <v>#REF!</v>
      </c>
      <c r="FK6" s="77" t="s">
        <v>719</v>
      </c>
      <c r="FL6" s="3">
        <v>13.8</v>
      </c>
      <c r="FM6" s="3">
        <v>0.6</v>
      </c>
      <c r="FN6" s="80" cm="1">
        <f t="array" ref="FN6">_xll.DCEPropSectPipe(FL6, FM6, "A")/100</f>
        <v>0.24881413816431133</v>
      </c>
      <c r="FO6" s="75">
        <f>7850*(FN6/10000)</f>
        <v>0.19531909845898437</v>
      </c>
      <c r="FP6" s="76" cm="1">
        <f t="array" ref="FP6">_xll.DCEPropSectPipe(FL6, FM6, "I")/10000</f>
        <v>5.4303685654361014E-2</v>
      </c>
      <c r="FQ6" s="76">
        <f>FP6</f>
        <v>5.4303685654361014E-2</v>
      </c>
      <c r="FR6" s="75">
        <f>FP6/(FL6/20)</f>
        <v>7.8700993701972477E-2</v>
      </c>
      <c r="FS6" s="75">
        <f>FR6</f>
        <v>7.8700993701972477E-2</v>
      </c>
    </row>
    <row r="7" spans="1:175" ht="14.4">
      <c r="A7" s="16" t="s">
        <v>33</v>
      </c>
      <c r="B7" s="2">
        <f t="shared" si="0"/>
        <v>206000</v>
      </c>
      <c r="C7" s="2">
        <v>345</v>
      </c>
      <c r="D7" s="150">
        <v>450</v>
      </c>
      <c r="E7" s="84">
        <v>1.1000000000000001</v>
      </c>
      <c r="F7" s="27"/>
      <c r="G7" s="27"/>
      <c r="H7" s="27"/>
      <c r="I7" s="27"/>
      <c r="K7" s="21">
        <v>10.9</v>
      </c>
      <c r="L7" s="21">
        <v>1040</v>
      </c>
      <c r="M7" s="21">
        <v>940</v>
      </c>
      <c r="N7" s="21">
        <v>416</v>
      </c>
      <c r="O7" s="21">
        <v>728</v>
      </c>
      <c r="P7" s="17"/>
      <c r="Q7" s="17"/>
      <c r="R7" s="17"/>
      <c r="S7" s="17"/>
      <c r="T7" s="17"/>
      <c r="V7" s="23">
        <v>18</v>
      </c>
      <c r="W7" s="3">
        <v>2.5</v>
      </c>
      <c r="X7" s="12">
        <f t="shared" si="5"/>
        <v>254.46900494077323</v>
      </c>
      <c r="Y7" s="3">
        <v>192</v>
      </c>
      <c r="Z7" s="3">
        <v>1.05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V7" s="3">
        <v>430</v>
      </c>
      <c r="AW7" s="3">
        <v>670</v>
      </c>
      <c r="AX7" s="3">
        <v>565</v>
      </c>
      <c r="AZ7" s="3" t="s">
        <v>65</v>
      </c>
      <c r="BA7" s="3">
        <v>490</v>
      </c>
      <c r="BB7" s="3">
        <v>215</v>
      </c>
      <c r="BI7" s="29" t="s">
        <v>74</v>
      </c>
      <c r="BJ7" s="30" t="s">
        <v>75</v>
      </c>
      <c r="BK7" s="31">
        <v>27500</v>
      </c>
      <c r="BL7" s="32">
        <v>15</v>
      </c>
      <c r="BM7" s="32">
        <v>11.5</v>
      </c>
      <c r="BN7" s="33">
        <v>1.35</v>
      </c>
      <c r="BO7" s="47">
        <v>0.9</v>
      </c>
      <c r="BP7" s="49" t="s">
        <v>98</v>
      </c>
      <c r="BQ7" s="49">
        <f t="shared" ref="BQ7:BQ15" si="8">VALUE(MID(BP7,2,2))</f>
        <v>16</v>
      </c>
      <c r="CC7" s="57" t="s">
        <v>120</v>
      </c>
      <c r="CD7" s="62">
        <v>235</v>
      </c>
      <c r="CE7" s="62">
        <v>373</v>
      </c>
      <c r="CF7" s="57">
        <f t="shared" si="1"/>
        <v>235</v>
      </c>
      <c r="CG7" s="57">
        <f t="shared" si="2"/>
        <v>204.34782608695653</v>
      </c>
      <c r="CH7" s="57">
        <f t="shared" si="3"/>
        <v>235</v>
      </c>
      <c r="CI7" s="57">
        <f t="shared" si="4"/>
        <v>164.5</v>
      </c>
      <c r="CJ7" s="59">
        <v>200000</v>
      </c>
      <c r="DA7" s="69" t="s">
        <v>157</v>
      </c>
      <c r="DB7" s="70" t="s">
        <v>161</v>
      </c>
      <c r="DC7" s="69">
        <v>150</v>
      </c>
      <c r="DD7" s="69">
        <v>62</v>
      </c>
      <c r="DE7" s="69">
        <v>68</v>
      </c>
      <c r="DF7" s="69">
        <v>18</v>
      </c>
      <c r="DG7" s="69">
        <v>2</v>
      </c>
      <c r="DH7" s="69">
        <v>2.52</v>
      </c>
      <c r="DI7" s="69">
        <v>73.5</v>
      </c>
      <c r="DJ7" s="69">
        <v>6</v>
      </c>
      <c r="DK7" s="69">
        <v>4.71</v>
      </c>
      <c r="DL7" s="69">
        <v>215.727</v>
      </c>
      <c r="DM7" s="69">
        <v>54.15</v>
      </c>
      <c r="DN7" s="69">
        <v>28.207000000000001</v>
      </c>
      <c r="DO7" s="69">
        <v>8.27</v>
      </c>
      <c r="EA7" s="69" t="s">
        <v>156</v>
      </c>
      <c r="EB7" s="70" t="s">
        <v>193</v>
      </c>
      <c r="EC7" s="69">
        <v>80</v>
      </c>
      <c r="ED7" s="69">
        <v>50</v>
      </c>
      <c r="EE7" s="69">
        <v>50</v>
      </c>
      <c r="EF7" s="69">
        <v>15</v>
      </c>
      <c r="EG7" s="69">
        <v>2</v>
      </c>
      <c r="EH7" s="69">
        <v>17.170000000000002</v>
      </c>
      <c r="EJ7" s="69">
        <v>3.8</v>
      </c>
      <c r="EK7" s="69">
        <v>2.98</v>
      </c>
      <c r="EL7" s="69">
        <v>41.087000000000003</v>
      </c>
      <c r="EM7" s="69">
        <v>12.21</v>
      </c>
      <c r="EN7" s="69">
        <v>10.272</v>
      </c>
      <c r="EO7" s="69">
        <v>3.7189999999999999</v>
      </c>
      <c r="EW7" s="3" t="e">
        <f>Cal!#REF!</f>
        <v>#REF!</v>
      </c>
      <c r="EX7" s="77" t="s">
        <v>243</v>
      </c>
      <c r="EY7" s="3">
        <v>12</v>
      </c>
      <c r="EZ7" s="3">
        <v>12</v>
      </c>
      <c r="FA7" s="3" t="s">
        <v>685</v>
      </c>
      <c r="FB7" s="75" cm="1">
        <f t="array" ref="FB7">_xll.DCEPropSectBox(EY7, EZ7, FA7, 1, 1, "Area")/100</f>
        <v>0.26432920065876975</v>
      </c>
      <c r="FC7" s="75">
        <f t="shared" ref="FC7:FC70" si="9">7850*(FB7/10000)</f>
        <v>0.20749842251713424</v>
      </c>
      <c r="FD7" s="75" cm="1">
        <f t="array" ref="FD7">_xll.DCEPropSectBox(EY7, EZ7, FA7, 1, 1, "Ix")/10000</f>
        <v>5.6215729234744993E-2</v>
      </c>
      <c r="FE7" s="75" cm="1">
        <f t="array" ref="FE7">_xll.DCEPropSectBox(EY7, EZ7, FA7, 1, 1, "Iy")/10000</f>
        <v>5.6215729234744993E-2</v>
      </c>
      <c r="FF7" s="75">
        <f t="shared" si="6"/>
        <v>9.3692882057908322E-2</v>
      </c>
      <c r="FG7" s="75">
        <f t="shared" si="7"/>
        <v>9.3692882057908322E-2</v>
      </c>
      <c r="FJ7" s="3" t="e">
        <f>Cal!#REF!</f>
        <v>#REF!</v>
      </c>
      <c r="FK7" s="77" t="s">
        <v>720</v>
      </c>
      <c r="FL7" s="3">
        <v>13.8</v>
      </c>
      <c r="FM7" s="3">
        <v>0.7</v>
      </c>
      <c r="FN7" s="80" cm="1">
        <f t="array" ref="FN7">_xll.DCEPropSectPipe(FL7, FM7, "A")/100</f>
        <v>0.28808404633418389</v>
      </c>
      <c r="FO7" s="75">
        <f t="shared" ref="FO7:FO70" si="10">7850*(FN7/10000)</f>
        <v>0.22614597637233436</v>
      </c>
      <c r="FP7" s="76" cm="1">
        <f t="array" ref="FP7">_xll.DCEPropSectPipe(FL7, FM7, "I")/10000</f>
        <v>6.1974080467641378E-2</v>
      </c>
      <c r="FQ7" s="76">
        <f t="shared" ref="FQ7:FQ70" si="11">FP7</f>
        <v>6.1974080467641378E-2</v>
      </c>
      <c r="FR7" s="75">
        <f t="shared" ref="FR7:FR70" si="12">FP7/(FL7/20)</f>
        <v>8.9817507924117926E-2</v>
      </c>
      <c r="FS7" s="75">
        <f t="shared" ref="FS7:FS70" si="13">FR7</f>
        <v>8.9817507924117926E-2</v>
      </c>
    </row>
    <row r="8" spans="1:175" ht="14.4">
      <c r="A8" s="16" t="s">
        <v>4</v>
      </c>
      <c r="B8" s="2">
        <f t="shared" si="0"/>
        <v>206000</v>
      </c>
      <c r="C8" s="2">
        <v>235</v>
      </c>
      <c r="D8" s="150">
        <v>360</v>
      </c>
      <c r="E8" s="84">
        <v>1.05</v>
      </c>
      <c r="F8" s="27"/>
      <c r="G8" s="27"/>
      <c r="H8" s="27"/>
      <c r="I8" s="27"/>
      <c r="K8" s="21">
        <v>12.9</v>
      </c>
      <c r="L8" s="21">
        <v>1220</v>
      </c>
      <c r="M8" s="21">
        <v>1100</v>
      </c>
      <c r="N8" s="21">
        <v>427</v>
      </c>
      <c r="O8" s="21">
        <v>854</v>
      </c>
      <c r="P8" s="17"/>
      <c r="Q8" s="17"/>
      <c r="R8" s="17"/>
      <c r="S8" s="17"/>
      <c r="T8" s="17"/>
      <c r="V8" s="23">
        <v>20</v>
      </c>
      <c r="W8" s="3">
        <v>2.5</v>
      </c>
      <c r="X8" s="12">
        <f t="shared" si="5"/>
        <v>314.15926535897933</v>
      </c>
      <c r="Y8" s="3">
        <v>245</v>
      </c>
      <c r="Z8" s="3">
        <v>1.1000000000000001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V8" s="3">
        <v>440</v>
      </c>
      <c r="AW8" s="3">
        <v>685</v>
      </c>
      <c r="AX8" s="3">
        <v>580</v>
      </c>
      <c r="BI8" s="29" t="s">
        <v>76</v>
      </c>
      <c r="BJ8" s="30" t="s">
        <v>77</v>
      </c>
      <c r="BK8" s="31">
        <v>30000</v>
      </c>
      <c r="BL8" s="32">
        <v>18.5</v>
      </c>
      <c r="BM8" s="32">
        <v>14.5</v>
      </c>
      <c r="BN8" s="33">
        <v>1.55</v>
      </c>
      <c r="BO8" s="47">
        <v>1.05</v>
      </c>
      <c r="BP8" s="49" t="s">
        <v>99</v>
      </c>
      <c r="BQ8" s="49">
        <f t="shared" si="8"/>
        <v>20</v>
      </c>
      <c r="CC8" s="57" t="s">
        <v>121</v>
      </c>
      <c r="CD8" s="62">
        <v>295</v>
      </c>
      <c r="CE8" s="62">
        <v>490</v>
      </c>
      <c r="CF8" s="57">
        <f t="shared" si="1"/>
        <v>295</v>
      </c>
      <c r="CG8" s="57">
        <f t="shared" si="2"/>
        <v>256.52173913043481</v>
      </c>
      <c r="CH8" s="57">
        <f t="shared" si="3"/>
        <v>295</v>
      </c>
      <c r="CI8" s="57">
        <f t="shared" si="4"/>
        <v>206.5</v>
      </c>
      <c r="CJ8" s="59">
        <v>200000</v>
      </c>
      <c r="DA8" s="69" t="s">
        <v>157</v>
      </c>
      <c r="DB8" s="70" t="s">
        <v>162</v>
      </c>
      <c r="DC8" s="69">
        <v>150</v>
      </c>
      <c r="DD8" s="69">
        <v>62</v>
      </c>
      <c r="DE8" s="69">
        <v>68</v>
      </c>
      <c r="DF8" s="69">
        <v>18</v>
      </c>
      <c r="DG8" s="69">
        <v>2.2999999999999998</v>
      </c>
      <c r="DH8" s="69">
        <v>2.67</v>
      </c>
      <c r="DI8" s="69">
        <v>73.5</v>
      </c>
      <c r="DJ8" s="69">
        <v>6.9</v>
      </c>
      <c r="DK8" s="69">
        <v>5.42</v>
      </c>
      <c r="DL8" s="69">
        <v>246.97900000000001</v>
      </c>
      <c r="DM8" s="69">
        <v>62.329000000000001</v>
      </c>
      <c r="DN8" s="69">
        <v>32.295000000000002</v>
      </c>
      <c r="DO8" s="69">
        <v>9.5410000000000004</v>
      </c>
      <c r="EA8" s="69" t="s">
        <v>156</v>
      </c>
      <c r="EB8" s="70" t="s">
        <v>194</v>
      </c>
      <c r="EC8" s="69">
        <v>80</v>
      </c>
      <c r="ED8" s="69">
        <v>50</v>
      </c>
      <c r="EE8" s="69">
        <v>50</v>
      </c>
      <c r="EF8" s="69">
        <v>15</v>
      </c>
      <c r="EG8" s="69">
        <v>2.2999999999999998</v>
      </c>
      <c r="EH8" s="69">
        <v>17.37</v>
      </c>
      <c r="EJ8" s="69">
        <v>4.37</v>
      </c>
      <c r="EK8" s="69">
        <v>3.43</v>
      </c>
      <c r="EL8" s="69">
        <v>46.848999999999997</v>
      </c>
      <c r="EM8" s="69">
        <v>14.03</v>
      </c>
      <c r="EN8" s="69">
        <v>11.712</v>
      </c>
      <c r="EO8" s="69">
        <v>4.2990000000000004</v>
      </c>
      <c r="EW8" s="3" t="e">
        <f>Cal!#REF!</f>
        <v>#REF!</v>
      </c>
      <c r="EX8" s="77" t="s">
        <v>244</v>
      </c>
      <c r="EY8" s="3">
        <v>12</v>
      </c>
      <c r="EZ8" s="3">
        <v>12</v>
      </c>
      <c r="FA8" s="3" t="s">
        <v>686</v>
      </c>
      <c r="FB8" s="75" cm="1">
        <f t="array" ref="FB8">_xll.DCEPropSectBox(EY8, EZ8, FA8, 1, 1, "Area")/100</f>
        <v>0.30378141200776998</v>
      </c>
      <c r="FC8" s="75">
        <f t="shared" si="9"/>
        <v>0.23846840842609943</v>
      </c>
      <c r="FD8" s="75" cm="1">
        <f t="array" ref="FD8">_xll.DCEPropSectBox(EY8, EZ8, FA8, 1, 1, "Ix")/10000</f>
        <v>6.3253541262725074E-2</v>
      </c>
      <c r="FE8" s="75" cm="1">
        <f t="array" ref="FE8">_xll.DCEPropSectBox(EY8, EZ8, FA8, 1, 1, "Iy")/10000</f>
        <v>6.3253541262725074E-2</v>
      </c>
      <c r="FF8" s="75">
        <f t="shared" si="6"/>
        <v>0.10542256877120847</v>
      </c>
      <c r="FG8" s="75">
        <f t="shared" si="7"/>
        <v>0.10542256877120847</v>
      </c>
      <c r="FJ8" s="3" t="e">
        <f>Cal!#REF!</f>
        <v>#REF!</v>
      </c>
      <c r="FK8" s="77" t="s">
        <v>721</v>
      </c>
      <c r="FL8" s="3">
        <v>13.8</v>
      </c>
      <c r="FM8" s="3">
        <v>0.8</v>
      </c>
      <c r="FN8" s="80" cm="1">
        <f t="array" ref="FN8">_xll.DCEPropSectPipe(FL8, FM8, "A")/100</f>
        <v>0.32672563597333837</v>
      </c>
      <c r="FO8" s="75">
        <f t="shared" si="10"/>
        <v>0.25647962423907061</v>
      </c>
      <c r="FP8" s="76" cm="1">
        <f t="array" ref="FP8">_xll.DCEPropSectPipe(FL8, FM8, "I")/10000</f>
        <v>6.928217110814644E-2</v>
      </c>
      <c r="FQ8" s="76">
        <f t="shared" si="11"/>
        <v>6.928217110814644E-2</v>
      </c>
      <c r="FR8" s="75">
        <f t="shared" si="12"/>
        <v>0.10040894363499483</v>
      </c>
      <c r="FS8" s="75">
        <f t="shared" si="13"/>
        <v>0.10040894363499483</v>
      </c>
    </row>
    <row r="9" spans="1:175" ht="14.4">
      <c r="A9" s="16" t="s">
        <v>3</v>
      </c>
      <c r="B9" s="2">
        <f t="shared" si="0"/>
        <v>206000</v>
      </c>
      <c r="C9" s="2">
        <v>225</v>
      </c>
      <c r="D9" s="150">
        <v>360</v>
      </c>
      <c r="E9" s="84">
        <v>1.05</v>
      </c>
      <c r="F9" s="27"/>
      <c r="G9" s="27"/>
      <c r="H9" s="27"/>
      <c r="I9" s="27"/>
      <c r="V9" s="23">
        <v>22</v>
      </c>
      <c r="W9" s="3">
        <v>2.5</v>
      </c>
      <c r="X9" s="12">
        <f t="shared" si="5"/>
        <v>380.13271108436498</v>
      </c>
      <c r="Y9" s="3">
        <v>303</v>
      </c>
      <c r="Z9" s="3">
        <v>1.1000000000000001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V9" s="3">
        <v>450</v>
      </c>
      <c r="AW9" s="3">
        <v>700</v>
      </c>
      <c r="AX9" s="3">
        <v>595</v>
      </c>
      <c r="BI9" s="29" t="s">
        <v>78</v>
      </c>
      <c r="BJ9" s="30" t="s">
        <v>79</v>
      </c>
      <c r="BK9" s="31">
        <v>32500</v>
      </c>
      <c r="BL9" s="32">
        <v>22</v>
      </c>
      <c r="BM9" s="32">
        <v>17</v>
      </c>
      <c r="BN9" s="33">
        <v>1.75</v>
      </c>
      <c r="BO9" s="47">
        <v>1.1499999999999999</v>
      </c>
      <c r="BP9" s="49" t="s">
        <v>100</v>
      </c>
      <c r="BQ9" s="49">
        <f t="shared" si="8"/>
        <v>25</v>
      </c>
      <c r="CC9" s="57" t="s">
        <v>122</v>
      </c>
      <c r="CD9" s="62">
        <v>390</v>
      </c>
      <c r="CE9" s="62">
        <v>590</v>
      </c>
      <c r="CF9" s="57">
        <f t="shared" si="1"/>
        <v>390</v>
      </c>
      <c r="CG9" s="57">
        <f t="shared" si="2"/>
        <v>339.13043478260875</v>
      </c>
      <c r="CH9" s="57">
        <f t="shared" si="3"/>
        <v>390</v>
      </c>
      <c r="CI9" s="57">
        <f t="shared" si="4"/>
        <v>273</v>
      </c>
      <c r="CJ9" s="59">
        <v>200000</v>
      </c>
      <c r="DA9" s="69" t="s">
        <v>157</v>
      </c>
      <c r="DB9" s="70" t="s">
        <v>163</v>
      </c>
      <c r="DC9" s="69">
        <v>150</v>
      </c>
      <c r="DD9" s="69">
        <v>62</v>
      </c>
      <c r="DE9" s="69">
        <v>68</v>
      </c>
      <c r="DF9" s="69">
        <v>18</v>
      </c>
      <c r="DG9" s="69">
        <v>2.5</v>
      </c>
      <c r="DH9" s="69">
        <v>2.78</v>
      </c>
      <c r="DI9" s="69">
        <v>73.5</v>
      </c>
      <c r="DJ9" s="69">
        <v>7.5</v>
      </c>
      <c r="DK9" s="69">
        <v>5.89</v>
      </c>
      <c r="DL9" s="69">
        <v>267.649</v>
      </c>
      <c r="DM9" s="69">
        <v>67.786000000000001</v>
      </c>
      <c r="DN9" s="69">
        <v>34.997999999999998</v>
      </c>
      <c r="DO9" s="69">
        <v>10.393000000000001</v>
      </c>
      <c r="EA9" s="69" t="s">
        <v>156</v>
      </c>
      <c r="EB9" s="70" t="s">
        <v>195</v>
      </c>
      <c r="EC9" s="69">
        <v>80</v>
      </c>
      <c r="ED9" s="69">
        <v>50</v>
      </c>
      <c r="EE9" s="69">
        <v>50</v>
      </c>
      <c r="EF9" s="69">
        <v>15</v>
      </c>
      <c r="EG9" s="69">
        <v>2.5</v>
      </c>
      <c r="EH9" s="69">
        <v>17.5</v>
      </c>
      <c r="EJ9" s="69">
        <v>4.75</v>
      </c>
      <c r="EK9" s="69">
        <v>3.73</v>
      </c>
      <c r="EL9" s="69">
        <v>50.63</v>
      </c>
      <c r="EM9" s="69">
        <v>15.24</v>
      </c>
      <c r="EN9" s="69">
        <v>12.657999999999999</v>
      </c>
      <c r="EO9" s="69">
        <v>4.6890000000000001</v>
      </c>
      <c r="EW9" s="3" t="e">
        <f>Cal!#REF!</f>
        <v>#REF!</v>
      </c>
      <c r="EX9" s="77" t="s">
        <v>245</v>
      </c>
      <c r="EY9" s="3">
        <v>12</v>
      </c>
      <c r="EZ9" s="3">
        <v>12</v>
      </c>
      <c r="FA9" s="3" t="s">
        <v>687</v>
      </c>
      <c r="FB9" s="75" cm="1">
        <f t="array" ref="FB9">_xll.DCEPropSectBox(EY9, EZ9, FA9, 1, 1, "Area")/100</f>
        <v>0.34191857894892402</v>
      </c>
      <c r="FC9" s="75">
        <f t="shared" si="9"/>
        <v>0.26840608447490538</v>
      </c>
      <c r="FD9" s="75" cm="1">
        <f t="array" ref="FD9">_xll.DCEPropSectBox(EY9, EZ9, FA9, 1, 1, "Ix")/10000</f>
        <v>6.9681718849436414E-2</v>
      </c>
      <c r="FE9" s="75" cm="1">
        <f t="array" ref="FE9">_xll.DCEPropSectBox(EY9, EZ9, FA9, 1, 1, "Iy")/10000</f>
        <v>6.9681718849436414E-2</v>
      </c>
      <c r="FF9" s="75">
        <f t="shared" si="6"/>
        <v>0.11613619808239403</v>
      </c>
      <c r="FG9" s="75">
        <f t="shared" si="7"/>
        <v>0.11613619808239403</v>
      </c>
      <c r="FJ9" s="3" t="e">
        <f>Cal!#REF!</f>
        <v>#REF!</v>
      </c>
      <c r="FK9" s="77" t="s">
        <v>722</v>
      </c>
      <c r="FL9" s="3">
        <v>13.8</v>
      </c>
      <c r="FM9" s="3">
        <v>0.9</v>
      </c>
      <c r="FN9" s="80" cm="1">
        <f t="array" ref="FN9">_xll.DCEPropSectPipe(FL9, FM9, "A")/100</f>
        <v>0.36473890708177509</v>
      </c>
      <c r="FO9" s="75">
        <f t="shared" si="10"/>
        <v>0.28632004205919348</v>
      </c>
      <c r="FP9" s="76" cm="1">
        <f t="array" ref="FP9">_xll.DCEPropSectPipe(FL9, FM9, "I")/10000</f>
        <v>7.6239550052768071E-2</v>
      </c>
      <c r="FQ9" s="76">
        <f t="shared" si="11"/>
        <v>7.6239550052768071E-2</v>
      </c>
      <c r="FR9" s="75">
        <f t="shared" si="12"/>
        <v>0.11049210152575081</v>
      </c>
      <c r="FS9" s="75">
        <f t="shared" si="13"/>
        <v>0.11049210152575081</v>
      </c>
    </row>
    <row r="10" spans="1:175" ht="14.4">
      <c r="A10" s="16" t="s">
        <v>5</v>
      </c>
      <c r="B10" s="2">
        <f t="shared" si="0"/>
        <v>206000</v>
      </c>
      <c r="C10" s="2">
        <v>215</v>
      </c>
      <c r="D10" s="150">
        <v>360</v>
      </c>
      <c r="E10" s="84">
        <v>1.05</v>
      </c>
      <c r="F10" s="27"/>
      <c r="G10" s="27"/>
      <c r="H10" s="27"/>
      <c r="I10" s="27"/>
      <c r="V10" s="23">
        <v>24</v>
      </c>
      <c r="W10" s="3">
        <v>3</v>
      </c>
      <c r="X10" s="12">
        <f t="shared" si="5"/>
        <v>452.38934211693021</v>
      </c>
      <c r="Y10" s="3">
        <v>353</v>
      </c>
      <c r="Z10" s="3">
        <v>1.1000000000000001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V10" s="3">
        <v>460</v>
      </c>
      <c r="AW10" s="3">
        <v>720</v>
      </c>
      <c r="AX10" s="3">
        <v>605</v>
      </c>
      <c r="BI10" s="29" t="s">
        <v>80</v>
      </c>
      <c r="BJ10" s="30" t="s">
        <v>81</v>
      </c>
      <c r="BK10" s="31">
        <v>34500</v>
      </c>
      <c r="BL10" s="32">
        <v>25.5</v>
      </c>
      <c r="BM10" s="32">
        <v>19.5</v>
      </c>
      <c r="BN10" s="33">
        <v>1.95</v>
      </c>
      <c r="BO10" s="47">
        <v>1.3</v>
      </c>
      <c r="BP10" s="49" t="s">
        <v>101</v>
      </c>
      <c r="BQ10" s="49">
        <f t="shared" si="8"/>
        <v>28</v>
      </c>
      <c r="CC10" s="57" t="s">
        <v>129</v>
      </c>
      <c r="CD10" s="62">
        <v>240</v>
      </c>
      <c r="CE10" s="62">
        <v>380</v>
      </c>
      <c r="CF10" s="57">
        <f t="shared" si="1"/>
        <v>240</v>
      </c>
      <c r="CG10" s="57"/>
      <c r="CH10" s="57">
        <f t="shared" si="3"/>
        <v>240</v>
      </c>
      <c r="CI10" s="57">
        <v>170</v>
      </c>
      <c r="CJ10" s="58">
        <v>200000</v>
      </c>
      <c r="DA10" s="69" t="s">
        <v>157</v>
      </c>
      <c r="DB10" s="70" t="s">
        <v>164</v>
      </c>
      <c r="DC10" s="69">
        <v>150</v>
      </c>
      <c r="DD10" s="69">
        <v>62</v>
      </c>
      <c r="DE10" s="69">
        <v>68</v>
      </c>
      <c r="DF10" s="69">
        <v>18</v>
      </c>
      <c r="DG10" s="69">
        <v>3</v>
      </c>
      <c r="DH10" s="69">
        <v>3.03</v>
      </c>
      <c r="DI10" s="69">
        <v>73.5</v>
      </c>
      <c r="DJ10" s="69">
        <v>9</v>
      </c>
      <c r="DK10" s="69">
        <v>7.07</v>
      </c>
      <c r="DL10" s="69">
        <v>318.74599999999998</v>
      </c>
      <c r="DM10" s="69">
        <v>81.433999999999997</v>
      </c>
      <c r="DN10" s="69">
        <v>41.682000000000002</v>
      </c>
      <c r="DO10" s="69">
        <v>12.534000000000001</v>
      </c>
      <c r="EA10" s="69" t="s">
        <v>156</v>
      </c>
      <c r="EB10" s="70" t="s">
        <v>196</v>
      </c>
      <c r="EC10" s="69">
        <v>80</v>
      </c>
      <c r="ED10" s="69">
        <v>50</v>
      </c>
      <c r="EE10" s="69">
        <v>50</v>
      </c>
      <c r="EF10" s="69">
        <v>15</v>
      </c>
      <c r="EG10" s="69">
        <v>3</v>
      </c>
      <c r="EH10" s="69">
        <v>17.829999999999998</v>
      </c>
      <c r="EJ10" s="69">
        <v>5.7</v>
      </c>
      <c r="EK10" s="69">
        <v>4.47</v>
      </c>
      <c r="EL10" s="69">
        <v>59.872999999999998</v>
      </c>
      <c r="EM10" s="69">
        <v>18.248000000000001</v>
      </c>
      <c r="EN10" s="69">
        <v>14.968</v>
      </c>
      <c r="EO10" s="69">
        <v>5.6719999999999997</v>
      </c>
      <c r="EW10" s="3" t="e">
        <f>Cal!#REF!</f>
        <v>#REF!</v>
      </c>
      <c r="EX10" s="77" t="s">
        <v>246</v>
      </c>
      <c r="EY10" s="3">
        <v>12</v>
      </c>
      <c r="EZ10" s="3">
        <v>12</v>
      </c>
      <c r="FA10" s="3" t="s">
        <v>688</v>
      </c>
      <c r="FB10" s="75" cm="1">
        <f t="array" ref="FB10">_xll.DCEPropSectBox(EY10, EZ10, FA10, 1, 1, "Area")/100</f>
        <v>0.37874070148223199</v>
      </c>
      <c r="FC10" s="75">
        <f t="shared" si="9"/>
        <v>0.29731145066355213</v>
      </c>
      <c r="FD10" s="75" cm="1">
        <f t="array" ref="FD10">_xll.DCEPropSectBox(EY10, EZ10, FA10, 1, 1, "Ix")/10000</f>
        <v>7.5520809343973344E-2</v>
      </c>
      <c r="FE10" s="75" cm="1">
        <f t="array" ref="FE10">_xll.DCEPropSectBox(EY10, EZ10, FA10, 1, 1, "Iy")/10000</f>
        <v>7.5520809343973344E-2</v>
      </c>
      <c r="FF10" s="75">
        <f t="shared" si="6"/>
        <v>0.12586801557328892</v>
      </c>
      <c r="FG10" s="75">
        <f t="shared" si="7"/>
        <v>0.12586801557328892</v>
      </c>
      <c r="FJ10" s="3" t="e">
        <f>Cal!#REF!</f>
        <v>#REF!</v>
      </c>
      <c r="FK10" s="77" t="s">
        <v>723</v>
      </c>
      <c r="FL10" s="3">
        <v>13.8</v>
      </c>
      <c r="FM10" s="3">
        <v>1</v>
      </c>
      <c r="FN10" s="80" cm="1">
        <f t="array" ref="FN10">_xll.DCEPropSectPipe(FL10, FM10, "A")/100</f>
        <v>0.40212385965949354</v>
      </c>
      <c r="FO10" s="75">
        <f t="shared" si="10"/>
        <v>0.3156672298327024</v>
      </c>
      <c r="FP10" s="76" cm="1">
        <f t="array" ref="FP10">_xll.DCEPropSectPipe(FL10, FM10, "I")/10000</f>
        <v>8.2857621282838675E-2</v>
      </c>
      <c r="FQ10" s="76">
        <f t="shared" si="11"/>
        <v>8.2857621282838675E-2</v>
      </c>
      <c r="FR10" s="75">
        <f t="shared" si="12"/>
        <v>0.12008350910556329</v>
      </c>
      <c r="FS10" s="75">
        <f t="shared" si="13"/>
        <v>0.12008350910556329</v>
      </c>
    </row>
    <row r="11" spans="1:175" ht="14.4">
      <c r="A11" s="16" t="s">
        <v>6</v>
      </c>
      <c r="B11" s="2">
        <f t="shared" si="0"/>
        <v>206000</v>
      </c>
      <c r="C11" s="2">
        <v>215</v>
      </c>
      <c r="D11" s="150">
        <v>360</v>
      </c>
      <c r="E11" s="84">
        <v>1.05</v>
      </c>
      <c r="F11" s="27"/>
      <c r="G11" s="27"/>
      <c r="H11" s="27"/>
      <c r="I11" s="27"/>
      <c r="V11" s="23">
        <v>27</v>
      </c>
      <c r="W11" s="3">
        <v>3</v>
      </c>
      <c r="X11" s="12">
        <f t="shared" si="5"/>
        <v>572.55526111673976</v>
      </c>
      <c r="Y11" s="3">
        <v>459</v>
      </c>
      <c r="Z11" s="3">
        <v>1.2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V11" s="3">
        <v>470</v>
      </c>
      <c r="AW11" s="3">
        <v>735</v>
      </c>
      <c r="AX11" s="3">
        <v>620</v>
      </c>
      <c r="BI11" s="29" t="s">
        <v>82</v>
      </c>
      <c r="BJ11" s="30" t="s">
        <v>83</v>
      </c>
      <c r="BK11" s="31">
        <v>36000</v>
      </c>
      <c r="BL11" s="32">
        <v>29</v>
      </c>
      <c r="BM11" s="32">
        <v>22</v>
      </c>
      <c r="BN11" s="33">
        <v>2.1</v>
      </c>
      <c r="BO11" s="47">
        <v>1.4</v>
      </c>
      <c r="BP11" s="49" t="s">
        <v>102</v>
      </c>
      <c r="BQ11" s="49">
        <f t="shared" si="8"/>
        <v>32</v>
      </c>
      <c r="CC11" s="57" t="s">
        <v>130</v>
      </c>
      <c r="CD11" s="62">
        <v>300</v>
      </c>
      <c r="CE11" s="62">
        <v>440</v>
      </c>
      <c r="CF11" s="57">
        <f t="shared" si="1"/>
        <v>300</v>
      </c>
      <c r="CG11" s="57"/>
      <c r="CH11" s="57">
        <f t="shared" si="3"/>
        <v>300</v>
      </c>
      <c r="CI11" s="57">
        <v>210</v>
      </c>
      <c r="CJ11" s="58">
        <v>200000</v>
      </c>
      <c r="DA11" s="69" t="s">
        <v>157</v>
      </c>
      <c r="DB11" s="70" t="s">
        <v>165</v>
      </c>
      <c r="DC11" s="69">
        <v>200</v>
      </c>
      <c r="DD11" s="69">
        <v>62</v>
      </c>
      <c r="DE11" s="69">
        <v>68</v>
      </c>
      <c r="DF11" s="69">
        <v>20</v>
      </c>
      <c r="DG11" s="69">
        <v>1.8</v>
      </c>
      <c r="DH11" s="69">
        <v>2.2000000000000002</v>
      </c>
      <c r="DI11" s="69">
        <v>98.3</v>
      </c>
      <c r="DJ11" s="69">
        <v>6.3</v>
      </c>
      <c r="DK11" s="69">
        <v>4.95</v>
      </c>
      <c r="DL11" s="69">
        <v>379.50700000000001</v>
      </c>
      <c r="DM11" s="69">
        <v>48.722999999999999</v>
      </c>
      <c r="DN11" s="69">
        <v>37.317</v>
      </c>
      <c r="DO11" s="69">
        <v>7.4050000000000002</v>
      </c>
      <c r="EA11" s="69" t="s">
        <v>156</v>
      </c>
      <c r="EB11" s="70" t="s">
        <v>197</v>
      </c>
      <c r="EC11" s="69">
        <v>100</v>
      </c>
      <c r="ED11" s="69">
        <v>50</v>
      </c>
      <c r="EE11" s="69">
        <v>50</v>
      </c>
      <c r="EF11" s="69">
        <v>15</v>
      </c>
      <c r="EG11" s="69">
        <v>1.8</v>
      </c>
      <c r="EH11" s="69">
        <v>15.5</v>
      </c>
      <c r="EJ11" s="69">
        <v>3.78</v>
      </c>
      <c r="EK11" s="69">
        <v>2.97</v>
      </c>
      <c r="EL11" s="69">
        <v>61.76</v>
      </c>
      <c r="EM11" s="69">
        <v>11.842000000000001</v>
      </c>
      <c r="EN11" s="69">
        <v>12.352</v>
      </c>
      <c r="EO11" s="69">
        <v>3.4319999999999999</v>
      </c>
      <c r="EW11" s="3" t="e">
        <f>Cal!#REF!</f>
        <v>#REF!</v>
      </c>
      <c r="EX11" s="77" t="s">
        <v>247</v>
      </c>
      <c r="EY11" s="3">
        <v>12</v>
      </c>
      <c r="EZ11" s="3">
        <v>12</v>
      </c>
      <c r="FA11" s="3" t="s">
        <v>689</v>
      </c>
      <c r="FB11" s="75" cm="1">
        <f t="array" ref="FB11">_xll.DCEPropSectBox(EY11, EZ11, FA11, 1, 1, "Area")/100</f>
        <v>0.41424777960769377</v>
      </c>
      <c r="FC11" s="75">
        <f t="shared" si="9"/>
        <v>0.3251845069920396</v>
      </c>
      <c r="FD11" s="75" cm="1">
        <f t="array" ref="FD11">_xll.DCEPropSectBox(EY11, EZ11, FA11, 1, 1, "Ix")/10000</f>
        <v>8.0791075315660515E-2</v>
      </c>
      <c r="FE11" s="75" cm="1">
        <f t="array" ref="FE11">_xll.DCEPropSectBox(EY11, EZ11, FA11, 1, 1, "Iy")/10000</f>
        <v>8.0791075315660515E-2</v>
      </c>
      <c r="FF11" s="75">
        <f t="shared" si="6"/>
        <v>0.13465179219276754</v>
      </c>
      <c r="FG11" s="75">
        <f t="shared" si="7"/>
        <v>0.13465179219276754</v>
      </c>
      <c r="FJ11" s="3" t="e">
        <f>Cal!#REF!</f>
        <v>#REF!</v>
      </c>
      <c r="FK11" s="77" t="s">
        <v>724</v>
      </c>
      <c r="FL11" s="3">
        <v>13.8</v>
      </c>
      <c r="FM11" s="3">
        <v>1.1000000000000001</v>
      </c>
      <c r="FN11" s="80" cm="1">
        <f t="array" ref="FN11">_xll.DCEPropSectPipe(FL11, FM11, "A")/100</f>
        <v>0.43888049370649396</v>
      </c>
      <c r="FO11" s="75">
        <f t="shared" si="10"/>
        <v>0.34452118755959776</v>
      </c>
      <c r="FP11" s="76" cm="1">
        <f t="array" ref="FP11">_xll.DCEPropSectPipe(FL11, FM11, "I")/10000</f>
        <v>8.9147600284131615E-2</v>
      </c>
      <c r="FQ11" s="76">
        <f t="shared" si="11"/>
        <v>8.9147600284131615E-2</v>
      </c>
      <c r="FR11" s="75">
        <f t="shared" si="12"/>
        <v>0.12919942070164001</v>
      </c>
      <c r="FS11" s="75">
        <f t="shared" si="13"/>
        <v>0.12919942070164001</v>
      </c>
    </row>
    <row r="12" spans="1:175" ht="14.4">
      <c r="A12" s="16" t="s">
        <v>7</v>
      </c>
      <c r="B12" s="2">
        <f t="shared" si="0"/>
        <v>206000</v>
      </c>
      <c r="C12" s="2">
        <v>215</v>
      </c>
      <c r="D12" s="150">
        <v>360</v>
      </c>
      <c r="E12" s="84">
        <v>1.05</v>
      </c>
      <c r="F12" s="27"/>
      <c r="G12" s="27"/>
      <c r="H12" s="27"/>
      <c r="I12" s="27"/>
      <c r="V12" s="23">
        <v>30</v>
      </c>
      <c r="W12" s="3">
        <v>3.5</v>
      </c>
      <c r="X12" s="12">
        <f t="shared" si="5"/>
        <v>706.85834705770344</v>
      </c>
      <c r="Y12" s="3">
        <v>561</v>
      </c>
      <c r="Z12" s="3">
        <v>1.3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V12" s="3">
        <v>480</v>
      </c>
      <c r="AW12" s="3">
        <v>750</v>
      </c>
      <c r="AX12" s="3">
        <v>630</v>
      </c>
      <c r="BI12" s="29" t="s">
        <v>84</v>
      </c>
      <c r="BJ12" s="30" t="s">
        <v>85</v>
      </c>
      <c r="BK12" s="31">
        <v>37000</v>
      </c>
      <c r="BL12" s="32">
        <v>32</v>
      </c>
      <c r="BM12" s="32">
        <v>25</v>
      </c>
      <c r="BN12" s="33">
        <v>2.25</v>
      </c>
      <c r="BO12" s="47">
        <v>1.5</v>
      </c>
      <c r="BP12" s="49" t="s">
        <v>103</v>
      </c>
      <c r="BQ12" s="49">
        <f t="shared" si="8"/>
        <v>35</v>
      </c>
      <c r="CC12" s="57" t="s">
        <v>131</v>
      </c>
      <c r="CD12" s="62">
        <v>300</v>
      </c>
      <c r="CE12" s="62">
        <v>450</v>
      </c>
      <c r="CF12" s="57">
        <f t="shared" si="1"/>
        <v>300</v>
      </c>
      <c r="CG12" s="57"/>
      <c r="CH12" s="57">
        <f t="shared" si="3"/>
        <v>300</v>
      </c>
      <c r="CI12" s="57">
        <v>210</v>
      </c>
      <c r="CJ12" s="58">
        <v>200000</v>
      </c>
      <c r="DA12" s="69" t="s">
        <v>157</v>
      </c>
      <c r="DB12" s="70" t="s">
        <v>166</v>
      </c>
      <c r="DC12" s="69">
        <v>200</v>
      </c>
      <c r="DD12" s="69">
        <v>62</v>
      </c>
      <c r="DE12" s="69">
        <v>68</v>
      </c>
      <c r="DF12" s="69">
        <v>20</v>
      </c>
      <c r="DG12" s="69">
        <v>2</v>
      </c>
      <c r="DH12" s="69">
        <v>2.2999999999999998</v>
      </c>
      <c r="DI12" s="69">
        <v>98.3</v>
      </c>
      <c r="DJ12" s="69">
        <v>7</v>
      </c>
      <c r="DK12" s="69">
        <v>5.5</v>
      </c>
      <c r="DL12" s="69">
        <v>420.81</v>
      </c>
      <c r="DM12" s="69">
        <v>54.173000000000002</v>
      </c>
      <c r="DN12" s="69">
        <v>41.378999999999998</v>
      </c>
      <c r="DO12" s="69">
        <v>8.2460000000000004</v>
      </c>
      <c r="EA12" s="69" t="s">
        <v>156</v>
      </c>
      <c r="EB12" s="70" t="s">
        <v>198</v>
      </c>
      <c r="EC12" s="69">
        <v>100</v>
      </c>
      <c r="ED12" s="69">
        <v>50</v>
      </c>
      <c r="EE12" s="69">
        <v>50</v>
      </c>
      <c r="EF12" s="69">
        <v>15</v>
      </c>
      <c r="EG12" s="69">
        <v>2</v>
      </c>
      <c r="EH12" s="69">
        <v>15.63</v>
      </c>
      <c r="EJ12" s="69">
        <v>4.2</v>
      </c>
      <c r="EK12" s="69">
        <v>3.3</v>
      </c>
      <c r="EL12" s="69">
        <v>68.328000000000003</v>
      </c>
      <c r="EM12" s="69">
        <v>13.157</v>
      </c>
      <c r="EN12" s="69">
        <v>13.666</v>
      </c>
      <c r="EO12" s="69">
        <v>3.8279999999999998</v>
      </c>
      <c r="EW12" s="3" t="e">
        <f>Cal!#REF!</f>
        <v>#REF!</v>
      </c>
      <c r="EX12" s="77" t="s">
        <v>248</v>
      </c>
      <c r="EY12" s="3">
        <v>12</v>
      </c>
      <c r="EZ12" s="3">
        <v>12</v>
      </c>
      <c r="FA12" s="3" t="s">
        <v>690</v>
      </c>
      <c r="FB12" s="75" cm="1">
        <f t="array" ref="FB12">_xll.DCEPropSectBox(EY12, EZ12, FA12, 1, 1, "Area")/100</f>
        <v>0.44843981332530958</v>
      </c>
      <c r="FC12" s="75">
        <f t="shared" si="9"/>
        <v>0.35202525346036806</v>
      </c>
      <c r="FD12" s="75" cm="1">
        <f t="array" ref="FD12">_xll.DCEPropSectBox(EY12, EZ12, FA12, 1, 1, "Ix")/10000</f>
        <v>8.5512494554053298E-2</v>
      </c>
      <c r="FE12" s="75" cm="1">
        <f t="array" ref="FE12">_xll.DCEPropSectBox(EY12, EZ12, FA12, 1, 1, "Iy")/10000</f>
        <v>8.5512494554053298E-2</v>
      </c>
      <c r="FF12" s="75">
        <f t="shared" si="6"/>
        <v>0.1425208242567555</v>
      </c>
      <c r="FG12" s="75">
        <f t="shared" si="7"/>
        <v>0.1425208242567555</v>
      </c>
      <c r="FJ12" s="3" t="e">
        <f>Cal!#REF!</f>
        <v>#REF!</v>
      </c>
      <c r="FK12" s="77" t="s">
        <v>725</v>
      </c>
      <c r="FL12" s="3">
        <v>13.8</v>
      </c>
      <c r="FM12" s="3">
        <v>1.2</v>
      </c>
      <c r="FN12" s="80" cm="1">
        <f t="array" ref="FN12">_xll.DCEPropSectPipe(FL12, FM12, "A")/100</f>
        <v>0.47500880922277672</v>
      </c>
      <c r="FO12" s="75">
        <f t="shared" si="10"/>
        <v>0.37288191523987974</v>
      </c>
      <c r="FP12" s="76" cm="1">
        <f t="array" ref="FP12">_xll.DCEPropSectPipe(FL12, FM12, "I")/10000</f>
        <v>9.5120514046861074E-2</v>
      </c>
      <c r="FQ12" s="76">
        <f t="shared" si="11"/>
        <v>9.5120514046861074E-2</v>
      </c>
      <c r="FR12" s="75">
        <f t="shared" si="12"/>
        <v>0.13785581745921893</v>
      </c>
      <c r="FS12" s="75">
        <f t="shared" si="13"/>
        <v>0.13785581745921893</v>
      </c>
    </row>
    <row r="13" spans="1:175" ht="14.4">
      <c r="A13" s="16" t="s">
        <v>8</v>
      </c>
      <c r="B13" s="2">
        <f t="shared" si="0"/>
        <v>206000</v>
      </c>
      <c r="C13" s="2">
        <v>275</v>
      </c>
      <c r="D13" s="150">
        <v>410</v>
      </c>
      <c r="E13" s="84">
        <v>1.05</v>
      </c>
      <c r="F13" s="27"/>
      <c r="G13" s="27"/>
      <c r="H13" s="27"/>
      <c r="I13" s="27"/>
      <c r="V13" s="23">
        <v>36</v>
      </c>
      <c r="W13" s="3">
        <v>4</v>
      </c>
      <c r="X13" s="12">
        <f t="shared" si="5"/>
        <v>1017.8760197630929</v>
      </c>
      <c r="Y13" s="3">
        <v>816</v>
      </c>
      <c r="Z13" s="3">
        <v>1.3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V13" s="3">
        <v>490</v>
      </c>
      <c r="AW13" s="3">
        <v>765</v>
      </c>
      <c r="AX13" s="3">
        <v>645</v>
      </c>
      <c r="BI13" s="29" t="s">
        <v>86</v>
      </c>
      <c r="BJ13" s="30" t="s">
        <v>87</v>
      </c>
      <c r="BK13" s="31">
        <v>38000</v>
      </c>
      <c r="BL13" s="32">
        <v>36</v>
      </c>
      <c r="BM13" s="32">
        <v>27.5</v>
      </c>
      <c r="BN13" s="33">
        <v>2.4500000000000002</v>
      </c>
      <c r="BO13" s="47">
        <v>1.6</v>
      </c>
      <c r="BP13" s="49" t="s">
        <v>104</v>
      </c>
      <c r="BQ13" s="49">
        <f t="shared" si="8"/>
        <v>40</v>
      </c>
      <c r="CC13" s="57" t="s">
        <v>132</v>
      </c>
      <c r="CD13" s="62">
        <v>400</v>
      </c>
      <c r="CE13" s="62">
        <v>570</v>
      </c>
      <c r="CF13" s="57">
        <f t="shared" si="1"/>
        <v>400</v>
      </c>
      <c r="CG13" s="57"/>
      <c r="CH13" s="57">
        <f t="shared" si="3"/>
        <v>400</v>
      </c>
      <c r="CI13" s="57">
        <v>280</v>
      </c>
      <c r="CJ13" s="58">
        <v>200000</v>
      </c>
      <c r="DA13" s="69" t="s">
        <v>157</v>
      </c>
      <c r="DB13" s="70" t="s">
        <v>167</v>
      </c>
      <c r="DC13" s="69">
        <v>200</v>
      </c>
      <c r="DD13" s="69">
        <v>62</v>
      </c>
      <c r="DE13" s="69">
        <v>68</v>
      </c>
      <c r="DF13" s="69">
        <v>20</v>
      </c>
      <c r="DG13" s="69">
        <v>2.2999999999999998</v>
      </c>
      <c r="DH13" s="69">
        <v>2.46</v>
      </c>
      <c r="DI13" s="69">
        <v>98.3</v>
      </c>
      <c r="DJ13" s="69">
        <v>8.0500000000000007</v>
      </c>
      <c r="DK13" s="69">
        <v>6.32</v>
      </c>
      <c r="DL13" s="69">
        <v>482.43299999999999</v>
      </c>
      <c r="DM13" s="69">
        <v>62.356999999999999</v>
      </c>
      <c r="DN13" s="69">
        <v>47.439</v>
      </c>
      <c r="DO13" s="69">
        <v>9.5139999999999993</v>
      </c>
      <c r="EA13" s="69" t="s">
        <v>156</v>
      </c>
      <c r="EB13" s="70" t="s">
        <v>199</v>
      </c>
      <c r="EC13" s="69">
        <v>100</v>
      </c>
      <c r="ED13" s="69">
        <v>50</v>
      </c>
      <c r="EE13" s="69">
        <v>50</v>
      </c>
      <c r="EF13" s="69">
        <v>15</v>
      </c>
      <c r="EG13" s="69">
        <v>2.2999999999999998</v>
      </c>
      <c r="EH13" s="69">
        <v>15.82</v>
      </c>
      <c r="EJ13" s="69">
        <v>4.83</v>
      </c>
      <c r="EK13" s="69">
        <v>3.79</v>
      </c>
      <c r="EL13" s="69">
        <v>78.067999999999998</v>
      </c>
      <c r="EM13" s="69">
        <v>15.127000000000001</v>
      </c>
      <c r="EN13" s="69">
        <v>15.614000000000001</v>
      </c>
      <c r="EO13" s="69">
        <v>4.4260000000000002</v>
      </c>
      <c r="EW13" s="3" t="e">
        <f>Cal!#REF!</f>
        <v>#REF!</v>
      </c>
      <c r="EX13" s="77" t="s">
        <v>249</v>
      </c>
      <c r="EY13" s="3">
        <v>12</v>
      </c>
      <c r="EZ13" s="3">
        <v>12</v>
      </c>
      <c r="FA13" s="3" t="s">
        <v>691</v>
      </c>
      <c r="FB13" s="75" cm="1">
        <f t="array" ref="FB13">_xll.DCEPropSectBox(EY13, EZ13, FA13, 1, 1, "Area")/100</f>
        <v>0.48131680263507909</v>
      </c>
      <c r="FC13" s="75">
        <f t="shared" si="9"/>
        <v>0.37783369006853706</v>
      </c>
      <c r="FD13" s="75" cm="1">
        <f t="array" ref="FD13">_xll.DCEPropSectBox(EY13, EZ13, FA13, 1, 1, "Ix")/10000</f>
        <v>8.9704760068937683E-2</v>
      </c>
      <c r="FE13" s="75" cm="1">
        <f t="array" ref="FE13">_xll.DCEPropSectBox(EY13, EZ13, FA13, 1, 1, "Iy")/10000</f>
        <v>8.9704760068937683E-2</v>
      </c>
      <c r="FF13" s="75">
        <f t="shared" si="6"/>
        <v>0.14950793344822949</v>
      </c>
      <c r="FG13" s="75">
        <f t="shared" si="7"/>
        <v>0.14950793344822949</v>
      </c>
      <c r="FJ13" s="3" t="e">
        <f>Cal!#REF!</f>
        <v>#REF!</v>
      </c>
      <c r="FK13" s="77" t="s">
        <v>726</v>
      </c>
      <c r="FL13" s="3">
        <v>15.9</v>
      </c>
      <c r="FM13" s="3">
        <v>0.6</v>
      </c>
      <c r="FN13" s="80" cm="1">
        <f t="array" ref="FN13">_xll.DCEPropSectPipe(FL13, FM13, "A")/100</f>
        <v>0.2883982055995426</v>
      </c>
      <c r="FO13" s="75">
        <f t="shared" si="10"/>
        <v>0.22639259139564094</v>
      </c>
      <c r="FP13" s="76" cm="1">
        <f t="array" ref="FP13">_xll.DCEPropSectPipe(FL13, FM13, "I")/10000</f>
        <v>8.4518699128516075E-2</v>
      </c>
      <c r="FQ13" s="76">
        <f t="shared" si="11"/>
        <v>8.4518699128516075E-2</v>
      </c>
      <c r="FR13" s="75">
        <f t="shared" si="12"/>
        <v>0.10631282909247304</v>
      </c>
      <c r="FS13" s="75">
        <f t="shared" si="13"/>
        <v>0.10631282909247304</v>
      </c>
    </row>
    <row r="14" spans="1:175" ht="14.4">
      <c r="A14" s="16" t="s">
        <v>9</v>
      </c>
      <c r="B14" s="2">
        <f t="shared" si="0"/>
        <v>206000</v>
      </c>
      <c r="C14" s="2">
        <v>265</v>
      </c>
      <c r="D14" s="150">
        <v>410</v>
      </c>
      <c r="E14" s="84">
        <v>1.05</v>
      </c>
      <c r="F14" s="27"/>
      <c r="G14" s="27"/>
      <c r="H14" s="27"/>
      <c r="I14" s="27"/>
      <c r="V14" s="23">
        <v>42</v>
      </c>
      <c r="W14" s="3">
        <v>4.5</v>
      </c>
      <c r="X14" s="12">
        <f t="shared" si="5"/>
        <v>1385.4423602330987</v>
      </c>
      <c r="Y14" s="3">
        <v>1120</v>
      </c>
      <c r="Z14" s="3">
        <v>1.6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V14" s="3">
        <v>510</v>
      </c>
      <c r="AW14" s="3">
        <v>795</v>
      </c>
      <c r="AX14" s="3">
        <v>670</v>
      </c>
      <c r="BI14" s="29" t="s">
        <v>86</v>
      </c>
      <c r="BJ14" s="30" t="s">
        <v>88</v>
      </c>
      <c r="BK14" s="31">
        <v>39000</v>
      </c>
      <c r="BL14" s="32">
        <v>39.5</v>
      </c>
      <c r="BM14" s="32">
        <v>30</v>
      </c>
      <c r="BN14" s="33">
        <v>2.6</v>
      </c>
      <c r="BO14" s="47">
        <v>1.7</v>
      </c>
      <c r="BP14" s="49" t="s">
        <v>105</v>
      </c>
      <c r="BQ14" s="49">
        <f t="shared" si="8"/>
        <v>45</v>
      </c>
      <c r="CC14" s="57" t="s">
        <v>133</v>
      </c>
      <c r="CD14" s="62">
        <v>500</v>
      </c>
      <c r="CE14" s="62">
        <v>650</v>
      </c>
      <c r="CF14" s="57">
        <f t="shared" si="1"/>
        <v>500</v>
      </c>
      <c r="CG14" s="57"/>
      <c r="CH14" s="57">
        <f t="shared" si="3"/>
        <v>500</v>
      </c>
      <c r="CI14" s="57">
        <v>300</v>
      </c>
      <c r="CJ14" s="58">
        <v>200000</v>
      </c>
      <c r="DA14" s="69" t="s">
        <v>157</v>
      </c>
      <c r="DB14" s="70" t="s">
        <v>168</v>
      </c>
      <c r="DC14" s="69">
        <v>200</v>
      </c>
      <c r="DD14" s="69">
        <v>62</v>
      </c>
      <c r="DE14" s="69">
        <v>68</v>
      </c>
      <c r="DF14" s="69">
        <v>20</v>
      </c>
      <c r="DG14" s="69">
        <v>2.5</v>
      </c>
      <c r="DH14" s="69">
        <v>2.56</v>
      </c>
      <c r="DI14" s="69">
        <v>98.3</v>
      </c>
      <c r="DJ14" s="69">
        <v>8.75</v>
      </c>
      <c r="DK14" s="69">
        <v>6.87</v>
      </c>
      <c r="DL14" s="69">
        <v>523.29100000000005</v>
      </c>
      <c r="DM14" s="69">
        <v>67.816999999999993</v>
      </c>
      <c r="DN14" s="69">
        <v>51.457999999999998</v>
      </c>
      <c r="DO14" s="69">
        <v>10.363</v>
      </c>
      <c r="EA14" s="69" t="s">
        <v>156</v>
      </c>
      <c r="EB14" s="70" t="s">
        <v>200</v>
      </c>
      <c r="EC14" s="69">
        <v>100</v>
      </c>
      <c r="ED14" s="69">
        <v>50</v>
      </c>
      <c r="EE14" s="69">
        <v>50</v>
      </c>
      <c r="EF14" s="69">
        <v>15</v>
      </c>
      <c r="EG14" s="69">
        <v>2.5</v>
      </c>
      <c r="EH14" s="69">
        <v>15.95</v>
      </c>
      <c r="EJ14" s="69">
        <v>5.25</v>
      </c>
      <c r="EK14" s="69">
        <v>4.12</v>
      </c>
      <c r="EL14" s="69">
        <v>84.483999999999995</v>
      </c>
      <c r="EM14" s="69">
        <v>16.437000000000001</v>
      </c>
      <c r="EN14" s="69">
        <v>16.896999999999998</v>
      </c>
      <c r="EO14" s="69">
        <v>4.8280000000000003</v>
      </c>
      <c r="EW14" s="3" t="e">
        <f>Cal!#REF!</f>
        <v>#REF!</v>
      </c>
      <c r="EX14" s="77" t="s">
        <v>250</v>
      </c>
      <c r="EY14" s="3">
        <v>14</v>
      </c>
      <c r="EZ14" s="3">
        <v>14</v>
      </c>
      <c r="FA14" s="3" t="s">
        <v>684</v>
      </c>
      <c r="FB14" s="75" cm="1">
        <f t="array" ref="FB14">_xll.DCEPropSectBox(EY14, EZ14, FA14, 1, 1, "Area")/100</f>
        <v>0.26356194490192342</v>
      </c>
      <c r="FC14" s="75">
        <f t="shared" si="9"/>
        <v>0.20689612674800989</v>
      </c>
      <c r="FD14" s="75" cm="1">
        <f t="array" ref="FD14">_xll.DCEPropSectBox(EY14, EZ14, FA14, 1, 1, "Ix")/10000</f>
        <v>7.9055931242510952E-2</v>
      </c>
      <c r="FE14" s="75" cm="1">
        <f t="array" ref="FE14">_xll.DCEPropSectBox(EY14, EZ14, FA14, 1, 1, "Iy")/10000</f>
        <v>7.9055931242510952E-2</v>
      </c>
      <c r="FF14" s="75">
        <f t="shared" si="6"/>
        <v>0.11293704463215851</v>
      </c>
      <c r="FG14" s="75">
        <f t="shared" si="7"/>
        <v>0.11293704463215851</v>
      </c>
      <c r="FJ14" s="3" t="e">
        <f>Cal!#REF!</f>
        <v>#REF!</v>
      </c>
      <c r="FK14" s="77" t="s">
        <v>727</v>
      </c>
      <c r="FL14" s="3">
        <v>15.9</v>
      </c>
      <c r="FM14" s="3">
        <v>0.7</v>
      </c>
      <c r="FN14" s="80" cm="1">
        <f t="array" ref="FN14">_xll.DCEPropSectPipe(FL14, FM14, "A")/100</f>
        <v>0.33426545834195392</v>
      </c>
      <c r="FO14" s="75">
        <f t="shared" si="10"/>
        <v>0.2623983847984338</v>
      </c>
      <c r="FP14" s="76" cm="1">
        <f t="array" ref="FP14">_xll.DCEPropSectPipe(FL14, FM14, "I")/10000</f>
        <v>9.6740601962390788E-2</v>
      </c>
      <c r="FQ14" s="76">
        <f t="shared" si="11"/>
        <v>9.6740601962390788E-2</v>
      </c>
      <c r="FR14" s="75">
        <f t="shared" si="12"/>
        <v>0.12168629177659218</v>
      </c>
      <c r="FS14" s="75">
        <f t="shared" si="13"/>
        <v>0.12168629177659218</v>
      </c>
    </row>
    <row r="15" spans="1:175" ht="15" thickBot="1">
      <c r="A15" s="16" t="s">
        <v>10</v>
      </c>
      <c r="B15" s="2">
        <f t="shared" si="0"/>
        <v>206000</v>
      </c>
      <c r="C15" s="2">
        <v>255</v>
      </c>
      <c r="D15" s="150">
        <v>410</v>
      </c>
      <c r="E15" s="84">
        <v>1.05</v>
      </c>
      <c r="F15" s="27"/>
      <c r="G15" s="27"/>
      <c r="H15" s="27"/>
      <c r="I15" s="27"/>
      <c r="V15" s="23">
        <v>48</v>
      </c>
      <c r="W15" s="3">
        <v>5</v>
      </c>
      <c r="X15" s="12">
        <f t="shared" si="5"/>
        <v>1809.5573684677208</v>
      </c>
      <c r="Y15" s="3">
        <v>1472</v>
      </c>
      <c r="Z15" s="3">
        <v>1.6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V15" s="3">
        <v>540</v>
      </c>
      <c r="AW15" s="3">
        <v>845</v>
      </c>
      <c r="AX15" s="3">
        <v>710</v>
      </c>
      <c r="BI15" s="34" t="s">
        <v>89</v>
      </c>
      <c r="BJ15" s="35" t="s">
        <v>90</v>
      </c>
      <c r="BK15" s="36">
        <v>39500</v>
      </c>
      <c r="BL15" s="37">
        <v>43</v>
      </c>
      <c r="BM15" s="37">
        <v>33</v>
      </c>
      <c r="BN15" s="38">
        <v>2.75</v>
      </c>
      <c r="BO15" s="48">
        <v>1.8</v>
      </c>
      <c r="BP15" s="49" t="s">
        <v>106</v>
      </c>
      <c r="BQ15" s="49">
        <f t="shared" si="8"/>
        <v>50</v>
      </c>
      <c r="CC15" s="57" t="s">
        <v>127</v>
      </c>
      <c r="CD15" s="62">
        <v>235</v>
      </c>
      <c r="CE15" s="62">
        <v>380</v>
      </c>
      <c r="CF15" s="57">
        <f t="shared" si="1"/>
        <v>235</v>
      </c>
      <c r="CG15" s="57">
        <f t="shared" si="2"/>
        <v>204.34782608695653</v>
      </c>
      <c r="CH15" s="57">
        <f t="shared" si="3"/>
        <v>235</v>
      </c>
      <c r="CI15" s="57">
        <f t="shared" si="4"/>
        <v>164.5</v>
      </c>
      <c r="CJ15" s="60">
        <v>200000</v>
      </c>
      <c r="DA15" s="69" t="s">
        <v>157</v>
      </c>
      <c r="DB15" s="70" t="s">
        <v>169</v>
      </c>
      <c r="DC15" s="69">
        <v>200</v>
      </c>
      <c r="DD15" s="69">
        <v>62</v>
      </c>
      <c r="DE15" s="69">
        <v>68</v>
      </c>
      <c r="DF15" s="69">
        <v>20</v>
      </c>
      <c r="DG15" s="69">
        <v>3</v>
      </c>
      <c r="DH15" s="69">
        <v>2.81</v>
      </c>
      <c r="DI15" s="69">
        <v>98.3</v>
      </c>
      <c r="DJ15" s="69">
        <v>10.5</v>
      </c>
      <c r="DK15" s="69">
        <v>8.24</v>
      </c>
      <c r="DL15" s="69">
        <v>624.64599999999996</v>
      </c>
      <c r="DM15" s="69">
        <v>81.474999999999994</v>
      </c>
      <c r="DN15" s="69">
        <v>61.427</v>
      </c>
      <c r="DO15" s="69">
        <v>12.497999999999999</v>
      </c>
      <c r="EA15" s="69" t="s">
        <v>156</v>
      </c>
      <c r="EB15" s="70" t="s">
        <v>201</v>
      </c>
      <c r="EC15" s="69">
        <v>100</v>
      </c>
      <c r="ED15" s="69">
        <v>50</v>
      </c>
      <c r="EE15" s="69">
        <v>50</v>
      </c>
      <c r="EF15" s="69">
        <v>15</v>
      </c>
      <c r="EG15" s="69">
        <v>3</v>
      </c>
      <c r="EH15" s="69">
        <v>16.27</v>
      </c>
      <c r="EJ15" s="69">
        <v>6.3</v>
      </c>
      <c r="EK15" s="69">
        <v>4.95</v>
      </c>
      <c r="EL15" s="69">
        <v>100.255</v>
      </c>
      <c r="EM15" s="69">
        <v>19.699000000000002</v>
      </c>
      <c r="EN15" s="69">
        <v>20.050999999999998</v>
      </c>
      <c r="EO15" s="69">
        <v>5.84</v>
      </c>
      <c r="EW15" s="3" t="e">
        <f>Cal!#REF!</f>
        <v>#REF!</v>
      </c>
      <c r="EX15" s="77" t="s">
        <v>251</v>
      </c>
      <c r="EY15" s="3">
        <v>14</v>
      </c>
      <c r="EZ15" s="3">
        <v>14</v>
      </c>
      <c r="FA15" s="3" t="s">
        <v>685</v>
      </c>
      <c r="FB15" s="75" cm="1">
        <f t="array" ref="FB15">_xll.DCEPropSectBox(EY15, EZ15, FA15, 1, 1, "Area")/100</f>
        <v>0.31232920065876973</v>
      </c>
      <c r="FC15" s="75">
        <f t="shared" si="9"/>
        <v>0.24517842251713426</v>
      </c>
      <c r="FD15" s="75" cm="1">
        <f t="array" ref="FD15">_xll.DCEPropSectBox(EY15, EZ15, FA15, 1, 1, "Ix")/10000</f>
        <v>9.2042624504574566E-2</v>
      </c>
      <c r="FE15" s="75" cm="1">
        <f t="array" ref="FE15">_xll.DCEPropSectBox(EY15, EZ15, FA15, 1, 1, "Iy")/10000</f>
        <v>9.2042624504574566E-2</v>
      </c>
      <c r="FF15" s="75">
        <f t="shared" si="6"/>
        <v>0.13148946357796368</v>
      </c>
      <c r="FG15" s="75">
        <f t="shared" si="7"/>
        <v>0.13148946357796368</v>
      </c>
      <c r="FJ15" s="3" t="e">
        <f>Cal!#REF!</f>
        <v>#REF!</v>
      </c>
      <c r="FK15" s="77" t="s">
        <v>728</v>
      </c>
      <c r="FL15" s="3">
        <v>15.9</v>
      </c>
      <c r="FM15" s="3">
        <v>0.8</v>
      </c>
      <c r="FN15" s="80" cm="1">
        <f t="array" ref="FN15">_xll.DCEPropSectPipe(FL15, FM15, "A")/100</f>
        <v>0.37950439255364699</v>
      </c>
      <c r="FO15" s="75">
        <f t="shared" si="10"/>
        <v>0.29791094815461289</v>
      </c>
      <c r="FP15" s="76" cm="1">
        <f t="array" ref="FP15">_xll.DCEPropSectPipe(FL15, FM15, "I")/10000</f>
        <v>0.10846709919673922</v>
      </c>
      <c r="FQ15" s="76">
        <f t="shared" si="11"/>
        <v>0.10846709919673922</v>
      </c>
      <c r="FR15" s="75">
        <f t="shared" si="12"/>
        <v>0.13643660276319397</v>
      </c>
      <c r="FS15" s="75">
        <f t="shared" si="13"/>
        <v>0.13643660276319397</v>
      </c>
    </row>
    <row r="16" spans="1:175" ht="14.4">
      <c r="A16" s="16" t="s">
        <v>11</v>
      </c>
      <c r="B16" s="2">
        <f t="shared" si="0"/>
        <v>206000</v>
      </c>
      <c r="C16" s="2">
        <v>245</v>
      </c>
      <c r="D16" s="150">
        <v>410</v>
      </c>
      <c r="E16" s="84">
        <v>1.05</v>
      </c>
      <c r="F16" s="27"/>
      <c r="G16" s="27"/>
      <c r="H16" s="27"/>
      <c r="I16" s="27"/>
      <c r="AV16" s="3">
        <v>570</v>
      </c>
      <c r="AW16" s="3">
        <v>890</v>
      </c>
      <c r="AX16" s="3">
        <v>750</v>
      </c>
      <c r="CC16" s="57" t="s">
        <v>128</v>
      </c>
      <c r="CD16" s="62">
        <v>295</v>
      </c>
      <c r="CE16" s="62">
        <v>440</v>
      </c>
      <c r="CF16" s="57">
        <f t="shared" si="1"/>
        <v>295</v>
      </c>
      <c r="CG16" s="57">
        <f t="shared" si="2"/>
        <v>256.52173913043481</v>
      </c>
      <c r="CH16" s="57">
        <f t="shared" si="3"/>
        <v>295</v>
      </c>
      <c r="CI16" s="57">
        <f t="shared" si="4"/>
        <v>206.5</v>
      </c>
      <c r="CJ16" s="60">
        <v>200000</v>
      </c>
      <c r="DA16" s="69" t="s">
        <v>157</v>
      </c>
      <c r="DB16" s="70" t="s">
        <v>170</v>
      </c>
      <c r="DC16" s="69">
        <v>150</v>
      </c>
      <c r="DD16" s="69">
        <v>72</v>
      </c>
      <c r="DE16" s="69">
        <v>78</v>
      </c>
      <c r="DF16" s="69">
        <v>18</v>
      </c>
      <c r="DG16" s="69">
        <v>1.8</v>
      </c>
      <c r="DH16" s="69">
        <v>2.5099999999999998</v>
      </c>
      <c r="DI16" s="69">
        <v>73.599999999999994</v>
      </c>
      <c r="DJ16" s="69">
        <v>5.76</v>
      </c>
      <c r="DK16" s="69">
        <v>4.5199999999999996</v>
      </c>
      <c r="DL16" s="69">
        <v>214.50399999999999</v>
      </c>
      <c r="DM16" s="69">
        <v>71.722999999999999</v>
      </c>
      <c r="DN16" s="69">
        <v>28.08</v>
      </c>
      <c r="DO16" s="69">
        <v>9.5009999999999994</v>
      </c>
      <c r="EA16" s="69" t="s">
        <v>156</v>
      </c>
      <c r="EB16" s="70" t="s">
        <v>202</v>
      </c>
      <c r="EC16" s="69">
        <v>125</v>
      </c>
      <c r="ED16" s="69">
        <v>50</v>
      </c>
      <c r="EE16" s="69">
        <v>50</v>
      </c>
      <c r="EF16" s="69">
        <v>18</v>
      </c>
      <c r="EG16" s="69">
        <v>1.8</v>
      </c>
      <c r="EH16" s="69">
        <v>14.68</v>
      </c>
      <c r="EJ16" s="69">
        <v>4.32</v>
      </c>
      <c r="EK16" s="69">
        <v>3.39</v>
      </c>
      <c r="EL16" s="69">
        <v>105.687</v>
      </c>
      <c r="EM16" s="69">
        <v>13.79</v>
      </c>
      <c r="EN16" s="69">
        <v>16.91</v>
      </c>
      <c r="EO16" s="69">
        <v>3.9039999999999999</v>
      </c>
      <c r="EW16" s="3" t="e">
        <f>Cal!#REF!</f>
        <v>#REF!</v>
      </c>
      <c r="EX16" s="77" t="s">
        <v>252</v>
      </c>
      <c r="EY16" s="3">
        <v>14</v>
      </c>
      <c r="EZ16" s="3">
        <v>14</v>
      </c>
      <c r="FA16" s="3" t="s">
        <v>686</v>
      </c>
      <c r="FB16" s="75" cm="1">
        <f t="array" ref="FB16">_xll.DCEPropSectBox(EY16, EZ16, FA16, 1, 1, "Area")/100</f>
        <v>0.35978141200776997</v>
      </c>
      <c r="FC16" s="75">
        <f t="shared" si="9"/>
        <v>0.2824284084260994</v>
      </c>
      <c r="FD16" s="75" cm="1">
        <f t="array" ref="FD16">_xll.DCEPropSectBox(EY16, EZ16, FA16, 1, 1, "Ix")/10000</f>
        <v>0.10414657862085096</v>
      </c>
      <c r="FE16" s="75" cm="1">
        <f t="array" ref="FE16">_xll.DCEPropSectBox(EY16, EZ16, FA16, 1, 1, "Iy")/10000</f>
        <v>0.10414657862085096</v>
      </c>
      <c r="FF16" s="75">
        <f t="shared" si="6"/>
        <v>0.14878082660121567</v>
      </c>
      <c r="FG16" s="75">
        <f t="shared" si="7"/>
        <v>0.14878082660121567</v>
      </c>
      <c r="FJ16" s="3" t="e">
        <f>Cal!#REF!</f>
        <v>#REF!</v>
      </c>
      <c r="FK16" s="77" t="s">
        <v>729</v>
      </c>
      <c r="FL16" s="3">
        <v>15.9</v>
      </c>
      <c r="FM16" s="3">
        <v>0.9</v>
      </c>
      <c r="FN16" s="80" cm="1">
        <f t="array" ref="FN16">_xll.DCEPropSectPipe(FL16, FM16, "A")/100</f>
        <v>0.42411500823462206</v>
      </c>
      <c r="FO16" s="75">
        <f t="shared" si="10"/>
        <v>0.33293028146417836</v>
      </c>
      <c r="FP16" s="76" cm="1">
        <f t="array" ref="FP16">_xll.DCEPropSectPipe(FL16, FM16, "I")/10000</f>
        <v>0.11971176251182508</v>
      </c>
      <c r="FQ16" s="76">
        <f t="shared" si="11"/>
        <v>0.11971176251182508</v>
      </c>
      <c r="FR16" s="75">
        <f t="shared" si="12"/>
        <v>0.15058083334820765</v>
      </c>
      <c r="FS16" s="75">
        <f t="shared" si="13"/>
        <v>0.15058083334820765</v>
      </c>
    </row>
    <row r="17" spans="1:175" ht="14.4">
      <c r="A17" s="16" t="s">
        <v>12</v>
      </c>
      <c r="B17" s="2">
        <f t="shared" si="0"/>
        <v>206000</v>
      </c>
      <c r="C17" s="2">
        <v>235</v>
      </c>
      <c r="D17" s="150">
        <v>410</v>
      </c>
      <c r="E17" s="84">
        <v>1.05</v>
      </c>
      <c r="F17" s="27"/>
      <c r="G17" s="27"/>
      <c r="H17" s="27"/>
      <c r="I17" s="27"/>
      <c r="AV17" s="3">
        <v>590</v>
      </c>
      <c r="AW17" s="3">
        <v>920</v>
      </c>
      <c r="AX17" s="3">
        <v>775</v>
      </c>
      <c r="CC17" s="57" t="s">
        <v>123</v>
      </c>
      <c r="CD17" s="62">
        <v>295</v>
      </c>
      <c r="CE17" s="62">
        <v>440</v>
      </c>
      <c r="CF17" s="57">
        <f t="shared" si="1"/>
        <v>295</v>
      </c>
      <c r="CG17" s="57">
        <f t="shared" si="2"/>
        <v>256.52173913043481</v>
      </c>
      <c r="CH17" s="57">
        <f t="shared" si="3"/>
        <v>295</v>
      </c>
      <c r="CI17" s="57">
        <f t="shared" si="4"/>
        <v>206.5</v>
      </c>
      <c r="CJ17" s="60">
        <v>200000</v>
      </c>
      <c r="DA17" s="69" t="s">
        <v>157</v>
      </c>
      <c r="DB17" s="70" t="s">
        <v>171</v>
      </c>
      <c r="DC17" s="69">
        <v>150</v>
      </c>
      <c r="DD17" s="69">
        <v>72</v>
      </c>
      <c r="DE17" s="69">
        <v>78</v>
      </c>
      <c r="DF17" s="69">
        <v>18</v>
      </c>
      <c r="DG17" s="69">
        <v>2</v>
      </c>
      <c r="DH17" s="69">
        <v>2.61</v>
      </c>
      <c r="DI17" s="69">
        <v>73.599999999999994</v>
      </c>
      <c r="DJ17" s="69">
        <v>6.4</v>
      </c>
      <c r="DK17" s="69">
        <v>5.0199999999999996</v>
      </c>
      <c r="DL17" s="69">
        <v>237.64099999999999</v>
      </c>
      <c r="DM17" s="69">
        <v>79.763999999999996</v>
      </c>
      <c r="DN17" s="69">
        <v>31.11</v>
      </c>
      <c r="DO17" s="69">
        <v>10.58</v>
      </c>
      <c r="EA17" s="69" t="s">
        <v>156</v>
      </c>
      <c r="EB17" s="70" t="s">
        <v>203</v>
      </c>
      <c r="EC17" s="69">
        <v>125</v>
      </c>
      <c r="ED17" s="69">
        <v>50</v>
      </c>
      <c r="EE17" s="69">
        <v>50</v>
      </c>
      <c r="EF17" s="69">
        <v>18</v>
      </c>
      <c r="EG17" s="69">
        <v>2</v>
      </c>
      <c r="EH17" s="69">
        <v>14.8</v>
      </c>
      <c r="EJ17" s="69">
        <v>4.8</v>
      </c>
      <c r="EK17" s="69">
        <v>3.77</v>
      </c>
      <c r="EL17" s="69">
        <v>117.017</v>
      </c>
      <c r="EM17" s="69">
        <v>15.31</v>
      </c>
      <c r="EN17" s="69">
        <v>18.722999999999999</v>
      </c>
      <c r="EO17" s="69">
        <v>4.3490000000000002</v>
      </c>
      <c r="EW17" s="3" t="e">
        <f>Cal!#REF!</f>
        <v>#REF!</v>
      </c>
      <c r="EX17" s="77" t="s">
        <v>253</v>
      </c>
      <c r="EY17" s="3">
        <v>14</v>
      </c>
      <c r="EZ17" s="3">
        <v>14</v>
      </c>
      <c r="FA17" s="3" t="s">
        <v>687</v>
      </c>
      <c r="FB17" s="75" cm="1">
        <f t="array" ref="FB17">_xll.DCEPropSectBox(EY17, EZ17, FA17, 1, 1, "Area")/100</f>
        <v>0.40591857894892408</v>
      </c>
      <c r="FC17" s="75">
        <f t="shared" si="9"/>
        <v>0.31864608447490539</v>
      </c>
      <c r="FD17" s="75" cm="1">
        <f t="array" ref="FD17">_xll.DCEPropSectBox(EY17, EZ17, FA17, 1, 1, "Ix")/10000</f>
        <v>0.1153924062530976</v>
      </c>
      <c r="FE17" s="75" cm="1">
        <f t="array" ref="FE17">_xll.DCEPropSectBox(EY17, EZ17, FA17, 1, 1, "Iy")/10000</f>
        <v>0.1153924062530976</v>
      </c>
      <c r="FF17" s="75">
        <f t="shared" si="6"/>
        <v>0.16484629464728229</v>
      </c>
      <c r="FG17" s="75">
        <f t="shared" si="7"/>
        <v>0.16484629464728229</v>
      </c>
      <c r="FJ17" s="3" t="e">
        <f>Cal!#REF!</f>
        <v>#REF!</v>
      </c>
      <c r="FK17" s="77" t="s">
        <v>730</v>
      </c>
      <c r="FL17" s="3">
        <v>15.9</v>
      </c>
      <c r="FM17" s="3">
        <v>1</v>
      </c>
      <c r="FN17" s="80" cm="1">
        <f t="array" ref="FN17">_xll.DCEPropSectPipe(FL17, FM17, "A")/100</f>
        <v>0.46809730538487915</v>
      </c>
      <c r="FO17" s="75">
        <f t="shared" si="10"/>
        <v>0.36745638472713016</v>
      </c>
      <c r="FP17" s="76" cm="1">
        <f t="array" ref="FP17">_xll.DCEPropSectPipe(FL17, FM17, "I")/10000</f>
        <v>0.13048797509235238</v>
      </c>
      <c r="FQ17" s="76">
        <f t="shared" si="11"/>
        <v>0.13048797509235238</v>
      </c>
      <c r="FR17" s="75">
        <f t="shared" si="12"/>
        <v>0.1641358177262294</v>
      </c>
      <c r="FS17" s="75">
        <f t="shared" si="13"/>
        <v>0.1641358177262294</v>
      </c>
    </row>
    <row r="18" spans="1:175" ht="14.4">
      <c r="A18" s="16" t="s">
        <v>13</v>
      </c>
      <c r="B18" s="2">
        <f t="shared" si="0"/>
        <v>206000</v>
      </c>
      <c r="C18" s="2">
        <v>355</v>
      </c>
      <c r="D18" s="150">
        <v>470</v>
      </c>
      <c r="E18" s="84">
        <v>1.05</v>
      </c>
      <c r="F18" s="27"/>
      <c r="G18" s="27"/>
      <c r="H18" s="27"/>
      <c r="I18" s="27"/>
      <c r="AV18" s="3"/>
      <c r="AW18" s="3"/>
      <c r="AX18" s="3"/>
      <c r="CC18" s="57" t="s">
        <v>124</v>
      </c>
      <c r="CD18" s="62">
        <v>390</v>
      </c>
      <c r="CE18" s="62">
        <v>560</v>
      </c>
      <c r="CF18" s="57">
        <f t="shared" si="1"/>
        <v>390</v>
      </c>
      <c r="CG18" s="57">
        <f t="shared" si="2"/>
        <v>339.13043478260875</v>
      </c>
      <c r="CH18" s="57">
        <f t="shared" si="3"/>
        <v>390</v>
      </c>
      <c r="CI18" s="57">
        <f t="shared" si="4"/>
        <v>273</v>
      </c>
      <c r="CJ18" s="59">
        <v>200000</v>
      </c>
      <c r="DA18" s="69" t="s">
        <v>157</v>
      </c>
      <c r="DB18" s="70" t="s">
        <v>172</v>
      </c>
      <c r="DC18" s="69">
        <v>150</v>
      </c>
      <c r="DD18" s="69">
        <v>72</v>
      </c>
      <c r="DE18" s="69">
        <v>78</v>
      </c>
      <c r="DF18" s="69">
        <v>18</v>
      </c>
      <c r="DG18" s="69">
        <v>2.2999999999999998</v>
      </c>
      <c r="DH18" s="69">
        <v>2.77</v>
      </c>
      <c r="DI18" s="69">
        <v>73.599999999999994</v>
      </c>
      <c r="DJ18" s="69">
        <v>7.36</v>
      </c>
      <c r="DK18" s="69">
        <v>5.78</v>
      </c>
      <c r="DL18" s="69">
        <v>272.07799999999997</v>
      </c>
      <c r="DM18" s="69">
        <v>91.843999999999994</v>
      </c>
      <c r="DN18" s="69">
        <v>35.619</v>
      </c>
      <c r="DO18" s="69">
        <v>12.208</v>
      </c>
      <c r="EA18" s="69" t="s">
        <v>156</v>
      </c>
      <c r="EB18" s="70" t="s">
        <v>204</v>
      </c>
      <c r="EC18" s="69">
        <v>125</v>
      </c>
      <c r="ED18" s="69">
        <v>50</v>
      </c>
      <c r="EE18" s="69">
        <v>50</v>
      </c>
      <c r="EF18" s="69">
        <v>18</v>
      </c>
      <c r="EG18" s="69">
        <v>2.2999999999999998</v>
      </c>
      <c r="EH18" s="69">
        <v>14.98</v>
      </c>
      <c r="EJ18" s="69">
        <v>5.52</v>
      </c>
      <c r="EK18" s="69">
        <v>4.33</v>
      </c>
      <c r="EL18" s="69">
        <v>133.852</v>
      </c>
      <c r="EM18" s="69">
        <v>17.582999999999998</v>
      </c>
      <c r="EN18" s="69">
        <v>21.416</v>
      </c>
      <c r="EO18" s="69">
        <v>5.0209999999999999</v>
      </c>
      <c r="EW18" s="3" t="e">
        <f>Cal!#REF!</f>
        <v>#REF!</v>
      </c>
      <c r="EX18" s="77" t="s">
        <v>254</v>
      </c>
      <c r="EY18" s="3">
        <v>14</v>
      </c>
      <c r="EZ18" s="3">
        <v>14</v>
      </c>
      <c r="FA18" s="3" t="s">
        <v>688</v>
      </c>
      <c r="FB18" s="75" cm="1">
        <f t="array" ref="FB18">_xll.DCEPropSectBox(EY18, EZ18, FA18, 1, 1, "Area")/100</f>
        <v>0.45074070148223194</v>
      </c>
      <c r="FC18" s="75">
        <f t="shared" si="9"/>
        <v>0.35383145066355209</v>
      </c>
      <c r="FD18" s="75" cm="1">
        <f t="array" ref="FD18">_xll.DCEPropSectBox(EY18, EZ18, FA18, 1, 1, "Ix")/10000</f>
        <v>0.12580443528330315</v>
      </c>
      <c r="FE18" s="75" cm="1">
        <f t="array" ref="FE18">_xll.DCEPropSectBox(EY18, EZ18, FA18, 1, 1, "Iy")/10000</f>
        <v>0.12580443528330315</v>
      </c>
      <c r="FF18" s="75">
        <f t="shared" si="6"/>
        <v>0.17972062183329024</v>
      </c>
      <c r="FG18" s="75">
        <f t="shared" si="7"/>
        <v>0.17972062183329024</v>
      </c>
      <c r="FJ18" s="3" t="e">
        <f>Cal!#REF!</f>
        <v>#REF!</v>
      </c>
      <c r="FK18" s="77" t="s">
        <v>731</v>
      </c>
      <c r="FL18" s="3">
        <v>15.9</v>
      </c>
      <c r="FM18" s="3">
        <v>1.1000000000000001</v>
      </c>
      <c r="FN18" s="80" cm="1">
        <f t="array" ref="FN18">_xll.DCEPropSectPipe(FL18, FM18, "A")/100</f>
        <v>0.51145128400441853</v>
      </c>
      <c r="FO18" s="75">
        <f t="shared" si="10"/>
        <v>0.40148925794346857</v>
      </c>
      <c r="FP18" s="76" cm="1">
        <f t="array" ref="FP18">_xll.DCEPropSectPipe(FL18, FM18, "I")/10000</f>
        <v>0.14080893162746652</v>
      </c>
      <c r="FQ18" s="76">
        <f t="shared" si="11"/>
        <v>0.14080893162746652</v>
      </c>
      <c r="FR18" s="75">
        <f t="shared" si="12"/>
        <v>0.17711815299052391</v>
      </c>
      <c r="FS18" s="75">
        <f t="shared" si="13"/>
        <v>0.17711815299052391</v>
      </c>
    </row>
    <row r="19" spans="1:175" ht="14.4">
      <c r="A19" s="16" t="s">
        <v>14</v>
      </c>
      <c r="B19" s="2">
        <f t="shared" si="0"/>
        <v>206000</v>
      </c>
      <c r="C19" s="2">
        <v>345</v>
      </c>
      <c r="D19" s="150">
        <v>470</v>
      </c>
      <c r="E19" s="84">
        <v>1.05</v>
      </c>
      <c r="F19" s="27"/>
      <c r="G19" s="27"/>
      <c r="H19" s="27"/>
      <c r="I19" s="27"/>
      <c r="AV19" s="3"/>
      <c r="AW19" s="3"/>
      <c r="AX19" s="3"/>
      <c r="CC19" s="57" t="s">
        <v>125</v>
      </c>
      <c r="CD19" s="62">
        <v>490</v>
      </c>
      <c r="CE19" s="62">
        <v>620</v>
      </c>
      <c r="CF19" s="57">
        <f t="shared" si="1"/>
        <v>490</v>
      </c>
      <c r="CG19" s="57">
        <f t="shared" si="2"/>
        <v>426.08695652173918</v>
      </c>
      <c r="CH19" s="57">
        <f t="shared" si="3"/>
        <v>490</v>
      </c>
      <c r="CI19" s="57">
        <f t="shared" si="4"/>
        <v>343</v>
      </c>
      <c r="CJ19" s="60">
        <v>200000</v>
      </c>
      <c r="DA19" s="69" t="s">
        <v>157</v>
      </c>
      <c r="DB19" s="70" t="s">
        <v>173</v>
      </c>
      <c r="DC19" s="69">
        <v>150</v>
      </c>
      <c r="DD19" s="69">
        <v>72</v>
      </c>
      <c r="DE19" s="69">
        <v>78</v>
      </c>
      <c r="DF19" s="69">
        <v>18</v>
      </c>
      <c r="DG19" s="69">
        <v>2.5</v>
      </c>
      <c r="DH19" s="69">
        <v>2.87</v>
      </c>
      <c r="DI19" s="69">
        <v>73.599999999999994</v>
      </c>
      <c r="DJ19" s="69">
        <v>8</v>
      </c>
      <c r="DK19" s="69">
        <v>6.28</v>
      </c>
      <c r="DL19" s="69">
        <v>294.85700000000003</v>
      </c>
      <c r="DM19" s="69">
        <v>99.908000000000001</v>
      </c>
      <c r="DN19" s="69">
        <v>38.603000000000002</v>
      </c>
      <c r="DO19" s="69">
        <v>13.298</v>
      </c>
      <c r="EA19" s="69" t="s">
        <v>156</v>
      </c>
      <c r="EB19" s="70" t="s">
        <v>205</v>
      </c>
      <c r="EC19" s="69">
        <v>125</v>
      </c>
      <c r="ED19" s="69">
        <v>50</v>
      </c>
      <c r="EE19" s="69">
        <v>50</v>
      </c>
      <c r="EF19" s="69">
        <v>18</v>
      </c>
      <c r="EG19" s="69">
        <v>2.5</v>
      </c>
      <c r="EH19" s="69">
        <v>15.1</v>
      </c>
      <c r="EJ19" s="69">
        <v>6</v>
      </c>
      <c r="EK19" s="69">
        <v>4.71</v>
      </c>
      <c r="EL19" s="69">
        <v>144.96899999999999</v>
      </c>
      <c r="EM19" s="69">
        <v>19.093</v>
      </c>
      <c r="EN19" s="69">
        <v>23.195</v>
      </c>
      <c r="EO19" s="69">
        <v>5.4710000000000001</v>
      </c>
      <c r="EW19" s="3" t="e">
        <f>Cal!#REF!</f>
        <v>#REF!</v>
      </c>
      <c r="EX19" s="77" t="s">
        <v>255</v>
      </c>
      <c r="EY19" s="3">
        <v>14</v>
      </c>
      <c r="EZ19" s="3">
        <v>14</v>
      </c>
      <c r="FA19" s="3" t="s">
        <v>689</v>
      </c>
      <c r="FB19" s="75" cm="1">
        <f t="array" ref="FB19">_xll.DCEPropSectBox(EY19, EZ19, FA19, 1, 1, "Area")/100</f>
        <v>0.49424777960769378</v>
      </c>
      <c r="FC19" s="75">
        <f t="shared" si="9"/>
        <v>0.38798450699203962</v>
      </c>
      <c r="FD19" s="75" cm="1">
        <f t="array" ref="FD19">_xll.DCEPropSectBox(EY19, EZ19, FA19, 1, 1, "Ix")/10000</f>
        <v>0.1354067088136863</v>
      </c>
      <c r="FE19" s="75" cm="1">
        <f t="array" ref="FE19">_xll.DCEPropSectBox(EY19, EZ19, FA19, 1, 1, "Iy")/10000</f>
        <v>0.1354067088136863</v>
      </c>
      <c r="FF19" s="75">
        <f t="shared" si="6"/>
        <v>0.19343815544812329</v>
      </c>
      <c r="FG19" s="75">
        <f t="shared" si="7"/>
        <v>0.19343815544812329</v>
      </c>
      <c r="FJ19" s="3" t="e">
        <f>Cal!#REF!</f>
        <v>#REF!</v>
      </c>
      <c r="FK19" s="77" t="s">
        <v>732</v>
      </c>
      <c r="FL19" s="3">
        <v>15.9</v>
      </c>
      <c r="FM19" s="3">
        <v>1.2</v>
      </c>
      <c r="FN19" s="80" cm="1">
        <f t="array" ref="FN19">_xll.DCEPropSectPipe(FL19, FM19, "A")/100</f>
        <v>0.55417694409323959</v>
      </c>
      <c r="FO19" s="75">
        <f t="shared" si="10"/>
        <v>0.43502890111319303</v>
      </c>
      <c r="FP19" s="76" cm="1">
        <f t="array" ref="FP19">_xll.DCEPropSectPipe(FL19, FM19, "I")/10000</f>
        <v>0.15068763831075302</v>
      </c>
      <c r="FQ19" s="76">
        <f t="shared" si="11"/>
        <v>0.15068763831075302</v>
      </c>
      <c r="FR19" s="75">
        <f t="shared" si="12"/>
        <v>0.18954419913302264</v>
      </c>
      <c r="FS19" s="75">
        <f t="shared" si="13"/>
        <v>0.18954419913302264</v>
      </c>
    </row>
    <row r="20" spans="1:175" ht="14.4">
      <c r="A20" s="16" t="s">
        <v>15</v>
      </c>
      <c r="B20" s="2">
        <f t="shared" si="0"/>
        <v>206000</v>
      </c>
      <c r="C20" s="2">
        <v>335</v>
      </c>
      <c r="D20" s="150">
        <v>470</v>
      </c>
      <c r="E20" s="84">
        <v>1.05</v>
      </c>
      <c r="F20" s="27"/>
      <c r="G20" s="27"/>
      <c r="H20" s="27"/>
      <c r="I20" s="27"/>
      <c r="AV20" s="3"/>
      <c r="AW20" s="3"/>
      <c r="AX20" s="3"/>
      <c r="CC20" s="54"/>
      <c r="CD20" s="63"/>
      <c r="CE20" s="63"/>
      <c r="DA20" s="69" t="s">
        <v>157</v>
      </c>
      <c r="DB20" s="70" t="s">
        <v>174</v>
      </c>
      <c r="DC20" s="69">
        <v>150</v>
      </c>
      <c r="DD20" s="69">
        <v>72</v>
      </c>
      <c r="DE20" s="69">
        <v>78</v>
      </c>
      <c r="DF20" s="69">
        <v>18</v>
      </c>
      <c r="DG20" s="69">
        <v>3</v>
      </c>
      <c r="DH20" s="69">
        <v>3.12</v>
      </c>
      <c r="DI20" s="69">
        <v>73.599999999999994</v>
      </c>
      <c r="DJ20" s="69">
        <v>9.6</v>
      </c>
      <c r="DK20" s="69">
        <v>7.54</v>
      </c>
      <c r="DL20" s="69">
        <v>351.17599999999999</v>
      </c>
      <c r="DM20" s="69">
        <v>120.102</v>
      </c>
      <c r="DN20" s="69">
        <v>45.978999999999999</v>
      </c>
      <c r="DO20" s="69">
        <v>16.04</v>
      </c>
      <c r="EA20" s="69" t="s">
        <v>156</v>
      </c>
      <c r="EB20" s="70" t="s">
        <v>206</v>
      </c>
      <c r="EC20" s="69">
        <v>125</v>
      </c>
      <c r="ED20" s="69">
        <v>50</v>
      </c>
      <c r="EE20" s="69">
        <v>50</v>
      </c>
      <c r="EF20" s="69">
        <v>18</v>
      </c>
      <c r="EG20" s="69">
        <v>3</v>
      </c>
      <c r="EH20" s="69">
        <v>15.4</v>
      </c>
      <c r="EJ20" s="69">
        <v>7.2</v>
      </c>
      <c r="EK20" s="69">
        <v>5.65</v>
      </c>
      <c r="EL20" s="69">
        <v>172.381</v>
      </c>
      <c r="EM20" s="69">
        <v>22.846</v>
      </c>
      <c r="EN20" s="69">
        <v>27.581</v>
      </c>
      <c r="EO20" s="69">
        <v>6.6040000000000001</v>
      </c>
      <c r="EW20" s="3" t="e">
        <f>Cal!#REF!</f>
        <v>#REF!</v>
      </c>
      <c r="EX20" s="77" t="s">
        <v>256</v>
      </c>
      <c r="EY20" s="3">
        <v>14</v>
      </c>
      <c r="EZ20" s="3">
        <v>14</v>
      </c>
      <c r="FA20" s="3" t="s">
        <v>690</v>
      </c>
      <c r="FB20" s="75" cm="1">
        <f t="array" ref="FB20">_xll.DCEPropSectBox(EY20, EZ20, FA20, 1, 1, "Area")/100</f>
        <v>0.53643981332530954</v>
      </c>
      <c r="FC20" s="75">
        <f t="shared" si="9"/>
        <v>0.42110525346036803</v>
      </c>
      <c r="FD20" s="75" cm="1">
        <f t="array" ref="FD20">_xll.DCEPropSectBox(EY20, EZ20, FA20, 1, 1, "Ix")/10000</f>
        <v>0.1442229851666966</v>
      </c>
      <c r="FE20" s="75" cm="1">
        <f t="array" ref="FE20">_xll.DCEPropSectBox(EY20, EZ20, FA20, 1, 1, "Iy")/10000</f>
        <v>0.1442229851666966</v>
      </c>
      <c r="FF20" s="75">
        <f t="shared" si="6"/>
        <v>0.20603283595242372</v>
      </c>
      <c r="FG20" s="75">
        <f t="shared" si="7"/>
        <v>0.20603283595242372</v>
      </c>
      <c r="FJ20" s="3" t="e">
        <f>Cal!#REF!</f>
        <v>#REF!</v>
      </c>
      <c r="FK20" s="77" t="s">
        <v>733</v>
      </c>
      <c r="FL20" s="3">
        <v>15.9</v>
      </c>
      <c r="FM20" s="3">
        <v>1.4</v>
      </c>
      <c r="FN20" s="80" cm="1">
        <f t="array" ref="FN20">_xll.DCEPropSectPipe(FL20, FM20, "A")/100</f>
        <v>0.63774330867872775</v>
      </c>
      <c r="FO20" s="75">
        <f t="shared" si="10"/>
        <v>0.50062849731280123</v>
      </c>
      <c r="FP20" s="76" cm="1">
        <f t="array" ref="FP20">_xll.DCEPropSectPipe(FL20, FM20, "I")/10000</f>
        <v>0.16916938441839108</v>
      </c>
      <c r="FQ20" s="76">
        <f t="shared" si="11"/>
        <v>0.16916938441839108</v>
      </c>
      <c r="FR20" s="75">
        <f t="shared" si="12"/>
        <v>0.21279167851369946</v>
      </c>
      <c r="FS20" s="75">
        <f t="shared" si="13"/>
        <v>0.21279167851369946</v>
      </c>
    </row>
    <row r="21" spans="1:175" ht="14.4">
      <c r="A21" s="16" t="s">
        <v>16</v>
      </c>
      <c r="B21" s="2">
        <f t="shared" si="0"/>
        <v>206000</v>
      </c>
      <c r="C21" s="2">
        <v>325</v>
      </c>
      <c r="D21" s="150">
        <v>470</v>
      </c>
      <c r="E21" s="84">
        <v>1.05</v>
      </c>
      <c r="F21" s="27"/>
      <c r="G21" s="27"/>
      <c r="H21" s="27"/>
      <c r="I21" s="27"/>
      <c r="AV21" s="3"/>
      <c r="AW21" s="3"/>
      <c r="AX21" s="3"/>
      <c r="CC21" s="54"/>
      <c r="CD21" s="63"/>
      <c r="CE21" s="63"/>
      <c r="DA21" s="69" t="s">
        <v>157</v>
      </c>
      <c r="DB21" s="70" t="s">
        <v>175</v>
      </c>
      <c r="DC21" s="69">
        <v>200</v>
      </c>
      <c r="DD21" s="69">
        <v>72</v>
      </c>
      <c r="DE21" s="69">
        <v>78</v>
      </c>
      <c r="DF21" s="69">
        <v>20</v>
      </c>
      <c r="DG21" s="69">
        <v>1.8</v>
      </c>
      <c r="DH21" s="69">
        <v>2.29</v>
      </c>
      <c r="DI21" s="69">
        <v>98.4</v>
      </c>
      <c r="DJ21" s="69">
        <v>6.66</v>
      </c>
      <c r="DK21" s="69">
        <v>5.23</v>
      </c>
      <c r="DL21" s="69">
        <v>414.87200000000001</v>
      </c>
      <c r="DM21" s="69">
        <v>71.745999999999995</v>
      </c>
      <c r="DN21" s="69">
        <v>40.831000000000003</v>
      </c>
      <c r="DO21" s="69">
        <v>9.4770000000000003</v>
      </c>
      <c r="EA21" s="69" t="s">
        <v>156</v>
      </c>
      <c r="EB21" s="70" t="s">
        <v>207</v>
      </c>
      <c r="EC21" s="69">
        <v>150</v>
      </c>
      <c r="ED21" s="69">
        <v>50</v>
      </c>
      <c r="EE21" s="69">
        <v>50</v>
      </c>
      <c r="EF21" s="69">
        <v>18</v>
      </c>
      <c r="EG21" s="69">
        <v>1.8</v>
      </c>
      <c r="EH21" s="69">
        <v>14.68</v>
      </c>
      <c r="EJ21" s="69">
        <v>4.95</v>
      </c>
      <c r="EK21" s="69">
        <v>3.89</v>
      </c>
      <c r="EL21" s="69">
        <v>168.453</v>
      </c>
      <c r="EM21" s="69">
        <v>16.779</v>
      </c>
      <c r="EN21" s="69">
        <v>22.46</v>
      </c>
      <c r="EO21" s="69">
        <v>4.75</v>
      </c>
      <c r="EW21" s="3" t="e">
        <f>Cal!#REF!</f>
        <v>#REF!</v>
      </c>
      <c r="EX21" s="77" t="s">
        <v>257</v>
      </c>
      <c r="EY21" s="3">
        <v>14</v>
      </c>
      <c r="EZ21" s="3">
        <v>14</v>
      </c>
      <c r="FA21" s="3" t="s">
        <v>691</v>
      </c>
      <c r="FB21" s="75" cm="1">
        <f t="array" ref="FB21">_xll.DCEPropSectBox(EY21, EZ21, FA21, 1, 1, "Area")/100</f>
        <v>0.57731680263507901</v>
      </c>
      <c r="FC21" s="75">
        <f t="shared" si="9"/>
        <v>0.45319369006853699</v>
      </c>
      <c r="FD21" s="75" cm="1">
        <f t="array" ref="FD21">_xll.DCEPropSectBox(EY21, EZ21, FA21, 1, 1, "Ix")/10000</f>
        <v>0.15227673788501417</v>
      </c>
      <c r="FE21" s="75" cm="1">
        <f t="array" ref="FE21">_xll.DCEPropSectBox(EY21, EZ21, FA21, 1, 1, "Iy")/10000</f>
        <v>0.15227673788501417</v>
      </c>
      <c r="FF21" s="75">
        <f t="shared" si="6"/>
        <v>0.21753819697859167</v>
      </c>
      <c r="FG21" s="75">
        <f t="shared" si="7"/>
        <v>0.21753819697859167</v>
      </c>
      <c r="FJ21" s="3" t="e">
        <f>Cal!#REF!</f>
        <v>#REF!</v>
      </c>
      <c r="FK21" s="77" t="s">
        <v>734</v>
      </c>
      <c r="FL21" s="3">
        <v>15.9</v>
      </c>
      <c r="FM21" s="3">
        <v>1.5</v>
      </c>
      <c r="FN21" s="80" cm="1">
        <f t="array" ref="FN21">_xll.DCEPropSectPipe(FL21, FM21, "A")/100</f>
        <v>0.67858401317539518</v>
      </c>
      <c r="FO21" s="75">
        <f t="shared" si="10"/>
        <v>0.53268845034268519</v>
      </c>
      <c r="FP21" s="76" cm="1">
        <f t="array" ref="FP21">_xll.DCEPropSectPipe(FL21, FM21, "I")/10000</f>
        <v>0.17779749375211829</v>
      </c>
      <c r="FQ21" s="76">
        <f t="shared" si="11"/>
        <v>0.17779749375211829</v>
      </c>
      <c r="FR21" s="75">
        <f t="shared" si="12"/>
        <v>0.22364464622907959</v>
      </c>
      <c r="FS21" s="75">
        <f t="shared" si="13"/>
        <v>0.22364464622907959</v>
      </c>
    </row>
    <row r="22" spans="1:175" ht="14.4">
      <c r="A22" s="16" t="s">
        <v>17</v>
      </c>
      <c r="B22" s="2">
        <f t="shared" si="0"/>
        <v>206000</v>
      </c>
      <c r="C22" s="2">
        <v>315</v>
      </c>
      <c r="D22" s="150">
        <v>470</v>
      </c>
      <c r="E22" s="84">
        <v>1.05</v>
      </c>
      <c r="F22" s="27"/>
      <c r="G22" s="27"/>
      <c r="H22" s="27"/>
      <c r="I22" s="27"/>
      <c r="AV22" s="3"/>
      <c r="AW22" s="3"/>
      <c r="AX22" s="3"/>
      <c r="DA22" s="69" t="s">
        <v>157</v>
      </c>
      <c r="DB22" s="70" t="s">
        <v>176</v>
      </c>
      <c r="DC22" s="69">
        <v>200</v>
      </c>
      <c r="DD22" s="69">
        <v>72</v>
      </c>
      <c r="DE22" s="69">
        <v>78</v>
      </c>
      <c r="DF22" s="69">
        <v>20</v>
      </c>
      <c r="DG22" s="69">
        <v>2</v>
      </c>
      <c r="DH22" s="69">
        <v>2.39</v>
      </c>
      <c r="DI22" s="69">
        <v>98.4</v>
      </c>
      <c r="DJ22" s="69">
        <v>7.4</v>
      </c>
      <c r="DK22" s="69">
        <v>5.81</v>
      </c>
      <c r="DL22" s="69">
        <v>460.02600000000001</v>
      </c>
      <c r="DM22" s="69">
        <v>79.790000000000006</v>
      </c>
      <c r="DN22" s="69">
        <v>45.276000000000003</v>
      </c>
      <c r="DO22" s="69">
        <v>10.553000000000001</v>
      </c>
      <c r="EA22" s="69" t="s">
        <v>156</v>
      </c>
      <c r="EB22" s="70" t="s">
        <v>208</v>
      </c>
      <c r="EC22" s="69">
        <v>150</v>
      </c>
      <c r="ED22" s="69">
        <v>50</v>
      </c>
      <c r="EE22" s="69">
        <v>50</v>
      </c>
      <c r="EF22" s="69">
        <v>18</v>
      </c>
      <c r="EG22" s="69">
        <v>2</v>
      </c>
      <c r="EH22" s="69">
        <v>14.79</v>
      </c>
      <c r="EJ22" s="69">
        <v>5.5</v>
      </c>
      <c r="EK22" s="69">
        <v>4.32</v>
      </c>
      <c r="EL22" s="69">
        <v>186.571</v>
      </c>
      <c r="EM22" s="69">
        <v>18.603999999999999</v>
      </c>
      <c r="EN22" s="69">
        <v>24.876000000000001</v>
      </c>
      <c r="EO22" s="69">
        <v>5.2839999999999998</v>
      </c>
      <c r="EW22" s="3" t="e">
        <f>Cal!#REF!</f>
        <v>#REF!</v>
      </c>
      <c r="EX22" s="77" t="s">
        <v>258</v>
      </c>
      <c r="EY22" s="3">
        <v>14</v>
      </c>
      <c r="EZ22" s="3">
        <v>14</v>
      </c>
      <c r="FA22" s="3" t="s">
        <v>692</v>
      </c>
      <c r="FB22" s="75" cm="1">
        <f t="array" ref="FB22">_xll.DCEPropSectBox(EY22, EZ22, FA22, 1, 1, "Area")/100</f>
        <v>0.65512564803107975</v>
      </c>
      <c r="FC22" s="75">
        <f t="shared" si="9"/>
        <v>0.5142736337043976</v>
      </c>
      <c r="FD22" s="75" cm="1">
        <f t="array" ref="FD22">_xll.DCEPropSectBox(EY22, EZ22, FA22, 1, 1, "Ix")/10000</f>
        <v>0.16618914268944401</v>
      </c>
      <c r="FE22" s="75" cm="1">
        <f t="array" ref="FE22">_xll.DCEPropSectBox(EY22, EZ22, FA22, 1, 1, "Iy")/10000</f>
        <v>0.16618914268944401</v>
      </c>
      <c r="FF22" s="75">
        <f t="shared" si="6"/>
        <v>0.23741306098492004</v>
      </c>
      <c r="FG22" s="75">
        <f t="shared" si="7"/>
        <v>0.23741306098492004</v>
      </c>
      <c r="FJ22" s="3" t="e">
        <f>Cal!#REF!</f>
        <v>#REF!</v>
      </c>
      <c r="FK22" s="77" t="s">
        <v>735</v>
      </c>
      <c r="FL22" s="3">
        <v>19.100000000000001</v>
      </c>
      <c r="FM22" s="3">
        <v>0.6</v>
      </c>
      <c r="FN22" s="80" cm="1">
        <f t="array" ref="FN22">_xll.DCEPropSectPipe(FL22, FM22, "A")/100</f>
        <v>0.34871678454846716</v>
      </c>
      <c r="FO22" s="75">
        <f t="shared" si="10"/>
        <v>0.27374267587054674</v>
      </c>
      <c r="FP22" s="76" cm="1">
        <f t="array" ref="FP22">_xll.DCEPropSectPipe(FL22, FM22, "I")/10000</f>
        <v>0.14934232194268787</v>
      </c>
      <c r="FQ22" s="76">
        <f t="shared" si="11"/>
        <v>0.14934232194268787</v>
      </c>
      <c r="FR22" s="75">
        <f t="shared" si="12"/>
        <v>0.15637939470438519</v>
      </c>
      <c r="FS22" s="75">
        <f t="shared" si="13"/>
        <v>0.15637939470438519</v>
      </c>
    </row>
    <row r="23" spans="1:175" ht="14.4">
      <c r="A23" s="16" t="s">
        <v>37</v>
      </c>
      <c r="B23" s="2">
        <f t="shared" si="0"/>
        <v>206000</v>
      </c>
      <c r="C23" s="2">
        <v>205</v>
      </c>
      <c r="D23" s="150">
        <v>330</v>
      </c>
      <c r="E23" s="84">
        <v>1.05</v>
      </c>
      <c r="F23" s="27"/>
      <c r="G23" s="27"/>
      <c r="H23" s="27"/>
      <c r="I23" s="27"/>
      <c r="AV23" s="3"/>
      <c r="AW23" s="3"/>
      <c r="AX23" s="3"/>
      <c r="DA23" s="69" t="s">
        <v>157</v>
      </c>
      <c r="DB23" s="70" t="s">
        <v>177</v>
      </c>
      <c r="DC23" s="69">
        <v>200</v>
      </c>
      <c r="DD23" s="69">
        <v>72</v>
      </c>
      <c r="DE23" s="69">
        <v>78</v>
      </c>
      <c r="DF23" s="69">
        <v>20</v>
      </c>
      <c r="DG23" s="69">
        <v>2.2999999999999998</v>
      </c>
      <c r="DH23" s="69">
        <v>2.5499999999999998</v>
      </c>
      <c r="DI23" s="69">
        <v>98.4</v>
      </c>
      <c r="DJ23" s="69">
        <v>8.51</v>
      </c>
      <c r="DK23" s="69">
        <v>6.68</v>
      </c>
      <c r="DL23" s="69">
        <v>527.39499999999998</v>
      </c>
      <c r="DM23" s="69">
        <v>91.875</v>
      </c>
      <c r="DN23" s="69">
        <v>51.906999999999996</v>
      </c>
      <c r="DO23" s="69">
        <v>12.176</v>
      </c>
      <c r="EA23" s="69" t="s">
        <v>156</v>
      </c>
      <c r="EB23" s="70" t="s">
        <v>209</v>
      </c>
      <c r="EC23" s="69">
        <v>150</v>
      </c>
      <c r="ED23" s="69">
        <v>50</v>
      </c>
      <c r="EE23" s="69">
        <v>50</v>
      </c>
      <c r="EF23" s="69">
        <v>18</v>
      </c>
      <c r="EG23" s="69">
        <v>2.2999999999999998</v>
      </c>
      <c r="EH23" s="69">
        <v>14.96</v>
      </c>
      <c r="EJ23" s="69">
        <v>6.33</v>
      </c>
      <c r="EK23" s="69">
        <v>4.97</v>
      </c>
      <c r="EL23" s="69">
        <v>213.51900000000001</v>
      </c>
      <c r="EM23" s="69">
        <v>21.324999999999999</v>
      </c>
      <c r="EN23" s="69">
        <v>28.469000000000001</v>
      </c>
      <c r="EO23" s="69">
        <v>6.085</v>
      </c>
      <c r="EW23" s="3" t="e">
        <f>Cal!#REF!</f>
        <v>#REF!</v>
      </c>
      <c r="EX23" s="77" t="s">
        <v>259</v>
      </c>
      <c r="EY23" s="3">
        <v>16</v>
      </c>
      <c r="EZ23" s="3">
        <v>16</v>
      </c>
      <c r="FA23" s="3" t="s">
        <v>684</v>
      </c>
      <c r="FB23" s="75" cm="1">
        <f t="array" ref="FB23">_xll.DCEPropSectBox(EY23, EZ23, FA23, 1, 1, "Area")/100</f>
        <v>0.30356194490192345</v>
      </c>
      <c r="FC23" s="75">
        <f t="shared" si="9"/>
        <v>0.2382961267480099</v>
      </c>
      <c r="FD23" s="75" cm="1">
        <f t="array" ref="FD23">_xll.DCEPropSectBox(EY23, EZ23, FA23, 1, 1, "Ix")/10000</f>
        <v>0.12023565074642763</v>
      </c>
      <c r="FE23" s="75" cm="1">
        <f t="array" ref="FE23">_xll.DCEPropSectBox(EY23, EZ23, FA23, 1, 1, "Iy")/10000</f>
        <v>0.12023565074642763</v>
      </c>
      <c r="FF23" s="75">
        <f t="shared" si="6"/>
        <v>0.15029456343303452</v>
      </c>
      <c r="FG23" s="75">
        <f t="shared" si="7"/>
        <v>0.15029456343303452</v>
      </c>
      <c r="FJ23" s="3" t="e">
        <f>Cal!#REF!</f>
        <v>#REF!</v>
      </c>
      <c r="FK23" s="77" t="s">
        <v>736</v>
      </c>
      <c r="FL23" s="3">
        <v>19.100000000000001</v>
      </c>
      <c r="FM23" s="3">
        <v>0.7</v>
      </c>
      <c r="FN23" s="80" cm="1">
        <f t="array" ref="FN23">_xll.DCEPropSectPipe(FL23, FM23, "A")/100</f>
        <v>0.40463713378236549</v>
      </c>
      <c r="FO23" s="75">
        <f t="shared" si="10"/>
        <v>0.31764015001915691</v>
      </c>
      <c r="FP23" s="76" cm="1">
        <f t="array" ref="FP23">_xll.DCEPropSectPipe(FL23, FM23, "I")/10000</f>
        <v>0.17149027526113869</v>
      </c>
      <c r="FQ23" s="76">
        <f t="shared" si="11"/>
        <v>0.17149027526113869</v>
      </c>
      <c r="FR23" s="75">
        <f t="shared" si="12"/>
        <v>0.17957096885983106</v>
      </c>
      <c r="FS23" s="75">
        <f t="shared" si="13"/>
        <v>0.17957096885983106</v>
      </c>
    </row>
    <row r="24" spans="1:175" ht="14.4">
      <c r="A24" s="16" t="s">
        <v>38</v>
      </c>
      <c r="B24" s="2">
        <f t="shared" si="0"/>
        <v>206000</v>
      </c>
      <c r="C24" s="2">
        <v>195</v>
      </c>
      <c r="D24" s="150">
        <v>330</v>
      </c>
      <c r="E24" s="84">
        <v>1.05</v>
      </c>
      <c r="F24" s="27"/>
      <c r="G24" s="27"/>
      <c r="H24" s="27"/>
      <c r="I24" s="27"/>
      <c r="DA24" s="69" t="s">
        <v>157</v>
      </c>
      <c r="DB24" s="70" t="s">
        <v>178</v>
      </c>
      <c r="DC24" s="69">
        <v>200</v>
      </c>
      <c r="DD24" s="69">
        <v>72</v>
      </c>
      <c r="DE24" s="69">
        <v>78</v>
      </c>
      <c r="DF24" s="69">
        <v>20</v>
      </c>
      <c r="DG24" s="69">
        <v>2.5</v>
      </c>
      <c r="DH24" s="69">
        <v>2.65</v>
      </c>
      <c r="DI24" s="69">
        <v>98.4</v>
      </c>
      <c r="DJ24" s="69">
        <v>9.25</v>
      </c>
      <c r="DK24" s="69">
        <v>7.26</v>
      </c>
      <c r="DL24" s="69">
        <v>572.06500000000005</v>
      </c>
      <c r="DM24" s="69">
        <v>99.942999999999998</v>
      </c>
      <c r="DN24" s="69">
        <v>56.305</v>
      </c>
      <c r="DO24" s="69">
        <v>13.263999999999999</v>
      </c>
      <c r="EA24" s="69" t="s">
        <v>156</v>
      </c>
      <c r="EB24" s="70" t="s">
        <v>210</v>
      </c>
      <c r="EC24" s="69">
        <v>150</v>
      </c>
      <c r="ED24" s="69">
        <v>50</v>
      </c>
      <c r="EE24" s="69">
        <v>50</v>
      </c>
      <c r="EF24" s="69">
        <v>18</v>
      </c>
      <c r="EG24" s="69">
        <v>2.5</v>
      </c>
      <c r="EH24" s="69">
        <v>15.07</v>
      </c>
      <c r="EJ24" s="69">
        <v>6.88</v>
      </c>
      <c r="EK24" s="69">
        <v>5.4</v>
      </c>
      <c r="EL24" s="69">
        <v>231.33099999999999</v>
      </c>
      <c r="EM24" s="69">
        <v>23.126999999999999</v>
      </c>
      <c r="EN24" s="69">
        <v>30.844000000000001</v>
      </c>
      <c r="EO24" s="69">
        <v>6.6210000000000004</v>
      </c>
      <c r="EW24" s="3" t="e">
        <f>Cal!#REF!</f>
        <v>#REF!</v>
      </c>
      <c r="EX24" s="77" t="s">
        <v>260</v>
      </c>
      <c r="EY24" s="3">
        <v>16</v>
      </c>
      <c r="EZ24" s="3">
        <v>16</v>
      </c>
      <c r="FA24" s="3" t="s">
        <v>685</v>
      </c>
      <c r="FB24" s="75" cm="1">
        <f t="array" ref="FB24">_xll.DCEPropSectBox(EY24, EZ24, FA24, 1, 1, "Area")/100</f>
        <v>0.36032920065876978</v>
      </c>
      <c r="FC24" s="75">
        <f t="shared" si="9"/>
        <v>0.28285842251713428</v>
      </c>
      <c r="FD24" s="75" cm="1">
        <f t="array" ref="FD24">_xll.DCEPropSectBox(EY24, EZ24, FA24, 1, 1, "Ix")/10000</f>
        <v>0.14054810378757951</v>
      </c>
      <c r="FE24" s="75" cm="1">
        <f t="array" ref="FE24">_xll.DCEPropSectBox(EY24, EZ24, FA24, 1, 1, "Iy")/10000</f>
        <v>0.14054810378757951</v>
      </c>
      <c r="FF24" s="75">
        <f t="shared" si="6"/>
        <v>0.17568512973447437</v>
      </c>
      <c r="FG24" s="75">
        <f t="shared" si="7"/>
        <v>0.17568512973447437</v>
      </c>
      <c r="FJ24" s="3" t="e">
        <f>Cal!#REF!</f>
        <v>#REF!</v>
      </c>
      <c r="FK24" s="77" t="s">
        <v>737</v>
      </c>
      <c r="FL24" s="3">
        <v>19.100000000000001</v>
      </c>
      <c r="FM24" s="3">
        <v>0.8</v>
      </c>
      <c r="FN24" s="80" cm="1">
        <f t="array" ref="FN24">_xll.DCEPropSectPipe(FL24, FM24, "A")/100</f>
        <v>0.45992916448554638</v>
      </c>
      <c r="FO24" s="75">
        <f t="shared" si="10"/>
        <v>0.36104439412115391</v>
      </c>
      <c r="FP24" s="76" cm="1">
        <f t="array" ref="FP24">_xll.DCEPropSectPipe(FL24, FM24, "I")/10000</f>
        <v>0.19290004069979422</v>
      </c>
      <c r="FQ24" s="76">
        <f t="shared" si="11"/>
        <v>0.19290004069979422</v>
      </c>
      <c r="FR24" s="75">
        <f t="shared" si="12"/>
        <v>0.20198957141339707</v>
      </c>
      <c r="FS24" s="75">
        <f t="shared" si="13"/>
        <v>0.20198957141339707</v>
      </c>
    </row>
    <row r="25" spans="1:175" ht="14.4">
      <c r="A25" s="16" t="s">
        <v>39</v>
      </c>
      <c r="B25" s="2">
        <f t="shared" si="0"/>
        <v>206000</v>
      </c>
      <c r="C25" s="2">
        <v>245</v>
      </c>
      <c r="D25" s="150">
        <v>400</v>
      </c>
      <c r="E25" s="84">
        <v>1.05</v>
      </c>
      <c r="F25" s="27"/>
      <c r="G25" s="27"/>
      <c r="H25" s="27"/>
      <c r="I25" s="27"/>
      <c r="DA25" s="69" t="s">
        <v>157</v>
      </c>
      <c r="DB25" s="70" t="s">
        <v>179</v>
      </c>
      <c r="DC25" s="69">
        <v>200</v>
      </c>
      <c r="DD25" s="69">
        <v>72</v>
      </c>
      <c r="DE25" s="69">
        <v>78</v>
      </c>
      <c r="DF25" s="69">
        <v>20</v>
      </c>
      <c r="DG25" s="69">
        <v>3</v>
      </c>
      <c r="DH25" s="69">
        <v>2.9</v>
      </c>
      <c r="DI25" s="69">
        <v>98.4</v>
      </c>
      <c r="DJ25" s="69">
        <v>11.1</v>
      </c>
      <c r="DK25" s="69">
        <v>8.7100000000000009</v>
      </c>
      <c r="DL25" s="69">
        <v>682.88</v>
      </c>
      <c r="DM25" s="69">
        <v>120.14700000000001</v>
      </c>
      <c r="DN25" s="69">
        <v>67.213999999999999</v>
      </c>
      <c r="DO25" s="69">
        <v>15.999000000000001</v>
      </c>
      <c r="EA25" s="69" t="s">
        <v>156</v>
      </c>
      <c r="EB25" s="70" t="s">
        <v>211</v>
      </c>
      <c r="EC25" s="69">
        <v>150</v>
      </c>
      <c r="ED25" s="69">
        <v>50</v>
      </c>
      <c r="EE25" s="69">
        <v>50</v>
      </c>
      <c r="EF25" s="69">
        <v>18</v>
      </c>
      <c r="EG25" s="69">
        <v>3</v>
      </c>
      <c r="EH25" s="69">
        <v>15.34</v>
      </c>
      <c r="EJ25" s="69">
        <v>8.25</v>
      </c>
      <c r="EK25" s="69">
        <v>6.48</v>
      </c>
      <c r="EL25" s="69">
        <v>275.31700000000001</v>
      </c>
      <c r="EM25" s="69">
        <v>27.59</v>
      </c>
      <c r="EN25" s="69">
        <v>36.709000000000003</v>
      </c>
      <c r="EO25" s="69">
        <v>7.9610000000000003</v>
      </c>
      <c r="EW25" s="3" t="e">
        <f>Cal!#REF!</f>
        <v>#REF!</v>
      </c>
      <c r="EX25" s="77" t="s">
        <v>261</v>
      </c>
      <c r="EY25" s="3">
        <v>16</v>
      </c>
      <c r="EZ25" s="3">
        <v>16</v>
      </c>
      <c r="FA25" s="3" t="s">
        <v>686</v>
      </c>
      <c r="FB25" s="75" cm="1">
        <f t="array" ref="FB25">_xll.DCEPropSectBox(EY25, EZ25, FA25, 1, 1, "Area")/100</f>
        <v>0.41578141200776991</v>
      </c>
      <c r="FC25" s="75">
        <f t="shared" si="9"/>
        <v>0.3263884084260994</v>
      </c>
      <c r="FD25" s="75" cm="1">
        <f t="array" ref="FD25">_xll.DCEPropSectBox(EY25, EZ25, FA25, 1, 1, "Ix")/10000</f>
        <v>0.15968324421913216</v>
      </c>
      <c r="FE25" s="75" cm="1">
        <f t="array" ref="FE25">_xll.DCEPropSectBox(EY25, EZ25, FA25, 1, 1, "Iy")/10000</f>
        <v>0.15968324421913216</v>
      </c>
      <c r="FF25" s="75">
        <f t="shared" si="6"/>
        <v>0.1996040552739152</v>
      </c>
      <c r="FG25" s="75">
        <f t="shared" si="7"/>
        <v>0.1996040552739152</v>
      </c>
      <c r="FJ25" s="3" t="e">
        <f>Cal!#REF!</f>
        <v>#REF!</v>
      </c>
      <c r="FK25" s="77" t="s">
        <v>738</v>
      </c>
      <c r="FL25" s="3">
        <v>19.100000000000001</v>
      </c>
      <c r="FM25" s="3">
        <v>0.9</v>
      </c>
      <c r="FN25" s="80" cm="1">
        <f t="array" ref="FN25">_xll.DCEPropSectPipe(FL25, FM25, "A")/100</f>
        <v>0.51459287665800868</v>
      </c>
      <c r="FO25" s="75">
        <f t="shared" si="10"/>
        <v>0.4039554081765368</v>
      </c>
      <c r="FP25" s="76" cm="1">
        <f t="array" ref="FP25">_xll.DCEPropSectPipe(FL25, FM25, "I")/10000</f>
        <v>0.21358820586786459</v>
      </c>
      <c r="FQ25" s="76">
        <f t="shared" si="11"/>
        <v>0.21358820586786459</v>
      </c>
      <c r="FR25" s="75">
        <f t="shared" si="12"/>
        <v>0.22365257158938698</v>
      </c>
      <c r="FS25" s="75">
        <f t="shared" si="13"/>
        <v>0.22365257158938698</v>
      </c>
    </row>
    <row r="26" spans="1:175" ht="14.4">
      <c r="A26" s="16" t="s">
        <v>40</v>
      </c>
      <c r="B26" s="2">
        <f t="shared" si="0"/>
        <v>206000</v>
      </c>
      <c r="C26" s="2">
        <v>235</v>
      </c>
      <c r="D26" s="150">
        <v>400</v>
      </c>
      <c r="E26" s="84">
        <v>1.05</v>
      </c>
      <c r="F26" s="27"/>
      <c r="G26" s="27"/>
      <c r="H26" s="27"/>
      <c r="I26" s="27"/>
      <c r="DA26" s="69" t="s">
        <v>157</v>
      </c>
      <c r="DB26" s="70" t="s">
        <v>180</v>
      </c>
      <c r="DC26" s="69">
        <v>250</v>
      </c>
      <c r="DD26" s="69">
        <v>72</v>
      </c>
      <c r="DE26" s="69">
        <v>78</v>
      </c>
      <c r="DF26" s="69">
        <v>20</v>
      </c>
      <c r="DG26" s="69">
        <v>1.8</v>
      </c>
      <c r="DH26" s="69">
        <v>2.13</v>
      </c>
      <c r="DI26" s="69">
        <v>123.2</v>
      </c>
      <c r="DJ26" s="69">
        <v>7.56</v>
      </c>
      <c r="DK26" s="69">
        <v>5.93</v>
      </c>
      <c r="DL26" s="69">
        <v>698.48500000000001</v>
      </c>
      <c r="DM26" s="69">
        <v>71.763999999999996</v>
      </c>
      <c r="DN26" s="69">
        <v>55.097000000000001</v>
      </c>
      <c r="DO26" s="69">
        <v>9.4580000000000002</v>
      </c>
      <c r="EA26" s="69" t="s">
        <v>156</v>
      </c>
      <c r="EB26" s="70" t="s">
        <v>212</v>
      </c>
      <c r="EC26" s="69">
        <v>150</v>
      </c>
      <c r="ED26" s="69">
        <v>65</v>
      </c>
      <c r="EE26" s="69">
        <v>65</v>
      </c>
      <c r="EF26" s="69">
        <v>18</v>
      </c>
      <c r="EG26" s="69">
        <v>1.8</v>
      </c>
      <c r="EH26" s="69">
        <v>19.57</v>
      </c>
      <c r="EJ26" s="69">
        <v>5.4</v>
      </c>
      <c r="EK26" s="69">
        <v>4.24</v>
      </c>
      <c r="EL26" s="69">
        <v>194.84800000000001</v>
      </c>
      <c r="EM26" s="69">
        <v>29.768000000000001</v>
      </c>
      <c r="EN26" s="69">
        <v>25.98</v>
      </c>
      <c r="EO26" s="69">
        <v>6.5519999999999996</v>
      </c>
      <c r="EW26" s="3" t="e">
        <f>Cal!#REF!</f>
        <v>#REF!</v>
      </c>
      <c r="EX26" s="77" t="s">
        <v>262</v>
      </c>
      <c r="EY26" s="3">
        <v>16</v>
      </c>
      <c r="EZ26" s="3">
        <v>16</v>
      </c>
      <c r="FA26" s="3" t="s">
        <v>687</v>
      </c>
      <c r="FB26" s="75" cm="1">
        <f t="array" ref="FB26">_xll.DCEPropSectBox(EY26, EZ26, FA26, 1, 1, "Area")/100</f>
        <v>0.46991857894892403</v>
      </c>
      <c r="FC26" s="75">
        <f t="shared" si="9"/>
        <v>0.3688860844749054</v>
      </c>
      <c r="FD26" s="75" cm="1">
        <f t="array" ref="FD26">_xll.DCEPropSectBox(EY26, EZ26, FA26, 1, 1, "Ix")/10000</f>
        <v>0.17766946523573723</v>
      </c>
      <c r="FE26" s="75" cm="1">
        <f t="array" ref="FE26">_xll.DCEPropSectBox(EY26, EZ26, FA26, 1, 1, "Iy")/10000</f>
        <v>0.17766946523573723</v>
      </c>
      <c r="FF26" s="75">
        <f t="shared" si="6"/>
        <v>0.22208683154467154</v>
      </c>
      <c r="FG26" s="75">
        <f t="shared" si="7"/>
        <v>0.22208683154467154</v>
      </c>
      <c r="FJ26" s="3" t="e">
        <f>Cal!#REF!</f>
        <v>#REF!</v>
      </c>
      <c r="FK26" s="77" t="s">
        <v>739</v>
      </c>
      <c r="FL26" s="3">
        <v>19.100000000000001</v>
      </c>
      <c r="FM26" s="3">
        <v>1</v>
      </c>
      <c r="FN26" s="80" cm="1">
        <f t="array" ref="FN26">_xll.DCEPropSectPipe(FL26, FM26, "A")/100</f>
        <v>0.56862827029975305</v>
      </c>
      <c r="FO26" s="75">
        <f t="shared" si="10"/>
        <v>0.44637319218530613</v>
      </c>
      <c r="FP26" s="76" cm="1">
        <f t="array" ref="FP26">_xll.DCEPropSectPipe(FL26, FM26, "I")/10000</f>
        <v>0.23357116987900226</v>
      </c>
      <c r="FQ26" s="76">
        <f t="shared" si="11"/>
        <v>0.23357116987900226</v>
      </c>
      <c r="FR26" s="75">
        <f t="shared" si="12"/>
        <v>0.24457714123455732</v>
      </c>
      <c r="FS26" s="75">
        <f t="shared" si="13"/>
        <v>0.24457714123455732</v>
      </c>
    </row>
    <row r="27" spans="1:175" ht="14.4">
      <c r="A27" s="16" t="s">
        <v>41</v>
      </c>
      <c r="B27" s="2">
        <f t="shared" si="0"/>
        <v>206000</v>
      </c>
      <c r="C27" s="2">
        <v>285</v>
      </c>
      <c r="D27" s="150">
        <v>490</v>
      </c>
      <c r="E27" s="84">
        <v>1.05</v>
      </c>
      <c r="F27" s="27"/>
      <c r="G27" s="27"/>
      <c r="H27" s="27"/>
      <c r="I27" s="27"/>
      <c r="DA27" s="69" t="s">
        <v>157</v>
      </c>
      <c r="DB27" s="70" t="s">
        <v>181</v>
      </c>
      <c r="DC27" s="69">
        <v>250</v>
      </c>
      <c r="DD27" s="69">
        <v>72</v>
      </c>
      <c r="DE27" s="69">
        <v>78</v>
      </c>
      <c r="DF27" s="69">
        <v>20</v>
      </c>
      <c r="DG27" s="69">
        <v>2</v>
      </c>
      <c r="DH27" s="69">
        <v>2.23</v>
      </c>
      <c r="DI27" s="69">
        <v>123.2</v>
      </c>
      <c r="DJ27" s="69">
        <v>8.4</v>
      </c>
      <c r="DK27" s="69">
        <v>6.59</v>
      </c>
      <c r="DL27" s="69">
        <v>774.90700000000004</v>
      </c>
      <c r="DM27" s="69">
        <v>79.81</v>
      </c>
      <c r="DN27" s="69">
        <v>61.125999999999998</v>
      </c>
      <c r="DO27" s="69">
        <v>10.532999999999999</v>
      </c>
      <c r="EA27" s="69" t="s">
        <v>156</v>
      </c>
      <c r="EB27" s="70" t="s">
        <v>213</v>
      </c>
      <c r="EC27" s="69">
        <v>150</v>
      </c>
      <c r="ED27" s="69">
        <v>65</v>
      </c>
      <c r="EE27" s="69">
        <v>65</v>
      </c>
      <c r="EF27" s="69">
        <v>18</v>
      </c>
      <c r="EG27" s="69">
        <v>2</v>
      </c>
      <c r="EH27" s="69">
        <v>19.690000000000001</v>
      </c>
      <c r="EJ27" s="69">
        <v>6</v>
      </c>
      <c r="EK27" s="69">
        <v>4.71</v>
      </c>
      <c r="EL27" s="69">
        <v>215.858</v>
      </c>
      <c r="EM27" s="69">
        <v>33.055999999999997</v>
      </c>
      <c r="EN27" s="69">
        <v>28.780999999999999</v>
      </c>
      <c r="EO27" s="69">
        <v>7.2960000000000003</v>
      </c>
      <c r="EW27" s="3" t="e">
        <f>Cal!#REF!</f>
        <v>#REF!</v>
      </c>
      <c r="EX27" s="77" t="s">
        <v>263</v>
      </c>
      <c r="EY27" s="3">
        <v>16</v>
      </c>
      <c r="EZ27" s="3">
        <v>16</v>
      </c>
      <c r="FA27" s="3" t="s">
        <v>688</v>
      </c>
      <c r="FB27" s="75" cm="1">
        <f t="array" ref="FB27">_xll.DCEPropSectBox(EY27, EZ27, FA27, 1, 1, "Area")/100</f>
        <v>0.52274070148223195</v>
      </c>
      <c r="FC27" s="75">
        <f t="shared" si="9"/>
        <v>0.41035145066355211</v>
      </c>
      <c r="FD27" s="75" cm="1">
        <f t="array" ref="FD27">_xll.DCEPropSectBox(EY27, EZ27, FA27, 1, 1, "Ix")/10000</f>
        <v>0.19453487525227761</v>
      </c>
      <c r="FE27" s="75" cm="1">
        <f t="array" ref="FE27">_xll.DCEPropSectBox(EY27, EZ27, FA27, 1, 1, "Iy")/10000</f>
        <v>0.19453487525227761</v>
      </c>
      <c r="FF27" s="75">
        <f t="shared" si="6"/>
        <v>0.24316859406534699</v>
      </c>
      <c r="FG27" s="75">
        <f t="shared" si="7"/>
        <v>0.24316859406534699</v>
      </c>
      <c r="FJ27" s="3" t="e">
        <f>Cal!#REF!</f>
        <v>#REF!</v>
      </c>
      <c r="FK27" s="77" t="s">
        <v>740</v>
      </c>
      <c r="FL27" s="3">
        <v>19.100000000000001</v>
      </c>
      <c r="FM27" s="3">
        <v>1.1000000000000001</v>
      </c>
      <c r="FN27" s="80" cm="1">
        <f t="array" ref="FN27">_xll.DCEPropSectPipe(FL27, FM27, "A")/100</f>
        <v>0.62203534541077909</v>
      </c>
      <c r="FO27" s="75">
        <f t="shared" si="10"/>
        <v>0.48829774614746158</v>
      </c>
      <c r="FP27" s="76" cm="1">
        <f t="array" ref="FP27">_xll.DCEPropSectPipe(FL27, FM27, "I")/10000</f>
        <v>0.25286514335129939</v>
      </c>
      <c r="FQ27" s="76">
        <f t="shared" si="11"/>
        <v>0.25286514335129939</v>
      </c>
      <c r="FR27" s="75">
        <f t="shared" si="12"/>
        <v>0.26478025481811451</v>
      </c>
      <c r="FS27" s="75">
        <f t="shared" si="13"/>
        <v>0.26478025481811451</v>
      </c>
    </row>
    <row r="28" spans="1:175" ht="14.4">
      <c r="A28" s="16" t="s">
        <v>42</v>
      </c>
      <c r="B28" s="2">
        <f t="shared" si="0"/>
        <v>206000</v>
      </c>
      <c r="C28" s="2">
        <v>275</v>
      </c>
      <c r="D28" s="150">
        <v>490</v>
      </c>
      <c r="E28" s="84">
        <v>1.05</v>
      </c>
      <c r="F28" s="27"/>
      <c r="G28" s="27"/>
      <c r="H28" s="27"/>
      <c r="I28" s="27"/>
      <c r="DA28" s="69" t="s">
        <v>157</v>
      </c>
      <c r="DB28" s="70" t="s">
        <v>182</v>
      </c>
      <c r="DC28" s="69">
        <v>250</v>
      </c>
      <c r="DD28" s="69">
        <v>72</v>
      </c>
      <c r="DE28" s="69">
        <v>78</v>
      </c>
      <c r="DF28" s="69">
        <v>20</v>
      </c>
      <c r="DG28" s="69">
        <v>2.2999999999999998</v>
      </c>
      <c r="DH28" s="69">
        <v>2.38</v>
      </c>
      <c r="DI28" s="69">
        <v>123.2</v>
      </c>
      <c r="DJ28" s="69">
        <v>9.66</v>
      </c>
      <c r="DK28" s="69">
        <v>7.58</v>
      </c>
      <c r="DL28" s="69">
        <v>889.08100000000002</v>
      </c>
      <c r="DM28" s="69">
        <v>91.899000000000001</v>
      </c>
      <c r="DN28" s="69">
        <v>70.134</v>
      </c>
      <c r="DO28" s="69">
        <v>12.153</v>
      </c>
      <c r="EA28" s="69" t="s">
        <v>156</v>
      </c>
      <c r="EB28" s="70" t="s">
        <v>214</v>
      </c>
      <c r="EC28" s="69">
        <v>150</v>
      </c>
      <c r="ED28" s="69">
        <v>65</v>
      </c>
      <c r="EE28" s="69">
        <v>65</v>
      </c>
      <c r="EF28" s="69">
        <v>18</v>
      </c>
      <c r="EG28" s="69">
        <v>2.2999999999999998</v>
      </c>
      <c r="EH28" s="69">
        <v>19.88</v>
      </c>
      <c r="EJ28" s="69">
        <v>6.9</v>
      </c>
      <c r="EK28" s="69">
        <v>5.42</v>
      </c>
      <c r="EL28" s="69">
        <v>247.12899999999999</v>
      </c>
      <c r="EM28" s="69">
        <v>37.976999999999997</v>
      </c>
      <c r="EN28" s="69">
        <v>32.951000000000001</v>
      </c>
      <c r="EO28" s="69">
        <v>8.4160000000000004</v>
      </c>
      <c r="EW28" s="3" t="e">
        <f>Cal!#REF!</f>
        <v>#REF!</v>
      </c>
      <c r="EX28" s="77" t="s">
        <v>264</v>
      </c>
      <c r="EY28" s="3">
        <v>16</v>
      </c>
      <c r="EZ28" s="3">
        <v>16</v>
      </c>
      <c r="FA28" s="3" t="s">
        <v>689</v>
      </c>
      <c r="FB28" s="75" cm="1">
        <f t="array" ref="FB28">_xll.DCEPropSectBox(EY28, EZ28, FA28, 1, 1, "Area")/100</f>
        <v>0.5742477796076938</v>
      </c>
      <c r="FC28" s="75">
        <f t="shared" si="9"/>
        <v>0.45078450699203959</v>
      </c>
      <c r="FD28" s="75" cm="1">
        <f t="array" ref="FD28">_xll.DCEPropSectBox(EY28, EZ28, FA28, 1, 1, "Ix")/10000</f>
        <v>0.2103072979038659</v>
      </c>
      <c r="FE28" s="75" cm="1">
        <f t="array" ref="FE28">_xll.DCEPropSectBox(EY28, EZ28, FA28, 1, 1, "Iy")/10000</f>
        <v>0.2103072979038659</v>
      </c>
      <c r="FF28" s="75">
        <f t="shared" si="6"/>
        <v>0.26288412237983239</v>
      </c>
      <c r="FG28" s="75">
        <f t="shared" si="7"/>
        <v>0.26288412237983239</v>
      </c>
      <c r="FJ28" s="3" t="e">
        <f>Cal!#REF!</f>
        <v>#REF!</v>
      </c>
      <c r="FK28" s="77" t="s">
        <v>741</v>
      </c>
      <c r="FL28" s="3">
        <v>19.100000000000001</v>
      </c>
      <c r="FM28" s="3">
        <v>1.2</v>
      </c>
      <c r="FN28" s="80" cm="1">
        <f t="array" ref="FN28">_xll.DCEPropSectPipe(FL28, FM28, "A")/100</f>
        <v>0.67481410199108749</v>
      </c>
      <c r="FO28" s="75">
        <f t="shared" si="10"/>
        <v>0.52972907006300363</v>
      </c>
      <c r="FP28" s="76" cm="1">
        <f t="array" ref="FP28">_xll.DCEPropSectPipe(FL28, FM28, "I")/10000</f>
        <v>0.27148614840728941</v>
      </c>
      <c r="FQ28" s="76">
        <f t="shared" si="11"/>
        <v>0.27148614840728941</v>
      </c>
      <c r="FR28" s="75">
        <f t="shared" si="12"/>
        <v>0.28427868943171664</v>
      </c>
      <c r="FS28" s="75">
        <f t="shared" si="13"/>
        <v>0.28427868943171664</v>
      </c>
    </row>
    <row r="29" spans="1:175" ht="14.4">
      <c r="A29" s="16" t="s">
        <v>43</v>
      </c>
      <c r="B29" s="2">
        <f t="shared" si="0"/>
        <v>206000</v>
      </c>
      <c r="C29" s="2">
        <v>400</v>
      </c>
      <c r="D29" s="150">
        <v>540</v>
      </c>
      <c r="E29" s="84">
        <v>1.05</v>
      </c>
      <c r="F29" s="27"/>
      <c r="G29" s="27"/>
      <c r="H29" s="27"/>
      <c r="I29" s="27"/>
      <c r="DA29" s="69" t="s">
        <v>157</v>
      </c>
      <c r="DB29" s="70" t="s">
        <v>183</v>
      </c>
      <c r="DC29" s="69">
        <v>250</v>
      </c>
      <c r="DD29" s="69">
        <v>72</v>
      </c>
      <c r="DE29" s="69">
        <v>78</v>
      </c>
      <c r="DF29" s="69">
        <v>20</v>
      </c>
      <c r="DG29" s="69">
        <v>2.5</v>
      </c>
      <c r="DH29" s="69">
        <v>2.48</v>
      </c>
      <c r="DI29" s="69">
        <v>123.2</v>
      </c>
      <c r="DJ29" s="69">
        <v>10.5</v>
      </c>
      <c r="DK29" s="69">
        <v>8.24</v>
      </c>
      <c r="DL29" s="69">
        <v>964.89099999999996</v>
      </c>
      <c r="DM29" s="69">
        <v>99.971000000000004</v>
      </c>
      <c r="DN29" s="69">
        <v>76.114999999999995</v>
      </c>
      <c r="DO29" s="69">
        <v>13.238</v>
      </c>
      <c r="EA29" s="69" t="s">
        <v>156</v>
      </c>
      <c r="EB29" s="70" t="s">
        <v>215</v>
      </c>
      <c r="EC29" s="69">
        <v>150</v>
      </c>
      <c r="ED29" s="69">
        <v>65</v>
      </c>
      <c r="EE29" s="69">
        <v>65</v>
      </c>
      <c r="EF29" s="69">
        <v>18</v>
      </c>
      <c r="EG29" s="69">
        <v>2.5</v>
      </c>
      <c r="EH29" s="69">
        <v>20</v>
      </c>
      <c r="EJ29" s="69">
        <v>7.5</v>
      </c>
      <c r="EK29" s="69">
        <v>5.89</v>
      </c>
      <c r="EL29" s="69">
        <v>267.81299999999999</v>
      </c>
      <c r="EM29" s="69">
        <v>41.25</v>
      </c>
      <c r="EN29" s="69">
        <v>35.707999999999998</v>
      </c>
      <c r="EO29" s="69">
        <v>9.1669999999999998</v>
      </c>
      <c r="EW29" s="3" t="e">
        <f>Cal!#REF!</f>
        <v>#REF!</v>
      </c>
      <c r="EX29" s="77" t="s">
        <v>265</v>
      </c>
      <c r="EY29" s="3">
        <v>16</v>
      </c>
      <c r="EZ29" s="3">
        <v>16</v>
      </c>
      <c r="FA29" s="3" t="s">
        <v>690</v>
      </c>
      <c r="FB29" s="75" cm="1">
        <f t="array" ref="FB29">_xll.DCEPropSectBox(EY29, EZ29, FA29, 1, 1, "Area")/100</f>
        <v>0.62443981332530951</v>
      </c>
      <c r="FC29" s="75">
        <f t="shared" si="9"/>
        <v>0.49018525346036801</v>
      </c>
      <c r="FD29" s="75" cm="1">
        <f t="array" ref="FD29">_xll.DCEPropSectBox(EY29, EZ29, FA29, 1, 1, "Ix")/10000</f>
        <v>0.22501427204584598</v>
      </c>
      <c r="FE29" s="75" cm="1">
        <f t="array" ref="FE29">_xll.DCEPropSectBox(EY29, EZ29, FA29, 1, 1, "Iy")/10000</f>
        <v>0.22501427204584598</v>
      </c>
      <c r="FF29" s="75">
        <f t="shared" si="6"/>
        <v>0.28126784005730748</v>
      </c>
      <c r="FG29" s="75">
        <f t="shared" si="7"/>
        <v>0.28126784005730748</v>
      </c>
      <c r="FJ29" s="3" t="e">
        <f>Cal!#REF!</f>
        <v>#REF!</v>
      </c>
      <c r="FK29" s="77" t="s">
        <v>742</v>
      </c>
      <c r="FL29" s="3">
        <v>19.100000000000001</v>
      </c>
      <c r="FM29" s="3">
        <v>1.4</v>
      </c>
      <c r="FN29" s="80" cm="1">
        <f t="array" ref="FN29">_xll.DCEPropSectPipe(FL29, FM29, "A")/100</f>
        <v>0.77848665955955143</v>
      </c>
      <c r="FO29" s="75">
        <f t="shared" si="10"/>
        <v>0.61111202775424789</v>
      </c>
      <c r="FP29" s="76" cm="1">
        <f t="array" ref="FP29">_xll.DCEPropSectPipe(FL29, FM29, "I")/10000</f>
        <v>0.30677239928268563</v>
      </c>
      <c r="FQ29" s="76">
        <f t="shared" si="11"/>
        <v>0.30677239928268563</v>
      </c>
      <c r="FR29" s="75">
        <f t="shared" si="12"/>
        <v>0.32122764322794306</v>
      </c>
      <c r="FS29" s="75">
        <f t="shared" si="13"/>
        <v>0.32122764322794306</v>
      </c>
    </row>
    <row r="30" spans="1:175" ht="14.4">
      <c r="A30" s="16" t="s">
        <v>44</v>
      </c>
      <c r="B30" s="2">
        <f t="shared" si="0"/>
        <v>206000</v>
      </c>
      <c r="C30" s="2">
        <v>390</v>
      </c>
      <c r="D30" s="150">
        <v>540</v>
      </c>
      <c r="E30" s="84">
        <v>1.05</v>
      </c>
      <c r="DA30" s="69" t="s">
        <v>157</v>
      </c>
      <c r="DB30" s="70" t="s">
        <v>184</v>
      </c>
      <c r="DC30" s="69">
        <v>250</v>
      </c>
      <c r="DD30" s="69">
        <v>72</v>
      </c>
      <c r="DE30" s="69">
        <v>78</v>
      </c>
      <c r="DF30" s="69">
        <v>20</v>
      </c>
      <c r="DG30" s="69">
        <v>3</v>
      </c>
      <c r="DH30" s="69">
        <v>2.74</v>
      </c>
      <c r="DI30" s="69">
        <v>123.2</v>
      </c>
      <c r="DJ30" s="69">
        <v>12.6</v>
      </c>
      <c r="DK30" s="69">
        <v>9.89</v>
      </c>
      <c r="DL30" s="69">
        <v>1153.326</v>
      </c>
      <c r="DM30" s="69">
        <v>120.184</v>
      </c>
      <c r="DN30" s="69">
        <v>90.981999999999999</v>
      </c>
      <c r="DO30" s="69">
        <v>15.968</v>
      </c>
      <c r="EA30" s="69" t="s">
        <v>156</v>
      </c>
      <c r="EB30" s="70" t="s">
        <v>216</v>
      </c>
      <c r="EC30" s="69">
        <v>150</v>
      </c>
      <c r="ED30" s="69">
        <v>65</v>
      </c>
      <c r="EE30" s="69">
        <v>65</v>
      </c>
      <c r="EF30" s="69">
        <v>18</v>
      </c>
      <c r="EG30" s="69">
        <v>3</v>
      </c>
      <c r="EH30" s="69">
        <v>20.309999999999999</v>
      </c>
      <c r="EJ30" s="69">
        <v>9</v>
      </c>
      <c r="EK30" s="69">
        <v>7.07</v>
      </c>
      <c r="EL30" s="69">
        <v>318.94</v>
      </c>
      <c r="EM30" s="69">
        <v>49.4</v>
      </c>
      <c r="EN30" s="69">
        <v>42.524999999999999</v>
      </c>
      <c r="EO30" s="69">
        <v>11.053000000000001</v>
      </c>
      <c r="EW30" s="3" t="e">
        <f>Cal!#REF!</f>
        <v>#REF!</v>
      </c>
      <c r="EX30" s="77" t="s">
        <v>266</v>
      </c>
      <c r="EY30" s="3">
        <v>16</v>
      </c>
      <c r="EZ30" s="3">
        <v>16</v>
      </c>
      <c r="FA30" s="3" t="s">
        <v>691</v>
      </c>
      <c r="FB30" s="75" cm="1">
        <f t="array" ref="FB30">_xll.DCEPropSectBox(EY30, EZ30, FA30, 1, 1, "Area")/100</f>
        <v>0.67331680263507909</v>
      </c>
      <c r="FC30" s="75">
        <f t="shared" si="9"/>
        <v>0.52855369006853714</v>
      </c>
      <c r="FD30" s="75" cm="1">
        <f t="array" ref="FD30">_xll.DCEPropSectBox(EY30, EZ30, FA30, 1, 1, "Ix")/10000</f>
        <v>0.23868305175379223</v>
      </c>
      <c r="FE30" s="75" cm="1">
        <f t="array" ref="FE30">_xll.DCEPropSectBox(EY30, EZ30, FA30, 1, 1, "Iy")/10000</f>
        <v>0.23868305175379223</v>
      </c>
      <c r="FF30" s="75">
        <f t="shared" si="6"/>
        <v>0.29835381469224026</v>
      </c>
      <c r="FG30" s="75">
        <f t="shared" si="7"/>
        <v>0.29835381469224026</v>
      </c>
      <c r="FJ30" s="3" t="e">
        <f>Cal!#REF!</f>
        <v>#REF!</v>
      </c>
      <c r="FK30" s="77" t="s">
        <v>743</v>
      </c>
      <c r="FL30" s="3">
        <v>19.100000000000001</v>
      </c>
      <c r="FM30" s="3">
        <v>1.5</v>
      </c>
      <c r="FN30" s="80" cm="1">
        <f t="array" ref="FN30">_xll.DCEPropSectPipe(FL30, FM30, "A")/100</f>
        <v>0.82938046054770576</v>
      </c>
      <c r="FO30" s="75">
        <f t="shared" si="10"/>
        <v>0.65106366152994899</v>
      </c>
      <c r="FP30" s="76" cm="1">
        <f t="array" ref="FP30">_xll.DCEPropSectPipe(FL30, FM30, "I")/10000</f>
        <v>0.32346874686936206</v>
      </c>
      <c r="FQ30" s="76">
        <f t="shared" si="11"/>
        <v>0.32346874686936206</v>
      </c>
      <c r="FR30" s="75">
        <f t="shared" si="12"/>
        <v>0.33871072970613825</v>
      </c>
      <c r="FS30" s="75">
        <f t="shared" si="13"/>
        <v>0.33871072970613825</v>
      </c>
    </row>
    <row r="31" spans="1:175" ht="14.4">
      <c r="A31" s="16" t="s">
        <v>919</v>
      </c>
      <c r="B31" s="2">
        <f t="shared" si="0"/>
        <v>206000</v>
      </c>
      <c r="C31" s="2">
        <v>220</v>
      </c>
      <c r="D31" s="150">
        <v>340</v>
      </c>
      <c r="E31" s="84">
        <v>1.05</v>
      </c>
      <c r="DA31" s="69" t="s">
        <v>157</v>
      </c>
      <c r="DB31" s="70" t="s">
        <v>185</v>
      </c>
      <c r="DC31" s="69">
        <v>300</v>
      </c>
      <c r="DD31" s="69">
        <v>72</v>
      </c>
      <c r="DE31" s="69">
        <v>78</v>
      </c>
      <c r="DF31" s="69">
        <v>20</v>
      </c>
      <c r="DG31" s="69">
        <v>1.8</v>
      </c>
      <c r="DH31" s="69">
        <v>2</v>
      </c>
      <c r="DI31" s="69">
        <v>148.1</v>
      </c>
      <c r="DJ31" s="69">
        <v>8.4600000000000009</v>
      </c>
      <c r="DK31" s="69">
        <v>6.64</v>
      </c>
      <c r="DL31" s="69">
        <v>1076.595</v>
      </c>
      <c r="DM31" s="69">
        <v>71.778000000000006</v>
      </c>
      <c r="DN31" s="69">
        <v>70.873999999999995</v>
      </c>
      <c r="DO31" s="69">
        <v>9.4440000000000008</v>
      </c>
      <c r="EA31" s="69" t="s">
        <v>156</v>
      </c>
      <c r="EB31" s="70" t="s">
        <v>217</v>
      </c>
      <c r="EC31" s="69">
        <v>175</v>
      </c>
      <c r="ED31" s="69">
        <v>65</v>
      </c>
      <c r="EE31" s="69">
        <v>65</v>
      </c>
      <c r="EF31" s="69">
        <v>20</v>
      </c>
      <c r="EG31" s="69">
        <v>1.8</v>
      </c>
      <c r="EH31" s="69">
        <v>17.41</v>
      </c>
      <c r="EJ31" s="69">
        <v>5.76</v>
      </c>
      <c r="EK31" s="69">
        <v>4.5199999999999996</v>
      </c>
      <c r="EL31" s="69">
        <v>273.04399999999998</v>
      </c>
      <c r="EM31" s="69">
        <v>29.283999999999999</v>
      </c>
      <c r="EN31" s="69">
        <v>31.204999999999998</v>
      </c>
      <c r="EO31" s="69">
        <v>6.1539999999999999</v>
      </c>
      <c r="EW31" s="3" t="e">
        <f>Cal!#REF!</f>
        <v>#REF!</v>
      </c>
      <c r="EX31" s="77" t="s">
        <v>267</v>
      </c>
      <c r="EY31" s="3">
        <v>16</v>
      </c>
      <c r="EZ31" s="3">
        <v>16</v>
      </c>
      <c r="FA31" s="3" t="s">
        <v>692</v>
      </c>
      <c r="FB31" s="75" cm="1">
        <f t="array" ref="FB31">_xll.DCEPropSectBox(EY31, EZ31, FA31, 1, 1, "Area")/100</f>
        <v>0.76712564803107985</v>
      </c>
      <c r="FC31" s="75">
        <f t="shared" si="9"/>
        <v>0.60219363370439771</v>
      </c>
      <c r="FD31" s="75" cm="1">
        <f t="array" ref="FD31">_xll.DCEPropSectBox(EY31, EZ31, FA31, 1, 1, "Ix")/10000</f>
        <v>0.26301362027103209</v>
      </c>
      <c r="FE31" s="75" cm="1">
        <f t="array" ref="FE31">_xll.DCEPropSectBox(EY31, EZ31, FA31, 1, 1, "Iy")/10000</f>
        <v>0.26301362027103209</v>
      </c>
      <c r="FF31" s="75">
        <f t="shared" si="6"/>
        <v>0.3287670253387901</v>
      </c>
      <c r="FG31" s="75">
        <f t="shared" si="7"/>
        <v>0.3287670253387901</v>
      </c>
      <c r="FJ31" s="3" t="e">
        <f>Cal!#REF!</f>
        <v>#REF!</v>
      </c>
      <c r="FK31" s="77" t="s">
        <v>744</v>
      </c>
      <c r="FL31" s="3">
        <v>21</v>
      </c>
      <c r="FM31" s="3">
        <v>0.9</v>
      </c>
      <c r="FN31" s="80" cm="1">
        <f t="array" ref="FN31">_xll.DCEPropSectPipe(FL31, FM31, "A")/100</f>
        <v>0.56831411103439333</v>
      </c>
      <c r="FO31" s="75">
        <f t="shared" si="10"/>
        <v>0.44612657716199877</v>
      </c>
      <c r="FP31" s="76" cm="1">
        <f t="array" ref="FP31">_xll.DCEPropSectPipe(FL31, FM31, "I")/10000</f>
        <v>0.28758114803617901</v>
      </c>
      <c r="FQ31" s="76">
        <f t="shared" si="11"/>
        <v>0.28758114803617901</v>
      </c>
      <c r="FR31" s="75">
        <f t="shared" si="12"/>
        <v>0.27388680765350382</v>
      </c>
      <c r="FS31" s="75">
        <f t="shared" si="13"/>
        <v>0.27388680765350382</v>
      </c>
    </row>
    <row r="32" spans="1:175" ht="14.4">
      <c r="A32" s="16" t="s">
        <v>920</v>
      </c>
      <c r="B32" s="2">
        <f t="shared" si="0"/>
        <v>206000</v>
      </c>
      <c r="C32" s="2">
        <v>240</v>
      </c>
      <c r="D32" s="150">
        <v>380</v>
      </c>
      <c r="E32" s="84">
        <v>1.05</v>
      </c>
      <c r="DA32" s="69" t="s">
        <v>157</v>
      </c>
      <c r="DB32" s="70" t="s">
        <v>186</v>
      </c>
      <c r="DC32" s="69">
        <v>300</v>
      </c>
      <c r="DD32" s="69">
        <v>72</v>
      </c>
      <c r="DE32" s="69">
        <v>78</v>
      </c>
      <c r="DF32" s="69">
        <v>20</v>
      </c>
      <c r="DG32" s="69">
        <v>2</v>
      </c>
      <c r="DH32" s="69">
        <v>2.1</v>
      </c>
      <c r="DI32" s="69">
        <v>148.1</v>
      </c>
      <c r="DJ32" s="69">
        <v>9.4</v>
      </c>
      <c r="DK32" s="69">
        <v>7.38</v>
      </c>
      <c r="DL32" s="69">
        <v>1194.7840000000001</v>
      </c>
      <c r="DM32" s="69">
        <v>79.826999999999998</v>
      </c>
      <c r="DN32" s="69">
        <v>78.655000000000001</v>
      </c>
      <c r="DO32" s="69">
        <v>10.516999999999999</v>
      </c>
      <c r="EA32" s="69" t="s">
        <v>156</v>
      </c>
      <c r="EB32" s="70" t="s">
        <v>218</v>
      </c>
      <c r="EC32" s="69">
        <v>175</v>
      </c>
      <c r="ED32" s="69">
        <v>65</v>
      </c>
      <c r="EE32" s="69">
        <v>65</v>
      </c>
      <c r="EF32" s="69">
        <v>20</v>
      </c>
      <c r="EG32" s="69">
        <v>2</v>
      </c>
      <c r="EH32" s="69">
        <v>17.54</v>
      </c>
      <c r="EJ32" s="69">
        <v>6.4</v>
      </c>
      <c r="EK32" s="69">
        <v>5.0199999999999996</v>
      </c>
      <c r="EL32" s="69">
        <v>302.69099999999997</v>
      </c>
      <c r="EM32" s="69">
        <v>32.543999999999997</v>
      </c>
      <c r="EN32" s="69">
        <v>34.593000000000004</v>
      </c>
      <c r="EO32" s="69">
        <v>6.8570000000000002</v>
      </c>
      <c r="EW32" s="3" t="e">
        <f>Cal!#REF!</f>
        <v>#REF!</v>
      </c>
      <c r="EX32" s="77" t="s">
        <v>268</v>
      </c>
      <c r="EY32" s="3">
        <v>13</v>
      </c>
      <c r="EZ32" s="3">
        <v>26</v>
      </c>
      <c r="FA32" s="3" t="s">
        <v>685</v>
      </c>
      <c r="FB32" s="75" cm="1">
        <f t="array" ref="FB32">_xll.DCEPropSectBox(EY32, EZ32, FA32, 1, 1, "Area")/100</f>
        <v>0.44432920065876969</v>
      </c>
      <c r="FC32" s="75">
        <f t="shared" si="9"/>
        <v>0.34879842251713422</v>
      </c>
      <c r="FD32" s="75" cm="1">
        <f t="array" ref="FD32">_xll.DCEPropSectBox(EY32, EZ32, FA32, 1, 1, "Ix")/10000</f>
        <v>0.38879506040023548</v>
      </c>
      <c r="FE32" s="75" cm="1">
        <f t="array" ref="FE32">_xll.DCEPropSectBox(EY32, EZ32, FA32, 1, 1, "Iy")/10000</f>
        <v>0.1326775538680128</v>
      </c>
      <c r="FF32" s="75">
        <f t="shared" si="6"/>
        <v>0.29907312338479652</v>
      </c>
      <c r="FG32" s="75">
        <f t="shared" si="7"/>
        <v>0.20411931364309663</v>
      </c>
      <c r="FJ32" s="3" t="e">
        <f>Cal!#REF!</f>
        <v>#REF!</v>
      </c>
      <c r="FK32" s="77" t="s">
        <v>745</v>
      </c>
      <c r="FL32" s="3">
        <v>21</v>
      </c>
      <c r="FM32" s="3">
        <v>1</v>
      </c>
      <c r="FN32" s="80" cm="1">
        <f t="array" ref="FN32">_xll.DCEPropSectPipe(FL32, FM32, "A")/100</f>
        <v>0.62831853071795873</v>
      </c>
      <c r="FO32" s="75">
        <f t="shared" si="10"/>
        <v>0.49323004661359759</v>
      </c>
      <c r="FP32" s="76" cm="1">
        <f t="array" ref="FP32">_xll.DCEPropSectPipe(FL32, FM32, "I")/10000</f>
        <v>0.31494466352237671</v>
      </c>
      <c r="FQ32" s="76">
        <f t="shared" si="11"/>
        <v>0.31494466352237671</v>
      </c>
      <c r="FR32" s="75">
        <f t="shared" si="12"/>
        <v>0.29994729859273972</v>
      </c>
      <c r="FS32" s="75">
        <f t="shared" si="13"/>
        <v>0.29994729859273972</v>
      </c>
    </row>
    <row r="33" spans="1:175" ht="14.4">
      <c r="A33" s="16" t="s">
        <v>921</v>
      </c>
      <c r="B33" s="2">
        <f t="shared" si="0"/>
        <v>206000</v>
      </c>
      <c r="C33" s="2">
        <v>260</v>
      </c>
      <c r="D33" s="150">
        <v>420</v>
      </c>
      <c r="E33" s="84">
        <v>1.05</v>
      </c>
      <c r="DA33" s="69" t="s">
        <v>157</v>
      </c>
      <c r="DB33" s="70" t="s">
        <v>187</v>
      </c>
      <c r="DC33" s="69">
        <v>300</v>
      </c>
      <c r="DD33" s="69">
        <v>72</v>
      </c>
      <c r="DE33" s="69">
        <v>78</v>
      </c>
      <c r="DF33" s="69">
        <v>20</v>
      </c>
      <c r="DG33" s="69">
        <v>2.2999999999999998</v>
      </c>
      <c r="DH33" s="69">
        <v>2.25</v>
      </c>
      <c r="DI33" s="69">
        <v>148.1</v>
      </c>
      <c r="DJ33" s="69">
        <v>10.81</v>
      </c>
      <c r="DK33" s="69">
        <v>8.49</v>
      </c>
      <c r="DL33" s="69">
        <v>1371.5129999999999</v>
      </c>
      <c r="DM33" s="69">
        <v>91.92</v>
      </c>
      <c r="DN33" s="69">
        <v>90.29</v>
      </c>
      <c r="DO33" s="69">
        <v>12.135</v>
      </c>
      <c r="EA33" s="69" t="s">
        <v>156</v>
      </c>
      <c r="EB33" s="70" t="s">
        <v>219</v>
      </c>
      <c r="EC33" s="69">
        <v>175</v>
      </c>
      <c r="ED33" s="69">
        <v>65</v>
      </c>
      <c r="EE33" s="69">
        <v>65</v>
      </c>
      <c r="EF33" s="69">
        <v>20</v>
      </c>
      <c r="EG33" s="69">
        <v>2.2999999999999998</v>
      </c>
      <c r="EH33" s="69">
        <v>17.73</v>
      </c>
      <c r="EJ33" s="69">
        <v>7.36</v>
      </c>
      <c r="EK33" s="69">
        <v>5.78</v>
      </c>
      <c r="EL33" s="69">
        <v>346.89299999999997</v>
      </c>
      <c r="EM33" s="69">
        <v>37.432000000000002</v>
      </c>
      <c r="EN33" s="69">
        <v>39.645000000000003</v>
      </c>
      <c r="EO33" s="69">
        <v>7.9180000000000001</v>
      </c>
      <c r="EW33" s="3" t="e">
        <f>Cal!#REF!</f>
        <v>#REF!</v>
      </c>
      <c r="EX33" s="77" t="s">
        <v>269</v>
      </c>
      <c r="EY33" s="3">
        <v>13</v>
      </c>
      <c r="EZ33" s="3">
        <v>26</v>
      </c>
      <c r="FA33" s="3" t="s">
        <v>686</v>
      </c>
      <c r="FB33" s="75" cm="1">
        <f t="array" ref="FB33">_xll.DCEPropSectBox(EY33, EZ33, FA33, 1, 1, "Area")/100</f>
        <v>0.51378141200776994</v>
      </c>
      <c r="FC33" s="75">
        <f t="shared" si="9"/>
        <v>0.40331840842609945</v>
      </c>
      <c r="FD33" s="75" cm="1">
        <f t="array" ref="FD33">_xll.DCEPropSectBox(EY33, EZ33, FA33, 1, 1, "Ix")/10000</f>
        <v>0.44410572914620278</v>
      </c>
      <c r="FE33" s="75" cm="1">
        <f t="array" ref="FE33">_xll.DCEPropSectBox(EY33, EZ33, FA33, 1, 1, "Iy")/10000</f>
        <v>0.15092087307843521</v>
      </c>
      <c r="FF33" s="75">
        <f t="shared" si="6"/>
        <v>0.34161979165092521</v>
      </c>
      <c r="FG33" s="75">
        <f t="shared" si="7"/>
        <v>0.232185958582208</v>
      </c>
      <c r="FJ33" s="3" t="e">
        <f>Cal!#REF!</f>
        <v>#REF!</v>
      </c>
      <c r="FK33" s="77" t="s">
        <v>746</v>
      </c>
      <c r="FL33" s="3">
        <v>21</v>
      </c>
      <c r="FM33" s="3">
        <v>1.1000000000000001</v>
      </c>
      <c r="FN33" s="80" cm="1">
        <f t="array" ref="FN33">_xll.DCEPropSectPipe(FL33, FM33, "A")/100</f>
        <v>0.68769463187080537</v>
      </c>
      <c r="FO33" s="75">
        <f t="shared" si="10"/>
        <v>0.53984028601858214</v>
      </c>
      <c r="FP33" s="76" cm="1">
        <f t="array" ref="FP33">_xll.DCEPropSectPipe(FL33, FM33, "I")/10000</f>
        <v>0.34145757708965163</v>
      </c>
      <c r="FQ33" s="76">
        <f t="shared" si="11"/>
        <v>0.34145757708965163</v>
      </c>
      <c r="FR33" s="75">
        <f t="shared" si="12"/>
        <v>0.3251976924663349</v>
      </c>
      <c r="FS33" s="75">
        <f t="shared" si="13"/>
        <v>0.3251976924663349</v>
      </c>
    </row>
    <row r="34" spans="1:175" ht="14.4">
      <c r="DA34" s="69" t="s">
        <v>157</v>
      </c>
      <c r="DB34" s="70" t="s">
        <v>188</v>
      </c>
      <c r="DC34" s="69">
        <v>300</v>
      </c>
      <c r="DD34" s="69">
        <v>72</v>
      </c>
      <c r="DE34" s="69">
        <v>78</v>
      </c>
      <c r="DF34" s="69">
        <v>20</v>
      </c>
      <c r="DG34" s="69">
        <v>2.5</v>
      </c>
      <c r="DH34" s="69">
        <v>2.35</v>
      </c>
      <c r="DI34" s="69">
        <v>148.1</v>
      </c>
      <c r="DJ34" s="69">
        <v>11.75</v>
      </c>
      <c r="DK34" s="69">
        <v>9.2200000000000006</v>
      </c>
      <c r="DL34" s="69">
        <v>1488.962</v>
      </c>
      <c r="DM34" s="69">
        <v>99.994</v>
      </c>
      <c r="DN34" s="69">
        <v>98.022999999999996</v>
      </c>
      <c r="DO34" s="69">
        <v>13.218</v>
      </c>
      <c r="EA34" s="69" t="s">
        <v>156</v>
      </c>
      <c r="EB34" s="70" t="s">
        <v>220</v>
      </c>
      <c r="EC34" s="69">
        <v>175</v>
      </c>
      <c r="ED34" s="69">
        <v>65</v>
      </c>
      <c r="EE34" s="69">
        <v>65</v>
      </c>
      <c r="EF34" s="69">
        <v>20</v>
      </c>
      <c r="EG34" s="69">
        <v>2.5</v>
      </c>
      <c r="EH34" s="69">
        <v>17.850000000000001</v>
      </c>
      <c r="EJ34" s="69">
        <v>8</v>
      </c>
      <c r="EK34" s="69">
        <v>6.28</v>
      </c>
      <c r="EL34" s="69">
        <v>376.18200000000002</v>
      </c>
      <c r="EM34" s="69">
        <v>40.688000000000002</v>
      </c>
      <c r="EN34" s="69">
        <v>42.991999999999997</v>
      </c>
      <c r="EO34" s="69">
        <v>8.6300000000000008</v>
      </c>
      <c r="EW34" s="3" t="e">
        <f>Cal!#REF!</f>
        <v>#REF!</v>
      </c>
      <c r="EX34" s="77" t="s">
        <v>270</v>
      </c>
      <c r="EY34" s="3">
        <v>13</v>
      </c>
      <c r="EZ34" s="3">
        <v>26</v>
      </c>
      <c r="FA34" s="3" t="s">
        <v>687</v>
      </c>
      <c r="FB34" s="75" cm="1">
        <f t="array" ref="FB34">_xll.DCEPropSectBox(EY34, EZ34, FA34, 1, 1, "Area")/100</f>
        <v>0.58191857894892407</v>
      </c>
      <c r="FC34" s="75">
        <f t="shared" si="9"/>
        <v>0.45680608447490539</v>
      </c>
      <c r="FD34" s="75" cm="1">
        <f t="array" ref="FD34">_xll.DCEPropSectBox(EY34, EZ34, FA34, 1, 1, "Ix")/10000</f>
        <v>0.49681860050028009</v>
      </c>
      <c r="FE34" s="75" cm="1">
        <f t="array" ref="FE34">_xll.DCEPropSectBox(EY34, EZ34, FA34, 1, 1, "Iy")/10000</f>
        <v>0.16813399943722809</v>
      </c>
      <c r="FF34" s="75">
        <f t="shared" si="6"/>
        <v>0.38216815423098466</v>
      </c>
      <c r="FG34" s="75">
        <f t="shared" si="7"/>
        <v>0.25866769144188939</v>
      </c>
      <c r="FJ34" s="3" t="e">
        <f>Cal!#REF!</f>
        <v>#REF!</v>
      </c>
      <c r="FK34" s="77" t="s">
        <v>747</v>
      </c>
      <c r="FL34" s="3">
        <v>21</v>
      </c>
      <c r="FM34" s="3">
        <v>1.2</v>
      </c>
      <c r="FN34" s="80" cm="1">
        <f t="array" ref="FN34">_xll.DCEPropSectPipe(FL34, FM34, "A")/100</f>
        <v>0.74644241449293469</v>
      </c>
      <c r="FO34" s="75">
        <f t="shared" si="10"/>
        <v>0.58595729537695374</v>
      </c>
      <c r="FP34" s="76" cm="1">
        <f t="array" ref="FP34">_xll.DCEPropSectPipe(FL34, FM34, "I")/10000</f>
        <v>0.36713770156834974</v>
      </c>
      <c r="FQ34" s="76">
        <f t="shared" si="11"/>
        <v>0.36713770156834974</v>
      </c>
      <c r="FR34" s="75">
        <f t="shared" si="12"/>
        <v>0.34965495387461876</v>
      </c>
      <c r="FS34" s="75">
        <f t="shared" si="13"/>
        <v>0.34965495387461876</v>
      </c>
    </row>
    <row r="35" spans="1:175" ht="14.4">
      <c r="DA35" s="69" t="s">
        <v>157</v>
      </c>
      <c r="DB35" s="70" t="s">
        <v>189</v>
      </c>
      <c r="DC35" s="69">
        <v>300</v>
      </c>
      <c r="DD35" s="69">
        <v>72</v>
      </c>
      <c r="DE35" s="69">
        <v>78</v>
      </c>
      <c r="DF35" s="69">
        <v>20</v>
      </c>
      <c r="DG35" s="69">
        <v>3</v>
      </c>
      <c r="DH35" s="69">
        <v>2.6</v>
      </c>
      <c r="DI35" s="69">
        <v>148.1</v>
      </c>
      <c r="DJ35" s="69">
        <v>14.1</v>
      </c>
      <c r="DK35" s="69">
        <v>11.07</v>
      </c>
      <c r="DL35" s="69">
        <v>1781.2670000000001</v>
      </c>
      <c r="DM35" s="69">
        <v>120.21599999999999</v>
      </c>
      <c r="DN35" s="69">
        <v>117.26900000000001</v>
      </c>
      <c r="DO35" s="69">
        <v>13.218</v>
      </c>
      <c r="EA35" s="69" t="s">
        <v>156</v>
      </c>
      <c r="EB35" s="70" t="s">
        <v>221</v>
      </c>
      <c r="EC35" s="69">
        <v>175</v>
      </c>
      <c r="ED35" s="69">
        <v>65</v>
      </c>
      <c r="EE35" s="69">
        <v>65</v>
      </c>
      <c r="EF35" s="69">
        <v>20</v>
      </c>
      <c r="EG35" s="69">
        <v>3</v>
      </c>
      <c r="EH35" s="69">
        <v>18.16</v>
      </c>
      <c r="EJ35" s="69">
        <v>9.6</v>
      </c>
      <c r="EK35" s="69">
        <v>7.54</v>
      </c>
      <c r="EL35" s="69">
        <v>448.76900000000001</v>
      </c>
      <c r="EM35" s="69">
        <v>48.817</v>
      </c>
      <c r="EN35" s="69">
        <v>51.287999999999997</v>
      </c>
      <c r="EO35" s="69">
        <v>10.423</v>
      </c>
      <c r="EW35" s="3" t="e">
        <f>Cal!#REF!</f>
        <v>#REF!</v>
      </c>
      <c r="EX35" s="77" t="s">
        <v>271</v>
      </c>
      <c r="EY35" s="3">
        <v>13</v>
      </c>
      <c r="EZ35" s="3">
        <v>26</v>
      </c>
      <c r="FA35" s="3" t="s">
        <v>688</v>
      </c>
      <c r="FB35" s="75" cm="1">
        <f t="array" ref="FB35">_xll.DCEPropSectBox(EY35, EZ35, FA35, 1, 1, "Area")/100</f>
        <v>0.64874070148223206</v>
      </c>
      <c r="FC35" s="75">
        <f t="shared" si="9"/>
        <v>0.50926145066355222</v>
      </c>
      <c r="FD35" s="75" cm="1">
        <f t="array" ref="FD35">_xll.DCEPropSectBox(EY35, EZ35, FA35, 1, 1, "Ix")/10000</f>
        <v>0.54697548554181963</v>
      </c>
      <c r="FE35" s="75" cm="1">
        <f t="array" ref="FE35">_xll.DCEPropSectBox(EY35, EZ35, FA35, 1, 1, "Iy")/10000</f>
        <v>0.18434457055993278</v>
      </c>
      <c r="FF35" s="75">
        <f t="shared" si="6"/>
        <v>0.42075037349370742</v>
      </c>
      <c r="FG35" s="75">
        <f t="shared" si="7"/>
        <v>0.28360703163066581</v>
      </c>
      <c r="FJ35" s="3" t="e">
        <f>Cal!#REF!</f>
        <v>#REF!</v>
      </c>
      <c r="FK35" s="77" t="s">
        <v>748</v>
      </c>
      <c r="FL35" s="3">
        <v>21</v>
      </c>
      <c r="FM35" s="3">
        <v>1.4</v>
      </c>
      <c r="FN35" s="80" cm="1">
        <f t="array" ref="FN35">_xll.DCEPropSectPipe(FL35, FM35, "A")/100</f>
        <v>0.86205302414503937</v>
      </c>
      <c r="FO35" s="75">
        <f t="shared" si="10"/>
        <v>0.67671162395385598</v>
      </c>
      <c r="FP35" s="76" cm="1">
        <f t="array" ref="FP35">_xll.DCEPropSectPipe(FL35, FM35, "I")/10000</f>
        <v>0.41606989210360323</v>
      </c>
      <c r="FQ35" s="76">
        <f t="shared" si="11"/>
        <v>0.41606989210360323</v>
      </c>
      <c r="FR35" s="75">
        <f t="shared" si="12"/>
        <v>0.39625704009866974</v>
      </c>
      <c r="FS35" s="75">
        <f t="shared" si="13"/>
        <v>0.39625704009866974</v>
      </c>
    </row>
    <row r="36" spans="1:175" ht="14.4">
      <c r="EA36" s="69" t="s">
        <v>156</v>
      </c>
      <c r="EB36" s="70" t="s">
        <v>222</v>
      </c>
      <c r="EC36" s="69">
        <v>200</v>
      </c>
      <c r="ED36" s="69">
        <v>65</v>
      </c>
      <c r="EE36" s="69">
        <v>65</v>
      </c>
      <c r="EF36" s="69">
        <v>20</v>
      </c>
      <c r="EG36" s="69">
        <v>1.8</v>
      </c>
      <c r="EH36" s="69">
        <v>16.899999999999999</v>
      </c>
      <c r="EJ36" s="69">
        <v>6.3</v>
      </c>
      <c r="EK36" s="69">
        <v>4.95</v>
      </c>
      <c r="EL36" s="69">
        <v>379.68799999999999</v>
      </c>
      <c r="EM36" s="69">
        <v>32.457999999999998</v>
      </c>
      <c r="EN36" s="69">
        <v>37.969000000000001</v>
      </c>
      <c r="EO36" s="69">
        <v>6.7480000000000002</v>
      </c>
      <c r="EW36" s="3" t="e">
        <f>Cal!#REF!</f>
        <v>#REF!</v>
      </c>
      <c r="EX36" s="77" t="s">
        <v>272</v>
      </c>
      <c r="EY36" s="3">
        <v>13</v>
      </c>
      <c r="EZ36" s="3">
        <v>26</v>
      </c>
      <c r="FA36" s="3" t="s">
        <v>689</v>
      </c>
      <c r="FB36" s="75" cm="1">
        <f t="array" ref="FB36">_xll.DCEPropSectBox(EY36, EZ36, FA36, 1, 1, "Area")/100</f>
        <v>0.71424777960769381</v>
      </c>
      <c r="FC36" s="75">
        <f t="shared" si="9"/>
        <v>0.56068450699203964</v>
      </c>
      <c r="FD36" s="75" cm="1">
        <f t="array" ref="FD36">_xll.DCEPropSectBox(EY36, EZ36, FA36, 1, 1, "Ix")/10000</f>
        <v>0.59461791057040581</v>
      </c>
      <c r="FE36" s="75" cm="1">
        <f t="array" ref="FE36">_xll.DCEPropSectBox(EY36, EZ36, FA36, 1, 1, "Iy")/10000</f>
        <v>0.19957993928232085</v>
      </c>
      <c r="FF36" s="75">
        <f t="shared" si="6"/>
        <v>0.45739839274646599</v>
      </c>
      <c r="FG36" s="75">
        <f t="shared" si="7"/>
        <v>0.30704606043433974</v>
      </c>
      <c r="FJ36" s="3" t="e">
        <f>Cal!#REF!</f>
        <v>#REF!</v>
      </c>
      <c r="FK36" s="77" t="s">
        <v>749</v>
      </c>
      <c r="FL36" s="3">
        <v>21</v>
      </c>
      <c r="FM36" s="3">
        <v>1.5</v>
      </c>
      <c r="FN36" s="80" cm="1">
        <f t="array" ref="FN36">_xll.DCEPropSectPipe(FL36, FM36, "A")/100</f>
        <v>0.91891585117501451</v>
      </c>
      <c r="FO36" s="75">
        <f t="shared" si="10"/>
        <v>0.7213489431723864</v>
      </c>
      <c r="FP36" s="76" cm="1">
        <f t="array" ref="FP36">_xll.DCEPropSectPipe(FL36, FM36, "I")/10000</f>
        <v>0.43935664134305369</v>
      </c>
      <c r="FQ36" s="76">
        <f t="shared" si="11"/>
        <v>0.43935664134305369</v>
      </c>
      <c r="FR36" s="75">
        <f t="shared" si="12"/>
        <v>0.41843489651719395</v>
      </c>
      <c r="FS36" s="75">
        <f t="shared" si="13"/>
        <v>0.41843489651719395</v>
      </c>
    </row>
    <row r="37" spans="1:175" ht="14.4">
      <c r="EA37" s="69" t="s">
        <v>156</v>
      </c>
      <c r="EB37" s="70" t="s">
        <v>223</v>
      </c>
      <c r="EC37" s="69">
        <v>200</v>
      </c>
      <c r="ED37" s="69">
        <v>65</v>
      </c>
      <c r="EE37" s="69">
        <v>65</v>
      </c>
      <c r="EF37" s="69">
        <v>20</v>
      </c>
      <c r="EG37" s="69">
        <v>2</v>
      </c>
      <c r="EH37" s="69">
        <v>17.02</v>
      </c>
      <c r="EJ37" s="69">
        <v>7</v>
      </c>
      <c r="EK37" s="69">
        <v>5.5</v>
      </c>
      <c r="EL37" s="69">
        <v>421.012</v>
      </c>
      <c r="EM37" s="69">
        <v>36.054000000000002</v>
      </c>
      <c r="EN37" s="69">
        <v>42.100999999999999</v>
      </c>
      <c r="EO37" s="69">
        <v>7.5140000000000002</v>
      </c>
      <c r="EW37" s="3" t="e">
        <f>Cal!#REF!</f>
        <v>#REF!</v>
      </c>
      <c r="EX37" s="77" t="s">
        <v>273</v>
      </c>
      <c r="EY37" s="3">
        <v>13</v>
      </c>
      <c r="EZ37" s="3">
        <v>26</v>
      </c>
      <c r="FA37" s="3" t="s">
        <v>690</v>
      </c>
      <c r="FB37" s="75" cm="1">
        <f t="array" ref="FB37">_xll.DCEPropSectBox(EY37, EZ37, FA37, 1, 1, "Area")/100</f>
        <v>0.77843981332530943</v>
      </c>
      <c r="FC37" s="75">
        <f t="shared" si="9"/>
        <v>0.61107525346036795</v>
      </c>
      <c r="FD37" s="75" cm="1">
        <f t="array" ref="FD37">_xll.DCEPropSectBox(EY37, EZ37, FA37, 1, 1, "Ix")/10000</f>
        <v>0.6397871171058529</v>
      </c>
      <c r="FE37" s="75" cm="1">
        <f t="array" ref="FE37">_xll.DCEPropSectBox(EY37, EZ37, FA37, 1, 1, "Iy")/10000</f>
        <v>0.21386717366039501</v>
      </c>
      <c r="FF37" s="75">
        <f t="shared" si="6"/>
        <v>0.49214393623527142</v>
      </c>
      <c r="FG37" s="75">
        <f t="shared" si="7"/>
        <v>0.32902642101599233</v>
      </c>
      <c r="FJ37" s="3" t="e">
        <f>Cal!#REF!</f>
        <v>#REF!</v>
      </c>
      <c r="FK37" s="77" t="s">
        <v>750</v>
      </c>
      <c r="FL37" s="3">
        <v>21</v>
      </c>
      <c r="FM37" s="3">
        <v>1.7</v>
      </c>
      <c r="FN37" s="80" cm="1">
        <f t="array" ref="FN37">_xll.DCEPropSectPipe(FL37, FM37, "A")/100</f>
        <v>1.0307565496428106</v>
      </c>
      <c r="FO37" s="75">
        <f t="shared" si="10"/>
        <v>0.8091438914696063</v>
      </c>
      <c r="FP37" s="76" cm="1">
        <f t="array" ref="FP37">_xll.DCEPropSectPipe(FL37, FM37, "I")/10000</f>
        <v>0.48365674200614783</v>
      </c>
      <c r="FQ37" s="76">
        <f t="shared" si="11"/>
        <v>0.48365674200614783</v>
      </c>
      <c r="FR37" s="75">
        <f t="shared" si="12"/>
        <v>0.46062546857728365</v>
      </c>
      <c r="FS37" s="75">
        <f t="shared" si="13"/>
        <v>0.46062546857728365</v>
      </c>
    </row>
    <row r="38" spans="1:175" ht="14.4">
      <c r="EA38" s="69" t="s">
        <v>156</v>
      </c>
      <c r="EB38" s="70" t="s">
        <v>224</v>
      </c>
      <c r="EC38" s="69">
        <v>200</v>
      </c>
      <c r="ED38" s="69">
        <v>65</v>
      </c>
      <c r="EE38" s="69">
        <v>65</v>
      </c>
      <c r="EF38" s="69">
        <v>20</v>
      </c>
      <c r="EG38" s="69">
        <v>2.2999999999999998</v>
      </c>
      <c r="EH38" s="69">
        <v>17.2</v>
      </c>
      <c r="EJ38" s="69">
        <v>8.0500000000000007</v>
      </c>
      <c r="EK38" s="69">
        <v>6.32</v>
      </c>
      <c r="EL38" s="69">
        <v>482.66399999999999</v>
      </c>
      <c r="EM38" s="69">
        <v>41.439</v>
      </c>
      <c r="EN38" s="69">
        <v>48.265999999999998</v>
      </c>
      <c r="EO38" s="69">
        <v>8.6690000000000005</v>
      </c>
      <c r="EW38" s="3" t="e">
        <f>Cal!#REF!</f>
        <v>#REF!</v>
      </c>
      <c r="EX38" s="77" t="s">
        <v>274</v>
      </c>
      <c r="EY38" s="3">
        <v>13</v>
      </c>
      <c r="EZ38" s="3">
        <v>26</v>
      </c>
      <c r="FA38" s="3" t="s">
        <v>691</v>
      </c>
      <c r="FB38" s="75" cm="1">
        <f t="array" ref="FB38">_xll.DCEPropSectBox(EY38, EZ38, FA38, 1, 1, "Area")/100</f>
        <v>0.84131680263507902</v>
      </c>
      <c r="FC38" s="75">
        <f t="shared" si="9"/>
        <v>0.66043369006853703</v>
      </c>
      <c r="FD38" s="75" cm="1">
        <f t="array" ref="FD38">_xll.DCEPropSectBox(EY38, EZ38, FA38, 1, 1, "Ix")/10000</f>
        <v>0.68252406188820602</v>
      </c>
      <c r="FE38" s="75" cm="1">
        <f t="array" ref="FE38">_xll.DCEPropSectBox(EY38, EZ38, FA38, 1, 1, "Iy")/10000</f>
        <v>0.22723305697038826</v>
      </c>
      <c r="FF38" s="75">
        <f t="shared" si="6"/>
        <v>0.52501850914477388</v>
      </c>
      <c r="FG38" s="75">
        <f t="shared" si="7"/>
        <v>0.3495893184159819</v>
      </c>
      <c r="FJ38" s="3" t="e">
        <f>Cal!#REF!</f>
        <v>#REF!</v>
      </c>
      <c r="FK38" s="77" t="s">
        <v>751</v>
      </c>
      <c r="FL38" s="3">
        <v>21</v>
      </c>
      <c r="FM38" s="3">
        <v>1.8</v>
      </c>
      <c r="FN38" s="80" cm="1">
        <f t="array" ref="FN38">_xll.DCEPropSectPipe(FL38, FM38, "A")/100</f>
        <v>1.085734421080633</v>
      </c>
      <c r="FO38" s="75">
        <f t="shared" si="10"/>
        <v>0.85230152054829689</v>
      </c>
      <c r="FP38" s="76" cm="1">
        <f t="array" ref="FP38">_xll.DCEPropSectPipe(FL38, FM38, "I")/10000</f>
        <v>0.50470364563933212</v>
      </c>
      <c r="FQ38" s="76">
        <f t="shared" si="11"/>
        <v>0.50470364563933212</v>
      </c>
      <c r="FR38" s="75">
        <f t="shared" si="12"/>
        <v>0.48067013870412578</v>
      </c>
      <c r="FS38" s="75">
        <f t="shared" si="13"/>
        <v>0.48067013870412578</v>
      </c>
    </row>
    <row r="39" spans="1:175" ht="14.4">
      <c r="EA39" s="69" t="s">
        <v>156</v>
      </c>
      <c r="EB39" s="70" t="s">
        <v>225</v>
      </c>
      <c r="EC39" s="69">
        <v>200</v>
      </c>
      <c r="ED39" s="69">
        <v>65</v>
      </c>
      <c r="EE39" s="69">
        <v>65</v>
      </c>
      <c r="EF39" s="69">
        <v>20</v>
      </c>
      <c r="EG39" s="69">
        <v>2.5</v>
      </c>
      <c r="EH39" s="69">
        <v>17.32</v>
      </c>
      <c r="EJ39" s="69">
        <v>8.75</v>
      </c>
      <c r="EK39" s="69">
        <v>6.87</v>
      </c>
      <c r="EL39" s="69">
        <v>523.54200000000003</v>
      </c>
      <c r="EM39" s="69">
        <v>45.023000000000003</v>
      </c>
      <c r="EN39" s="69">
        <v>52.353999999999999</v>
      </c>
      <c r="EO39" s="69">
        <v>9.4429999999999996</v>
      </c>
      <c r="EW39" s="3" t="e">
        <f>Cal!#REF!</f>
        <v>#REF!</v>
      </c>
      <c r="EX39" s="77" t="s">
        <v>275</v>
      </c>
      <c r="EY39" s="3">
        <v>13</v>
      </c>
      <c r="EZ39" s="3">
        <v>26</v>
      </c>
      <c r="FA39" s="3" t="s">
        <v>692</v>
      </c>
      <c r="FB39" s="75" cm="1">
        <f t="array" ref="FB39">_xll.DCEPropSectBox(EY39, EZ39, FA39, 1, 1, "Area")/100</f>
        <v>0.96312564803107992</v>
      </c>
      <c r="FC39" s="75">
        <f t="shared" si="9"/>
        <v>0.75605363370439771</v>
      </c>
      <c r="FD39" s="75" cm="1">
        <f t="array" ref="FD39">_xll.DCEPropSectBox(EY39, EZ39, FA39, 1, 1, "Ix")/10000</f>
        <v>0.76086356925496379</v>
      </c>
      <c r="FE39" s="75" cm="1">
        <f t="array" ref="FE39">_xll.DCEPropSectBox(EY39, EZ39, FA39, 1, 1, "Iy")/10000</f>
        <v>0.2513064795922163</v>
      </c>
      <c r="FF39" s="75">
        <f t="shared" si="6"/>
        <v>0.58527966865766445</v>
      </c>
      <c r="FG39" s="75">
        <f t="shared" si="7"/>
        <v>0.38662535321879432</v>
      </c>
      <c r="FJ39" s="3" t="e">
        <f>Cal!#REF!</f>
        <v>#REF!</v>
      </c>
      <c r="FK39" s="77" t="s">
        <v>752</v>
      </c>
      <c r="FL39" s="3">
        <v>21</v>
      </c>
      <c r="FM39" s="3">
        <v>2</v>
      </c>
      <c r="FN39" s="80" cm="1">
        <f t="array" ref="FN39">_xll.DCEPropSectPipe(FL39, FM39, "A")/100</f>
        <v>1.1938052083641213</v>
      </c>
      <c r="FO39" s="75">
        <f t="shared" si="10"/>
        <v>0.93713708856583522</v>
      </c>
      <c r="FP39" s="76" cm="1">
        <f t="array" ref="FP39">_xll.DCEPropSectPipe(FL39, FM39, "I")/10000</f>
        <v>0.54467362631613037</v>
      </c>
      <c r="FQ39" s="76">
        <f t="shared" si="11"/>
        <v>0.54467362631613037</v>
      </c>
      <c r="FR39" s="75">
        <f t="shared" si="12"/>
        <v>0.51873678696774317</v>
      </c>
      <c r="FS39" s="75">
        <f t="shared" si="13"/>
        <v>0.51873678696774317</v>
      </c>
    </row>
    <row r="40" spans="1:175" ht="14.4">
      <c r="EA40" s="69" t="s">
        <v>156</v>
      </c>
      <c r="EB40" s="70" t="s">
        <v>226</v>
      </c>
      <c r="EC40" s="69">
        <v>200</v>
      </c>
      <c r="ED40" s="69">
        <v>65</v>
      </c>
      <c r="EE40" s="69">
        <v>65</v>
      </c>
      <c r="EF40" s="69">
        <v>20</v>
      </c>
      <c r="EG40" s="69">
        <v>3</v>
      </c>
      <c r="EH40" s="69">
        <v>17.62</v>
      </c>
      <c r="EJ40" s="69">
        <v>10.5</v>
      </c>
      <c r="EK40" s="69">
        <v>8.24</v>
      </c>
      <c r="EL40" s="69">
        <v>624.94500000000005</v>
      </c>
      <c r="EM40" s="69">
        <v>53.957999999999998</v>
      </c>
      <c r="EN40" s="69">
        <v>62.494999999999997</v>
      </c>
      <c r="EO40" s="69">
        <v>11.388</v>
      </c>
      <c r="EW40" s="3" t="e">
        <f>Cal!#REF!</f>
        <v>#REF!</v>
      </c>
      <c r="EX40" s="77" t="s">
        <v>276</v>
      </c>
      <c r="EY40" s="3">
        <v>13</v>
      </c>
      <c r="EZ40" s="3">
        <v>26</v>
      </c>
      <c r="FA40" s="3" t="s">
        <v>693</v>
      </c>
      <c r="FB40" s="75" cm="1">
        <f t="array" ref="FB40">_xll.DCEPropSectBox(EY40, EZ40, FA40, 1, 1, "Area")/100</f>
        <v>1.022057504117311</v>
      </c>
      <c r="FC40" s="75">
        <f t="shared" si="9"/>
        <v>0.80231514073208909</v>
      </c>
      <c r="FD40" s="75" cm="1">
        <f t="array" ref="FD40">_xll.DCEPropSectBox(EY40, EZ40, FA40, 1, 1, "Ix")/10000</f>
        <v>0.79654662142061061</v>
      </c>
      <c r="FE40" s="75" cm="1">
        <f t="array" ref="FE40">_xll.DCEPropSectBox(EY40, EZ40, FA40, 1, 1, "Iy")/10000</f>
        <v>0.26206616155766999</v>
      </c>
      <c r="FF40" s="75">
        <f t="shared" si="6"/>
        <v>0.61272817032354665</v>
      </c>
      <c r="FG40" s="75">
        <f t="shared" si="7"/>
        <v>0.40317871008872302</v>
      </c>
      <c r="FJ40" s="3" t="e">
        <f>Cal!#REF!</f>
        <v>#REF!</v>
      </c>
      <c r="FK40" s="77" t="s">
        <v>753</v>
      </c>
      <c r="FL40" s="3">
        <v>22.2</v>
      </c>
      <c r="FM40" s="3">
        <v>0.6</v>
      </c>
      <c r="FN40" s="80" cm="1">
        <f t="array" ref="FN40">_xll.DCEPropSectPipe(FL40, FM40, "A")/100</f>
        <v>0.40715040790523688</v>
      </c>
      <c r="FO40" s="75">
        <f t="shared" si="10"/>
        <v>0.31961307020561097</v>
      </c>
      <c r="FP40" s="76" cm="1">
        <f t="array" ref="FP40">_xll.DCEPropSectPipe(FL40, FM40, "I")/10000</f>
        <v>0.2376333355738916</v>
      </c>
      <c r="FQ40" s="76">
        <f t="shared" si="11"/>
        <v>0.2376333355738916</v>
      </c>
      <c r="FR40" s="75">
        <f t="shared" si="12"/>
        <v>0.21408408610260507</v>
      </c>
      <c r="FS40" s="75">
        <f t="shared" si="13"/>
        <v>0.21408408610260507</v>
      </c>
    </row>
    <row r="41" spans="1:175" ht="14.4">
      <c r="EA41" s="69" t="s">
        <v>156</v>
      </c>
      <c r="EB41" s="70" t="s">
        <v>227</v>
      </c>
      <c r="EC41" s="69">
        <v>250</v>
      </c>
      <c r="ED41" s="69">
        <v>65</v>
      </c>
      <c r="EE41" s="69">
        <v>65</v>
      </c>
      <c r="EF41" s="69">
        <v>20</v>
      </c>
      <c r="EG41" s="69">
        <v>1.8</v>
      </c>
      <c r="EH41" s="69">
        <v>14.9</v>
      </c>
      <c r="EJ41" s="69">
        <v>7.2</v>
      </c>
      <c r="EK41" s="69">
        <v>5.65</v>
      </c>
      <c r="EL41" s="69">
        <v>643.279</v>
      </c>
      <c r="EM41" s="69">
        <v>34.475999999999999</v>
      </c>
      <c r="EN41" s="69">
        <v>51.462000000000003</v>
      </c>
      <c r="EO41" s="69">
        <v>6.8810000000000002</v>
      </c>
      <c r="EW41" s="3" t="e">
        <f>Cal!#REF!</f>
        <v>#REF!</v>
      </c>
      <c r="EX41" s="77" t="s">
        <v>277</v>
      </c>
      <c r="EY41" s="3">
        <v>13</v>
      </c>
      <c r="EZ41" s="3">
        <v>26</v>
      </c>
      <c r="FA41" s="3" t="s">
        <v>694</v>
      </c>
      <c r="FB41" s="75" cm="1">
        <f t="array" ref="FB41">_xll.DCEPropSectBox(EY41, EZ41, FA41, 1, 1, "Area")/100</f>
        <v>1.0796743157956961</v>
      </c>
      <c r="FC41" s="75">
        <f t="shared" si="9"/>
        <v>0.84754433789962136</v>
      </c>
      <c r="FD41" s="75" cm="1">
        <f t="array" ref="FD41">_xll.DCEPropSectBox(EY41, EZ41, FA41, 1, 1, "Ix")/10000</f>
        <v>0.82995839099564872</v>
      </c>
      <c r="FE41" s="75" cm="1">
        <f t="array" ref="FE41">_xll.DCEPropSectBox(EY41, EZ41, FA41, 1, 1, "Iy")/10000</f>
        <v>0.27200877776228016</v>
      </c>
      <c r="FF41" s="75">
        <f t="shared" si="6"/>
        <v>0.63842953153511439</v>
      </c>
      <c r="FG41" s="75">
        <f t="shared" si="7"/>
        <v>0.41847504271120023</v>
      </c>
      <c r="FJ41" s="3" t="e">
        <f>Cal!#REF!</f>
        <v>#REF!</v>
      </c>
      <c r="FK41" s="77" t="s">
        <v>754</v>
      </c>
      <c r="FL41" s="3">
        <v>22.2</v>
      </c>
      <c r="FM41" s="3">
        <v>0.7</v>
      </c>
      <c r="FN41" s="80" cm="1">
        <f t="array" ref="FN41">_xll.DCEPropSectPipe(FL41, FM41, "A")/100</f>
        <v>0.47280969436526332</v>
      </c>
      <c r="FO41" s="75">
        <f t="shared" si="10"/>
        <v>0.3711556100767317</v>
      </c>
      <c r="FP41" s="76" cm="1">
        <f t="array" ref="FP41">_xll.DCEPropSectPipe(FL41, FM41, "I")/10000</f>
        <v>0.27348494746322738</v>
      </c>
      <c r="FQ41" s="76">
        <f t="shared" si="11"/>
        <v>0.27348494746322738</v>
      </c>
      <c r="FR41" s="75">
        <f t="shared" si="12"/>
        <v>0.24638283555245713</v>
      </c>
      <c r="FS41" s="75">
        <f t="shared" si="13"/>
        <v>0.24638283555245713</v>
      </c>
    </row>
    <row r="42" spans="1:175" ht="14.4">
      <c r="EA42" s="69" t="s">
        <v>156</v>
      </c>
      <c r="EB42" s="70" t="s">
        <v>228</v>
      </c>
      <c r="EC42" s="69">
        <v>250</v>
      </c>
      <c r="ED42" s="69">
        <v>65</v>
      </c>
      <c r="EE42" s="69">
        <v>65</v>
      </c>
      <c r="EF42" s="69">
        <v>20</v>
      </c>
      <c r="EG42" s="69">
        <v>2</v>
      </c>
      <c r="EH42" s="69">
        <v>15.02</v>
      </c>
      <c r="EJ42" s="69">
        <v>8</v>
      </c>
      <c r="EK42" s="69">
        <v>6.28</v>
      </c>
      <c r="EL42" s="69">
        <v>713.66499999999996</v>
      </c>
      <c r="EM42" s="69">
        <v>38.302999999999997</v>
      </c>
      <c r="EN42" s="69">
        <v>57.093000000000004</v>
      </c>
      <c r="EO42" s="69">
        <v>7.6630000000000003</v>
      </c>
      <c r="EW42" s="3" t="e">
        <f>Cal!#REF!</f>
        <v>#REF!</v>
      </c>
      <c r="EX42" s="77" t="s">
        <v>278</v>
      </c>
      <c r="EY42" s="3">
        <v>10</v>
      </c>
      <c r="EZ42" s="3">
        <v>30</v>
      </c>
      <c r="FA42" s="3" t="s">
        <v>685</v>
      </c>
      <c r="FB42" s="75" cm="1">
        <f t="array" ref="FB42">_xll.DCEPropSectBox(EY42, EZ42, FA42, 1, 1, "Area")/100</f>
        <v>0.45632920065876975</v>
      </c>
      <c r="FC42" s="75">
        <f t="shared" si="9"/>
        <v>0.35821842251713426</v>
      </c>
      <c r="FD42" s="75" cm="1">
        <f t="array" ref="FD42">_xll.DCEPropSectBox(EY42, EZ42, FA42, 1, 1, "Ix")/10000</f>
        <v>0.47767881113752536</v>
      </c>
      <c r="FE42" s="75" cm="1">
        <f t="array" ref="FE42">_xll.DCEPropSectBox(EY42, EZ42, FA42, 1, 1, "Iy")/10000</f>
        <v>8.4235417978090754E-2</v>
      </c>
      <c r="FF42" s="75">
        <f t="shared" si="6"/>
        <v>0.31845254075835022</v>
      </c>
      <c r="FG42" s="75">
        <f t="shared" si="7"/>
        <v>0.16847083595618151</v>
      </c>
      <c r="FJ42" s="3" t="e">
        <f>Cal!#REF!</f>
        <v>#REF!</v>
      </c>
      <c r="FK42" s="77" t="s">
        <v>755</v>
      </c>
      <c r="FL42" s="3">
        <v>22.2</v>
      </c>
      <c r="FM42" s="3">
        <v>0.8</v>
      </c>
      <c r="FN42" s="80" cm="1">
        <f t="array" ref="FN42">_xll.DCEPropSectPipe(FL42, FM42, "A")/100</f>
        <v>0.53784066229457328</v>
      </c>
      <c r="FO42" s="75">
        <f t="shared" si="10"/>
        <v>0.42220491990124004</v>
      </c>
      <c r="FP42" s="76" cm="1">
        <f t="array" ref="FP42">_xll.DCEPropSectPipe(FL42, FM42, "I")/10000</f>
        <v>0.30831715966036388</v>
      </c>
      <c r="FQ42" s="76">
        <f t="shared" si="11"/>
        <v>0.30831715966036388</v>
      </c>
      <c r="FR42" s="75">
        <f t="shared" si="12"/>
        <v>0.27776320690122874</v>
      </c>
      <c r="FS42" s="75">
        <f t="shared" si="13"/>
        <v>0.27776320690122874</v>
      </c>
    </row>
    <row r="43" spans="1:175" ht="14.4">
      <c r="EA43" s="69" t="s">
        <v>156</v>
      </c>
      <c r="EB43" s="70" t="s">
        <v>229</v>
      </c>
      <c r="EC43" s="69">
        <v>250</v>
      </c>
      <c r="ED43" s="69">
        <v>65</v>
      </c>
      <c r="EE43" s="69">
        <v>65</v>
      </c>
      <c r="EF43" s="69">
        <v>20</v>
      </c>
      <c r="EG43" s="69">
        <v>2.2999999999999998</v>
      </c>
      <c r="EH43" s="69">
        <v>15.19</v>
      </c>
      <c r="EJ43" s="69">
        <v>9.2000000000000011</v>
      </c>
      <c r="EK43" s="69">
        <v>7.22</v>
      </c>
      <c r="EL43" s="69">
        <v>818.82299999999998</v>
      </c>
      <c r="EM43" s="69">
        <v>44.036999999999999</v>
      </c>
      <c r="EN43" s="69">
        <v>65.506</v>
      </c>
      <c r="EO43" s="69">
        <v>8.8420000000000005</v>
      </c>
      <c r="EW43" s="3" t="e">
        <f>Cal!#REF!</f>
        <v>#REF!</v>
      </c>
      <c r="EX43" s="77" t="s">
        <v>279</v>
      </c>
      <c r="EY43" s="3">
        <v>10</v>
      </c>
      <c r="EZ43" s="3">
        <v>30</v>
      </c>
      <c r="FA43" s="3" t="s">
        <v>686</v>
      </c>
      <c r="FB43" s="75" cm="1">
        <f t="array" ref="FB43">_xll.DCEPropSectBox(EY43, EZ43, FA43, 1, 1, "Area")/100</f>
        <v>0.52778141200776996</v>
      </c>
      <c r="FC43" s="75">
        <f t="shared" si="9"/>
        <v>0.41430840842609945</v>
      </c>
      <c r="FD43" s="75" cm="1">
        <f t="array" ref="FD43">_xll.DCEPropSectBox(EY43, EZ43, FA43, 1, 1, "Ix")/10000</f>
        <v>0.54556416079811865</v>
      </c>
      <c r="FE43" s="75" cm="1">
        <f t="array" ref="FE43">_xll.DCEPropSectBox(EY43, EZ43, FA43, 1, 1, "Iy")/10000</f>
        <v>9.5421465478087913E-2</v>
      </c>
      <c r="FF43" s="75">
        <f t="shared" si="6"/>
        <v>0.3637094405320791</v>
      </c>
      <c r="FG43" s="75">
        <f t="shared" si="7"/>
        <v>0.19084293095617583</v>
      </c>
      <c r="FJ43" s="3" t="e">
        <f>Cal!#REF!</f>
        <v>#REF!</v>
      </c>
      <c r="FK43" s="77" t="s">
        <v>756</v>
      </c>
      <c r="FL43" s="3">
        <v>22.2</v>
      </c>
      <c r="FM43" s="3">
        <v>0.9</v>
      </c>
      <c r="FN43" s="80" cm="1">
        <f t="array" ref="FN43">_xll.DCEPropSectPipe(FL43, FM43, "A")/100</f>
        <v>0.60224331169316314</v>
      </c>
      <c r="FO43" s="75">
        <f t="shared" si="10"/>
        <v>0.47276099967913304</v>
      </c>
      <c r="FP43" s="76" cm="1">
        <f t="array" ref="FP43">_xll.DCEPropSectPipe(FL43, FM43, "I")/10000</f>
        <v>0.34214948145567853</v>
      </c>
      <c r="FQ43" s="76">
        <f t="shared" si="11"/>
        <v>0.34214948145567853</v>
      </c>
      <c r="FR43" s="75">
        <f t="shared" si="12"/>
        <v>0.30824277608619688</v>
      </c>
      <c r="FS43" s="75">
        <f t="shared" si="13"/>
        <v>0.30824277608619688</v>
      </c>
    </row>
    <row r="44" spans="1:175" ht="14.4">
      <c r="EA44" s="69" t="s">
        <v>156</v>
      </c>
      <c r="EB44" s="70" t="s">
        <v>230</v>
      </c>
      <c r="EC44" s="69">
        <v>250</v>
      </c>
      <c r="ED44" s="69">
        <v>65</v>
      </c>
      <c r="EE44" s="69">
        <v>65</v>
      </c>
      <c r="EF44" s="69">
        <v>20</v>
      </c>
      <c r="EG44" s="69">
        <v>2.5</v>
      </c>
      <c r="EH44" s="69">
        <v>15.31</v>
      </c>
      <c r="EJ44" s="69">
        <v>10</v>
      </c>
      <c r="EK44" s="69">
        <v>7.85</v>
      </c>
      <c r="EL44" s="69">
        <v>888.64599999999996</v>
      </c>
      <c r="EM44" s="69">
        <v>47.854999999999997</v>
      </c>
      <c r="EN44" s="69">
        <v>71.091999999999999</v>
      </c>
      <c r="EO44" s="69">
        <v>9.6310000000000002</v>
      </c>
      <c r="EW44" s="3" t="e">
        <f>Cal!#REF!</f>
        <v>#REF!</v>
      </c>
      <c r="EX44" s="77" t="s">
        <v>280</v>
      </c>
      <c r="EY44" s="3">
        <v>10</v>
      </c>
      <c r="EZ44" s="3">
        <v>30</v>
      </c>
      <c r="FA44" s="3" t="s">
        <v>687</v>
      </c>
      <c r="FB44" s="75" cm="1">
        <f t="array" ref="FB44">_xll.DCEPropSectBox(EY44, EZ44, FA44, 1, 1, "Area")/100</f>
        <v>0.59791857894892397</v>
      </c>
      <c r="FC44" s="75">
        <f t="shared" si="9"/>
        <v>0.4693660844749053</v>
      </c>
      <c r="FD44" s="75" cm="1">
        <f t="array" ref="FD44">_xll.DCEPropSectBox(EY44, EZ44, FA44, 1, 1, "Ix")/10000</f>
        <v>0.61022461565894615</v>
      </c>
      <c r="FE44" s="75" cm="1">
        <f t="array" ref="FE44">_xll.DCEPropSectBox(EY44, EZ44, FA44, 1, 1, "Iy")/10000</f>
        <v>0.10586006969142034</v>
      </c>
      <c r="FF44" s="75">
        <f t="shared" si="6"/>
        <v>0.40681641043929745</v>
      </c>
      <c r="FG44" s="75">
        <f t="shared" si="7"/>
        <v>0.21172013938284068</v>
      </c>
      <c r="FJ44" s="3" t="e">
        <f>Cal!#REF!</f>
        <v>#REF!</v>
      </c>
      <c r="FK44" s="77" t="s">
        <v>757</v>
      </c>
      <c r="FL44" s="3">
        <v>22.2</v>
      </c>
      <c r="FM44" s="3">
        <v>1</v>
      </c>
      <c r="FN44" s="80" cm="1">
        <f t="array" ref="FN44">_xll.DCEPropSectPipe(FL44, FM44, "A")/100</f>
        <v>0.66601764256103591</v>
      </c>
      <c r="FO44" s="75">
        <f t="shared" si="10"/>
        <v>0.52282384941041316</v>
      </c>
      <c r="FP44" s="76" cm="1">
        <f t="array" ref="FP44">_xll.DCEPropSectPipe(FL44, FM44, "I")/10000</f>
        <v>0.37500123364399141</v>
      </c>
      <c r="FQ44" s="76">
        <f t="shared" si="11"/>
        <v>0.37500123364399141</v>
      </c>
      <c r="FR44" s="75">
        <f t="shared" si="12"/>
        <v>0.33783894922882113</v>
      </c>
      <c r="FS44" s="75">
        <f t="shared" si="13"/>
        <v>0.33783894922882113</v>
      </c>
    </row>
    <row r="45" spans="1:175" ht="14.4">
      <c r="EA45" s="69" t="s">
        <v>156</v>
      </c>
      <c r="EB45" s="70" t="s">
        <v>231</v>
      </c>
      <c r="EC45" s="69">
        <v>250</v>
      </c>
      <c r="ED45" s="69">
        <v>65</v>
      </c>
      <c r="EE45" s="69">
        <v>65</v>
      </c>
      <c r="EF45" s="69">
        <v>20</v>
      </c>
      <c r="EG45" s="69">
        <v>3</v>
      </c>
      <c r="EH45" s="69">
        <v>15.61</v>
      </c>
      <c r="EJ45" s="69">
        <v>12</v>
      </c>
      <c r="EK45" s="69">
        <v>9.42</v>
      </c>
      <c r="EL45" s="69">
        <v>1062.2</v>
      </c>
      <c r="EM45" s="69">
        <v>57.38</v>
      </c>
      <c r="EN45" s="69">
        <v>84.975999999999999</v>
      </c>
      <c r="EO45" s="69">
        <v>11.617000000000001</v>
      </c>
      <c r="EW45" s="3" t="e">
        <f>Cal!#REF!</f>
        <v>#REF!</v>
      </c>
      <c r="EX45" s="77" t="s">
        <v>281</v>
      </c>
      <c r="EY45" s="3">
        <v>10</v>
      </c>
      <c r="EZ45" s="3">
        <v>30</v>
      </c>
      <c r="FA45" s="3" t="s">
        <v>688</v>
      </c>
      <c r="FB45" s="75" cm="1">
        <f t="array" ref="FB45">_xll.DCEPropSectBox(EY45, EZ45, FA45, 1, 1, "Area")/100</f>
        <v>0.66674070148223208</v>
      </c>
      <c r="FC45" s="75">
        <f t="shared" si="9"/>
        <v>0.52339145066355219</v>
      </c>
      <c r="FD45" s="75" cm="1">
        <f t="array" ref="FD45">_xll.DCEPropSectBox(EY45, EZ45, FA45, 1, 1, "Ix")/10000</f>
        <v>0.67170674786514861</v>
      </c>
      <c r="FE45" s="75" cm="1">
        <f t="array" ref="FE45">_xll.DCEPropSectBox(EY45, EZ45, FA45, 1, 1, "Iy")/10000</f>
        <v>0.1155759974342882</v>
      </c>
      <c r="FF45" s="75">
        <f t="shared" si="6"/>
        <v>0.44780449857676574</v>
      </c>
      <c r="FG45" s="75">
        <f t="shared" si="7"/>
        <v>0.2311519948685764</v>
      </c>
      <c r="FJ45" s="3" t="e">
        <f>Cal!#REF!</f>
        <v>#REF!</v>
      </c>
      <c r="FK45" s="77" t="s">
        <v>758</v>
      </c>
      <c r="FL45" s="3">
        <v>22.2</v>
      </c>
      <c r="FM45" s="3">
        <v>1.1000000000000001</v>
      </c>
      <c r="FN45" s="80" cm="1">
        <f t="array" ref="FN45">_xll.DCEPropSectPipe(FL45, FM45, "A")/100</f>
        <v>0.72916365489819046</v>
      </c>
      <c r="FO45" s="75">
        <f t="shared" si="10"/>
        <v>0.5723934690950796</v>
      </c>
      <c r="FP45" s="76" cm="1">
        <f t="array" ref="FP45">_xll.DCEPropSectPipe(FL45, FM45, "I")/10000</f>
        <v>0.40689154852456288</v>
      </c>
      <c r="FQ45" s="76">
        <f t="shared" si="11"/>
        <v>0.40689154852456288</v>
      </c>
      <c r="FR45" s="75">
        <f t="shared" si="12"/>
        <v>0.36656896263474137</v>
      </c>
      <c r="FS45" s="75">
        <f t="shared" si="13"/>
        <v>0.36656896263474137</v>
      </c>
    </row>
    <row r="46" spans="1:175" ht="14.4">
      <c r="EA46" s="69" t="s">
        <v>156</v>
      </c>
      <c r="EB46" s="70" t="s">
        <v>232</v>
      </c>
      <c r="EC46" s="69">
        <v>300</v>
      </c>
      <c r="ED46" s="69">
        <v>65</v>
      </c>
      <c r="EE46" s="69">
        <v>65</v>
      </c>
      <c r="EF46" s="69">
        <v>20</v>
      </c>
      <c r="EG46" s="69">
        <v>1.8</v>
      </c>
      <c r="EH46" s="69">
        <v>13.34</v>
      </c>
      <c r="EJ46" s="69">
        <v>8.1</v>
      </c>
      <c r="EK46" s="69">
        <v>6.36</v>
      </c>
      <c r="EL46" s="69">
        <v>996.87</v>
      </c>
      <c r="EM46" s="69">
        <v>36.045999999999999</v>
      </c>
      <c r="EN46" s="69">
        <v>66.457999999999998</v>
      </c>
      <c r="EO46" s="69">
        <v>6.9779999999999998</v>
      </c>
      <c r="EW46" s="3" t="e">
        <f>Cal!#REF!</f>
        <v>#REF!</v>
      </c>
      <c r="EX46" s="77" t="s">
        <v>282</v>
      </c>
      <c r="EY46" s="3">
        <v>10</v>
      </c>
      <c r="EZ46" s="3">
        <v>30</v>
      </c>
      <c r="FA46" s="3" t="s">
        <v>689</v>
      </c>
      <c r="FB46" s="75" cm="1">
        <f t="array" ref="FB46">_xll.DCEPropSectBox(EY46, EZ46, FA46, 1, 1, "Area")/100</f>
        <v>0.73424777960769372</v>
      </c>
      <c r="FC46" s="75">
        <f t="shared" si="9"/>
        <v>0.57638450699203947</v>
      </c>
      <c r="FD46" s="75" cm="1">
        <f t="array" ref="FD46">_xll.DCEPropSectBox(EY46, EZ46, FA46, 1, 1, "Ix")/10000</f>
        <v>0.73005684478209876</v>
      </c>
      <c r="FE46" s="75" cm="1">
        <f t="array" ref="FE46">_xll.DCEPropSectBox(EY46, EZ46, FA46, 1, 1, "Iy")/10000</f>
        <v>0.12459373074312195</v>
      </c>
      <c r="FF46" s="75">
        <f t="shared" si="6"/>
        <v>0.48670456318806582</v>
      </c>
      <c r="FG46" s="75">
        <f t="shared" si="7"/>
        <v>0.24918746148624391</v>
      </c>
      <c r="FJ46" s="3" t="e">
        <f>Cal!#REF!</f>
        <v>#REF!</v>
      </c>
      <c r="FK46" s="77" t="s">
        <v>759</v>
      </c>
      <c r="FL46" s="3">
        <v>22.2</v>
      </c>
      <c r="FM46" s="3">
        <v>1.2</v>
      </c>
      <c r="FN46" s="80" cm="1">
        <f t="array" ref="FN46">_xll.DCEPropSectPipe(FL46, FM46, "A")/100</f>
        <v>0.79168134870462725</v>
      </c>
      <c r="FO46" s="75">
        <f t="shared" si="10"/>
        <v>0.62146985873313243</v>
      </c>
      <c r="FP46" s="76" cm="1">
        <f t="array" ref="FP46">_xll.DCEPropSectPipe(FL46, FM46, "I")/10000</f>
        <v>0.43783936990109412</v>
      </c>
      <c r="FQ46" s="76">
        <f t="shared" si="11"/>
        <v>0.43783936990109412</v>
      </c>
      <c r="FR46" s="75">
        <f t="shared" si="12"/>
        <v>0.39444988279377852</v>
      </c>
      <c r="FS46" s="75">
        <f t="shared" si="13"/>
        <v>0.39444988279377852</v>
      </c>
    </row>
    <row r="47" spans="1:175" ht="14.4">
      <c r="EA47" s="69" t="s">
        <v>156</v>
      </c>
      <c r="EB47" s="70" t="s">
        <v>233</v>
      </c>
      <c r="EC47" s="69">
        <v>300</v>
      </c>
      <c r="ED47" s="69">
        <v>65</v>
      </c>
      <c r="EE47" s="69">
        <v>65</v>
      </c>
      <c r="EF47" s="69">
        <v>20</v>
      </c>
      <c r="EG47" s="69">
        <v>2</v>
      </c>
      <c r="EH47" s="69">
        <v>13.46</v>
      </c>
      <c r="EJ47" s="69">
        <v>9</v>
      </c>
      <c r="EK47" s="69">
        <v>7.07</v>
      </c>
      <c r="EL47" s="69">
        <v>1106.318</v>
      </c>
      <c r="EM47" s="69">
        <v>40.052999999999997</v>
      </c>
      <c r="EN47" s="69">
        <v>73.754999999999995</v>
      </c>
      <c r="EO47" s="69">
        <v>7.7709999999999999</v>
      </c>
      <c r="EW47" s="3" t="e">
        <f>Cal!#REF!</f>
        <v>#REF!</v>
      </c>
      <c r="EX47" s="77" t="s">
        <v>283</v>
      </c>
      <c r="EY47" s="3">
        <v>10</v>
      </c>
      <c r="EZ47" s="3">
        <v>30</v>
      </c>
      <c r="FA47" s="3" t="s">
        <v>690</v>
      </c>
      <c r="FB47" s="75" cm="1">
        <f t="array" ref="FB47">_xll.DCEPropSectBox(EY47, EZ47, FA47, 1, 1, "Area")/100</f>
        <v>0.80043981332530945</v>
      </c>
      <c r="FC47" s="75">
        <f t="shared" si="9"/>
        <v>0.62834525346036796</v>
      </c>
      <c r="FD47" s="75" cm="1">
        <f t="array" ref="FD47">_xll.DCEPropSectBox(EY47, EZ47, FA47, 1, 1, "Ix")/10000</f>
        <v>0.78532090899539897</v>
      </c>
      <c r="FE47" s="75" cm="1">
        <f t="array" ref="FE47">_xll.DCEPropSectBox(EY47, EZ47, FA47, 1, 1, "Iy")/10000</f>
        <v>0.13293746687458291</v>
      </c>
      <c r="FF47" s="75">
        <f t="shared" si="6"/>
        <v>0.52354727266359935</v>
      </c>
      <c r="FG47" s="75">
        <f t="shared" si="7"/>
        <v>0.26587493374916582</v>
      </c>
      <c r="FJ47" s="3" t="e">
        <f>Cal!#REF!</f>
        <v>#REF!</v>
      </c>
      <c r="FK47" s="77" t="s">
        <v>760</v>
      </c>
      <c r="FL47" s="3">
        <v>22.2</v>
      </c>
      <c r="FM47" s="3">
        <v>1.4</v>
      </c>
      <c r="FN47" s="80" cm="1">
        <f t="array" ref="FN47">_xll.DCEPropSectPipe(FL47, FM47, "A")/100</f>
        <v>0.91483178072534765</v>
      </c>
      <c r="FO47" s="75">
        <f t="shared" si="10"/>
        <v>0.71814294786939792</v>
      </c>
      <c r="FP47" s="76" cm="1">
        <f t="array" ref="FP47">_xll.DCEPropSectPipe(FL47, FM47, "I")/10000</f>
        <v>0.49698236487904524</v>
      </c>
      <c r="FQ47" s="76">
        <f t="shared" si="11"/>
        <v>0.49698236487904524</v>
      </c>
      <c r="FR47" s="75">
        <f t="shared" si="12"/>
        <v>0.44773186025139217</v>
      </c>
      <c r="FS47" s="75">
        <f t="shared" si="13"/>
        <v>0.44773186025139217</v>
      </c>
    </row>
    <row r="48" spans="1:175" ht="14.4">
      <c r="EA48" s="69" t="s">
        <v>156</v>
      </c>
      <c r="EB48" s="70" t="s">
        <v>234</v>
      </c>
      <c r="EC48" s="69">
        <v>300</v>
      </c>
      <c r="ED48" s="69">
        <v>65</v>
      </c>
      <c r="EE48" s="69">
        <v>65</v>
      </c>
      <c r="EF48" s="69">
        <v>20</v>
      </c>
      <c r="EG48" s="69">
        <v>2.2999999999999998</v>
      </c>
      <c r="EH48" s="69">
        <v>13.63</v>
      </c>
      <c r="EJ48" s="69">
        <v>10.35</v>
      </c>
      <c r="EK48" s="69">
        <v>8.1199999999999992</v>
      </c>
      <c r="EL48" s="69">
        <v>1269.9829999999999</v>
      </c>
      <c r="EM48" s="69">
        <v>46.058</v>
      </c>
      <c r="EN48" s="69">
        <v>84.665999999999997</v>
      </c>
      <c r="EO48" s="69">
        <v>8.9670000000000005</v>
      </c>
      <c r="EW48" s="3" t="e">
        <f>Cal!#REF!</f>
        <v>#REF!</v>
      </c>
      <c r="EX48" s="77" t="s">
        <v>284</v>
      </c>
      <c r="EY48" s="3">
        <v>10</v>
      </c>
      <c r="EZ48" s="3">
        <v>30</v>
      </c>
      <c r="FA48" s="3" t="s">
        <v>691</v>
      </c>
      <c r="FB48" s="75" cm="1">
        <f t="array" ref="FB48">_xll.DCEPropSectBox(EY48, EZ48, FA48, 1, 1, "Area")/100</f>
        <v>0.86531680263507893</v>
      </c>
      <c r="FC48" s="75">
        <f t="shared" si="9"/>
        <v>0.67927369006853699</v>
      </c>
      <c r="FD48" s="75" cm="1">
        <f t="array" ref="FD48">_xll.DCEPropSectBox(EY48, EZ48, FA48, 1, 1, "Ix")/10000</f>
        <v>0.83754465831088276</v>
      </c>
      <c r="FE48" s="75" cm="1">
        <f t="array" ref="FE48">_xll.DCEPropSectBox(EY48, EZ48, FA48, 1, 1, "Iy")/10000</f>
        <v>0.14063111830556274</v>
      </c>
      <c r="FF48" s="75">
        <f t="shared" si="6"/>
        <v>0.55836310554058854</v>
      </c>
      <c r="FG48" s="75">
        <f t="shared" si="7"/>
        <v>0.28126223661112548</v>
      </c>
      <c r="FJ48" s="3" t="e">
        <f>Cal!#REF!</f>
        <v>#REF!</v>
      </c>
      <c r="FK48" s="77" t="s">
        <v>761</v>
      </c>
      <c r="FL48" s="3">
        <v>22.2</v>
      </c>
      <c r="FM48" s="3">
        <v>1.5</v>
      </c>
      <c r="FN48" s="80" cm="1">
        <f t="array" ref="FN48">_xll.DCEPropSectPipe(FL48, FM48, "A")/100</f>
        <v>0.97546451893963027</v>
      </c>
      <c r="FO48" s="75">
        <f t="shared" si="10"/>
        <v>0.76573964736760969</v>
      </c>
      <c r="FP48" s="76" cm="1">
        <f t="array" ref="FP48">_xll.DCEPropSectPipe(FL48, FM48, "I")/10000</f>
        <v>0.52521448361007061</v>
      </c>
      <c r="FQ48" s="76">
        <f t="shared" si="11"/>
        <v>0.52521448361007061</v>
      </c>
      <c r="FR48" s="75">
        <f t="shared" si="12"/>
        <v>0.47316620145051413</v>
      </c>
      <c r="FS48" s="75">
        <f t="shared" si="13"/>
        <v>0.47316620145051413</v>
      </c>
    </row>
    <row r="49" spans="131:175" ht="14.4">
      <c r="EA49" s="69" t="s">
        <v>156</v>
      </c>
      <c r="EB49" s="70" t="s">
        <v>235</v>
      </c>
      <c r="EC49" s="69">
        <v>300</v>
      </c>
      <c r="ED49" s="69">
        <v>65</v>
      </c>
      <c r="EE49" s="69">
        <v>65</v>
      </c>
      <c r="EF49" s="69">
        <v>20</v>
      </c>
      <c r="EG49" s="69">
        <v>2.5</v>
      </c>
      <c r="EH49" s="69">
        <v>13.75</v>
      </c>
      <c r="EJ49" s="69">
        <v>11.25</v>
      </c>
      <c r="EK49" s="69">
        <v>8.83</v>
      </c>
      <c r="EL49" s="69">
        <v>1378.75</v>
      </c>
      <c r="EM49" s="69">
        <v>50.058999999999997</v>
      </c>
      <c r="EN49" s="69">
        <v>91.917000000000002</v>
      </c>
      <c r="EO49" s="69">
        <v>9.7680000000000007</v>
      </c>
      <c r="EW49" s="3" t="e">
        <f>Cal!#REF!</f>
        <v>#REF!</v>
      </c>
      <c r="EX49" s="77" t="s">
        <v>285</v>
      </c>
      <c r="EY49" s="3">
        <v>10</v>
      </c>
      <c r="EZ49" s="3">
        <v>30</v>
      </c>
      <c r="FA49" s="3" t="s">
        <v>692</v>
      </c>
      <c r="FB49" s="75" cm="1">
        <f t="array" ref="FB49">_xll.DCEPropSectBox(EY49, EZ49, FA49, 1, 1, "Area")/100</f>
        <v>0.99112564803107983</v>
      </c>
      <c r="FC49" s="75">
        <f t="shared" si="9"/>
        <v>0.7780336337043976</v>
      </c>
      <c r="FD49" s="75" cm="1">
        <f t="array" ref="FD49">_xll.DCEPropSectBox(EY49, EZ49, FA49, 1, 1, "Ix")/10000</f>
        <v>0.93305265957288752</v>
      </c>
      <c r="FE49" s="75" cm="1">
        <f t="array" ref="FE49">_xll.DCEPropSectBox(EY49, EZ49, FA49, 1, 1, "Iy")/10000</f>
        <v>0.15416239307479904</v>
      </c>
      <c r="FF49" s="75">
        <f t="shared" si="6"/>
        <v>0.62203510638192505</v>
      </c>
      <c r="FG49" s="75">
        <f t="shared" si="7"/>
        <v>0.30832478614959807</v>
      </c>
      <c r="FJ49" s="3" t="e">
        <f>Cal!#REF!</f>
        <v>#REF!</v>
      </c>
      <c r="FK49" s="77" t="s">
        <v>762</v>
      </c>
      <c r="FL49" s="3">
        <v>25.4</v>
      </c>
      <c r="FM49" s="3">
        <v>0.6</v>
      </c>
      <c r="FN49" s="80" cm="1">
        <f t="array" ref="FN49">_xll.DCEPropSectPipe(FL49, FM49, "A")/100</f>
        <v>0.46746898685416111</v>
      </c>
      <c r="FO49" s="75">
        <f t="shared" si="10"/>
        <v>0.36696315468051649</v>
      </c>
      <c r="FP49" s="76" cm="1">
        <f t="array" ref="FP49">_xll.DCEPropSectPipe(FL49, FM49, "I")/10000</f>
        <v>0.35960051813756327</v>
      </c>
      <c r="FQ49" s="76">
        <f t="shared" si="11"/>
        <v>0.35960051813756327</v>
      </c>
      <c r="FR49" s="75">
        <f t="shared" si="12"/>
        <v>0.2831500142815459</v>
      </c>
      <c r="FS49" s="75">
        <f t="shared" si="13"/>
        <v>0.2831500142815459</v>
      </c>
    </row>
    <row r="50" spans="131:175" ht="14.4">
      <c r="EA50" s="69" t="s">
        <v>156</v>
      </c>
      <c r="EB50" s="70" t="s">
        <v>236</v>
      </c>
      <c r="EC50" s="69">
        <v>300</v>
      </c>
      <c r="ED50" s="69">
        <v>65</v>
      </c>
      <c r="EE50" s="69">
        <v>65</v>
      </c>
      <c r="EF50" s="69">
        <v>20</v>
      </c>
      <c r="EG50" s="69">
        <v>3</v>
      </c>
      <c r="EH50" s="69">
        <v>14.04</v>
      </c>
      <c r="EJ50" s="69">
        <v>13.5</v>
      </c>
      <c r="EK50" s="69">
        <v>10.6</v>
      </c>
      <c r="EL50" s="69">
        <v>1649.4549999999999</v>
      </c>
      <c r="EM50" s="69">
        <v>60.043999999999997</v>
      </c>
      <c r="EN50" s="69">
        <v>109.964</v>
      </c>
      <c r="EO50" s="69">
        <v>11.782</v>
      </c>
      <c r="EW50" s="3" t="e">
        <f>Cal!#REF!</f>
        <v>#REF!</v>
      </c>
      <c r="EX50" s="77" t="s">
        <v>286</v>
      </c>
      <c r="EY50" s="3">
        <v>10</v>
      </c>
      <c r="EZ50" s="3">
        <v>30</v>
      </c>
      <c r="FA50" s="3" t="s">
        <v>693</v>
      </c>
      <c r="FB50" s="75" cm="1">
        <f t="array" ref="FB50">_xll.DCEPropSectBox(EY50, EZ50, FA50, 1, 1, "Area")/100</f>
        <v>1.052057504117311</v>
      </c>
      <c r="FC50" s="75">
        <f t="shared" si="9"/>
        <v>0.82586514073208916</v>
      </c>
      <c r="FD50" s="75" cm="1">
        <f t="array" ref="FD50">_xll.DCEPropSectBox(EY50, EZ50, FA50, 1, 1, "Ix")/10000</f>
        <v>0.97642692323222724</v>
      </c>
      <c r="FE50" s="75" cm="1">
        <f t="array" ref="FE50">_xll.DCEPropSectBox(EY50, EZ50, FA50, 1, 1, "Iy")/10000</f>
        <v>0.16004641746799181</v>
      </c>
      <c r="FF50" s="75">
        <f t="shared" si="6"/>
        <v>0.65095128215481812</v>
      </c>
      <c r="FG50" s="75">
        <f t="shared" si="7"/>
        <v>0.32009283493598362</v>
      </c>
      <c r="FJ50" s="3" t="e">
        <f>Cal!#REF!</f>
        <v>#REF!</v>
      </c>
      <c r="FK50" s="77" t="s">
        <v>763</v>
      </c>
      <c r="FL50" s="3">
        <v>25.4</v>
      </c>
      <c r="FM50" s="3">
        <v>0.7</v>
      </c>
      <c r="FN50" s="80" cm="1">
        <f t="array" ref="FN50">_xll.DCEPropSectPipe(FL50, FM50, "A")/100</f>
        <v>0.54318136980567489</v>
      </c>
      <c r="FO50" s="75">
        <f t="shared" si="10"/>
        <v>0.42639737529745481</v>
      </c>
      <c r="FP50" s="76" cm="1">
        <f t="array" ref="FP50">_xll.DCEPropSectPipe(FL50, FM50, "I")/10000</f>
        <v>0.41456960096993606</v>
      </c>
      <c r="FQ50" s="76">
        <f t="shared" si="11"/>
        <v>0.41456960096993606</v>
      </c>
      <c r="FR50" s="75">
        <f t="shared" si="12"/>
        <v>0.32643275666924099</v>
      </c>
      <c r="FS50" s="75">
        <f t="shared" si="13"/>
        <v>0.32643275666924099</v>
      </c>
    </row>
    <row r="51" spans="131:175" ht="14.4">
      <c r="EW51" s="3" t="e">
        <f>Cal!#REF!</f>
        <v>#REF!</v>
      </c>
      <c r="EX51" s="77" t="s">
        <v>287</v>
      </c>
      <c r="EY51" s="3">
        <v>10</v>
      </c>
      <c r="EZ51" s="3">
        <v>30</v>
      </c>
      <c r="FA51" s="3" t="s">
        <v>694</v>
      </c>
      <c r="FB51" s="75" cm="1">
        <f t="array" ref="FB51">_xll.DCEPropSectBox(EY51, EZ51, FA51, 1, 1, "Area")/100</f>
        <v>1.1116743157956959</v>
      </c>
      <c r="FC51" s="75">
        <f t="shared" si="9"/>
        <v>0.87266433789962117</v>
      </c>
      <c r="FD51" s="75" cm="1">
        <f t="array" ref="FD51">_xll.DCEPropSectBox(EY51, EZ51, FA51, 1, 1, "Ix")/10000</f>
        <v>1.0169408954193895</v>
      </c>
      <c r="FE51" s="75" cm="1">
        <f t="array" ref="FE51">_xll.DCEPropSectBox(EY51, EZ51, FA51, 1, 1, "Iy")/10000</f>
        <v>0.16537315927057616</v>
      </c>
      <c r="FF51" s="75">
        <f t="shared" si="6"/>
        <v>0.67796059694625965</v>
      </c>
      <c r="FG51" s="75">
        <f t="shared" si="7"/>
        <v>0.33074631854115233</v>
      </c>
      <c r="FJ51" s="3" t="e">
        <f>Cal!#REF!</f>
        <v>#REF!</v>
      </c>
      <c r="FK51" s="77" t="s">
        <v>764</v>
      </c>
      <c r="FL51" s="3">
        <v>25.4</v>
      </c>
      <c r="FM51" s="3">
        <v>0.8</v>
      </c>
      <c r="FN51" s="80" cm="1">
        <f t="array" ref="FN51">_xll.DCEPropSectPipe(FL51, FM51, "A")/100</f>
        <v>0.61826543422647207</v>
      </c>
      <c r="FO51" s="75">
        <f t="shared" si="10"/>
        <v>0.48533836586778051</v>
      </c>
      <c r="FP51" s="76" cm="1">
        <f t="array" ref="FP51">_xll.DCEPropSectPipe(FL51, FM51, "I")/10000</f>
        <v>0.46818150006799569</v>
      </c>
      <c r="FQ51" s="76">
        <f t="shared" si="11"/>
        <v>0.46818150006799569</v>
      </c>
      <c r="FR51" s="75">
        <f t="shared" si="12"/>
        <v>0.36864685044724071</v>
      </c>
      <c r="FS51" s="75">
        <f t="shared" si="13"/>
        <v>0.36864685044724071</v>
      </c>
    </row>
    <row r="52" spans="131:175" ht="14.4">
      <c r="EW52" s="3" t="e">
        <f>Cal!#REF!</f>
        <v>#REF!</v>
      </c>
      <c r="EX52" s="77" t="s">
        <v>288</v>
      </c>
      <c r="EY52" s="3">
        <v>10</v>
      </c>
      <c r="EZ52" s="3">
        <v>30</v>
      </c>
      <c r="FA52" s="3" t="s">
        <v>695</v>
      </c>
      <c r="FB52" s="75" cm="1">
        <f t="array" ref="FB52">_xll.DCEPropSectBox(EY52, EZ52, FA52, 1, 1, "Area")/100</f>
        <v>1.1699760830662351</v>
      </c>
      <c r="FC52" s="75">
        <f t="shared" si="9"/>
        <v>0.91843122520699461</v>
      </c>
      <c r="FD52" s="75" cm="1">
        <f t="array" ref="FD52">_xll.DCEPropSectBox(EY52, EZ52, FA52, 1, 1, "Ix")/10000</f>
        <v>1.0546388700413603</v>
      </c>
      <c r="FE52" s="75" cm="1">
        <f t="array" ref="FE52">_xll.DCEPropSectBox(EY52, EZ52, FA52, 1, 1, "Iy")/10000</f>
        <v>0.1701651070605967</v>
      </c>
      <c r="FF52" s="75">
        <f t="shared" si="6"/>
        <v>0.70309258002757347</v>
      </c>
      <c r="FG52" s="75">
        <f t="shared" si="7"/>
        <v>0.34033021412119341</v>
      </c>
      <c r="FJ52" s="3" t="e">
        <f>Cal!#REF!</f>
        <v>#REF!</v>
      </c>
      <c r="FK52" s="77" t="s">
        <v>765</v>
      </c>
      <c r="FL52" s="3">
        <v>25.4</v>
      </c>
      <c r="FM52" s="3">
        <v>0.9</v>
      </c>
      <c r="FN52" s="80" cm="1">
        <f t="array" ref="FN52">_xll.DCEPropSectPipe(FL52, FM52, "A")/100</f>
        <v>0.69272118011654982</v>
      </c>
      <c r="FO52" s="75">
        <f t="shared" si="10"/>
        <v>0.5437861263914916</v>
      </c>
      <c r="FP52" s="76" cm="1">
        <f t="array" ref="FP52">_xll.DCEPropSectPipe(FL52, FM52, "I")/10000</f>
        <v>0.52045874065106656</v>
      </c>
      <c r="FQ52" s="76">
        <f t="shared" si="11"/>
        <v>0.52045874065106656</v>
      </c>
      <c r="FR52" s="75">
        <f t="shared" si="12"/>
        <v>0.4098100320087138</v>
      </c>
      <c r="FS52" s="75">
        <f t="shared" si="13"/>
        <v>0.4098100320087138</v>
      </c>
    </row>
    <row r="53" spans="131:175" ht="14.4">
      <c r="EW53" s="3" t="e">
        <f>Cal!#REF!</f>
        <v>#REF!</v>
      </c>
      <c r="EX53" s="77" t="s">
        <v>289</v>
      </c>
      <c r="EY53" s="3">
        <v>10</v>
      </c>
      <c r="EZ53" s="3">
        <v>30</v>
      </c>
      <c r="FA53" s="3" t="s">
        <v>696</v>
      </c>
      <c r="FB53" s="75" cm="1">
        <f t="array" ref="FB53">_xll.DCEPropSectBox(EY53, EZ53, FA53, 1, 1, "Area")/100</f>
        <v>1.2269628059289277</v>
      </c>
      <c r="FC53" s="75">
        <f t="shared" si="9"/>
        <v>0.96316580265420826</v>
      </c>
      <c r="FD53" s="75" cm="1">
        <f t="array" ref="FD53">_xll.DCEPropSectBox(EY53, EZ53, FA53, 1, 1, "Ix")/10000</f>
        <v>1.0895648562253561</v>
      </c>
      <c r="FE53" s="75" cm="1">
        <f t="array" ref="FE53">_xll.DCEPropSectBox(EY53, EZ53, FA53, 1, 1, "Iy")/10000</f>
        <v>0.17444446463632857</v>
      </c>
      <c r="FF53" s="75">
        <f t="shared" si="6"/>
        <v>0.7263765708169041</v>
      </c>
      <c r="FG53" s="75">
        <f t="shared" si="7"/>
        <v>0.34888892927265713</v>
      </c>
      <c r="FJ53" s="3" t="e">
        <f>Cal!#REF!</f>
        <v>#REF!</v>
      </c>
      <c r="FK53" s="77" t="s">
        <v>766</v>
      </c>
      <c r="FL53" s="3">
        <v>25.4</v>
      </c>
      <c r="FM53" s="3">
        <v>1</v>
      </c>
      <c r="FN53" s="80" cm="1">
        <f t="array" ref="FN53">_xll.DCEPropSectPipe(FL53, FM53, "A")/100</f>
        <v>0.76654860747590992</v>
      </c>
      <c r="FO53" s="75">
        <f t="shared" si="10"/>
        <v>0.60174065686858924</v>
      </c>
      <c r="FP53" s="76" cm="1">
        <f t="array" ref="FP53">_xll.DCEPropSectPipe(FL53, FM53, "I")/10000</f>
        <v>0.57142365944291651</v>
      </c>
      <c r="FQ53" s="76">
        <f t="shared" si="11"/>
        <v>0.57142365944291651</v>
      </c>
      <c r="FR53" s="75">
        <f t="shared" si="12"/>
        <v>0.44993988932513113</v>
      </c>
      <c r="FS53" s="75">
        <f t="shared" si="13"/>
        <v>0.44993988932513113</v>
      </c>
    </row>
    <row r="54" spans="131:175" ht="14.4">
      <c r="EW54" s="3" t="e">
        <f>Cal!#REF!</f>
        <v>#REF!</v>
      </c>
      <c r="EX54" s="77" t="s">
        <v>290</v>
      </c>
      <c r="EY54" s="3">
        <v>10</v>
      </c>
      <c r="EZ54" s="3">
        <v>30</v>
      </c>
      <c r="FA54" s="3" t="s">
        <v>697</v>
      </c>
      <c r="FB54" s="75" cm="1">
        <f t="array" ref="FB54">_xll.DCEPropSectBox(EY54, EZ54, FA54, 1, 1, "Area")/100</f>
        <v>1.2826344843837745</v>
      </c>
      <c r="FC54" s="75">
        <f t="shared" si="9"/>
        <v>1.0068680702412631</v>
      </c>
      <c r="FD54" s="75" cm="1">
        <f t="array" ref="FD54">_xll.DCEPropSectBox(EY54, EZ54, FA54, 1, 1, "Ix")/10000</f>
        <v>1.1217625783188248</v>
      </c>
      <c r="FE54" s="75" cm="1">
        <f t="array" ref="FE54">_xll.DCEPropSectBox(EY54, EZ54, FA54, 1, 1, "Iy")/10000</f>
        <v>0.17823315101627754</v>
      </c>
      <c r="FF54" s="75">
        <f t="shared" si="6"/>
        <v>0.74784171887921647</v>
      </c>
      <c r="FG54" s="75">
        <f t="shared" si="7"/>
        <v>0.35646630203255508</v>
      </c>
      <c r="FJ54" s="3" t="e">
        <f>Cal!#REF!</f>
        <v>#REF!</v>
      </c>
      <c r="FK54" s="77" t="s">
        <v>767</v>
      </c>
      <c r="FL54" s="3">
        <v>25.4</v>
      </c>
      <c r="FM54" s="3">
        <v>1.1000000000000001</v>
      </c>
      <c r="FN54" s="80" cm="1">
        <f t="array" ref="FN54">_xll.DCEPropSectPipe(FL54, FM54, "A")/100</f>
        <v>0.83974771630455114</v>
      </c>
      <c r="FO54" s="75">
        <f t="shared" si="10"/>
        <v>0.65920195729907261</v>
      </c>
      <c r="FP54" s="76" cm="1">
        <f t="array" ref="FP54">_xll.DCEPropSectPipe(FL54, FM54, "I")/10000</f>
        <v>0.62109840467175359</v>
      </c>
      <c r="FQ54" s="76">
        <f t="shared" si="11"/>
        <v>0.62109840467175359</v>
      </c>
      <c r="FR54" s="75">
        <f t="shared" si="12"/>
        <v>0.48905386194626266</v>
      </c>
      <c r="FS54" s="75">
        <f t="shared" si="13"/>
        <v>0.48905386194626266</v>
      </c>
    </row>
    <row r="55" spans="131:175" ht="14.4">
      <c r="EW55" s="3" t="e">
        <f>Cal!#REF!</f>
        <v>#REF!</v>
      </c>
      <c r="EX55" s="77" t="s">
        <v>291</v>
      </c>
      <c r="EY55" s="3">
        <v>10</v>
      </c>
      <c r="EZ55" s="3">
        <v>30</v>
      </c>
      <c r="FA55" s="3" t="s">
        <v>698</v>
      </c>
      <c r="FB55" s="75" cm="1">
        <f t="array" ref="FB55">_xll.DCEPropSectBox(EY55, EZ55, FA55, 1, 1, "Area")/100</f>
        <v>1.336991118430775</v>
      </c>
      <c r="FC55" s="75">
        <f t="shared" si="9"/>
        <v>1.0495380279681583</v>
      </c>
      <c r="FD55" s="75" cm="1">
        <f t="array" ref="FD55">_xll.DCEPropSectBox(EY55, EZ55, FA55, 1, 1, "Ix")/10000</f>
        <v>1.1512754758894435</v>
      </c>
      <c r="FE55" s="75" cm="1">
        <f t="array" ref="FE55">_xll.DCEPropSectBox(EY55, EZ55, FA55, 1, 1, "Iy")/10000</f>
        <v>0.18155280043917985</v>
      </c>
      <c r="FF55" s="75">
        <f t="shared" si="6"/>
        <v>0.76751698392629564</v>
      </c>
      <c r="FG55" s="75">
        <f t="shared" si="7"/>
        <v>0.36310560087835969</v>
      </c>
      <c r="FJ55" s="3" t="e">
        <f>Cal!#REF!</f>
        <v>#REF!</v>
      </c>
      <c r="FK55" s="77" t="s">
        <v>768</v>
      </c>
      <c r="FL55" s="3">
        <v>25.4</v>
      </c>
      <c r="FM55" s="3">
        <v>1.2</v>
      </c>
      <c r="FN55" s="80" cm="1">
        <f t="array" ref="FN55">_xll.DCEPropSectPipe(FL55, FM55, "A")/100</f>
        <v>0.91231850660247571</v>
      </c>
      <c r="FO55" s="75">
        <f t="shared" si="10"/>
        <v>0.71617002768294347</v>
      </c>
      <c r="FP55" s="76" cm="1">
        <f t="array" ref="FP55">_xll.DCEPropSectPipe(FL55, FM55, "I")/10000</f>
        <v>0.66950493607022654</v>
      </c>
      <c r="FQ55" s="76">
        <f t="shared" si="11"/>
        <v>0.66950493607022654</v>
      </c>
      <c r="FR55" s="75">
        <f t="shared" si="12"/>
        <v>0.52716924100017837</v>
      </c>
      <c r="FS55" s="75">
        <f t="shared" si="13"/>
        <v>0.52716924100017837</v>
      </c>
    </row>
    <row r="56" spans="131:175" ht="14.4">
      <c r="EW56" s="3" t="e">
        <f>Cal!#REF!</f>
        <v>#REF!</v>
      </c>
      <c r="EX56" s="77" t="s">
        <v>292</v>
      </c>
      <c r="EY56" s="3">
        <v>20</v>
      </c>
      <c r="EZ56" s="3">
        <v>20</v>
      </c>
      <c r="FA56" s="3" t="s">
        <v>685</v>
      </c>
      <c r="FB56" s="75" cm="1">
        <f t="array" ref="FB56">_xll.DCEPropSectBox(EY56, EZ56, FA56, 1, 1, "Area")/100</f>
        <v>0.45632920065876975</v>
      </c>
      <c r="FC56" s="75">
        <f t="shared" si="9"/>
        <v>0.35821842251713426</v>
      </c>
      <c r="FD56" s="75" cm="1">
        <f t="array" ref="FD56">_xll.DCEPropSectBox(EY56, EZ56, FA56, 1, 1, "Ix")/10000</f>
        <v>0.28327481439311575</v>
      </c>
      <c r="FE56" s="75" cm="1">
        <f t="array" ref="FE56">_xll.DCEPropSectBox(EY56, EZ56, FA56, 1, 1, "Iy")/10000</f>
        <v>0.28327481439311575</v>
      </c>
      <c r="FF56" s="75">
        <f t="shared" si="6"/>
        <v>0.28327481439311575</v>
      </c>
      <c r="FG56" s="75">
        <f t="shared" si="7"/>
        <v>0.28327481439311575</v>
      </c>
      <c r="FJ56" s="3" t="e">
        <f>Cal!#REF!</f>
        <v>#REF!</v>
      </c>
      <c r="FK56" s="77" t="s">
        <v>769</v>
      </c>
      <c r="FL56" s="3">
        <v>25.4</v>
      </c>
      <c r="FM56" s="3">
        <v>1.4</v>
      </c>
      <c r="FN56" s="80" cm="1">
        <f t="array" ref="FN56">_xll.DCEPropSectPipe(FL56, FM56, "A")/100</f>
        <v>1.0555751316061714</v>
      </c>
      <c r="FO56" s="75">
        <f t="shared" si="10"/>
        <v>0.82862647831084457</v>
      </c>
      <c r="FP56" s="76" cm="1">
        <f t="array" ref="FP56">_xll.DCEPropSectPipe(FL56, FM56, "I")/10000</f>
        <v>0.76260025382887775</v>
      </c>
      <c r="FQ56" s="76">
        <f t="shared" si="11"/>
        <v>0.76260025382887775</v>
      </c>
      <c r="FR56" s="75">
        <f t="shared" si="12"/>
        <v>0.60047264081013996</v>
      </c>
      <c r="FS56" s="75">
        <f t="shared" si="13"/>
        <v>0.60047264081013996</v>
      </c>
    </row>
    <row r="57" spans="131:175" ht="14.4">
      <c r="EW57" s="3" t="e">
        <f>Cal!#REF!</f>
        <v>#REF!</v>
      </c>
      <c r="EX57" s="77" t="s">
        <v>293</v>
      </c>
      <c r="EY57" s="3">
        <v>20</v>
      </c>
      <c r="EZ57" s="3">
        <v>20</v>
      </c>
      <c r="FA57" s="3" t="s">
        <v>686</v>
      </c>
      <c r="FB57" s="75" cm="1">
        <f t="array" ref="FB57">_xll.DCEPropSectBox(EY57, EZ57, FA57, 1, 1, "Area")/100</f>
        <v>0.52778141200776996</v>
      </c>
      <c r="FC57" s="75">
        <f t="shared" si="9"/>
        <v>0.41430840842609945</v>
      </c>
      <c r="FD57" s="75" cm="1">
        <f t="array" ref="FD57">_xll.DCEPropSectBox(EY57, EZ57, FA57, 1, 1, "Ix")/10000</f>
        <v>0.32364746013616069</v>
      </c>
      <c r="FE57" s="75" cm="1">
        <f t="array" ref="FE57">_xll.DCEPropSectBox(EY57, EZ57, FA57, 1, 1, "Iy")/10000</f>
        <v>0.32364746013616069</v>
      </c>
      <c r="FF57" s="75">
        <f t="shared" si="6"/>
        <v>0.32364746013616069</v>
      </c>
      <c r="FG57" s="75">
        <f t="shared" si="7"/>
        <v>0.32364746013616069</v>
      </c>
      <c r="FJ57" s="3" t="e">
        <f>Cal!#REF!</f>
        <v>#REF!</v>
      </c>
      <c r="FK57" s="77" t="s">
        <v>770</v>
      </c>
      <c r="FL57" s="3">
        <v>25.4</v>
      </c>
      <c r="FM57" s="3">
        <v>1.5</v>
      </c>
      <c r="FN57" s="80" cm="1">
        <f t="array" ref="FN57">_xll.DCEPropSectPipe(FL57, FM57, "A")/100</f>
        <v>1.1262609663119412</v>
      </c>
      <c r="FO57" s="75">
        <f t="shared" si="10"/>
        <v>0.88411485855487382</v>
      </c>
      <c r="FP57" s="76" cm="1">
        <f t="array" ref="FP57">_xll.DCEPropSectPipe(FL57, FM57, "I")/10000</f>
        <v>0.80733201717655678</v>
      </c>
      <c r="FQ57" s="76">
        <f t="shared" si="11"/>
        <v>0.80733201717655678</v>
      </c>
      <c r="FR57" s="75">
        <f t="shared" si="12"/>
        <v>0.63569450171382424</v>
      </c>
      <c r="FS57" s="75">
        <f t="shared" si="13"/>
        <v>0.63569450171382424</v>
      </c>
    </row>
    <row r="58" spans="131:175" ht="14.4">
      <c r="EW58" s="3" t="e">
        <f>Cal!#REF!</f>
        <v>#REF!</v>
      </c>
      <c r="EX58" s="77" t="s">
        <v>294</v>
      </c>
      <c r="EY58" s="3">
        <v>20</v>
      </c>
      <c r="EZ58" s="3">
        <v>20</v>
      </c>
      <c r="FA58" s="3" t="s">
        <v>687</v>
      </c>
      <c r="FB58" s="75" cm="1">
        <f t="array" ref="FB58">_xll.DCEPropSectBox(EY58, EZ58, FA58, 1, 1, "Area")/100</f>
        <v>0.59791857894892397</v>
      </c>
      <c r="FC58" s="75">
        <f t="shared" si="9"/>
        <v>0.4693660844749053</v>
      </c>
      <c r="FD58" s="75" cm="1">
        <f t="array" ref="FD58">_xll.DCEPropSectBox(EY58, EZ58, FA58, 1, 1, "Ix")/10000</f>
        <v>0.36216269793795236</v>
      </c>
      <c r="FE58" s="75" cm="1">
        <f t="array" ref="FE58">_xll.DCEPropSectBox(EY58, EZ58, FA58, 1, 1, "Iy")/10000</f>
        <v>0.36216269793795236</v>
      </c>
      <c r="FF58" s="75">
        <f t="shared" si="6"/>
        <v>0.36216269793795236</v>
      </c>
      <c r="FG58" s="75">
        <f t="shared" si="7"/>
        <v>0.36216269793795236</v>
      </c>
      <c r="FJ58" s="3" t="e">
        <f>Cal!#REF!</f>
        <v>#REF!</v>
      </c>
      <c r="FK58" s="77" t="s">
        <v>771</v>
      </c>
      <c r="FL58" s="3">
        <v>27</v>
      </c>
      <c r="FM58" s="3">
        <v>0.9</v>
      </c>
      <c r="FN58" s="80" cm="1">
        <f t="array" ref="FN58">_xll.DCEPropSectPipe(FL58, FM58, "A")/100</f>
        <v>0.73796011432824227</v>
      </c>
      <c r="FO58" s="75">
        <f t="shared" si="10"/>
        <v>0.57929868974767018</v>
      </c>
      <c r="FP58" s="76" cm="1">
        <f t="array" ref="FP58">_xll.DCEPropSectPipe(FL58, FM58, "I")/10000</f>
        <v>0.6291294464676852</v>
      </c>
      <c r="FQ58" s="76">
        <f t="shared" si="11"/>
        <v>0.6291294464676852</v>
      </c>
      <c r="FR58" s="75">
        <f t="shared" si="12"/>
        <v>0.46602181219828531</v>
      </c>
      <c r="FS58" s="75">
        <f t="shared" si="13"/>
        <v>0.46602181219828531</v>
      </c>
    </row>
    <row r="59" spans="131:175" ht="14.4">
      <c r="EW59" s="3" t="e">
        <f>Cal!#REF!</f>
        <v>#REF!</v>
      </c>
      <c r="EX59" s="77" t="s">
        <v>295</v>
      </c>
      <c r="EY59" s="3">
        <v>20</v>
      </c>
      <c r="EZ59" s="3">
        <v>20</v>
      </c>
      <c r="FA59" s="3" t="s">
        <v>688</v>
      </c>
      <c r="FB59" s="75" cm="1">
        <f t="array" ref="FB59">_xll.DCEPropSectBox(EY59, EZ59, FA59, 1, 1, "Area")/100</f>
        <v>0.66674070148223208</v>
      </c>
      <c r="FC59" s="75">
        <f t="shared" si="9"/>
        <v>0.52339145066355219</v>
      </c>
      <c r="FD59" s="75" cm="1">
        <f t="array" ref="FD59">_xll.DCEPropSectBox(EY59, EZ59, FA59, 1, 1, "Ix")/10000</f>
        <v>0.39885619727916055</v>
      </c>
      <c r="FE59" s="75" cm="1">
        <f t="array" ref="FE59">_xll.DCEPropSectBox(EY59, EZ59, FA59, 1, 1, "Iy")/10000</f>
        <v>0.39885619727916055</v>
      </c>
      <c r="FF59" s="75">
        <f t="shared" si="6"/>
        <v>0.39885619727916055</v>
      </c>
      <c r="FG59" s="75">
        <f t="shared" si="7"/>
        <v>0.39885619727916055</v>
      </c>
      <c r="FJ59" s="3" t="e">
        <f>Cal!#REF!</f>
        <v>#REF!</v>
      </c>
      <c r="FK59" s="77" t="s">
        <v>772</v>
      </c>
      <c r="FL59" s="3">
        <v>27</v>
      </c>
      <c r="FM59" s="3">
        <v>1</v>
      </c>
      <c r="FN59" s="80" cm="1">
        <f t="array" ref="FN59">_xll.DCEPropSectPipe(FL59, FM59, "A")/100</f>
        <v>0.8168140899333457</v>
      </c>
      <c r="FO59" s="75">
        <f t="shared" si="10"/>
        <v>0.6411990605976764</v>
      </c>
      <c r="FP59" s="76" cm="1">
        <f t="array" ref="FP59">_xll.DCEPropSectPipe(FL59, FM59, "I")/10000</f>
        <v>0.69122892360609445</v>
      </c>
      <c r="FQ59" s="76">
        <f t="shared" si="11"/>
        <v>0.69122892360609445</v>
      </c>
      <c r="FR59" s="75">
        <f t="shared" si="12"/>
        <v>0.5120214248934033</v>
      </c>
      <c r="FS59" s="75">
        <f t="shared" si="13"/>
        <v>0.5120214248934033</v>
      </c>
    </row>
    <row r="60" spans="131:175" ht="14.4">
      <c r="EW60" s="3" t="e">
        <f>Cal!#REF!</f>
        <v>#REF!</v>
      </c>
      <c r="EX60" s="77" t="s">
        <v>296</v>
      </c>
      <c r="EY60" s="3">
        <v>20</v>
      </c>
      <c r="EZ60" s="3">
        <v>20</v>
      </c>
      <c r="FA60" s="3" t="s">
        <v>689</v>
      </c>
      <c r="FB60" s="75" cm="1">
        <f t="array" ref="FB60">_xll.DCEPropSectBox(EY60, EZ60, FA60, 1, 1, "Area")/100</f>
        <v>0.73424777960769372</v>
      </c>
      <c r="FC60" s="75">
        <f t="shared" si="9"/>
        <v>0.57638450699203947</v>
      </c>
      <c r="FD60" s="75" cm="1">
        <f t="array" ref="FD60">_xll.DCEPropSectBox(EY60, EZ60, FA60, 1, 1, "Ix")/10000</f>
        <v>0.43376334286068696</v>
      </c>
      <c r="FE60" s="75" cm="1">
        <f t="array" ref="FE60">_xll.DCEPropSectBox(EY60, EZ60, FA60, 1, 1, "Iy")/10000</f>
        <v>0.43376334286068696</v>
      </c>
      <c r="FF60" s="75">
        <f t="shared" si="6"/>
        <v>0.43376334286068696</v>
      </c>
      <c r="FG60" s="75">
        <f t="shared" si="7"/>
        <v>0.43376334286068696</v>
      </c>
      <c r="FJ60" s="3" t="e">
        <f>Cal!#REF!</f>
        <v>#REF!</v>
      </c>
      <c r="FK60" s="77" t="s">
        <v>773</v>
      </c>
      <c r="FL60" s="3">
        <v>27</v>
      </c>
      <c r="FM60" s="3">
        <v>1.1000000000000001</v>
      </c>
      <c r="FN60" s="80" cm="1">
        <f t="array" ref="FN60">_xll.DCEPropSectPipe(FL60, FM60, "A")/100</f>
        <v>0.89503974700773081</v>
      </c>
      <c r="FO60" s="75">
        <f t="shared" si="10"/>
        <v>0.70260620140106866</v>
      </c>
      <c r="FP60" s="76" cm="1">
        <f t="array" ref="FP60">_xll.DCEPropSectPipe(FL60, FM60, "I")/10000</f>
        <v>0.7518557634801698</v>
      </c>
      <c r="FQ60" s="76">
        <f t="shared" si="11"/>
        <v>0.7518557634801698</v>
      </c>
      <c r="FR60" s="75">
        <f t="shared" si="12"/>
        <v>0.55693019517049613</v>
      </c>
      <c r="FS60" s="75">
        <f t="shared" si="13"/>
        <v>0.55693019517049613</v>
      </c>
    </row>
    <row r="61" spans="131:175" ht="14.4">
      <c r="EW61" s="3" t="e">
        <f>Cal!#REF!</f>
        <v>#REF!</v>
      </c>
      <c r="EX61" s="77" t="s">
        <v>297</v>
      </c>
      <c r="EY61" s="3">
        <v>20</v>
      </c>
      <c r="EZ61" s="3">
        <v>20</v>
      </c>
      <c r="FA61" s="3" t="s">
        <v>690</v>
      </c>
      <c r="FB61" s="75" cm="1">
        <f t="array" ref="FB61">_xll.DCEPropSectBox(EY61, EZ61, FA61, 1, 1, "Area")/100</f>
        <v>0.80043981332530945</v>
      </c>
      <c r="FC61" s="75">
        <f t="shared" si="9"/>
        <v>0.62834525346036796</v>
      </c>
      <c r="FD61" s="75" cm="1">
        <f t="array" ref="FD61">_xll.DCEPropSectBox(EY61, EZ61, FA61, 1, 1, "Ix")/10000</f>
        <v>0.46691923460366352</v>
      </c>
      <c r="FE61" s="75" cm="1">
        <f t="array" ref="FE61">_xll.DCEPropSectBox(EY61, EZ61, FA61, 1, 1, "Iy")/10000</f>
        <v>0.46691923460366352</v>
      </c>
      <c r="FF61" s="75">
        <f t="shared" si="6"/>
        <v>0.46691923460366352</v>
      </c>
      <c r="FG61" s="75">
        <f t="shared" si="7"/>
        <v>0.46691923460366352</v>
      </c>
      <c r="FJ61" s="3" t="e">
        <f>Cal!#REF!</f>
        <v>#REF!</v>
      </c>
      <c r="FK61" s="77" t="s">
        <v>774</v>
      </c>
      <c r="FL61" s="3">
        <v>27</v>
      </c>
      <c r="FM61" s="3">
        <v>1.2</v>
      </c>
      <c r="FN61" s="80" cm="1">
        <f t="array" ref="FN61">_xll.DCEPropSectPipe(FL61, FM61, "A")/100</f>
        <v>0.97263708555139883</v>
      </c>
      <c r="FO61" s="75">
        <f t="shared" si="10"/>
        <v>0.7635201121578481</v>
      </c>
      <c r="FP61" s="76" cm="1">
        <f t="array" ref="FP61">_xll.DCEPropSectPipe(FL61, FM61, "I")/10000</f>
        <v>0.8110334337870343</v>
      </c>
      <c r="FQ61" s="76">
        <f t="shared" si="11"/>
        <v>0.8110334337870343</v>
      </c>
      <c r="FR61" s="75">
        <f t="shared" si="12"/>
        <v>0.60076550650891425</v>
      </c>
      <c r="FS61" s="75">
        <f t="shared" si="13"/>
        <v>0.60076550650891425</v>
      </c>
    </row>
    <row r="62" spans="131:175" ht="14.4">
      <c r="EW62" s="3" t="e">
        <f>Cal!#REF!</f>
        <v>#REF!</v>
      </c>
      <c r="EX62" s="77" t="s">
        <v>298</v>
      </c>
      <c r="EY62" s="3">
        <v>20</v>
      </c>
      <c r="EZ62" s="3">
        <v>20</v>
      </c>
      <c r="FA62" s="3" t="s">
        <v>691</v>
      </c>
      <c r="FB62" s="75" cm="1">
        <f t="array" ref="FB62">_xll.DCEPropSectBox(EY62, EZ62, FA62, 1, 1, "Area")/100</f>
        <v>0.86531680263507893</v>
      </c>
      <c r="FC62" s="75">
        <f t="shared" si="9"/>
        <v>0.67927369006853699</v>
      </c>
      <c r="FD62" s="75" cm="1">
        <f t="array" ref="FD62">_xll.DCEPropSectBox(EY62, EZ62, FA62, 1, 1, "Ix")/10000</f>
        <v>0.49835868764945279</v>
      </c>
      <c r="FE62" s="75" cm="1">
        <f t="array" ref="FE62">_xll.DCEPropSectBox(EY62, EZ62, FA62, 1, 1, "Iy")/10000</f>
        <v>0.49835868764945279</v>
      </c>
      <c r="FF62" s="75">
        <f t="shared" si="6"/>
        <v>0.49835868764945279</v>
      </c>
      <c r="FG62" s="75">
        <f t="shared" si="7"/>
        <v>0.49835868764945279</v>
      </c>
      <c r="FJ62" s="3" t="e">
        <f>Cal!#REF!</f>
        <v>#REF!</v>
      </c>
      <c r="FK62" s="77" t="s">
        <v>775</v>
      </c>
      <c r="FL62" s="3">
        <v>27</v>
      </c>
      <c r="FM62" s="3">
        <v>1.4</v>
      </c>
      <c r="FN62" s="80" cm="1">
        <f t="array" ref="FN62">_xll.DCEPropSectPipe(FL62, FM62, "A")/100</f>
        <v>1.1259468070465817</v>
      </c>
      <c r="FO62" s="75">
        <f t="shared" si="10"/>
        <v>0.88386824353156657</v>
      </c>
      <c r="FP62" s="76" cm="1">
        <f t="array" ref="FP62">_xll.DCEPropSectPipe(FL62, FM62, "I")/10000</f>
        <v>0.92513419400982422</v>
      </c>
      <c r="FQ62" s="76">
        <f t="shared" si="11"/>
        <v>0.92513419400982422</v>
      </c>
      <c r="FR62" s="75">
        <f t="shared" si="12"/>
        <v>0.68528458815542526</v>
      </c>
      <c r="FS62" s="75">
        <f t="shared" si="13"/>
        <v>0.68528458815542526</v>
      </c>
    </row>
    <row r="63" spans="131:175" ht="14.4">
      <c r="EW63" s="3" t="e">
        <f>Cal!#REF!</f>
        <v>#REF!</v>
      </c>
      <c r="EX63" s="77" t="s">
        <v>299</v>
      </c>
      <c r="EY63" s="3">
        <v>20</v>
      </c>
      <c r="EZ63" s="3">
        <v>20</v>
      </c>
      <c r="FA63" s="3" t="s">
        <v>692</v>
      </c>
      <c r="FB63" s="75" cm="1">
        <f t="array" ref="FB63">_xll.DCEPropSectBox(EY63, EZ63, FA63, 1, 1, "Area")/100</f>
        <v>0.99112564803107983</v>
      </c>
      <c r="FC63" s="75">
        <f t="shared" si="9"/>
        <v>0.7780336337043976</v>
      </c>
      <c r="FD63" s="75" cm="1">
        <f t="array" ref="FD63">_xll.DCEPropSectBox(EY63, EZ63, FA63, 1, 1, "Ix")/10000</f>
        <v>0.55622611431607338</v>
      </c>
      <c r="FE63" s="75" cm="1">
        <f t="array" ref="FE63">_xll.DCEPropSectBox(EY63, EZ63, FA63, 1, 1, "Iy")/10000</f>
        <v>0.55622611431607338</v>
      </c>
      <c r="FF63" s="75">
        <f t="shared" si="6"/>
        <v>0.55622611431607338</v>
      </c>
      <c r="FG63" s="75">
        <f t="shared" si="7"/>
        <v>0.55622611431607338</v>
      </c>
      <c r="FJ63" s="3" t="e">
        <f>Cal!#REF!</f>
        <v>#REF!</v>
      </c>
      <c r="FK63" s="77" t="s">
        <v>776</v>
      </c>
      <c r="FL63" s="3">
        <v>27</v>
      </c>
      <c r="FM63" s="3">
        <v>1.5</v>
      </c>
      <c r="FN63" s="80" cm="1">
        <f t="array" ref="FN63">_xll.DCEPropSectPipe(FL63, FM63, "A")/100</f>
        <v>1.2016591899980955</v>
      </c>
      <c r="FO63" s="75">
        <f t="shared" si="10"/>
        <v>0.94330246414850494</v>
      </c>
      <c r="FP63" s="76" cm="1">
        <f t="array" ref="FP63">_xll.DCEPropSectPipe(FL63, FM63, "I")/10000</f>
        <v>0.980103276842197</v>
      </c>
      <c r="FQ63" s="76">
        <f t="shared" si="11"/>
        <v>0.980103276842197</v>
      </c>
      <c r="FR63" s="75">
        <f t="shared" si="12"/>
        <v>0.72600242729051623</v>
      </c>
      <c r="FS63" s="75">
        <f t="shared" si="13"/>
        <v>0.72600242729051623</v>
      </c>
    </row>
    <row r="64" spans="131:175" ht="14.4">
      <c r="EW64" s="3" t="e">
        <f>Cal!#REF!</f>
        <v>#REF!</v>
      </c>
      <c r="EX64" s="77" t="s">
        <v>300</v>
      </c>
      <c r="EY64" s="3">
        <v>20</v>
      </c>
      <c r="EZ64" s="3">
        <v>20</v>
      </c>
      <c r="FA64" s="3" t="s">
        <v>693</v>
      </c>
      <c r="FB64" s="75" cm="1">
        <f t="array" ref="FB64">_xll.DCEPropSectBox(EY64, EZ64, FA64, 1, 1, "Area")/100</f>
        <v>1.052057504117311</v>
      </c>
      <c r="FC64" s="75">
        <f t="shared" si="9"/>
        <v>0.82586514073208916</v>
      </c>
      <c r="FD64" s="75" cm="1">
        <f t="array" ref="FD64">_xll.DCEPropSectBox(EY64, EZ64, FA64, 1, 1, "Ix")/10000</f>
        <v>0.58272229432078182</v>
      </c>
      <c r="FE64" s="75" cm="1">
        <f t="array" ref="FE64">_xll.DCEPropSectBox(EY64, EZ64, FA64, 1, 1, "Iy")/10000</f>
        <v>0.58272229432078182</v>
      </c>
      <c r="FF64" s="75">
        <f t="shared" si="6"/>
        <v>0.58272229432078182</v>
      </c>
      <c r="FG64" s="75">
        <f t="shared" si="7"/>
        <v>0.58272229432078182</v>
      </c>
      <c r="FJ64" s="3" t="e">
        <f>Cal!#REF!</f>
        <v>#REF!</v>
      </c>
      <c r="FK64" s="77" t="s">
        <v>777</v>
      </c>
      <c r="FL64" s="3">
        <v>27</v>
      </c>
      <c r="FM64" s="3">
        <v>1.7</v>
      </c>
      <c r="FN64" s="80" cm="1">
        <f t="array" ref="FN64">_xll.DCEPropSectPipe(FL64, FM64, "A")/100</f>
        <v>1.3511990003089693</v>
      </c>
      <c r="FO64" s="75">
        <f t="shared" si="10"/>
        <v>1.060691215242541</v>
      </c>
      <c r="FP64" s="76" cm="1">
        <f t="array" ref="FP64">_xll.DCEPropSectPipe(FL64, FM64, "I")/10000</f>
        <v>1.0859924165233266</v>
      </c>
      <c r="FQ64" s="76">
        <f t="shared" si="11"/>
        <v>1.0859924165233266</v>
      </c>
      <c r="FR64" s="75">
        <f t="shared" si="12"/>
        <v>0.80443882705431591</v>
      </c>
      <c r="FS64" s="75">
        <f t="shared" si="13"/>
        <v>0.80443882705431591</v>
      </c>
    </row>
    <row r="65" spans="153:175" ht="14.4">
      <c r="EW65" s="3" t="e">
        <f>Cal!#REF!</f>
        <v>#REF!</v>
      </c>
      <c r="EX65" s="77" t="s">
        <v>301</v>
      </c>
      <c r="EY65" s="3">
        <v>20</v>
      </c>
      <c r="EZ65" s="3">
        <v>20</v>
      </c>
      <c r="FA65" s="3" t="s">
        <v>694</v>
      </c>
      <c r="FB65" s="75" cm="1">
        <f t="array" ref="FB65">_xll.DCEPropSectBox(EY65, EZ65, FA65, 1, 1, "Area")/100</f>
        <v>1.1116743157956959</v>
      </c>
      <c r="FC65" s="75">
        <f t="shared" si="9"/>
        <v>0.87266433789962117</v>
      </c>
      <c r="FD65" s="75" cm="1">
        <f t="array" ref="FD65">_xll.DCEPropSectBox(EY65, EZ65, FA65, 1, 1, "Ix")/10000</f>
        <v>0.60763844839605874</v>
      </c>
      <c r="FE65" s="75" cm="1">
        <f t="array" ref="FE65">_xll.DCEPropSectBox(EY65, EZ65, FA65, 1, 1, "Iy")/10000</f>
        <v>0.60763844839605874</v>
      </c>
      <c r="FF65" s="75">
        <f t="shared" si="6"/>
        <v>0.60763844839605874</v>
      </c>
      <c r="FG65" s="75">
        <f t="shared" si="7"/>
        <v>0.60763844839605874</v>
      </c>
      <c r="FJ65" s="3" t="e">
        <f>Cal!#REF!</f>
        <v>#REF!</v>
      </c>
      <c r="FK65" s="77" t="s">
        <v>778</v>
      </c>
      <c r="FL65" s="3">
        <v>27</v>
      </c>
      <c r="FM65" s="3">
        <v>1.8</v>
      </c>
      <c r="FN65" s="80" cm="1">
        <f t="array" ref="FN65">_xll.DCEPropSectPipe(FL65, FM65, "A")/100</f>
        <v>1.4250264276683304</v>
      </c>
      <c r="FO65" s="75">
        <f t="shared" si="10"/>
        <v>1.1186457457196393</v>
      </c>
      <c r="FP65" s="76" cm="1">
        <f t="array" ref="FP65">_xll.DCEPropSectPipe(FL65, FM65, "I")/10000</f>
        <v>1.1369573353151774</v>
      </c>
      <c r="FQ65" s="76">
        <f t="shared" si="11"/>
        <v>1.1369573353151774</v>
      </c>
      <c r="FR65" s="75">
        <f t="shared" si="12"/>
        <v>0.8421906187519832</v>
      </c>
      <c r="FS65" s="75">
        <f t="shared" si="13"/>
        <v>0.8421906187519832</v>
      </c>
    </row>
    <row r="66" spans="153:175" ht="14.4">
      <c r="EW66" s="3" t="e">
        <f>Cal!#REF!</f>
        <v>#REF!</v>
      </c>
      <c r="EX66" s="77" t="s">
        <v>302</v>
      </c>
      <c r="EY66" s="3">
        <v>20</v>
      </c>
      <c r="EZ66" s="3">
        <v>20</v>
      </c>
      <c r="FA66" s="3" t="s">
        <v>695</v>
      </c>
      <c r="FB66" s="75" cm="1">
        <f t="array" ref="FB66">_xll.DCEPropSectBox(EY66, EZ66, FA66, 1, 1, "Area")/100</f>
        <v>1.1699760830662351</v>
      </c>
      <c r="FC66" s="75">
        <f t="shared" si="9"/>
        <v>0.91843122520699461</v>
      </c>
      <c r="FD66" s="75" cm="1">
        <f t="array" ref="FD66">_xll.DCEPropSectBox(EY66, EZ66, FA66, 1, 1, "Ix")/10000</f>
        <v>0.63100796778441959</v>
      </c>
      <c r="FE66" s="75" cm="1">
        <f t="array" ref="FE66">_xll.DCEPropSectBox(EY66, EZ66, FA66, 1, 1, "Iy")/10000</f>
        <v>0.63100796778441959</v>
      </c>
      <c r="FF66" s="75">
        <f t="shared" si="6"/>
        <v>0.63100796778441959</v>
      </c>
      <c r="FG66" s="75">
        <f t="shared" si="7"/>
        <v>0.63100796778441959</v>
      </c>
      <c r="FJ66" s="3" t="e">
        <f>Cal!#REF!</f>
        <v>#REF!</v>
      </c>
      <c r="FK66" s="77" t="s">
        <v>779</v>
      </c>
      <c r="FL66" s="3">
        <v>27</v>
      </c>
      <c r="FM66" s="3">
        <v>2</v>
      </c>
      <c r="FN66" s="80" cm="1">
        <f t="array" ref="FN66">_xll.DCEPropSectPipe(FL66, FM66, "A")/100</f>
        <v>1.5707963267948963</v>
      </c>
      <c r="FO66" s="75">
        <f t="shared" si="10"/>
        <v>1.2330751165339935</v>
      </c>
      <c r="FP66" s="76" cm="1">
        <f t="array" ref="FP66">_xll.DCEPropSectPipe(FL66, FM66, "I")/10000</f>
        <v>1.2350386119424874</v>
      </c>
      <c r="FQ66" s="76">
        <f t="shared" si="11"/>
        <v>1.2350386119424874</v>
      </c>
      <c r="FR66" s="75">
        <f t="shared" si="12"/>
        <v>0.91484341625369436</v>
      </c>
      <c r="FS66" s="75">
        <f t="shared" si="13"/>
        <v>0.91484341625369436</v>
      </c>
    </row>
    <row r="67" spans="153:175" ht="14.4">
      <c r="EW67" s="3" t="e">
        <f>Cal!#REF!</f>
        <v>#REF!</v>
      </c>
      <c r="EX67" s="77" t="s">
        <v>303</v>
      </c>
      <c r="EY67" s="3">
        <v>20</v>
      </c>
      <c r="EZ67" s="3">
        <v>20</v>
      </c>
      <c r="FA67" s="3" t="s">
        <v>696</v>
      </c>
      <c r="FB67" s="75" cm="1">
        <f t="array" ref="FB67">_xll.DCEPropSectBox(EY67, EZ67, FA67, 1, 1, "Area")/100</f>
        <v>1.2269628059289277</v>
      </c>
      <c r="FC67" s="75">
        <f t="shared" si="9"/>
        <v>0.96316580265420826</v>
      </c>
      <c r="FD67" s="75" cm="1">
        <f t="array" ref="FD67">_xll.DCEPropSectBox(EY67, EZ67, FA67, 1, 1, "Ix")/10000</f>
        <v>0.65286395894861071</v>
      </c>
      <c r="FE67" s="75" cm="1">
        <f t="array" ref="FE67">_xll.DCEPropSectBox(EY67, EZ67, FA67, 1, 1, "Iy")/10000</f>
        <v>0.65286395894861071</v>
      </c>
      <c r="FF67" s="75">
        <f t="shared" si="6"/>
        <v>0.65286395894861071</v>
      </c>
      <c r="FG67" s="75">
        <f t="shared" si="7"/>
        <v>0.65286395894861071</v>
      </c>
      <c r="FJ67" s="3" t="e">
        <f>Cal!#REF!</f>
        <v>#REF!</v>
      </c>
      <c r="FK67" s="77" t="s">
        <v>780</v>
      </c>
      <c r="FL67" s="3">
        <v>31.8</v>
      </c>
      <c r="FM67" s="3">
        <v>0.8</v>
      </c>
      <c r="FN67" s="80" cm="1">
        <f t="array" ref="FN67">_xll.DCEPropSectPipe(FL67, FM67, "A")/100</f>
        <v>0.77911497809026853</v>
      </c>
      <c r="FO67" s="75">
        <f t="shared" si="10"/>
        <v>0.61160525780086072</v>
      </c>
      <c r="FP67" s="76" cm="1">
        <f t="array" ref="FP67">_xll.DCEPropSectPipe(FL67, FM67, "I")/10000</f>
        <v>0.93653515941340881</v>
      </c>
      <c r="FQ67" s="76">
        <f t="shared" si="11"/>
        <v>0.93653515941340881</v>
      </c>
      <c r="FR67" s="75">
        <f t="shared" si="12"/>
        <v>0.58901582353044579</v>
      </c>
      <c r="FS67" s="75">
        <f t="shared" si="13"/>
        <v>0.58901582353044579</v>
      </c>
    </row>
    <row r="68" spans="153:175" ht="14.4">
      <c r="EW68" s="3" t="e">
        <f>Cal!#REF!</f>
        <v>#REF!</v>
      </c>
      <c r="EX68" s="77" t="s">
        <v>304</v>
      </c>
      <c r="EY68" s="3">
        <v>20</v>
      </c>
      <c r="EZ68" s="3">
        <v>20</v>
      </c>
      <c r="FA68" s="3" t="s">
        <v>697</v>
      </c>
      <c r="FB68" s="75" cm="1">
        <f t="array" ref="FB68">_xll.DCEPropSectBox(EY68, EZ68, FA68, 1, 1, "Area")/100</f>
        <v>1.2826344843837745</v>
      </c>
      <c r="FC68" s="75">
        <f t="shared" si="9"/>
        <v>1.0068680702412631</v>
      </c>
      <c r="FD68" s="75" cm="1">
        <f t="array" ref="FD68">_xll.DCEPropSectBox(EY68, EZ68, FA68, 1, 1, "Ix")/10000</f>
        <v>0.67323924357160769</v>
      </c>
      <c r="FE68" s="75" cm="1">
        <f t="array" ref="FE68">_xll.DCEPropSectBox(EY68, EZ68, FA68, 1, 1, "Iy")/10000</f>
        <v>0.67323924357160769</v>
      </c>
      <c r="FF68" s="75">
        <f t="shared" si="6"/>
        <v>0.67323924357160769</v>
      </c>
      <c r="FG68" s="75">
        <f t="shared" si="7"/>
        <v>0.67323924357160769</v>
      </c>
      <c r="FJ68" s="3" t="e">
        <f>Cal!#REF!</f>
        <v>#REF!</v>
      </c>
      <c r="FK68" s="77" t="s">
        <v>781</v>
      </c>
      <c r="FL68" s="3">
        <v>31.8</v>
      </c>
      <c r="FM68" s="3">
        <v>0.9</v>
      </c>
      <c r="FN68" s="80" cm="1">
        <f t="array" ref="FN68">_xll.DCEPropSectPipe(FL68, FM68, "A")/100</f>
        <v>0.87367691696332139</v>
      </c>
      <c r="FO68" s="75">
        <f t="shared" si="10"/>
        <v>0.68583637981620726</v>
      </c>
      <c r="FP68" s="76" cm="1">
        <f t="array" ref="FP68">_xll.DCEPropSectPipe(FL68, FM68, "I")/10000</f>
        <v>1.0436289192356125</v>
      </c>
      <c r="FQ68" s="76">
        <f t="shared" si="11"/>
        <v>1.0436289192356125</v>
      </c>
      <c r="FR68" s="75">
        <f t="shared" si="12"/>
        <v>0.65637038945636006</v>
      </c>
      <c r="FS68" s="75">
        <f t="shared" si="13"/>
        <v>0.65637038945636006</v>
      </c>
    </row>
    <row r="69" spans="153:175" ht="14.4">
      <c r="EW69" s="3" t="e">
        <f>Cal!#REF!</f>
        <v>#REF!</v>
      </c>
      <c r="EX69" s="77" t="s">
        <v>305</v>
      </c>
      <c r="EY69" s="3">
        <v>20</v>
      </c>
      <c r="EZ69" s="3">
        <v>20</v>
      </c>
      <c r="FA69" s="3" t="s">
        <v>698</v>
      </c>
      <c r="FB69" s="75" cm="1">
        <f t="array" ref="FB69">_xll.DCEPropSectBox(EY69, EZ69, FA69, 1, 1, "Area")/100</f>
        <v>1.336991118430775</v>
      </c>
      <c r="FC69" s="75">
        <f t="shared" si="9"/>
        <v>1.0495380279681583</v>
      </c>
      <c r="FD69" s="75" cm="1">
        <f t="array" ref="FD69">_xll.DCEPropSectBox(EY69, EZ69, FA69, 1, 1, "Ix")/10000</f>
        <v>0.6921663585566179</v>
      </c>
      <c r="FE69" s="75" cm="1">
        <f t="array" ref="FE69">_xll.DCEPropSectBox(EY69, EZ69, FA69, 1, 1, "Iy")/10000</f>
        <v>0.6921663585566179</v>
      </c>
      <c r="FF69" s="75">
        <f t="shared" si="6"/>
        <v>0.6921663585566179</v>
      </c>
      <c r="FG69" s="75">
        <f t="shared" si="7"/>
        <v>0.6921663585566179</v>
      </c>
      <c r="FJ69" s="3" t="e">
        <f>Cal!#REF!</f>
        <v>#REF!</v>
      </c>
      <c r="FK69" s="77" t="s">
        <v>782</v>
      </c>
      <c r="FL69" s="3">
        <v>31.8</v>
      </c>
      <c r="FM69" s="3">
        <v>1</v>
      </c>
      <c r="FN69" s="80" cm="1">
        <f t="array" ref="FN69">_xll.DCEPropSectPipe(FL69, FM69, "A")/100</f>
        <v>0.96761053730565549</v>
      </c>
      <c r="FO69" s="75">
        <f t="shared" si="10"/>
        <v>0.75957427178493953</v>
      </c>
      <c r="FP69" s="76" cm="1">
        <f t="array" ref="FP69">_xll.DCEPropSectPipe(FL69, FM69, "I")/10000</f>
        <v>1.1486020883086792</v>
      </c>
      <c r="FQ69" s="76">
        <f t="shared" si="11"/>
        <v>1.1486020883086792</v>
      </c>
      <c r="FR69" s="75">
        <f t="shared" si="12"/>
        <v>0.7223912505086032</v>
      </c>
      <c r="FS69" s="75">
        <f t="shared" si="13"/>
        <v>0.7223912505086032</v>
      </c>
    </row>
    <row r="70" spans="153:175" ht="14.4">
      <c r="EW70" s="3" t="e">
        <f>Cal!#REF!</f>
        <v>#REF!</v>
      </c>
      <c r="EX70" s="77" t="s">
        <v>306</v>
      </c>
      <c r="EY70" s="3">
        <v>20</v>
      </c>
      <c r="EZ70" s="3">
        <v>30</v>
      </c>
      <c r="FA70" s="3" t="s">
        <v>686</v>
      </c>
      <c r="FB70" s="75" cm="1">
        <f t="array" ref="FB70">_xll.DCEPropSectBox(EY70, EZ70, FA70, 1, 1, "Area")/100</f>
        <v>0.66778141200776986</v>
      </c>
      <c r="FC70" s="75">
        <f t="shared" si="9"/>
        <v>0.52420840842609928</v>
      </c>
      <c r="FD70" s="75" cm="1">
        <f t="array" ref="FD70">_xll.DCEPropSectBox(EY70, EZ70, FA70, 1, 1, "Ix")/10000</f>
        <v>0.84609282746478498</v>
      </c>
      <c r="FE70" s="75" cm="1">
        <f t="array" ref="FE70">_xll.DCEPropSectBox(EY70, EZ70, FA70, 1, 1, "Iy")/10000</f>
        <v>0.45407612680282716</v>
      </c>
      <c r="FF70" s="75">
        <f t="shared" ref="FF70:FF133" si="14">FD70/(EZ70/20)</f>
        <v>0.56406188497652332</v>
      </c>
      <c r="FG70" s="75">
        <f t="shared" ref="FG70:FG133" si="15">FE70/(EY70/20)</f>
        <v>0.45407612680282716</v>
      </c>
      <c r="FJ70" s="3" t="e">
        <f>Cal!#REF!</f>
        <v>#REF!</v>
      </c>
      <c r="FK70" s="77" t="s">
        <v>783</v>
      </c>
      <c r="FL70" s="3">
        <v>31.8</v>
      </c>
      <c r="FM70" s="3">
        <v>1.1000000000000001</v>
      </c>
      <c r="FN70" s="80" cm="1">
        <f t="array" ref="FN70">_xll.DCEPropSectPipe(FL70, FM70, "A")/100</f>
        <v>1.0609158391172719</v>
      </c>
      <c r="FO70" s="75">
        <f t="shared" si="10"/>
        <v>0.83281893370705851</v>
      </c>
      <c r="FP70" s="76" cm="1">
        <f t="array" ref="FP70">_xll.DCEPropSectPipe(FL70, FM70, "I")/10000</f>
        <v>1.2514828467187138</v>
      </c>
      <c r="FQ70" s="76">
        <f t="shared" si="11"/>
        <v>1.2514828467187138</v>
      </c>
      <c r="FR70" s="75">
        <f t="shared" si="12"/>
        <v>0.78709613001176959</v>
      </c>
      <c r="FS70" s="75">
        <f t="shared" si="13"/>
        <v>0.78709613001176959</v>
      </c>
    </row>
    <row r="71" spans="153:175" ht="14.4">
      <c r="EW71" s="3" t="e">
        <f>Cal!#REF!</f>
        <v>#REF!</v>
      </c>
      <c r="EX71" s="77" t="s">
        <v>307</v>
      </c>
      <c r="EY71" s="3">
        <v>20</v>
      </c>
      <c r="EZ71" s="3">
        <v>30</v>
      </c>
      <c r="FA71" s="3" t="s">
        <v>687</v>
      </c>
      <c r="FB71" s="75" cm="1">
        <f t="array" ref="FB71">_xll.DCEPropSectBox(EY71, EZ71, FA71, 1, 1, "Area")/100</f>
        <v>0.757918578948924</v>
      </c>
      <c r="FC71" s="75">
        <f t="shared" ref="FC71:FC134" si="16">7850*(FB71/10000)</f>
        <v>0.5949660844749054</v>
      </c>
      <c r="FD71" s="75" cm="1">
        <f t="array" ref="FD71">_xll.DCEPropSectBox(EY71, EZ71, FA71, 1, 1, "Ix")/10000</f>
        <v>0.95136594899227989</v>
      </c>
      <c r="FE71" s="75" cm="1">
        <f t="array" ref="FE71">_xll.DCEPropSectBox(EY71, EZ71, FA71, 1, 1, "Iy")/10000</f>
        <v>0.50970403127128572</v>
      </c>
      <c r="FF71" s="75">
        <f t="shared" si="14"/>
        <v>0.63424396599485322</v>
      </c>
      <c r="FG71" s="75">
        <f t="shared" si="15"/>
        <v>0.50970403127128572</v>
      </c>
      <c r="FJ71" s="3" t="e">
        <f>Cal!#REF!</f>
        <v>#REF!</v>
      </c>
      <c r="FK71" s="77" t="s">
        <v>784</v>
      </c>
      <c r="FL71" s="3">
        <v>31.8</v>
      </c>
      <c r="FM71" s="3">
        <v>1.2</v>
      </c>
      <c r="FN71" s="80" cm="1">
        <f t="array" ref="FN71">_xll.DCEPropSectPipe(FL71, FM71, "A")/100</f>
        <v>1.1535928223981704</v>
      </c>
      <c r="FO71" s="75">
        <f t="shared" ref="FO71:FO134" si="17">7850*(FN71/10000)</f>
        <v>0.90557036558256376</v>
      </c>
      <c r="FP71" s="76" cm="1">
        <f t="array" ref="FP71">_xll.DCEPropSectPipe(FL71, FM71, "I")/10000</f>
        <v>1.3522991860562572</v>
      </c>
      <c r="FQ71" s="76">
        <f t="shared" ref="FQ71:FQ134" si="18">FP71</f>
        <v>1.3522991860562572</v>
      </c>
      <c r="FR71" s="75">
        <f t="shared" ref="FR71:FR134" si="19">FP71/(FL71/20)</f>
        <v>0.85050263273978433</v>
      </c>
      <c r="FS71" s="75">
        <f t="shared" ref="FS71:FS134" si="20">FR71</f>
        <v>0.85050263273978433</v>
      </c>
    </row>
    <row r="72" spans="153:175" ht="14.4">
      <c r="EW72" s="3" t="e">
        <f>Cal!#REF!</f>
        <v>#REF!</v>
      </c>
      <c r="EX72" s="77" t="s">
        <v>308</v>
      </c>
      <c r="EY72" s="3">
        <v>20</v>
      </c>
      <c r="EZ72" s="3">
        <v>30</v>
      </c>
      <c r="FA72" s="3" t="s">
        <v>688</v>
      </c>
      <c r="FB72" s="75" cm="1">
        <f t="array" ref="FB72">_xll.DCEPropSectBox(EY72, EZ72, FA72, 1, 1, "Area")/100</f>
        <v>0.84674070148223213</v>
      </c>
      <c r="FC72" s="75">
        <f t="shared" si="16"/>
        <v>0.66469145066355229</v>
      </c>
      <c r="FD72" s="75" cm="1">
        <f t="array" ref="FD72">_xll.DCEPropSectBox(EY72, EZ72, FA72, 1, 1, "Ix")/10000</f>
        <v>1.0528927478651486</v>
      </c>
      <c r="FE72" s="75" cm="1">
        <f t="array" ref="FE72">_xll.DCEPropSectBox(EY72, EZ72, FA72, 1, 1, "Iy")/10000</f>
        <v>0.56314219727916059</v>
      </c>
      <c r="FF72" s="75">
        <f t="shared" si="14"/>
        <v>0.70192849857676576</v>
      </c>
      <c r="FG72" s="75">
        <f t="shared" si="15"/>
        <v>0.56314219727916059</v>
      </c>
      <c r="FJ72" s="3" t="e">
        <f>Cal!#REF!</f>
        <v>#REF!</v>
      </c>
      <c r="FK72" s="77" t="s">
        <v>785</v>
      </c>
      <c r="FL72" s="3">
        <v>31.8</v>
      </c>
      <c r="FM72" s="3">
        <v>1.4</v>
      </c>
      <c r="FN72" s="80" cm="1">
        <f t="array" ref="FN72">_xll.DCEPropSectPipe(FL72, FM72, "A")/100</f>
        <v>1.3370618333678157</v>
      </c>
      <c r="FO72" s="75">
        <f t="shared" si="17"/>
        <v>1.0495935391937352</v>
      </c>
      <c r="FP72" s="76" cm="1">
        <f t="array" ref="FP72">_xll.DCEPropSectPipe(FL72, FM72, "I")/10000</f>
        <v>1.5478496313982526</v>
      </c>
      <c r="FQ72" s="76">
        <f t="shared" si="18"/>
        <v>1.5478496313982526</v>
      </c>
      <c r="FR72" s="75">
        <f t="shared" si="19"/>
        <v>0.97349033421273745</v>
      </c>
      <c r="FS72" s="75">
        <f t="shared" si="20"/>
        <v>0.97349033421273745</v>
      </c>
    </row>
    <row r="73" spans="153:175" ht="14.4">
      <c r="EW73" s="3" t="e">
        <f>Cal!#REF!</f>
        <v>#REF!</v>
      </c>
      <c r="EX73" s="77" t="s">
        <v>309</v>
      </c>
      <c r="EY73" s="3">
        <v>20</v>
      </c>
      <c r="EZ73" s="3">
        <v>30</v>
      </c>
      <c r="FA73" s="3" t="s">
        <v>689</v>
      </c>
      <c r="FB73" s="75" cm="1">
        <f t="array" ref="FB73">_xll.DCEPropSectBox(EY73, EZ73, FA73, 1, 1, "Area")/100</f>
        <v>0.93424777960769378</v>
      </c>
      <c r="FC73" s="75">
        <f t="shared" si="16"/>
        <v>0.73338450699203961</v>
      </c>
      <c r="FD73" s="75" cm="1">
        <f t="array" ref="FD73">_xll.DCEPropSectBox(EY73, EZ73, FA73, 1, 1, "Ix")/10000</f>
        <v>1.1507235114487653</v>
      </c>
      <c r="FE73" s="75" cm="1">
        <f t="array" ref="FE73">_xll.DCEPropSectBox(EY73, EZ73, FA73, 1, 1, "Iy")/10000</f>
        <v>0.6144300095273536</v>
      </c>
      <c r="FF73" s="75">
        <f t="shared" si="14"/>
        <v>0.76714900763251015</v>
      </c>
      <c r="FG73" s="75">
        <f t="shared" si="15"/>
        <v>0.6144300095273536</v>
      </c>
      <c r="FJ73" s="3" t="e">
        <f>Cal!#REF!</f>
        <v>#REF!</v>
      </c>
      <c r="FK73" s="77" t="s">
        <v>786</v>
      </c>
      <c r="FL73" s="3">
        <v>31.8</v>
      </c>
      <c r="FM73" s="3">
        <v>1.5</v>
      </c>
      <c r="FN73" s="80" cm="1">
        <f t="array" ref="FN73">_xll.DCEPropSectPipe(FL73, FM73, "A")/100</f>
        <v>1.4278538610565601</v>
      </c>
      <c r="FO73" s="75">
        <f t="shared" si="17"/>
        <v>1.1208652809293995</v>
      </c>
      <c r="FP73" s="76" cm="1">
        <f t="array" ref="FP73">_xll.DCEPropSectPipe(FL73, FM73, "I")/10000</f>
        <v>1.6426387781059943</v>
      </c>
      <c r="FQ73" s="76">
        <f t="shared" si="18"/>
        <v>1.6426387781059943</v>
      </c>
      <c r="FR73" s="75">
        <f t="shared" si="19"/>
        <v>1.0331061497521976</v>
      </c>
      <c r="FS73" s="75">
        <f t="shared" si="20"/>
        <v>1.0331061497521976</v>
      </c>
    </row>
    <row r="74" spans="153:175" ht="14.4">
      <c r="EW74" s="3" t="e">
        <f>Cal!#REF!</f>
        <v>#REF!</v>
      </c>
      <c r="EX74" s="77" t="s">
        <v>310</v>
      </c>
      <c r="EY74" s="3">
        <v>20</v>
      </c>
      <c r="EZ74" s="3">
        <v>30</v>
      </c>
      <c r="FA74" s="3" t="s">
        <v>690</v>
      </c>
      <c r="FB74" s="75" cm="1">
        <f t="array" ref="FB74">_xll.DCEPropSectBox(EY74, EZ74, FA74, 1, 1, "Area")/100</f>
        <v>1.0204398133253094</v>
      </c>
      <c r="FC74" s="75">
        <f t="shared" si="16"/>
        <v>0.80104525346036792</v>
      </c>
      <c r="FD74" s="75" cm="1">
        <f t="array" ref="FD74">_xll.DCEPropSectBox(EY74, EZ74, FA74, 1, 1, "Ix")/10000</f>
        <v>1.2449082423287321</v>
      </c>
      <c r="FE74" s="75" cm="1">
        <f t="array" ref="FE74">_xll.DCEPropSectBox(EY74, EZ74, FA74, 1, 1, "Iy")/10000</f>
        <v>0.66360656793699679</v>
      </c>
      <c r="FF74" s="75">
        <f t="shared" si="14"/>
        <v>0.82993882821915477</v>
      </c>
      <c r="FG74" s="75">
        <f t="shared" si="15"/>
        <v>0.66360656793699679</v>
      </c>
      <c r="FJ74" s="3" t="e">
        <f>Cal!#REF!</f>
        <v>#REF!</v>
      </c>
      <c r="FK74" s="77" t="s">
        <v>787</v>
      </c>
      <c r="FL74" s="3">
        <v>31.8</v>
      </c>
      <c r="FM74" s="3">
        <v>1.7</v>
      </c>
      <c r="FN74" s="80" cm="1">
        <f t="array" ref="FN74">_xll.DCEPropSectPipe(FL74, FM74, "A")/100</f>
        <v>1.6075529608418959</v>
      </c>
      <c r="FO74" s="75">
        <f t="shared" si="17"/>
        <v>1.2619290742608882</v>
      </c>
      <c r="FP74" s="76" cm="1">
        <f t="array" ref="FP74">_xll.DCEPropSectPipe(FL74, FM74, "I")/10000</f>
        <v>1.8263811076365</v>
      </c>
      <c r="FQ74" s="76">
        <f t="shared" si="18"/>
        <v>1.8263811076365</v>
      </c>
      <c r="FR74" s="75">
        <f t="shared" si="19"/>
        <v>1.1486673632933961</v>
      </c>
      <c r="FS74" s="75">
        <f t="shared" si="20"/>
        <v>1.1486673632933961</v>
      </c>
    </row>
    <row r="75" spans="153:175" ht="14.4">
      <c r="EW75" s="3" t="e">
        <f>Cal!#REF!</f>
        <v>#REF!</v>
      </c>
      <c r="EX75" s="77" t="s">
        <v>311</v>
      </c>
      <c r="EY75" s="3">
        <v>20</v>
      </c>
      <c r="EZ75" s="3">
        <v>30</v>
      </c>
      <c r="FA75" s="3" t="s">
        <v>691</v>
      </c>
      <c r="FB75" s="75" cm="1">
        <f t="array" ref="FB75">_xll.DCEPropSectBox(EY75, EZ75, FA75, 1, 1, "Area")/100</f>
        <v>1.105316802635079</v>
      </c>
      <c r="FC75" s="75">
        <f t="shared" si="16"/>
        <v>0.86767369006853712</v>
      </c>
      <c r="FD75" s="75" cm="1">
        <f t="array" ref="FD75">_xll.DCEPropSectBox(EY75, EZ75, FA75, 1, 1, "Ix")/10000</f>
        <v>1.3354966583108823</v>
      </c>
      <c r="FE75" s="75" cm="1">
        <f t="array" ref="FE75">_xll.DCEPropSectBox(EY75, EZ75, FA75, 1, 1, "Iy")/10000</f>
        <v>0.71071068764945267</v>
      </c>
      <c r="FF75" s="75">
        <f t="shared" si="14"/>
        <v>0.89033110554058814</v>
      </c>
      <c r="FG75" s="75">
        <f t="shared" si="15"/>
        <v>0.71071068764945267</v>
      </c>
      <c r="FJ75" s="3" t="e">
        <f>Cal!#REF!</f>
        <v>#REF!</v>
      </c>
      <c r="FK75" s="77" t="s">
        <v>788</v>
      </c>
      <c r="FL75" s="3">
        <v>31.8</v>
      </c>
      <c r="FM75" s="3">
        <v>1.8</v>
      </c>
      <c r="FN75" s="80" cm="1">
        <f t="array" ref="FN75">_xll.DCEPropSectPipe(FL75, FM75, "A")/100</f>
        <v>1.6964600329384882</v>
      </c>
      <c r="FO75" s="75">
        <f t="shared" si="17"/>
        <v>1.3317211258567134</v>
      </c>
      <c r="FP75" s="76" cm="1">
        <f t="array" ref="FP75">_xll.DCEPropSectPipe(FL75, FM75, "I")/10000</f>
        <v>1.9153882001892013</v>
      </c>
      <c r="FQ75" s="76">
        <f t="shared" si="18"/>
        <v>1.9153882001892013</v>
      </c>
      <c r="FR75" s="75">
        <f t="shared" si="19"/>
        <v>1.2046466667856612</v>
      </c>
      <c r="FS75" s="75">
        <f t="shared" si="20"/>
        <v>1.2046466667856612</v>
      </c>
    </row>
    <row r="76" spans="153:175" ht="14.4">
      <c r="EW76" s="3" t="e">
        <f>Cal!#REF!</f>
        <v>#REF!</v>
      </c>
      <c r="EX76" s="77" t="s">
        <v>312</v>
      </c>
      <c r="EY76" s="3">
        <v>20</v>
      </c>
      <c r="EZ76" s="3">
        <v>30</v>
      </c>
      <c r="FA76" s="3" t="s">
        <v>692</v>
      </c>
      <c r="FB76" s="75" cm="1">
        <f t="array" ref="FB76">_xll.DCEPropSectBox(EY76, EZ76, FA76, 1, 1, "Area")/100</f>
        <v>1.27112564803108</v>
      </c>
      <c r="FC76" s="75">
        <f t="shared" si="16"/>
        <v>0.99783363370439782</v>
      </c>
      <c r="FD76" s="75" cm="1">
        <f t="array" ref="FD76">_xll.DCEPropSectBox(EY76, EZ76, FA76, 1, 1, "Ix")/10000</f>
        <v>1.5060819929062208</v>
      </c>
      <c r="FE76" s="75" cm="1">
        <f t="array" ref="FE76">_xll.DCEPropSectBox(EY76, EZ76, FA76, 1, 1, "Iy")/10000</f>
        <v>0.79885544764940675</v>
      </c>
      <c r="FF76" s="75">
        <f t="shared" si="14"/>
        <v>1.0040546619374806</v>
      </c>
      <c r="FG76" s="75">
        <f t="shared" si="15"/>
        <v>0.79885544764940675</v>
      </c>
      <c r="FJ76" s="3" t="e">
        <f>Cal!#REF!</f>
        <v>#REF!</v>
      </c>
      <c r="FK76" s="77" t="s">
        <v>789</v>
      </c>
      <c r="FL76" s="3">
        <v>31.8</v>
      </c>
      <c r="FM76" s="3">
        <v>2</v>
      </c>
      <c r="FN76" s="80" cm="1">
        <f t="array" ref="FN76">_xll.DCEPropSectPipe(FL76, FM76, "A")/100</f>
        <v>1.8723892215395166</v>
      </c>
      <c r="FO76" s="75">
        <f t="shared" si="17"/>
        <v>1.4698255389085206</v>
      </c>
      <c r="FP76" s="76" cm="1">
        <f t="array" ref="FP76">_xll.DCEPropSectPipe(FL76, FM76, "I")/10000</f>
        <v>2.0878076014776381</v>
      </c>
      <c r="FQ76" s="76">
        <f t="shared" si="18"/>
        <v>2.0878076014776381</v>
      </c>
      <c r="FR76" s="75">
        <f t="shared" si="19"/>
        <v>1.3130865418098352</v>
      </c>
      <c r="FS76" s="75">
        <f t="shared" si="20"/>
        <v>1.3130865418098352</v>
      </c>
    </row>
    <row r="77" spans="153:175" ht="14.4">
      <c r="EW77" s="3" t="e">
        <f>Cal!#REF!</f>
        <v>#REF!</v>
      </c>
      <c r="EX77" s="77" t="s">
        <v>313</v>
      </c>
      <c r="EY77" s="3">
        <v>20</v>
      </c>
      <c r="EZ77" s="3">
        <v>30</v>
      </c>
      <c r="FA77" s="3" t="s">
        <v>693</v>
      </c>
      <c r="FB77" s="75" cm="1">
        <f t="array" ref="FB77">_xll.DCEPropSectBox(EY77, EZ77, FA77, 1, 1, "Area")/100</f>
        <v>1.3520575041173111</v>
      </c>
      <c r="FC77" s="75">
        <f t="shared" si="16"/>
        <v>1.0613651407320892</v>
      </c>
      <c r="FD77" s="75" cm="1">
        <f t="array" ref="FD77">_xll.DCEPropSectBox(EY77, EZ77, FA77, 1, 1, "Ix")/10000</f>
        <v>1.5861769232322274</v>
      </c>
      <c r="FE77" s="75" cm="1">
        <f t="array" ref="FE77">_xll.DCEPropSectBox(EY77, EZ77, FA77, 1, 1, "Iy")/10000</f>
        <v>0.8399722943207818</v>
      </c>
      <c r="FF77" s="75">
        <f t="shared" si="14"/>
        <v>1.0574512821548183</v>
      </c>
      <c r="FG77" s="75">
        <f t="shared" si="15"/>
        <v>0.8399722943207818</v>
      </c>
      <c r="FJ77" s="3" t="e">
        <f>Cal!#REF!</f>
        <v>#REF!</v>
      </c>
      <c r="FK77" s="77" t="s">
        <v>790</v>
      </c>
      <c r="FL77" s="3">
        <v>34</v>
      </c>
      <c r="FM77" s="3">
        <v>0.9</v>
      </c>
      <c r="FN77" s="80" cm="1">
        <f t="array" ref="FN77">_xll.DCEPropSectPipe(FL77, FM77, "A")/100</f>
        <v>0.93588045150439825</v>
      </c>
      <c r="FO77" s="75">
        <f t="shared" si="17"/>
        <v>0.73466615443095262</v>
      </c>
      <c r="FP77" s="76" cm="1">
        <f t="array" ref="FP77">_xll.DCEPropSectPipe(FL77, FM77, "I")/10000</f>
        <v>1.2826475557980652</v>
      </c>
      <c r="FQ77" s="76">
        <f t="shared" si="18"/>
        <v>1.2826475557980652</v>
      </c>
      <c r="FR77" s="75">
        <f t="shared" si="19"/>
        <v>0.75449856223415601</v>
      </c>
      <c r="FS77" s="75">
        <f t="shared" si="20"/>
        <v>0.75449856223415601</v>
      </c>
    </row>
    <row r="78" spans="153:175" ht="14.4">
      <c r="EW78" s="3" t="e">
        <f>Cal!#REF!</f>
        <v>#REF!</v>
      </c>
      <c r="EX78" s="77" t="s">
        <v>314</v>
      </c>
      <c r="EY78" s="3">
        <v>20</v>
      </c>
      <c r="EZ78" s="3">
        <v>30</v>
      </c>
      <c r="FA78" s="3" t="s">
        <v>694</v>
      </c>
      <c r="FB78" s="75" cm="1">
        <f t="array" ref="FB78">_xll.DCEPropSectBox(EY78, EZ78, FA78, 1, 1, "Area")/100</f>
        <v>1.4316743157956962</v>
      </c>
      <c r="FC78" s="75">
        <f t="shared" si="16"/>
        <v>1.1238643378996214</v>
      </c>
      <c r="FD78" s="75" cm="1">
        <f t="array" ref="FD78">_xll.DCEPropSectBox(EY78, EZ78, FA78, 1, 1, "Ix")/10000</f>
        <v>1.6628715620860555</v>
      </c>
      <c r="FE78" s="75" cm="1">
        <f t="array" ref="FE78">_xll.DCEPropSectBox(EY78, EZ78, FA78, 1, 1, "Iy")/10000</f>
        <v>0.87916911506272521</v>
      </c>
      <c r="FF78" s="75">
        <f t="shared" si="14"/>
        <v>1.1085810413907036</v>
      </c>
      <c r="FG78" s="75">
        <f t="shared" si="15"/>
        <v>0.87916911506272521</v>
      </c>
      <c r="FJ78" s="3" t="e">
        <f>Cal!#REF!</f>
        <v>#REF!</v>
      </c>
      <c r="FK78" s="77" t="s">
        <v>791</v>
      </c>
      <c r="FL78" s="3">
        <v>34</v>
      </c>
      <c r="FM78" s="3">
        <v>1</v>
      </c>
      <c r="FN78" s="80" cm="1">
        <f t="array" ref="FN78">_xll.DCEPropSectPipe(FL78, FM78, "A")/100</f>
        <v>1.0367255756846316</v>
      </c>
      <c r="FO78" s="75">
        <f t="shared" si="17"/>
        <v>0.81382957691243585</v>
      </c>
      <c r="FP78" s="76" cm="1">
        <f t="array" ref="FP78">_xll.DCEPropSectPipe(FL78, FM78, "I")/10000</f>
        <v>1.4125385968703108</v>
      </c>
      <c r="FQ78" s="76">
        <f t="shared" si="18"/>
        <v>1.4125385968703108</v>
      </c>
      <c r="FR78" s="75">
        <f t="shared" si="19"/>
        <v>0.83090505698253581</v>
      </c>
      <c r="FS78" s="75">
        <f t="shared" si="20"/>
        <v>0.83090505698253581</v>
      </c>
    </row>
    <row r="79" spans="153:175" ht="14.4">
      <c r="EW79" s="3" t="e">
        <f>Cal!#REF!</f>
        <v>#REF!</v>
      </c>
      <c r="EX79" s="77" t="s">
        <v>315</v>
      </c>
      <c r="EY79" s="3">
        <v>20</v>
      </c>
      <c r="EZ79" s="3">
        <v>30</v>
      </c>
      <c r="FA79" s="3" t="s">
        <v>695</v>
      </c>
      <c r="FB79" s="75" cm="1">
        <f t="array" ref="FB79">_xll.DCEPropSectBox(EY79, EZ79, FA79, 1, 1, "Area")/100</f>
        <v>1.509976083066235</v>
      </c>
      <c r="FC79" s="75">
        <f t="shared" si="16"/>
        <v>1.1853312252069943</v>
      </c>
      <c r="FD79" s="75" cm="1">
        <f t="array" ref="FD79">_xll.DCEPropSectBox(EY79, EZ79, FA79, 1, 1, "Ix")/10000</f>
        <v>1.7362142033746932</v>
      </c>
      <c r="FE79" s="75" cm="1">
        <f t="array" ref="FE79">_xll.DCEPropSectBox(EY79, EZ79, FA79, 1, 1, "Iy")/10000</f>
        <v>0.91648330111775267</v>
      </c>
      <c r="FF79" s="75">
        <f t="shared" si="14"/>
        <v>1.1574761355831289</v>
      </c>
      <c r="FG79" s="75">
        <f t="shared" si="15"/>
        <v>0.91648330111775267</v>
      </c>
      <c r="FJ79" s="3" t="e">
        <f>Cal!#REF!</f>
        <v>#REF!</v>
      </c>
      <c r="FK79" s="77" t="s">
        <v>792</v>
      </c>
      <c r="FL79" s="3">
        <v>34</v>
      </c>
      <c r="FM79" s="3">
        <v>1.1000000000000001</v>
      </c>
      <c r="FN79" s="80" cm="1">
        <f t="array" ref="FN79">_xll.DCEPropSectPipe(FL79, FM79, "A")/100</f>
        <v>1.1369423813341462</v>
      </c>
      <c r="FO79" s="75">
        <f t="shared" si="17"/>
        <v>0.89249976934730468</v>
      </c>
      <c r="FP79" s="76" cm="1">
        <f t="array" ref="FP79">_xll.DCEPropSectPipe(FL79, FM79, "I")/10000</f>
        <v>1.5400168790766335</v>
      </c>
      <c r="FQ79" s="76">
        <f t="shared" si="18"/>
        <v>1.5400168790766335</v>
      </c>
      <c r="FR79" s="75">
        <f t="shared" si="19"/>
        <v>0.90589228180978443</v>
      </c>
      <c r="FS79" s="75">
        <f t="shared" si="20"/>
        <v>0.90589228180978443</v>
      </c>
    </row>
    <row r="80" spans="153:175" ht="14.4">
      <c r="EW80" s="3" t="e">
        <f>Cal!#REF!</f>
        <v>#REF!</v>
      </c>
      <c r="EX80" s="77" t="s">
        <v>316</v>
      </c>
      <c r="EY80" s="3">
        <v>20</v>
      </c>
      <c r="EZ80" s="3">
        <v>30</v>
      </c>
      <c r="FA80" s="3" t="s">
        <v>696</v>
      </c>
      <c r="FB80" s="75" cm="1">
        <f t="array" ref="FB80">_xll.DCEPropSectBox(EY80, EZ80, FA80, 1, 1, "Area")/100</f>
        <v>1.5869628059289278</v>
      </c>
      <c r="FC80" s="75">
        <f t="shared" si="16"/>
        <v>1.2457658026542082</v>
      </c>
      <c r="FD80" s="75" cm="1">
        <f t="array" ref="FD80">_xll.DCEPropSectBox(EY80, EZ80, FA80, 1, 1, "Ix")/10000</f>
        <v>1.8062528562253564</v>
      </c>
      <c r="FE80" s="75" cm="1">
        <f t="array" ref="FE80">_xll.DCEPropSectBox(EY80, EZ80, FA80, 1, 1, "Iy")/10000</f>
        <v>0.95195195894861062</v>
      </c>
      <c r="FF80" s="75">
        <f t="shared" si="14"/>
        <v>1.2041685708169043</v>
      </c>
      <c r="FG80" s="75">
        <f t="shared" si="15"/>
        <v>0.95195195894861062</v>
      </c>
      <c r="FJ80" s="3" t="e">
        <f>Cal!#REF!</f>
        <v>#REF!</v>
      </c>
      <c r="FK80" s="77" t="s">
        <v>793</v>
      </c>
      <c r="FL80" s="3">
        <v>34</v>
      </c>
      <c r="FM80" s="3">
        <v>1.2</v>
      </c>
      <c r="FN80" s="80" cm="1">
        <f t="array" ref="FN80">_xll.DCEPropSectPipe(FL80, FM80, "A")/100</f>
        <v>1.2365308684529419</v>
      </c>
      <c r="FO80" s="75">
        <f t="shared" si="17"/>
        <v>0.97067673173555935</v>
      </c>
      <c r="FP80" s="76" cm="1">
        <f t="array" ref="FP80">_xll.DCEPropSectPipe(FL80, FM80, "I")/10000</f>
        <v>1.6651124674587314</v>
      </c>
      <c r="FQ80" s="76">
        <f t="shared" si="18"/>
        <v>1.6651124674587314</v>
      </c>
      <c r="FR80" s="75">
        <f t="shared" si="19"/>
        <v>0.97947792203454798</v>
      </c>
      <c r="FS80" s="75">
        <f t="shared" si="20"/>
        <v>0.97947792203454798</v>
      </c>
    </row>
    <row r="81" spans="153:175" ht="14.4">
      <c r="EW81" s="3" t="e">
        <f>Cal!#REF!</f>
        <v>#REF!</v>
      </c>
      <c r="EX81" s="77" t="s">
        <v>317</v>
      </c>
      <c r="EY81" s="3">
        <v>20</v>
      </c>
      <c r="EZ81" s="3">
        <v>30</v>
      </c>
      <c r="FA81" s="3" t="s">
        <v>697</v>
      </c>
      <c r="FB81" s="75" cm="1">
        <f t="array" ref="FB81">_xll.DCEPropSectBox(EY81, EZ81, FA81, 1, 1, "Area")/100</f>
        <v>1.6626344843837746</v>
      </c>
      <c r="FC81" s="75">
        <f t="shared" si="16"/>
        <v>1.3051680702412631</v>
      </c>
      <c r="FD81" s="75" cm="1">
        <f t="array" ref="FD81">_xll.DCEPropSectBox(EY81, EZ81, FA81, 1, 1, "Ix")/10000</f>
        <v>1.8730352449854917</v>
      </c>
      <c r="FE81" s="75" cm="1">
        <f t="array" ref="FE81">_xll.DCEPropSectBox(EY81, EZ81, FA81, 1, 1, "Iy")/10000</f>
        <v>0.9856119102382741</v>
      </c>
      <c r="FF81" s="75">
        <f t="shared" si="14"/>
        <v>1.2486901633236611</v>
      </c>
      <c r="FG81" s="75">
        <f t="shared" si="15"/>
        <v>0.9856119102382741</v>
      </c>
      <c r="FJ81" s="3" t="e">
        <f>Cal!#REF!</f>
        <v>#REF!</v>
      </c>
      <c r="FK81" s="77" t="s">
        <v>794</v>
      </c>
      <c r="FL81" s="3">
        <v>34</v>
      </c>
      <c r="FM81" s="3">
        <v>1.4</v>
      </c>
      <c r="FN81" s="80" cm="1">
        <f t="array" ref="FN81">_xll.DCEPropSectPipe(FL81, FM81, "A")/100</f>
        <v>1.4338228870983825</v>
      </c>
      <c r="FO81" s="75">
        <f t="shared" si="17"/>
        <v>1.1255509663722303</v>
      </c>
      <c r="FP81" s="76" cm="1">
        <f t="array" ref="FP81">_xll.DCEPropSectPipe(FL81, FM81, "I")/10000</f>
        <v>1.9082748804392367</v>
      </c>
      <c r="FQ81" s="76">
        <f t="shared" si="18"/>
        <v>1.9082748804392367</v>
      </c>
      <c r="FR81" s="75">
        <f t="shared" si="19"/>
        <v>1.1225146355524922</v>
      </c>
      <c r="FS81" s="75">
        <f t="shared" si="20"/>
        <v>1.1225146355524922</v>
      </c>
    </row>
    <row r="82" spans="153:175" ht="14.4">
      <c r="EW82" s="3" t="e">
        <f>Cal!#REF!</f>
        <v>#REF!</v>
      </c>
      <c r="EX82" s="77" t="s">
        <v>318</v>
      </c>
      <c r="EY82" s="3">
        <v>20</v>
      </c>
      <c r="EZ82" s="3">
        <v>30</v>
      </c>
      <c r="FA82" s="3" t="s">
        <v>698</v>
      </c>
      <c r="FB82" s="75" cm="1">
        <f t="array" ref="FB82">_xll.DCEPropSectBox(EY82, EZ82, FA82, 1, 1, "Area")/100</f>
        <v>1.7369911184307751</v>
      </c>
      <c r="FC82" s="75">
        <f t="shared" si="16"/>
        <v>1.3635380279681584</v>
      </c>
      <c r="FD82" s="75" cm="1">
        <f t="array" ref="FD82">_xll.DCEPropSectBox(EY82, EZ82, FA82, 1, 1, "Ix")/10000</f>
        <v>1.9366088092227765</v>
      </c>
      <c r="FE82" s="75" cm="1">
        <f t="array" ref="FE82">_xll.DCEPropSectBox(EY82, EZ82, FA82, 1, 1, "Iy")/10000</f>
        <v>1.0174996918899513</v>
      </c>
      <c r="FF82" s="75">
        <f t="shared" si="14"/>
        <v>1.291072539481851</v>
      </c>
      <c r="FG82" s="75">
        <f t="shared" si="15"/>
        <v>1.0174996918899513</v>
      </c>
      <c r="FJ82" s="3" t="e">
        <f>Cal!#REF!</f>
        <v>#REF!</v>
      </c>
      <c r="FK82" s="77" t="s">
        <v>795</v>
      </c>
      <c r="FL82" s="3">
        <v>34</v>
      </c>
      <c r="FM82" s="3">
        <v>1.5</v>
      </c>
      <c r="FN82" s="80" cm="1">
        <f t="array" ref="FN82">_xll.DCEPropSectPipe(FL82, FM82, "A")/100</f>
        <v>1.5315264186250237</v>
      </c>
      <c r="FO82" s="75">
        <f t="shared" si="17"/>
        <v>1.2022482386206437</v>
      </c>
      <c r="FP82" s="76" cm="1">
        <f t="array" ref="FP82">_xll.DCEPropSectPipe(FL82, FM82, "I")/10000</f>
        <v>2.0264008926432355</v>
      </c>
      <c r="FQ82" s="76">
        <f t="shared" si="18"/>
        <v>2.0264008926432355</v>
      </c>
      <c r="FR82" s="75">
        <f t="shared" si="19"/>
        <v>1.1920005250842562</v>
      </c>
      <c r="FS82" s="75">
        <f t="shared" si="20"/>
        <v>1.1920005250842562</v>
      </c>
    </row>
    <row r="83" spans="153:175" ht="14.4">
      <c r="EW83" s="3" t="e">
        <f>Cal!#REF!</f>
        <v>#REF!</v>
      </c>
      <c r="EX83" s="77" t="s">
        <v>319</v>
      </c>
      <c r="EY83" s="3">
        <v>25</v>
      </c>
      <c r="EZ83" s="3">
        <v>25</v>
      </c>
      <c r="FA83" s="3" t="s">
        <v>686</v>
      </c>
      <c r="FB83" s="75" cm="1">
        <f t="array" ref="FB83">_xll.DCEPropSectBox(EY83, EZ83, FA83, 1, 1, "Area")/100</f>
        <v>0.66778141200776986</v>
      </c>
      <c r="FC83" s="75">
        <f t="shared" si="16"/>
        <v>0.52420840842609928</v>
      </c>
      <c r="FD83" s="75" cm="1">
        <f t="array" ref="FD83">_xll.DCEPropSectBox(EY83, EZ83, FA83, 1, 1, "Ix")/10000</f>
        <v>0.65087313888331999</v>
      </c>
      <c r="FE83" s="75" cm="1">
        <f t="array" ref="FE83">_xll.DCEPropSectBox(EY83, EZ83, FA83, 1, 1, "Iy")/10000</f>
        <v>0.65087313888331999</v>
      </c>
      <c r="FF83" s="75">
        <f t="shared" si="14"/>
        <v>0.52069851110665599</v>
      </c>
      <c r="FG83" s="75">
        <f t="shared" si="15"/>
        <v>0.52069851110665599</v>
      </c>
      <c r="FJ83" s="3" t="e">
        <f>Cal!#REF!</f>
        <v>#REF!</v>
      </c>
      <c r="FK83" s="77" t="s">
        <v>796</v>
      </c>
      <c r="FL83" s="3">
        <v>34</v>
      </c>
      <c r="FM83" s="3">
        <v>1.7</v>
      </c>
      <c r="FN83" s="80" cm="1">
        <f t="array" ref="FN83">_xll.DCEPropSectPipe(FL83, FM83, "A")/100</f>
        <v>1.7250485260861546</v>
      </c>
      <c r="FO83" s="75">
        <f t="shared" si="17"/>
        <v>1.3541630929776314</v>
      </c>
      <c r="FP83" s="76" cm="1">
        <f t="array" ref="FP83">_xll.DCEPropSectPipe(FL83, FM83, "I")/10000</f>
        <v>2.255889083776017</v>
      </c>
      <c r="FQ83" s="76">
        <f t="shared" si="18"/>
        <v>2.255889083776017</v>
      </c>
      <c r="FR83" s="75">
        <f t="shared" si="19"/>
        <v>1.3269935786917748</v>
      </c>
      <c r="FS83" s="75">
        <f t="shared" si="20"/>
        <v>1.3269935786917748</v>
      </c>
    </row>
    <row r="84" spans="153:175" ht="14.4">
      <c r="EW84" s="3" t="e">
        <f>Cal!#REF!</f>
        <v>#REF!</v>
      </c>
      <c r="EX84" s="77" t="s">
        <v>320</v>
      </c>
      <c r="EY84" s="3">
        <v>25</v>
      </c>
      <c r="EZ84" s="3">
        <v>25</v>
      </c>
      <c r="FA84" s="3" t="s">
        <v>687</v>
      </c>
      <c r="FB84" s="75" cm="1">
        <f t="array" ref="FB84">_xll.DCEPropSectBox(EY84, EZ84, FA84, 1, 1, "Area")/100</f>
        <v>0.757918578948924</v>
      </c>
      <c r="FC84" s="75">
        <f t="shared" si="16"/>
        <v>0.5949660844749054</v>
      </c>
      <c r="FD84" s="75" cm="1">
        <f t="array" ref="FD84">_xll.DCEPropSectBox(EY84, EZ84, FA84, 1, 1, "Ix")/10000</f>
        <v>0.73156507894747558</v>
      </c>
      <c r="FE84" s="75" cm="1">
        <f t="array" ref="FE84">_xll.DCEPropSectBox(EY84, EZ84, FA84, 1, 1, "Iy")/10000</f>
        <v>0.73156507894747558</v>
      </c>
      <c r="FF84" s="75">
        <f t="shared" si="14"/>
        <v>0.58525206315798051</v>
      </c>
      <c r="FG84" s="75">
        <f t="shared" si="15"/>
        <v>0.58525206315798051</v>
      </c>
      <c r="FJ84" s="3" t="e">
        <f>Cal!#REF!</f>
        <v>#REF!</v>
      </c>
      <c r="FK84" s="77" t="s">
        <v>797</v>
      </c>
      <c r="FL84" s="3">
        <v>34</v>
      </c>
      <c r="FM84" s="3">
        <v>1.8</v>
      </c>
      <c r="FN84" s="80" cm="1">
        <f t="array" ref="FN84">_xll.DCEPropSectPipe(FL84, FM84, "A")/100</f>
        <v>1.8208671020206442</v>
      </c>
      <c r="FO84" s="75">
        <f t="shared" si="17"/>
        <v>1.4293806750862057</v>
      </c>
      <c r="FP84" s="76" cm="1">
        <f t="array" ref="FP84">_xll.DCEPropSectPipe(FL84, FM84, "I")/10000</f>
        <v>2.3673093193370396</v>
      </c>
      <c r="FQ84" s="76">
        <f t="shared" si="18"/>
        <v>2.3673093193370396</v>
      </c>
      <c r="FR84" s="75">
        <f t="shared" si="19"/>
        <v>1.3925348937276705</v>
      </c>
      <c r="FS84" s="75">
        <f t="shared" si="20"/>
        <v>1.3925348937276705</v>
      </c>
    </row>
    <row r="85" spans="153:175" ht="14.4">
      <c r="EW85" s="3" t="e">
        <f>Cal!#REF!</f>
        <v>#REF!</v>
      </c>
      <c r="EX85" s="77" t="s">
        <v>321</v>
      </c>
      <c r="EY85" s="3">
        <v>25</v>
      </c>
      <c r="EZ85" s="3">
        <v>25</v>
      </c>
      <c r="FA85" s="3" t="s">
        <v>688</v>
      </c>
      <c r="FB85" s="75" cm="1">
        <f t="array" ref="FB85">_xll.DCEPropSectBox(EY85, EZ85, FA85, 1, 1, "Area")/100</f>
        <v>0.84674070148223213</v>
      </c>
      <c r="FC85" s="75">
        <f t="shared" si="16"/>
        <v>0.66469145066355229</v>
      </c>
      <c r="FD85" s="75" cm="1">
        <f t="array" ref="FD85">_xll.DCEPropSectBox(EY85, EZ85, FA85, 1, 1, "Ix")/10000</f>
        <v>0.80932117872951514</v>
      </c>
      <c r="FE85" s="75" cm="1">
        <f t="array" ref="FE85">_xll.DCEPropSectBox(EY85, EZ85, FA85, 1, 1, "Iy")/10000</f>
        <v>0.80932117872951514</v>
      </c>
      <c r="FF85" s="75">
        <f t="shared" si="14"/>
        <v>0.64745694298361212</v>
      </c>
      <c r="FG85" s="75">
        <f t="shared" si="15"/>
        <v>0.64745694298361212</v>
      </c>
      <c r="FJ85" s="3" t="e">
        <f>Cal!#REF!</f>
        <v>#REF!</v>
      </c>
      <c r="FK85" s="77" t="s">
        <v>798</v>
      </c>
      <c r="FL85" s="3">
        <v>34</v>
      </c>
      <c r="FM85" s="3">
        <v>2</v>
      </c>
      <c r="FN85" s="80" cm="1">
        <f t="array" ref="FN85">_xll.DCEPropSectPipe(FL85, FM85, "A")/100</f>
        <v>2.0106192982974678</v>
      </c>
      <c r="FO85" s="75">
        <f t="shared" si="17"/>
        <v>1.5783361491635122</v>
      </c>
      <c r="FP85" s="76" cm="1">
        <f t="array" ref="FP85">_xll.DCEPropSectPipe(FL85, FM85, "I")/10000</f>
        <v>2.5836457983122463</v>
      </c>
      <c r="FQ85" s="76">
        <f t="shared" si="18"/>
        <v>2.5836457983122463</v>
      </c>
      <c r="FR85" s="75">
        <f t="shared" si="19"/>
        <v>1.5197916460660272</v>
      </c>
      <c r="FS85" s="75">
        <f t="shared" si="20"/>
        <v>1.5197916460660272</v>
      </c>
    </row>
    <row r="86" spans="153:175" ht="14.4">
      <c r="EW86" s="3" t="e">
        <f>Cal!#REF!</f>
        <v>#REF!</v>
      </c>
      <c r="EX86" s="77" t="s">
        <v>322</v>
      </c>
      <c r="EY86" s="3">
        <v>25</v>
      </c>
      <c r="EZ86" s="3">
        <v>25</v>
      </c>
      <c r="FA86" s="3" t="s">
        <v>689</v>
      </c>
      <c r="FB86" s="75" cm="1">
        <f t="array" ref="FB86">_xll.DCEPropSectBox(EY86, EZ86, FA86, 1, 1, "Area")/100</f>
        <v>0.93424777960769378</v>
      </c>
      <c r="FC86" s="75">
        <f t="shared" si="16"/>
        <v>0.73338450699203961</v>
      </c>
      <c r="FD86" s="75" cm="1">
        <f t="array" ref="FD86">_xll.DCEPropSectBox(EY86, EZ86, FA86, 1, 1, "Ix")/10000</f>
        <v>0.88418627426257868</v>
      </c>
      <c r="FE86" s="75" cm="1">
        <f t="array" ref="FE86">_xll.DCEPropSectBox(EY86, EZ86, FA86, 1, 1, "Iy")/10000</f>
        <v>0.88418627426257868</v>
      </c>
      <c r="FF86" s="75">
        <f t="shared" si="14"/>
        <v>0.7073490194100629</v>
      </c>
      <c r="FG86" s="75">
        <f t="shared" si="15"/>
        <v>0.7073490194100629</v>
      </c>
      <c r="FJ86" s="3" t="e">
        <f>Cal!#REF!</f>
        <v>#REF!</v>
      </c>
      <c r="FK86" s="77" t="s">
        <v>799</v>
      </c>
      <c r="FL86" s="3">
        <v>34</v>
      </c>
      <c r="FM86" s="3">
        <v>2.2999999999999998</v>
      </c>
      <c r="FN86" s="80" cm="1">
        <f t="array" ref="FN86">_xll.DCEPropSectPipe(FL86, FM86, "A")/100</f>
        <v>2.2905352037323188</v>
      </c>
      <c r="FO86" s="75">
        <f t="shared" si="17"/>
        <v>1.7980701349298702</v>
      </c>
      <c r="FP86" s="76" cm="1">
        <f t="array" ref="FP86">_xll.DCEPropSectPipe(FL86, FM86, "I")/10000</f>
        <v>2.8923160651328921</v>
      </c>
      <c r="FQ86" s="76">
        <f t="shared" si="18"/>
        <v>2.8923160651328921</v>
      </c>
      <c r="FR86" s="75">
        <f t="shared" si="19"/>
        <v>1.7013623912546425</v>
      </c>
      <c r="FS86" s="75">
        <f t="shared" si="20"/>
        <v>1.7013623912546425</v>
      </c>
    </row>
    <row r="87" spans="153:175" ht="14.4">
      <c r="EW87" s="3" t="e">
        <f>Cal!#REF!</f>
        <v>#REF!</v>
      </c>
      <c r="EX87" s="77" t="s">
        <v>323</v>
      </c>
      <c r="EY87" s="3">
        <v>25</v>
      </c>
      <c r="EZ87" s="3">
        <v>25</v>
      </c>
      <c r="FA87" s="3" t="s">
        <v>690</v>
      </c>
      <c r="FB87" s="75" cm="1">
        <f t="array" ref="FB87">_xll.DCEPropSectBox(EY87, EZ87, FA87, 1, 1, "Area")/100</f>
        <v>1.0204398133253094</v>
      </c>
      <c r="FC87" s="75">
        <f t="shared" si="16"/>
        <v>0.80104525346036792</v>
      </c>
      <c r="FD87" s="75" cm="1">
        <f t="array" ref="FD87">_xll.DCEPropSectBox(EY87, EZ87, FA87, 1, 1, "Ix")/10000</f>
        <v>0.9562049168000325</v>
      </c>
      <c r="FE87" s="75" cm="1">
        <f t="array" ref="FE87">_xll.DCEPropSectBox(EY87, EZ87, FA87, 1, 1, "Iy")/10000</f>
        <v>0.9562049168000325</v>
      </c>
      <c r="FF87" s="75">
        <f t="shared" si="14"/>
        <v>0.764963933440026</v>
      </c>
      <c r="FG87" s="75">
        <f t="shared" si="15"/>
        <v>0.764963933440026</v>
      </c>
      <c r="FJ87" s="3" t="e">
        <f>Cal!#REF!</f>
        <v>#REF!</v>
      </c>
      <c r="FK87" s="77" t="s">
        <v>800</v>
      </c>
      <c r="FL87" s="3">
        <v>34</v>
      </c>
      <c r="FM87" s="3">
        <v>2.5</v>
      </c>
      <c r="FN87" s="80" cm="1">
        <f t="array" ref="FN87">_xll.DCEPropSectPipe(FL87, FM87, "A")/100</f>
        <v>2.4740042147019619</v>
      </c>
      <c r="FO87" s="75">
        <f t="shared" si="17"/>
        <v>1.9420933085410401</v>
      </c>
      <c r="FP87" s="76" cm="1">
        <f t="array" ref="FP87">_xll.DCEPropSectPipe(FL87, FM87, "I")/10000</f>
        <v>3.0878665104748864</v>
      </c>
      <c r="FQ87" s="76">
        <f t="shared" si="18"/>
        <v>3.0878665104748864</v>
      </c>
      <c r="FR87" s="75">
        <f t="shared" si="19"/>
        <v>1.8163920649852274</v>
      </c>
      <c r="FS87" s="75">
        <f t="shared" si="20"/>
        <v>1.8163920649852274</v>
      </c>
    </row>
    <row r="88" spans="153:175" ht="14.4">
      <c r="EW88" s="3" t="e">
        <f>Cal!#REF!</f>
        <v>#REF!</v>
      </c>
      <c r="EX88" s="77" t="s">
        <v>324</v>
      </c>
      <c r="EY88" s="3">
        <v>25</v>
      </c>
      <c r="EZ88" s="3">
        <v>25</v>
      </c>
      <c r="FA88" s="3" t="s">
        <v>691</v>
      </c>
      <c r="FB88" s="75" cm="1">
        <f t="array" ref="FB88">_xll.DCEPropSectBox(EY88, EZ88, FA88, 1, 1, "Area")/100</f>
        <v>1.105316802635079</v>
      </c>
      <c r="FC88" s="75">
        <f t="shared" si="16"/>
        <v>0.86767369006853712</v>
      </c>
      <c r="FD88" s="75" cm="1">
        <f t="array" ref="FD88">_xll.DCEPropSectBox(EY88, EZ88, FA88, 1, 1, "Ix")/10000</f>
        <v>1.0254213728154749</v>
      </c>
      <c r="FE88" s="75" cm="1">
        <f t="array" ref="FE88">_xll.DCEPropSectBox(EY88, EZ88, FA88, 1, 1, "Iy")/10000</f>
        <v>1.0254213728154749</v>
      </c>
      <c r="FF88" s="75">
        <f t="shared" si="14"/>
        <v>0.82033709825237988</v>
      </c>
      <c r="FG88" s="75">
        <f t="shared" si="15"/>
        <v>0.82033709825237988</v>
      </c>
      <c r="FJ88" s="3" t="e">
        <f>Cal!#REF!</f>
        <v>#REF!</v>
      </c>
      <c r="FK88" s="77" t="s">
        <v>801</v>
      </c>
      <c r="FL88" s="3">
        <v>34</v>
      </c>
      <c r="FM88" s="3">
        <v>2.8</v>
      </c>
      <c r="FN88" s="80" cm="1">
        <f t="array" ref="FN88">_xll.DCEPropSectPipe(FL88, FM88, "A")/100</f>
        <v>2.7444953421760432</v>
      </c>
      <c r="FO88" s="75">
        <f t="shared" si="17"/>
        <v>2.1544288436081938</v>
      </c>
      <c r="FP88" s="76" cm="1">
        <f t="array" ref="FP88">_xll.DCEPropSectPipe(FL88, FM88, "I")/10000</f>
        <v>3.3663979867131353</v>
      </c>
      <c r="FQ88" s="76">
        <f t="shared" si="18"/>
        <v>3.3663979867131353</v>
      </c>
      <c r="FR88" s="75">
        <f t="shared" si="19"/>
        <v>1.9802341098312561</v>
      </c>
      <c r="FS88" s="75">
        <f t="shared" si="20"/>
        <v>1.9802341098312561</v>
      </c>
    </row>
    <row r="89" spans="153:175" ht="14.4">
      <c r="EW89" s="3" t="e">
        <f>Cal!#REF!</f>
        <v>#REF!</v>
      </c>
      <c r="EX89" s="77" t="s">
        <v>325</v>
      </c>
      <c r="EY89" s="3">
        <v>25</v>
      </c>
      <c r="EZ89" s="3">
        <v>25</v>
      </c>
      <c r="FA89" s="3" t="s">
        <v>692</v>
      </c>
      <c r="FB89" s="75" cm="1">
        <f t="array" ref="FB89">_xll.DCEPropSectBox(EY89, EZ89, FA89, 1, 1, "Area")/100</f>
        <v>1.27112564803108</v>
      </c>
      <c r="FC89" s="75">
        <f t="shared" si="16"/>
        <v>0.99783363370439782</v>
      </c>
      <c r="FD89" s="75" cm="1">
        <f t="array" ref="FD89">_xll.DCEPropSectBox(EY89, EZ89, FA89, 1, 1, "Ix")/10000</f>
        <v>1.1556233672758716</v>
      </c>
      <c r="FE89" s="75" cm="1">
        <f t="array" ref="FE89">_xll.DCEPropSectBox(EY89, EZ89, FA89, 1, 1, "Iy")/10000</f>
        <v>1.1556233672758716</v>
      </c>
      <c r="FF89" s="75">
        <f t="shared" si="14"/>
        <v>0.92449869382069727</v>
      </c>
      <c r="FG89" s="75">
        <f t="shared" si="15"/>
        <v>0.92449869382069727</v>
      </c>
      <c r="FJ89" s="3" t="e">
        <f>Cal!#REF!</f>
        <v>#REF!</v>
      </c>
      <c r="FK89" s="77" t="s">
        <v>802</v>
      </c>
      <c r="FL89" s="3">
        <v>34</v>
      </c>
      <c r="FM89" s="3">
        <v>3</v>
      </c>
      <c r="FN89" s="80" cm="1">
        <f t="array" ref="FN89">_xll.DCEPropSectPipe(FL89, FM89, "A")/100</f>
        <v>2.921681167838508</v>
      </c>
      <c r="FO89" s="75">
        <f t="shared" si="17"/>
        <v>2.2935197167532286</v>
      </c>
      <c r="FP89" s="76" cm="1">
        <f t="array" ref="FP89">_xll.DCEPropSectPipe(FL89, FM89, "I")/10000</f>
        <v>3.5425384160041902</v>
      </c>
      <c r="FQ89" s="76">
        <f t="shared" si="18"/>
        <v>3.5425384160041902</v>
      </c>
      <c r="FR89" s="75">
        <f t="shared" si="19"/>
        <v>2.0838461270612885</v>
      </c>
      <c r="FS89" s="75">
        <f t="shared" si="20"/>
        <v>2.0838461270612885</v>
      </c>
    </row>
    <row r="90" spans="153:175" ht="14.4">
      <c r="EW90" s="3" t="e">
        <f>Cal!#REF!</f>
        <v>#REF!</v>
      </c>
      <c r="EX90" s="77" t="s">
        <v>326</v>
      </c>
      <c r="EY90" s="3">
        <v>25</v>
      </c>
      <c r="EZ90" s="3">
        <v>25</v>
      </c>
      <c r="FA90" s="3" t="s">
        <v>693</v>
      </c>
      <c r="FB90" s="75" cm="1">
        <f t="array" ref="FB90">_xll.DCEPropSectBox(EY90, EZ90, FA90, 1, 1, "Area")/100</f>
        <v>1.3520575041173111</v>
      </c>
      <c r="FC90" s="75">
        <f t="shared" si="16"/>
        <v>1.0613651407320892</v>
      </c>
      <c r="FD90" s="75" cm="1">
        <f t="array" ref="FD90">_xll.DCEPropSectBox(EY90, EZ90, FA90, 1, 1, "Ix")/10000</f>
        <v>1.2166960147691726</v>
      </c>
      <c r="FE90" s="75" cm="1">
        <f t="array" ref="FE90">_xll.DCEPropSectBox(EY90, EZ90, FA90, 1, 1, "Iy")/10000</f>
        <v>1.2166960147691726</v>
      </c>
      <c r="FF90" s="75">
        <f t="shared" si="14"/>
        <v>0.97335681181533806</v>
      </c>
      <c r="FG90" s="75">
        <f t="shared" si="15"/>
        <v>0.97335681181533806</v>
      </c>
      <c r="FJ90" s="3" t="e">
        <f>Cal!#REF!</f>
        <v>#REF!</v>
      </c>
      <c r="FK90" s="77" t="s">
        <v>803</v>
      </c>
      <c r="FL90" s="3">
        <v>38.1</v>
      </c>
      <c r="FM90" s="3">
        <v>0.8</v>
      </c>
      <c r="FN90" s="80" cm="1">
        <f t="array" ref="FN90">_xll.DCEPropSectPipe(FL90, FM90, "A")/100</f>
        <v>0.93745124783119305</v>
      </c>
      <c r="FO90" s="75">
        <f t="shared" si="17"/>
        <v>0.73589922954748654</v>
      </c>
      <c r="FP90" s="76" cm="1">
        <f t="array" ref="FP90">_xll.DCEPropSectPipe(FL90, FM90, "I")/10000</f>
        <v>1.6310831442420952</v>
      </c>
      <c r="FQ90" s="76">
        <f t="shared" si="18"/>
        <v>1.6310831442420952</v>
      </c>
      <c r="FR90" s="75">
        <f t="shared" si="19"/>
        <v>0.85621162427406572</v>
      </c>
      <c r="FS90" s="75">
        <f t="shared" si="20"/>
        <v>0.85621162427406572</v>
      </c>
    </row>
    <row r="91" spans="153:175" ht="14.4">
      <c r="EW91" s="3" t="e">
        <f>Cal!#REF!</f>
        <v>#REF!</v>
      </c>
      <c r="EX91" s="77" t="s">
        <v>327</v>
      </c>
      <c r="EY91" s="3">
        <v>25</v>
      </c>
      <c r="EZ91" s="3">
        <v>25</v>
      </c>
      <c r="FA91" s="3" t="s">
        <v>694</v>
      </c>
      <c r="FB91" s="75" cm="1">
        <f t="array" ref="FB91">_xll.DCEPropSectBox(EY91, EZ91, FA91, 1, 1, "Area")/100</f>
        <v>1.4316743157956962</v>
      </c>
      <c r="FC91" s="75">
        <f t="shared" si="16"/>
        <v>1.1238643378996214</v>
      </c>
      <c r="FD91" s="75" cm="1">
        <f t="array" ref="FD91">_xll.DCEPropSectBox(EY91, EZ91, FA91, 1, 1, "Ix")/10000</f>
        <v>1.2751406938371592</v>
      </c>
      <c r="FE91" s="75" cm="1">
        <f t="array" ref="FE91">_xll.DCEPropSectBox(EY91, EZ91, FA91, 1, 1, "Iy")/10000</f>
        <v>1.2751406938371592</v>
      </c>
      <c r="FF91" s="75">
        <f t="shared" si="14"/>
        <v>1.0201125550697274</v>
      </c>
      <c r="FG91" s="75">
        <f t="shared" si="15"/>
        <v>1.0201125550697274</v>
      </c>
      <c r="FJ91" s="3" t="e">
        <f>Cal!#REF!</f>
        <v>#REF!</v>
      </c>
      <c r="FK91" s="77" t="s">
        <v>804</v>
      </c>
      <c r="FL91" s="3">
        <v>38.1</v>
      </c>
      <c r="FM91" s="3">
        <v>0.9</v>
      </c>
      <c r="FN91" s="80" cm="1">
        <f t="array" ref="FN91">_xll.DCEPropSectPipe(FL91, FM91, "A")/100</f>
        <v>1.0518052204218611</v>
      </c>
      <c r="FO91" s="75">
        <f t="shared" si="17"/>
        <v>0.82566709803116101</v>
      </c>
      <c r="FP91" s="76" cm="1">
        <f t="array" ref="FP91">_xll.DCEPropSectPipe(FL91, FM91, "I")/10000</f>
        <v>1.8204776230714139</v>
      </c>
      <c r="FQ91" s="76">
        <f t="shared" si="18"/>
        <v>1.8204776230714139</v>
      </c>
      <c r="FR91" s="75">
        <f t="shared" si="19"/>
        <v>0.95563129820021731</v>
      </c>
      <c r="FS91" s="75">
        <f t="shared" si="20"/>
        <v>0.95563129820021731</v>
      </c>
    </row>
    <row r="92" spans="153:175" ht="14.4">
      <c r="EW92" s="3" t="e">
        <f>Cal!#REF!</f>
        <v>#REF!</v>
      </c>
      <c r="EX92" s="77" t="s">
        <v>328</v>
      </c>
      <c r="EY92" s="3">
        <v>25</v>
      </c>
      <c r="EZ92" s="3">
        <v>25</v>
      </c>
      <c r="FA92" s="3" t="s">
        <v>695</v>
      </c>
      <c r="FB92" s="75" cm="1">
        <f t="array" ref="FB92">_xll.DCEPropSectBox(EY92, EZ92, FA92, 1, 1, "Area")/100</f>
        <v>1.509976083066235</v>
      </c>
      <c r="FC92" s="75">
        <f t="shared" si="16"/>
        <v>1.1853312252069943</v>
      </c>
      <c r="FD92" s="75" cm="1">
        <f t="array" ref="FD92">_xll.DCEPropSectBox(EY92, EZ92, FA92, 1, 1, "Ix")/10000</f>
        <v>1.3310002470545832</v>
      </c>
      <c r="FE92" s="75" cm="1">
        <f t="array" ref="FE92">_xll.DCEPropSectBox(EY92, EZ92, FA92, 1, 1, "Iy")/10000</f>
        <v>1.3310002470545832</v>
      </c>
      <c r="FF92" s="75">
        <f t="shared" si="14"/>
        <v>1.0648001976436665</v>
      </c>
      <c r="FG92" s="75">
        <f t="shared" si="15"/>
        <v>1.0648001976436665</v>
      </c>
      <c r="FJ92" s="3" t="e">
        <f>Cal!#REF!</f>
        <v>#REF!</v>
      </c>
      <c r="FK92" s="77" t="s">
        <v>805</v>
      </c>
      <c r="FL92" s="3">
        <v>38.1</v>
      </c>
      <c r="FM92" s="3">
        <v>1</v>
      </c>
      <c r="FN92" s="80" cm="1">
        <f t="array" ref="FN92">_xll.DCEPropSectPipe(FL92, FM92, "A")/100</f>
        <v>1.1655308744818127</v>
      </c>
      <c r="FO92" s="75">
        <f t="shared" si="17"/>
        <v>0.91494173646822297</v>
      </c>
      <c r="FP92" s="76" cm="1">
        <f t="array" ref="FP92">_xll.DCEPropSectPipe(FL92, FM92, "I")/10000</f>
        <v>2.0067673522749931</v>
      </c>
      <c r="FQ92" s="76">
        <f t="shared" si="18"/>
        <v>2.0067673522749931</v>
      </c>
      <c r="FR92" s="75">
        <f t="shared" si="19"/>
        <v>1.0534211822965842</v>
      </c>
      <c r="FS92" s="75">
        <f t="shared" si="20"/>
        <v>1.0534211822965842</v>
      </c>
    </row>
    <row r="93" spans="153:175" ht="14.4">
      <c r="EW93" s="3" t="e">
        <f>Cal!#REF!</f>
        <v>#REF!</v>
      </c>
      <c r="EX93" s="77" t="s">
        <v>329</v>
      </c>
      <c r="EY93" s="3">
        <v>25</v>
      </c>
      <c r="EZ93" s="3">
        <v>25</v>
      </c>
      <c r="FA93" s="3" t="s">
        <v>696</v>
      </c>
      <c r="FB93" s="75" cm="1">
        <f t="array" ref="FB93">_xll.DCEPropSectBox(EY93, EZ93, FA93, 1, 1, "Area")/100</f>
        <v>1.5869628059289278</v>
      </c>
      <c r="FC93" s="75">
        <f t="shared" si="16"/>
        <v>1.2457658026542082</v>
      </c>
      <c r="FD93" s="75" cm="1">
        <f t="array" ref="FD93">_xll.DCEPropSectBox(EY93, EZ93, FA93, 1, 1, "Ix")/10000</f>
        <v>1.3843172322164259</v>
      </c>
      <c r="FE93" s="75" cm="1">
        <f t="array" ref="FE93">_xll.DCEPropSectBox(EY93, EZ93, FA93, 1, 1, "Iy")/10000</f>
        <v>1.3843172322164259</v>
      </c>
      <c r="FF93" s="75">
        <f t="shared" si="14"/>
        <v>1.1074537857731408</v>
      </c>
      <c r="FG93" s="75">
        <f t="shared" si="15"/>
        <v>1.1074537857731408</v>
      </c>
      <c r="FJ93" s="3" t="e">
        <f>Cal!#REF!</f>
        <v>#REF!</v>
      </c>
      <c r="FK93" s="77" t="s">
        <v>806</v>
      </c>
      <c r="FL93" s="3">
        <v>38.1</v>
      </c>
      <c r="FM93" s="3">
        <v>1.1000000000000001</v>
      </c>
      <c r="FN93" s="80" cm="1">
        <f t="array" ref="FN93">_xll.DCEPropSectPipe(FL93, FM93, "A")/100</f>
        <v>1.2786282100110464</v>
      </c>
      <c r="FO93" s="75">
        <f t="shared" si="17"/>
        <v>1.0037231448586716</v>
      </c>
      <c r="FP93" s="76" cm="1">
        <f t="array" ref="FP93">_xll.DCEPropSectPipe(FL93, FM93, "I")/10000</f>
        <v>2.1899864495490458</v>
      </c>
      <c r="FQ93" s="76">
        <f t="shared" si="18"/>
        <v>2.1899864495490458</v>
      </c>
      <c r="FR93" s="75">
        <f t="shared" si="19"/>
        <v>1.1495991861149846</v>
      </c>
      <c r="FS93" s="75">
        <f t="shared" si="20"/>
        <v>1.1495991861149846</v>
      </c>
    </row>
    <row r="94" spans="153:175" ht="14.4">
      <c r="EW94" s="3" t="e">
        <f>Cal!#REF!</f>
        <v>#REF!</v>
      </c>
      <c r="EX94" s="77" t="s">
        <v>330</v>
      </c>
      <c r="EY94" s="3">
        <v>25</v>
      </c>
      <c r="EZ94" s="3">
        <v>25</v>
      </c>
      <c r="FA94" s="3" t="s">
        <v>697</v>
      </c>
      <c r="FB94" s="75" cm="1">
        <f t="array" ref="FB94">_xll.DCEPropSectBox(EY94, EZ94, FA94, 1, 1, "Area")/100</f>
        <v>1.6626344843837746</v>
      </c>
      <c r="FC94" s="75">
        <f t="shared" si="16"/>
        <v>1.3051680702412631</v>
      </c>
      <c r="FD94" s="75" cm="1">
        <f t="array" ref="FD94">_xll.DCEPropSectBox(EY94, EZ94, FA94, 1, 1, "Ix")/10000</f>
        <v>1.4351339223378972</v>
      </c>
      <c r="FE94" s="75" cm="1">
        <f t="array" ref="FE94">_xll.DCEPropSectBox(EY94, EZ94, FA94, 1, 1, "Iy")/10000</f>
        <v>1.4351339223378972</v>
      </c>
      <c r="FF94" s="75">
        <f t="shared" si="14"/>
        <v>1.1481071378703178</v>
      </c>
      <c r="FG94" s="75">
        <f t="shared" si="15"/>
        <v>1.1481071378703178</v>
      </c>
      <c r="FJ94" s="3" t="e">
        <f>Cal!#REF!</f>
        <v>#REF!</v>
      </c>
      <c r="FK94" s="77" t="s">
        <v>807</v>
      </c>
      <c r="FL94" s="3">
        <v>38.1</v>
      </c>
      <c r="FM94" s="3">
        <v>1.2</v>
      </c>
      <c r="FN94" s="80" cm="1">
        <f t="array" ref="FN94">_xll.DCEPropSectPipe(FL94, FM94, "A")/100</f>
        <v>1.391097227009559</v>
      </c>
      <c r="FO94" s="75">
        <f t="shared" si="17"/>
        <v>1.0920113232025037</v>
      </c>
      <c r="FP94" s="76" cm="1">
        <f t="array" ref="FP94">_xll.DCEPropSectPipe(FL94, FM94, "I")/10000</f>
        <v>2.3701688440942266</v>
      </c>
      <c r="FQ94" s="76">
        <f t="shared" si="18"/>
        <v>2.3701688440942266</v>
      </c>
      <c r="FR94" s="75">
        <f t="shared" si="19"/>
        <v>1.2441831202594364</v>
      </c>
      <c r="FS94" s="75">
        <f t="shared" si="20"/>
        <v>1.2441831202594364</v>
      </c>
    </row>
    <row r="95" spans="153:175" ht="14.4">
      <c r="EW95" s="3" t="e">
        <f>Cal!#REF!</f>
        <v>#REF!</v>
      </c>
      <c r="EX95" s="77" t="s">
        <v>331</v>
      </c>
      <c r="EY95" s="3">
        <v>25</v>
      </c>
      <c r="EZ95" s="3">
        <v>25</v>
      </c>
      <c r="FA95" s="3" t="s">
        <v>698</v>
      </c>
      <c r="FB95" s="75" cm="1">
        <f t="array" ref="FB95">_xll.DCEPropSectBox(EY95, EZ95, FA95, 1, 1, "Area")/100</f>
        <v>1.7369911184307751</v>
      </c>
      <c r="FC95" s="75">
        <f t="shared" si="16"/>
        <v>1.3635380279681584</v>
      </c>
      <c r="FD95" s="75" cm="1">
        <f t="array" ref="FD95">_xll.DCEPropSectBox(EY95, EZ95, FA95, 1, 1, "Ix")/10000</f>
        <v>1.4834923056544402</v>
      </c>
      <c r="FE95" s="75" cm="1">
        <f t="array" ref="FE95">_xll.DCEPropSectBox(EY95, EZ95, FA95, 1, 1, "Iy")/10000</f>
        <v>1.4834923056544402</v>
      </c>
      <c r="FF95" s="75">
        <f t="shared" si="14"/>
        <v>1.1867938445235522</v>
      </c>
      <c r="FG95" s="75">
        <f t="shared" si="15"/>
        <v>1.1867938445235522</v>
      </c>
      <c r="FJ95" s="3" t="e">
        <f>Cal!#REF!</f>
        <v>#REF!</v>
      </c>
      <c r="FK95" s="77" t="s">
        <v>808</v>
      </c>
      <c r="FL95" s="3">
        <v>38.1</v>
      </c>
      <c r="FM95" s="3">
        <v>1.4</v>
      </c>
      <c r="FN95" s="80" cm="1">
        <f t="array" ref="FN95">_xll.DCEPropSectPipe(FL95, FM95, "A")/100</f>
        <v>1.6141503054144324</v>
      </c>
      <c r="FO95" s="75">
        <f t="shared" si="17"/>
        <v>1.2671079897503295</v>
      </c>
      <c r="FP95" s="76" cm="1">
        <f t="array" ref="FP95">_xll.DCEPropSectPipe(FL95, FM95, "I")/10000</f>
        <v>2.7215582993228251</v>
      </c>
      <c r="FQ95" s="76">
        <f t="shared" si="18"/>
        <v>2.7215582993228251</v>
      </c>
      <c r="FR95" s="75">
        <f t="shared" si="19"/>
        <v>1.4286395272035828</v>
      </c>
      <c r="FS95" s="75">
        <f t="shared" si="20"/>
        <v>1.4286395272035828</v>
      </c>
    </row>
    <row r="96" spans="153:175" ht="14.4">
      <c r="EW96" s="3" t="e">
        <f>Cal!#REF!</f>
        <v>#REF!</v>
      </c>
      <c r="EX96" s="77" t="s">
        <v>332</v>
      </c>
      <c r="EY96" s="3">
        <v>20</v>
      </c>
      <c r="EZ96" s="3">
        <v>40</v>
      </c>
      <c r="FA96" s="3" t="s">
        <v>686</v>
      </c>
      <c r="FB96" s="75" cm="1">
        <f t="array" ref="FB96">_xll.DCEPropSectBox(EY96, EZ96, FA96, 1, 1, "Area")/100</f>
        <v>0.80778141200776987</v>
      </c>
      <c r="FC96" s="75">
        <f t="shared" si="16"/>
        <v>0.63410840842609939</v>
      </c>
      <c r="FD96" s="75" cm="1">
        <f t="array" ref="FD96">_xll.DCEPropSectBox(EY96, EZ96, FA96, 1, 1, "Ix")/10000</f>
        <v>1.7024289007972937</v>
      </c>
      <c r="FE96" s="75" cm="1">
        <f t="array" ref="FE96">_xll.DCEPropSectBox(EY96, EZ96, FA96, 1, 1, "Iy")/10000</f>
        <v>0.58450479346949391</v>
      </c>
      <c r="FF96" s="75">
        <f t="shared" si="14"/>
        <v>0.85121445039864685</v>
      </c>
      <c r="FG96" s="75">
        <f t="shared" si="15"/>
        <v>0.58450479346949391</v>
      </c>
      <c r="FJ96" s="3" t="e">
        <f>Cal!#REF!</f>
        <v>#REF!</v>
      </c>
      <c r="FK96" s="77" t="s">
        <v>809</v>
      </c>
      <c r="FL96" s="3">
        <v>38.1</v>
      </c>
      <c r="FM96" s="3">
        <v>1.5</v>
      </c>
      <c r="FN96" s="80" cm="1">
        <f t="array" ref="FN96">_xll.DCEPropSectPipe(FL96, FM96, "A")/100</f>
        <v>1.7247343668207964</v>
      </c>
      <c r="FO96" s="75">
        <f t="shared" si="17"/>
        <v>1.3539164779543251</v>
      </c>
      <c r="FP96" s="76" cm="1">
        <f t="array" ref="FP96">_xll.DCEPropSectPipe(FL96, FM96, "I")/10000</f>
        <v>2.8928322759297678</v>
      </c>
      <c r="FQ96" s="76">
        <f t="shared" si="18"/>
        <v>2.8928322759297678</v>
      </c>
      <c r="FR96" s="75">
        <f t="shared" si="19"/>
        <v>1.5185471264723189</v>
      </c>
      <c r="FS96" s="75">
        <f t="shared" si="20"/>
        <v>1.5185471264723189</v>
      </c>
    </row>
    <row r="97" spans="153:175" ht="14.4">
      <c r="EW97" s="3" t="e">
        <f>Cal!#REF!</f>
        <v>#REF!</v>
      </c>
      <c r="EX97" s="77" t="s">
        <v>333</v>
      </c>
      <c r="EY97" s="3">
        <v>20</v>
      </c>
      <c r="EZ97" s="3">
        <v>40</v>
      </c>
      <c r="FA97" s="3" t="s">
        <v>687</v>
      </c>
      <c r="FB97" s="75" cm="1">
        <f t="array" ref="FB97">_xll.DCEPropSectBox(EY97, EZ97, FA97, 1, 1, "Area")/100</f>
        <v>0.91791857894892404</v>
      </c>
      <c r="FC97" s="75">
        <f t="shared" si="16"/>
        <v>0.72056608447490533</v>
      </c>
      <c r="FD97" s="75" cm="1">
        <f t="array" ref="FD97">_xll.DCEPropSectBox(EY97, EZ97, FA97, 1, 1, "Ix")/10000</f>
        <v>1.9195284895210705</v>
      </c>
      <c r="FE97" s="75" cm="1">
        <f t="array" ref="FE97">_xll.DCEPropSectBox(EY97, EZ97, FA97, 1, 1, "Iy")/10000</f>
        <v>0.65724536460461946</v>
      </c>
      <c r="FF97" s="75">
        <f t="shared" si="14"/>
        <v>0.95976424476053523</v>
      </c>
      <c r="FG97" s="75">
        <f t="shared" si="15"/>
        <v>0.65724536460461946</v>
      </c>
      <c r="FJ97" s="3" t="e">
        <f>Cal!#REF!</f>
        <v>#REF!</v>
      </c>
      <c r="FK97" s="77" t="s">
        <v>810</v>
      </c>
      <c r="FL97" s="3">
        <v>38.1</v>
      </c>
      <c r="FM97" s="3">
        <v>1.7</v>
      </c>
      <c r="FN97" s="80" cm="1">
        <f t="array" ref="FN97">_xll.DCEPropSectPipe(FL97, FM97, "A")/100</f>
        <v>1.9440175340413623</v>
      </c>
      <c r="FO97" s="75">
        <f t="shared" si="17"/>
        <v>1.5260537642224694</v>
      </c>
      <c r="FP97" s="76" cm="1">
        <f t="array" ref="FP97">_xll.DCEPropSectPipe(FL97, FM97, "I")/10000</f>
        <v>3.2267046032210316</v>
      </c>
      <c r="FQ97" s="76">
        <f t="shared" si="18"/>
        <v>3.2267046032210316</v>
      </c>
      <c r="FR97" s="75">
        <f t="shared" si="19"/>
        <v>1.6938081906672082</v>
      </c>
      <c r="FS97" s="75">
        <f t="shared" si="20"/>
        <v>1.6938081906672082</v>
      </c>
    </row>
    <row r="98" spans="153:175" ht="14.4">
      <c r="EW98" s="3" t="e">
        <f>Cal!#REF!</f>
        <v>#REF!</v>
      </c>
      <c r="EX98" s="77" t="s">
        <v>334</v>
      </c>
      <c r="EY98" s="3">
        <v>20</v>
      </c>
      <c r="EZ98" s="3">
        <v>40</v>
      </c>
      <c r="FA98" s="3" t="s">
        <v>688</v>
      </c>
      <c r="FB98" s="75" cm="1">
        <f t="array" ref="FB98">_xll.DCEPropSectBox(EY98, EZ98, FA98, 1, 1, "Area")/100</f>
        <v>1.0267407014822321</v>
      </c>
      <c r="FC98" s="75">
        <f t="shared" si="16"/>
        <v>0.80599145066355216</v>
      </c>
      <c r="FD98" s="75" cm="1">
        <f t="array" ref="FD98">_xll.DCEPropSectBox(EY98, EZ98, FA98, 1, 1, "Ix")/10000</f>
        <v>2.1302996491922515</v>
      </c>
      <c r="FE98" s="75" cm="1">
        <f t="array" ref="FE98">_xll.DCEPropSectBox(EY98, EZ98, FA98, 1, 1, "Iy")/10000</f>
        <v>0.72742819727916053</v>
      </c>
      <c r="FF98" s="75">
        <f t="shared" si="14"/>
        <v>1.0651498245961257</v>
      </c>
      <c r="FG98" s="75">
        <f t="shared" si="15"/>
        <v>0.72742819727916053</v>
      </c>
      <c r="FJ98" s="3" t="e">
        <f>Cal!#REF!</f>
        <v>#REF!</v>
      </c>
      <c r="FK98" s="77" t="s">
        <v>811</v>
      </c>
      <c r="FL98" s="3">
        <v>38.1</v>
      </c>
      <c r="FM98" s="3">
        <v>1.8</v>
      </c>
      <c r="FN98" s="80" cm="1">
        <f t="array" ref="FN98">_xll.DCEPropSectPipe(FL98, FM98, "A")/100</f>
        <v>2.052716639855571</v>
      </c>
      <c r="FO98" s="75">
        <f t="shared" si="17"/>
        <v>1.6113825622866234</v>
      </c>
      <c r="FP98" s="76" cm="1">
        <f t="array" ref="FP98">_xll.DCEPropSectPipe(FL98, FM98, "I")/10000</f>
        <v>3.3893687388555263</v>
      </c>
      <c r="FQ98" s="76">
        <f t="shared" si="18"/>
        <v>3.3893687388555263</v>
      </c>
      <c r="FR98" s="75">
        <f t="shared" si="19"/>
        <v>1.7791961883756042</v>
      </c>
      <c r="FS98" s="75">
        <f t="shared" si="20"/>
        <v>1.7791961883756042</v>
      </c>
    </row>
    <row r="99" spans="153:175" ht="14.4">
      <c r="EW99" s="3" t="e">
        <f>Cal!#REF!</f>
        <v>#REF!</v>
      </c>
      <c r="EX99" s="77" t="s">
        <v>335</v>
      </c>
      <c r="EY99" s="3">
        <v>20</v>
      </c>
      <c r="EZ99" s="3">
        <v>40</v>
      </c>
      <c r="FA99" s="3" t="s">
        <v>689</v>
      </c>
      <c r="FB99" s="75" cm="1">
        <f t="array" ref="FB99">_xll.DCEPropSectBox(EY99, EZ99, FA99, 1, 1, "Area")/100</f>
        <v>1.1342477796076937</v>
      </c>
      <c r="FC99" s="75">
        <f t="shared" si="16"/>
        <v>0.89038450699203964</v>
      </c>
      <c r="FD99" s="75" cm="1">
        <f t="array" ref="FD99">_xll.DCEPropSectBox(EY99, EZ99, FA99, 1, 1, "Ix")/10000</f>
        <v>2.3348075698406912</v>
      </c>
      <c r="FE99" s="75" cm="1">
        <f t="array" ref="FE99">_xll.DCEPropSectBox(EY99, EZ99, FA99, 1, 1, "Iy")/10000</f>
        <v>0.79509667619402036</v>
      </c>
      <c r="FF99" s="75">
        <f t="shared" si="14"/>
        <v>1.1674037849203456</v>
      </c>
      <c r="FG99" s="75">
        <f t="shared" si="15"/>
        <v>0.79509667619402036</v>
      </c>
      <c r="FJ99" s="3" t="e">
        <f>Cal!#REF!</f>
        <v>#REF!</v>
      </c>
      <c r="FK99" s="77" t="s">
        <v>812</v>
      </c>
      <c r="FL99" s="3">
        <v>38.1</v>
      </c>
      <c r="FM99" s="3">
        <v>2</v>
      </c>
      <c r="FN99" s="80" cm="1">
        <f t="array" ref="FN99">_xll.DCEPropSectPipe(FL99, FM99, "A")/100</f>
        <v>2.2682298958918294</v>
      </c>
      <c r="FO99" s="75">
        <f t="shared" si="17"/>
        <v>1.7805604682750862</v>
      </c>
      <c r="FP99" s="76" cm="1">
        <f t="array" ref="FP99">_xll.DCEPropSectPipe(FL99, FM99, "I")/10000</f>
        <v>3.7063160027609512</v>
      </c>
      <c r="FQ99" s="76">
        <f t="shared" si="18"/>
        <v>3.7063160027609512</v>
      </c>
      <c r="FR99" s="75">
        <f t="shared" si="19"/>
        <v>1.9455727048613918</v>
      </c>
      <c r="FS99" s="75">
        <f t="shared" si="20"/>
        <v>1.9455727048613918</v>
      </c>
    </row>
    <row r="100" spans="153:175" ht="14.4">
      <c r="EW100" s="3" t="e">
        <f>Cal!#REF!</f>
        <v>#REF!</v>
      </c>
      <c r="EX100" s="77" t="s">
        <v>336</v>
      </c>
      <c r="EY100" s="3">
        <v>20</v>
      </c>
      <c r="EZ100" s="3">
        <v>40</v>
      </c>
      <c r="FA100" s="3" t="s">
        <v>690</v>
      </c>
      <c r="FB100" s="75" cm="1">
        <f t="array" ref="FB100">_xll.DCEPropSectBox(EY100, EZ100, FA100, 1, 1, "Area")/100</f>
        <v>1.2404398133253096</v>
      </c>
      <c r="FC100" s="75">
        <f t="shared" si="16"/>
        <v>0.97374525346036811</v>
      </c>
      <c r="FD100" s="75" cm="1">
        <f t="array" ref="FD100">_xll.DCEPropSectBox(EY100, EZ100, FA100, 1, 1, "Ix")/10000</f>
        <v>2.5331171567164574</v>
      </c>
      <c r="FE100" s="75" cm="1">
        <f t="array" ref="FE100">_xll.DCEPropSectBox(EY100, EZ100, FA100, 1, 1, "Iy")/10000</f>
        <v>0.86029390127033056</v>
      </c>
      <c r="FF100" s="75">
        <f t="shared" si="14"/>
        <v>1.2665585783582287</v>
      </c>
      <c r="FG100" s="75">
        <f t="shared" si="15"/>
        <v>0.86029390127033056</v>
      </c>
      <c r="FJ100" s="3" t="e">
        <f>Cal!#REF!</f>
        <v>#REF!</v>
      </c>
      <c r="FK100" s="77" t="s">
        <v>813</v>
      </c>
      <c r="FL100" s="3">
        <v>38.1</v>
      </c>
      <c r="FM100" s="3">
        <v>2.2999999999999998</v>
      </c>
      <c r="FN100" s="80" cm="1">
        <f t="array" ref="FN100">_xll.DCEPropSectPipe(FL100, FM100, "A")/100</f>
        <v>2.586787390965835</v>
      </c>
      <c r="FO100" s="75">
        <f t="shared" si="17"/>
        <v>2.0306281019081807</v>
      </c>
      <c r="FP100" s="76" cm="1">
        <f t="array" ref="FP100">_xll.DCEPropSectPipe(FL100, FM100, "I")/10000</f>
        <v>4.1612678713195805</v>
      </c>
      <c r="FQ100" s="76">
        <f t="shared" si="18"/>
        <v>4.1612678713195805</v>
      </c>
      <c r="FR100" s="75">
        <f t="shared" si="19"/>
        <v>2.1843925833698585</v>
      </c>
      <c r="FS100" s="75">
        <f t="shared" si="20"/>
        <v>2.1843925833698585</v>
      </c>
    </row>
    <row r="101" spans="153:175" ht="14.4">
      <c r="EW101" s="3" t="e">
        <f>Cal!#REF!</f>
        <v>#REF!</v>
      </c>
      <c r="EX101" s="77" t="s">
        <v>337</v>
      </c>
      <c r="EY101" s="3">
        <v>20</v>
      </c>
      <c r="EZ101" s="3">
        <v>40</v>
      </c>
      <c r="FA101" s="3" t="s">
        <v>691</v>
      </c>
      <c r="FB101" s="75" cm="1">
        <f t="array" ref="FB101">_xll.DCEPropSectBox(EY101, EZ101, FA101, 1, 1, "Area")/100</f>
        <v>1.3453168026350792</v>
      </c>
      <c r="FC101" s="75">
        <f t="shared" si="16"/>
        <v>1.0560736900685372</v>
      </c>
      <c r="FD101" s="75" cm="1">
        <f t="array" ref="FD101">_xll.DCEPropSectBox(EY101, EZ101, FA101, 1, 1, "Ix")/10000</f>
        <v>2.7252930302898521</v>
      </c>
      <c r="FE101" s="75" cm="1">
        <f t="array" ref="FE101">_xll.DCEPropSectBox(EY101, EZ101, FA101, 1, 1, "Iy")/10000</f>
        <v>0.92306268764945276</v>
      </c>
      <c r="FF101" s="75">
        <f t="shared" si="14"/>
        <v>1.3626465151449261</v>
      </c>
      <c r="FG101" s="75">
        <f t="shared" si="15"/>
        <v>0.92306268764945276</v>
      </c>
      <c r="FJ101" s="3" t="e">
        <f>Cal!#REF!</f>
        <v>#REF!</v>
      </c>
      <c r="FK101" s="77" t="s">
        <v>814</v>
      </c>
      <c r="FL101" s="3">
        <v>38.1</v>
      </c>
      <c r="FM101" s="3">
        <v>2.5</v>
      </c>
      <c r="FN101" s="80" cm="1">
        <f t="array" ref="FN101">_xll.DCEPropSectPipe(FL101, FM101, "A")/100</f>
        <v>2.7960174616949143</v>
      </c>
      <c r="FO101" s="75">
        <f t="shared" si="17"/>
        <v>2.1948737074305074</v>
      </c>
      <c r="FP101" s="76" cm="1">
        <f t="array" ref="FP101">_xll.DCEPropSectPipe(FL101, FM101, "I")/10000</f>
        <v>4.4512947492365784</v>
      </c>
      <c r="FQ101" s="76">
        <f t="shared" si="18"/>
        <v>4.4512947492365784</v>
      </c>
      <c r="FR101" s="75">
        <f t="shared" si="19"/>
        <v>2.3366376636412487</v>
      </c>
      <c r="FS101" s="75">
        <f t="shared" si="20"/>
        <v>2.3366376636412487</v>
      </c>
    </row>
    <row r="102" spans="153:175" ht="14.4">
      <c r="EW102" s="3" t="e">
        <f>Cal!#REF!</f>
        <v>#REF!</v>
      </c>
      <c r="EX102" s="77" t="s">
        <v>338</v>
      </c>
      <c r="EY102" s="3">
        <v>20</v>
      </c>
      <c r="EZ102" s="3">
        <v>40</v>
      </c>
      <c r="FA102" s="3" t="s">
        <v>692</v>
      </c>
      <c r="FB102" s="75" cm="1">
        <f t="array" ref="FB102">_xll.DCEPropSectBox(EY102, EZ102, FA102, 1, 1, "Area")/100</f>
        <v>1.5511256480310798</v>
      </c>
      <c r="FC102" s="75">
        <f t="shared" si="16"/>
        <v>1.2176336337043976</v>
      </c>
      <c r="FD102" s="75" cm="1">
        <f t="array" ref="FD102">_xll.DCEPropSectBox(EY102, EZ102, FA102, 1, 1, "Ix")/10000</f>
        <v>3.0915006955119066</v>
      </c>
      <c r="FE102" s="75" cm="1">
        <f t="array" ref="FE102">_xll.DCEPropSectBox(EY102, EZ102, FA102, 1, 1, "Iy")/10000</f>
        <v>1.0414847809827403</v>
      </c>
      <c r="FF102" s="75">
        <f t="shared" si="14"/>
        <v>1.5457503477559533</v>
      </c>
      <c r="FG102" s="75">
        <f t="shared" si="15"/>
        <v>1.0414847809827403</v>
      </c>
      <c r="FJ102" s="3" t="e">
        <f>Cal!#REF!</f>
        <v>#REF!</v>
      </c>
      <c r="FK102" s="77" t="s">
        <v>815</v>
      </c>
      <c r="FL102" s="3">
        <v>38.1</v>
      </c>
      <c r="FM102" s="3">
        <v>2.8</v>
      </c>
      <c r="FN102" s="80" cm="1">
        <f t="array" ref="FN102">_xll.DCEPropSectPipe(FL102, FM102, "A")/100</f>
        <v>3.105150178808151</v>
      </c>
      <c r="FO102" s="75">
        <f t="shared" si="17"/>
        <v>2.4375428903643983</v>
      </c>
      <c r="FP102" s="76" cm="1">
        <f t="array" ref="FP102">_xll.DCEPropSectPipe(FL102, FM102, "I")/10000</f>
        <v>4.8670512046411334</v>
      </c>
      <c r="FQ102" s="76">
        <f t="shared" si="18"/>
        <v>4.8670512046411334</v>
      </c>
      <c r="FR102" s="75">
        <f t="shared" si="19"/>
        <v>2.5548825221213298</v>
      </c>
      <c r="FS102" s="75">
        <f t="shared" si="20"/>
        <v>2.5548825221213298</v>
      </c>
    </row>
    <row r="103" spans="153:175" ht="14.4">
      <c r="EW103" s="3" t="e">
        <f>Cal!#REF!</f>
        <v>#REF!</v>
      </c>
      <c r="EX103" s="77" t="s">
        <v>339</v>
      </c>
      <c r="EY103" s="3">
        <v>20</v>
      </c>
      <c r="EZ103" s="3">
        <v>40</v>
      </c>
      <c r="FA103" s="3" t="s">
        <v>693</v>
      </c>
      <c r="FB103" s="75" cm="1">
        <f t="array" ref="FB103">_xll.DCEPropSectBox(EY103, EZ103, FA103, 1, 1, "Area")/100</f>
        <v>1.6520575041173111</v>
      </c>
      <c r="FC103" s="75">
        <f t="shared" si="16"/>
        <v>1.2968651407320892</v>
      </c>
      <c r="FD103" s="75" cm="1">
        <f t="array" ref="FD103">_xll.DCEPropSectBox(EY103, EZ103, FA103, 1, 1, "Ix")/10000</f>
        <v>3.2656603042023282</v>
      </c>
      <c r="FE103" s="75" cm="1">
        <f t="array" ref="FE103">_xll.DCEPropSectBox(EY103, EZ103, FA103, 1, 1, "Iy")/10000</f>
        <v>1.0972222943207821</v>
      </c>
      <c r="FF103" s="75">
        <f t="shared" si="14"/>
        <v>1.6328301521011641</v>
      </c>
      <c r="FG103" s="75">
        <f t="shared" si="15"/>
        <v>1.0972222943207821</v>
      </c>
      <c r="FJ103" s="3" t="e">
        <f>Cal!#REF!</f>
        <v>#REF!</v>
      </c>
      <c r="FK103" s="77" t="s">
        <v>816</v>
      </c>
      <c r="FL103" s="3">
        <v>38.1</v>
      </c>
      <c r="FM103" s="3">
        <v>3</v>
      </c>
      <c r="FN103" s="80" cm="1">
        <f t="array" ref="FN103">_xll.DCEPropSectPipe(FL103, FM103, "A")/100</f>
        <v>3.308097064230052</v>
      </c>
      <c r="FO103" s="75">
        <f t="shared" si="17"/>
        <v>2.5968561954205911</v>
      </c>
      <c r="FP103" s="76" cm="1">
        <f t="array" ref="FP103">_xll.DCEPropSectPipe(FL103, FM103, "I")/10000</f>
        <v>5.1317269221001718</v>
      </c>
      <c r="FQ103" s="76">
        <f t="shared" si="18"/>
        <v>5.1317269221001718</v>
      </c>
      <c r="FR103" s="75">
        <f t="shared" si="19"/>
        <v>2.6938199066142632</v>
      </c>
      <c r="FS103" s="75">
        <f t="shared" si="20"/>
        <v>2.6938199066142632</v>
      </c>
    </row>
    <row r="104" spans="153:175" ht="14.4">
      <c r="EW104" s="3" t="e">
        <f>Cal!#REF!</f>
        <v>#REF!</v>
      </c>
      <c r="EX104" s="77" t="s">
        <v>340</v>
      </c>
      <c r="EY104" s="3">
        <v>20</v>
      </c>
      <c r="EZ104" s="3">
        <v>40</v>
      </c>
      <c r="FA104" s="3" t="s">
        <v>694</v>
      </c>
      <c r="FB104" s="75" cm="1">
        <f t="array" ref="FB104">_xll.DCEPropSectBox(EY104, EZ104, FA104, 1, 1, "Area")/100</f>
        <v>1.751674315795696</v>
      </c>
      <c r="FC104" s="75">
        <f t="shared" si="16"/>
        <v>1.3750643378996215</v>
      </c>
      <c r="FD104" s="75" cm="1">
        <f t="array" ref="FD104">_xll.DCEPropSectBox(EY104, EZ104, FA104, 1, 1, "Ix")/10000</f>
        <v>3.4339418336739036</v>
      </c>
      <c r="FE104" s="75" cm="1">
        <f t="array" ref="FE104">_xll.DCEPropSectBox(EY104, EZ104, FA104, 1, 1, "Iy")/10000</f>
        <v>1.150699781729392</v>
      </c>
      <c r="FF104" s="75">
        <f t="shared" si="14"/>
        <v>1.7169709168369518</v>
      </c>
      <c r="FG104" s="75">
        <f t="shared" si="15"/>
        <v>1.150699781729392</v>
      </c>
      <c r="FJ104" s="3" t="e">
        <f>Cal!#REF!</f>
        <v>#REF!</v>
      </c>
      <c r="FK104" s="77" t="s">
        <v>817</v>
      </c>
      <c r="FL104" s="3">
        <v>42</v>
      </c>
      <c r="FM104" s="3">
        <v>0.8</v>
      </c>
      <c r="FN104" s="80" cm="1">
        <f t="array" ref="FN104">_xll.DCEPropSectPipe(FL104, FM104, "A")/100</f>
        <v>1.0354689386231961</v>
      </c>
      <c r="FO104" s="75">
        <f t="shared" si="17"/>
        <v>0.81284311681920896</v>
      </c>
      <c r="FP104" s="76" cm="1">
        <f t="array" ref="FP104">_xll.DCEPropSectPipe(FL104, FM104, "I")/10000</f>
        <v>2.1978863691215973</v>
      </c>
      <c r="FQ104" s="76">
        <f t="shared" si="18"/>
        <v>2.1978863691215973</v>
      </c>
      <c r="FR104" s="75">
        <f t="shared" si="19"/>
        <v>1.0466125567245701</v>
      </c>
      <c r="FS104" s="75">
        <f t="shared" si="20"/>
        <v>1.0466125567245701</v>
      </c>
    </row>
    <row r="105" spans="153:175" ht="14.4">
      <c r="EW105" s="3" t="e">
        <f>Cal!#REF!</f>
        <v>#REF!</v>
      </c>
      <c r="EX105" s="77" t="s">
        <v>341</v>
      </c>
      <c r="EY105" s="3">
        <v>20</v>
      </c>
      <c r="EZ105" s="3">
        <v>40</v>
      </c>
      <c r="FA105" s="3" t="s">
        <v>695</v>
      </c>
      <c r="FB105" s="75" cm="1">
        <f t="array" ref="FB105">_xll.DCEPropSectBox(EY105, EZ105, FA105, 1, 1, "Area")/100</f>
        <v>1.8499760830662351</v>
      </c>
      <c r="FC105" s="75">
        <f t="shared" si="16"/>
        <v>1.4522312252069944</v>
      </c>
      <c r="FD105" s="75" cm="1">
        <f t="array" ref="FD105">_xll.DCEPropSectBox(EY105, EZ105, FA105, 1, 1, "Ix")/10000</f>
        <v>3.5964084804980847</v>
      </c>
      <c r="FE105" s="75" cm="1">
        <f t="array" ref="FE105">_xll.DCEPropSectBox(EY105, EZ105, FA105, 1, 1, "Iy")/10000</f>
        <v>1.2019586344510862</v>
      </c>
      <c r="FF105" s="75">
        <f t="shared" si="14"/>
        <v>1.7982042402490424</v>
      </c>
      <c r="FG105" s="75">
        <f t="shared" si="15"/>
        <v>1.2019586344510862</v>
      </c>
      <c r="FJ105" s="3" t="e">
        <f>Cal!#REF!</f>
        <v>#REF!</v>
      </c>
      <c r="FK105" s="77" t="s">
        <v>818</v>
      </c>
      <c r="FL105" s="3">
        <v>42</v>
      </c>
      <c r="FM105" s="3">
        <v>0.9</v>
      </c>
      <c r="FN105" s="80" cm="1">
        <f t="array" ref="FN105">_xll.DCEPropSectPipe(FL105, FM105, "A")/100</f>
        <v>1.1620751225628623</v>
      </c>
      <c r="FO105" s="75">
        <f t="shared" si="17"/>
        <v>0.91222897121184687</v>
      </c>
      <c r="FP105" s="76" cm="1">
        <f t="array" ref="FP105">_xll.DCEPropSectPipe(FL105, FM105, "I")/10000</f>
        <v>2.4549127482921103</v>
      </c>
      <c r="FQ105" s="76">
        <f t="shared" si="18"/>
        <v>2.4549127482921103</v>
      </c>
      <c r="FR105" s="75">
        <f t="shared" si="19"/>
        <v>1.1690060706152905</v>
      </c>
      <c r="FS105" s="75">
        <f t="shared" si="20"/>
        <v>1.1690060706152905</v>
      </c>
    </row>
    <row r="106" spans="153:175" ht="14.4">
      <c r="EW106" s="3" t="e">
        <f>Cal!#REF!</f>
        <v>#REF!</v>
      </c>
      <c r="EX106" s="77" t="s">
        <v>342</v>
      </c>
      <c r="EY106" s="3">
        <v>20</v>
      </c>
      <c r="EZ106" s="3">
        <v>40</v>
      </c>
      <c r="FA106" s="3" t="s">
        <v>696</v>
      </c>
      <c r="FB106" s="75" cm="1">
        <f t="array" ref="FB106">_xll.DCEPropSectBox(EY106, EZ106, FA106, 1, 1, "Area")/100</f>
        <v>1.9469628059289277</v>
      </c>
      <c r="FC106" s="75">
        <f t="shared" si="16"/>
        <v>1.5283658026542082</v>
      </c>
      <c r="FD106" s="75" cm="1">
        <f t="array" ref="FD106">_xll.DCEPropSectBox(EY106, EZ106, FA106, 1, 1, "Ix")/10000</f>
        <v>3.7531231564665677</v>
      </c>
      <c r="FE106" s="75" cm="1">
        <f t="array" ref="FE106">_xll.DCEPropSectBox(EY106, EZ106, FA106, 1, 1, "Iy")/10000</f>
        <v>1.251039958948611</v>
      </c>
      <c r="FF106" s="75">
        <f t="shared" si="14"/>
        <v>1.8765615782332838</v>
      </c>
      <c r="FG106" s="75">
        <f t="shared" si="15"/>
        <v>1.251039958948611</v>
      </c>
      <c r="FJ106" s="3" t="e">
        <f>Cal!#REF!</f>
        <v>#REF!</v>
      </c>
      <c r="FK106" s="77" t="s">
        <v>819</v>
      </c>
      <c r="FL106" s="3">
        <v>42</v>
      </c>
      <c r="FM106" s="3">
        <v>1</v>
      </c>
      <c r="FN106" s="80" cm="1">
        <f t="array" ref="FN106">_xll.DCEPropSectPipe(FL106, FM106, "A")/100</f>
        <v>1.2880529879718141</v>
      </c>
      <c r="FO106" s="75">
        <f t="shared" si="17"/>
        <v>1.0111215955578741</v>
      </c>
      <c r="FP106" s="76" cm="1">
        <f t="array" ref="FP106">_xll.DCEPropSectPipe(FL106, FM106, "I")/10000</f>
        <v>2.7081314072107401</v>
      </c>
      <c r="FQ106" s="76">
        <f t="shared" si="18"/>
        <v>2.7081314072107401</v>
      </c>
      <c r="FR106" s="75">
        <f t="shared" si="19"/>
        <v>1.2895863843860667</v>
      </c>
      <c r="FS106" s="75">
        <f t="shared" si="20"/>
        <v>1.2895863843860667</v>
      </c>
    </row>
    <row r="107" spans="153:175" ht="14.4">
      <c r="EW107" s="3" t="e">
        <f>Cal!#REF!</f>
        <v>#REF!</v>
      </c>
      <c r="EX107" s="77" t="s">
        <v>343</v>
      </c>
      <c r="EY107" s="3">
        <v>20</v>
      </c>
      <c r="EZ107" s="3">
        <v>40</v>
      </c>
      <c r="FA107" s="3" t="s">
        <v>697</v>
      </c>
      <c r="FB107" s="75" cm="1">
        <f t="array" ref="FB107">_xll.DCEPropSectBox(EY107, EZ107, FA107, 1, 1, "Area")/100</f>
        <v>2.0426344843837745</v>
      </c>
      <c r="FC107" s="75">
        <f t="shared" si="16"/>
        <v>1.6034680702412631</v>
      </c>
      <c r="FD107" s="75" cm="1">
        <f t="array" ref="FD107">_xll.DCEPropSectBox(EY107, EZ107, FA107, 1, 1, "Ix")/10000</f>
        <v>3.9041484885912605</v>
      </c>
      <c r="FE107" s="75" cm="1">
        <f t="array" ref="FE107">_xll.DCEPropSectBox(EY107, EZ107, FA107, 1, 1, "Iy")/10000</f>
        <v>1.297984576904941</v>
      </c>
      <c r="FF107" s="75">
        <f t="shared" si="14"/>
        <v>1.9520742442956303</v>
      </c>
      <c r="FG107" s="75">
        <f t="shared" si="15"/>
        <v>1.297984576904941</v>
      </c>
      <c r="FJ107" s="3" t="e">
        <f>Cal!#REF!</f>
        <v>#REF!</v>
      </c>
      <c r="FK107" s="77" t="s">
        <v>820</v>
      </c>
      <c r="FL107" s="3">
        <v>42</v>
      </c>
      <c r="FM107" s="3">
        <v>1.1000000000000001</v>
      </c>
      <c r="FN107" s="80" cm="1">
        <f t="array" ref="FN107">_xll.DCEPropSectPipe(FL107, FM107, "A")/100</f>
        <v>1.4134025348500494</v>
      </c>
      <c r="FO107" s="75">
        <f t="shared" si="17"/>
        <v>1.1095209898572886</v>
      </c>
      <c r="FP107" s="76" cm="1">
        <f t="array" ref="FP107">_xll.DCEPropSectPipe(FL107, FM107, "I")/10000</f>
        <v>2.9575801392370979</v>
      </c>
      <c r="FQ107" s="76">
        <f t="shared" si="18"/>
        <v>2.9575801392370979</v>
      </c>
      <c r="FR107" s="75">
        <f t="shared" si="19"/>
        <v>1.4083714948748085</v>
      </c>
      <c r="FS107" s="75">
        <f t="shared" si="20"/>
        <v>1.4083714948748085</v>
      </c>
    </row>
    <row r="108" spans="153:175" ht="14.4">
      <c r="EW108" s="3" t="e">
        <f>Cal!#REF!</f>
        <v>#REF!</v>
      </c>
      <c r="EX108" s="77" t="s">
        <v>344</v>
      </c>
      <c r="EY108" s="3">
        <v>20</v>
      </c>
      <c r="EZ108" s="3">
        <v>40</v>
      </c>
      <c r="FA108" s="3" t="s">
        <v>698</v>
      </c>
      <c r="FB108" s="75" cm="1">
        <f t="array" ref="FB108">_xll.DCEPropSectBox(EY108, EZ108, FA108, 1, 1, "Area")/100</f>
        <v>2.136991118430775</v>
      </c>
      <c r="FC108" s="75">
        <f t="shared" si="16"/>
        <v>1.6775380279681584</v>
      </c>
      <c r="FD108" s="75" cm="1">
        <f t="array" ref="FD108">_xll.DCEPropSectBox(EY108, EZ108, FA108, 1, 1, "Ix")/10000</f>
        <v>4.0495468191043242</v>
      </c>
      <c r="FE108" s="75" cm="1">
        <f t="array" ref="FE108">_xll.DCEPropSectBox(EY108, EZ108, FA108, 1, 1, "Iy")/10000</f>
        <v>1.3428330252232847</v>
      </c>
      <c r="FF108" s="75">
        <f t="shared" si="14"/>
        <v>2.0247734095521621</v>
      </c>
      <c r="FG108" s="75">
        <f t="shared" si="15"/>
        <v>1.3428330252232847</v>
      </c>
      <c r="FJ108" s="3" t="e">
        <f>Cal!#REF!</f>
        <v>#REF!</v>
      </c>
      <c r="FK108" s="77" t="s">
        <v>821</v>
      </c>
      <c r="FL108" s="3">
        <v>42</v>
      </c>
      <c r="FM108" s="3">
        <v>1.2</v>
      </c>
      <c r="FN108" s="80" cm="1">
        <f t="array" ref="FN108">_xll.DCEPropSectPipe(FL108, FM108, "A")/100</f>
        <v>1.5381237631975615</v>
      </c>
      <c r="FO108" s="75">
        <f t="shared" si="17"/>
        <v>1.2074271541100858</v>
      </c>
      <c r="FP108" s="76" cm="1">
        <f t="array" ref="FP108">_xll.DCEPropSectPipe(FL108, FM108, "I")/10000</f>
        <v>3.2032965492352408</v>
      </c>
      <c r="FQ108" s="76">
        <f t="shared" si="18"/>
        <v>3.2032965492352408</v>
      </c>
      <c r="FR108" s="75">
        <f t="shared" si="19"/>
        <v>1.5253793091596384</v>
      </c>
      <c r="FS108" s="75">
        <f t="shared" si="20"/>
        <v>1.5253793091596384</v>
      </c>
    </row>
    <row r="109" spans="153:175" ht="14.4">
      <c r="EW109" s="3" t="e">
        <f>Cal!#REF!</f>
        <v>#REF!</v>
      </c>
      <c r="EX109" s="77" t="s">
        <v>345</v>
      </c>
      <c r="EY109" s="3">
        <v>20</v>
      </c>
      <c r="EZ109" s="3">
        <v>40</v>
      </c>
      <c r="FA109" s="3" t="s">
        <v>699</v>
      </c>
      <c r="FB109" s="75" cm="1">
        <f t="array" ref="FB109">_xll.DCEPropSectBox(EY109, EZ109, FA109, 1, 1, "Area")/100</f>
        <v>2.2300327080699294</v>
      </c>
      <c r="FC109" s="75">
        <f t="shared" si="16"/>
        <v>1.7505756758348945</v>
      </c>
      <c r="FD109" s="75" cm="1">
        <f t="array" ref="FD109">_xll.DCEPropSectBox(EY109, EZ109, FA109, 1, 1, "Ix")/10000</f>
        <v>4.1893802054581277</v>
      </c>
      <c r="FE109" s="75" cm="1">
        <f t="array" ref="FE109">_xll.DCEPropSectBox(EY109, EZ109, FA109, 1, 1, "Iy")/10000</f>
        <v>1.3856255560270792</v>
      </c>
      <c r="FF109" s="75">
        <f t="shared" si="14"/>
        <v>2.0946901027290639</v>
      </c>
      <c r="FG109" s="75">
        <f t="shared" si="15"/>
        <v>1.3856255560270792</v>
      </c>
      <c r="FJ109" s="3" t="e">
        <f>Cal!#REF!</f>
        <v>#REF!</v>
      </c>
      <c r="FK109" s="77" t="s">
        <v>822</v>
      </c>
      <c r="FL109" s="3">
        <v>42</v>
      </c>
      <c r="FM109" s="3">
        <v>1.4</v>
      </c>
      <c r="FN109" s="80" cm="1">
        <f t="array" ref="FN109">_xll.DCEPropSectPipe(FL109, FM109, "A")/100</f>
        <v>1.7856812643004354</v>
      </c>
      <c r="FO109" s="75">
        <f t="shared" si="17"/>
        <v>1.4017597924758418</v>
      </c>
      <c r="FP109" s="76" cm="1">
        <f t="array" ref="FP109">_xll.DCEPropSectPipe(FL109, FM109, "I")/10000</f>
        <v>3.6836818801253686</v>
      </c>
      <c r="FQ109" s="76">
        <f t="shared" si="18"/>
        <v>3.6836818801253686</v>
      </c>
      <c r="FR109" s="75">
        <f t="shared" si="19"/>
        <v>1.7541342286311279</v>
      </c>
      <c r="FS109" s="75">
        <f t="shared" si="20"/>
        <v>1.7541342286311279</v>
      </c>
    </row>
    <row r="110" spans="153:175" ht="14.4">
      <c r="EW110" s="3" t="e">
        <f>Cal!#REF!</f>
        <v>#REF!</v>
      </c>
      <c r="EX110" s="77" t="s">
        <v>346</v>
      </c>
      <c r="EY110" s="3">
        <v>20</v>
      </c>
      <c r="EZ110" s="3">
        <v>40</v>
      </c>
      <c r="FA110" s="3" t="s">
        <v>700</v>
      </c>
      <c r="FB110" s="75" cm="1">
        <f t="array" ref="FB110">_xll.DCEPropSectBox(EY110, EZ110, FA110, 1, 1, "Area")/100</f>
        <v>2.3217592533012383</v>
      </c>
      <c r="FC110" s="75">
        <f t="shared" si="16"/>
        <v>1.822581013841472</v>
      </c>
      <c r="FD110" s="75" cm="1">
        <f t="array" ref="FD110">_xll.DCEPropSectBox(EY110, EZ110, FA110, 1, 1, "Ix")/10000</f>
        <v>4.3237104203252841</v>
      </c>
      <c r="FE110" s="75" cm="1">
        <f t="array" ref="FE110">_xll.DCEPropSectBox(EY110, EZ110, FA110, 1, 1, "Iy")/10000</f>
        <v>1.4264021366599933</v>
      </c>
      <c r="FF110" s="75">
        <f t="shared" si="14"/>
        <v>2.161855210162642</v>
      </c>
      <c r="FG110" s="75">
        <f t="shared" si="15"/>
        <v>1.4264021366599933</v>
      </c>
      <c r="FJ110" s="3" t="e">
        <f>Cal!#REF!</f>
        <v>#REF!</v>
      </c>
      <c r="FK110" s="77" t="s">
        <v>823</v>
      </c>
      <c r="FL110" s="3">
        <v>42</v>
      </c>
      <c r="FM110" s="3">
        <v>1.5</v>
      </c>
      <c r="FN110" s="80" cm="1">
        <f t="array" ref="FN110">_xll.DCEPropSectPipe(FL110, FM110, "A")/100</f>
        <v>1.9085175370557999</v>
      </c>
      <c r="FO110" s="75">
        <f t="shared" si="17"/>
        <v>1.4981862665888028</v>
      </c>
      <c r="FP110" s="76" cm="1">
        <f t="array" ref="FP110">_xll.DCEPropSectPipe(FL110, FM110, "I")/10000</f>
        <v>3.9184250682676867</v>
      </c>
      <c r="FQ110" s="76">
        <f t="shared" si="18"/>
        <v>3.9184250682676867</v>
      </c>
      <c r="FR110" s="75">
        <f t="shared" si="19"/>
        <v>1.8659166991750888</v>
      </c>
      <c r="FS110" s="75">
        <f t="shared" si="20"/>
        <v>1.8659166991750888</v>
      </c>
    </row>
    <row r="111" spans="153:175" ht="14.4">
      <c r="EW111" s="3" t="e">
        <f>Cal!#REF!</f>
        <v>#REF!</v>
      </c>
      <c r="EX111" s="77" t="s">
        <v>347</v>
      </c>
      <c r="EY111" s="3">
        <v>20</v>
      </c>
      <c r="EZ111" s="3">
        <v>40</v>
      </c>
      <c r="FA111" s="3" t="s">
        <v>701</v>
      </c>
      <c r="FB111" s="75" cm="1">
        <f t="array" ref="FB111">_xll.DCEPropSectBox(EY111, EZ111, FA111, 1, 1, "Area")/100</f>
        <v>2.4121707541247002</v>
      </c>
      <c r="FC111" s="75">
        <f t="shared" si="16"/>
        <v>1.8935540419878898</v>
      </c>
      <c r="FD111" s="75" cm="1">
        <f t="array" ref="FD111">_xll.DCEPropSectBox(EY111, EZ111, FA111, 1, 1, "Ix")/10000</f>
        <v>4.4525989515986355</v>
      </c>
      <c r="FE111" s="75" cm="1">
        <f t="array" ref="FE111">_xll.DCEPropSectBox(EY111, EZ111, FA111, 1, 1, "Iy")/10000</f>
        <v>1.4652024496859253</v>
      </c>
      <c r="FF111" s="75">
        <f t="shared" si="14"/>
        <v>2.2262994757993178</v>
      </c>
      <c r="FG111" s="75">
        <f t="shared" si="15"/>
        <v>1.4652024496859253</v>
      </c>
      <c r="FJ111" s="3" t="e">
        <f>Cal!#REF!</f>
        <v>#REF!</v>
      </c>
      <c r="FK111" s="77" t="s">
        <v>824</v>
      </c>
      <c r="FL111" s="3">
        <v>42</v>
      </c>
      <c r="FM111" s="3">
        <v>1.7</v>
      </c>
      <c r="FN111" s="80" cm="1">
        <f t="array" ref="FN111">_xll.DCEPropSectPipe(FL111, FM111, "A")/100</f>
        <v>2.1523051269743654</v>
      </c>
      <c r="FO111" s="75">
        <f t="shared" si="17"/>
        <v>1.6895595246748769</v>
      </c>
      <c r="FP111" s="76" cm="1">
        <f t="array" ref="FP111">_xll.DCEPropSectPipe(FL111, FM111, "I")/10000</f>
        <v>4.3771967443559419</v>
      </c>
      <c r="FQ111" s="76">
        <f t="shared" si="18"/>
        <v>4.3771967443559419</v>
      </c>
      <c r="FR111" s="75">
        <f t="shared" si="19"/>
        <v>2.0843794020742581</v>
      </c>
      <c r="FS111" s="75">
        <f t="shared" si="20"/>
        <v>2.0843794020742581</v>
      </c>
    </row>
    <row r="112" spans="153:175" ht="14.4">
      <c r="EW112" s="3" t="e">
        <f>Cal!#REF!</f>
        <v>#REF!</v>
      </c>
      <c r="EX112" s="77" t="s">
        <v>348</v>
      </c>
      <c r="EY112" s="3">
        <v>20</v>
      </c>
      <c r="EZ112" s="3">
        <v>40</v>
      </c>
      <c r="FA112" s="3" t="s">
        <v>702</v>
      </c>
      <c r="FB112" s="75" cm="1">
        <f t="array" ref="FB112">_xll.DCEPropSectBox(EY112, EZ112, FA112, 1, 1, "Area")/100</f>
        <v>2.5012672105403162</v>
      </c>
      <c r="FC112" s="75">
        <f t="shared" si="16"/>
        <v>1.9634947602741482</v>
      </c>
      <c r="FD112" s="75" cm="1">
        <f t="array" ref="FD112">_xll.DCEPropSectBox(EY112, EZ112, FA112, 1, 1, "Ix")/10000</f>
        <v>4.5761070023912493</v>
      </c>
      <c r="FE112" s="75" cm="1">
        <f t="array" ref="FE112">_xll.DCEPropSectBox(EY112, EZ112, FA112, 1, 1, "Iy")/10000</f>
        <v>1.5020658928890045</v>
      </c>
      <c r="FF112" s="75">
        <f t="shared" si="14"/>
        <v>2.2880535011956247</v>
      </c>
      <c r="FG112" s="75">
        <f t="shared" si="15"/>
        <v>1.5020658928890045</v>
      </c>
      <c r="FJ112" s="3" t="e">
        <f>Cal!#REF!</f>
        <v>#REF!</v>
      </c>
      <c r="FK112" s="77" t="s">
        <v>825</v>
      </c>
      <c r="FL112" s="3">
        <v>42</v>
      </c>
      <c r="FM112" s="3">
        <v>1.8</v>
      </c>
      <c r="FN112" s="80" cm="1">
        <f t="array" ref="FN112">_xll.DCEPropSectPipe(FL112, FM112, "A")/100</f>
        <v>2.2732564441375733</v>
      </c>
      <c r="FO112" s="75">
        <f t="shared" si="17"/>
        <v>1.7845063086479951</v>
      </c>
      <c r="FP112" s="76" cm="1">
        <f t="array" ref="FP112">_xll.DCEPropSectPipe(FL112, FM112, "I")/10000</f>
        <v>4.6012983685788642</v>
      </c>
      <c r="FQ112" s="76">
        <f t="shared" si="18"/>
        <v>4.6012983685788642</v>
      </c>
      <c r="FR112" s="75">
        <f t="shared" si="19"/>
        <v>2.1910944612280305</v>
      </c>
      <c r="FS112" s="75">
        <f t="shared" si="20"/>
        <v>2.1910944612280305</v>
      </c>
    </row>
    <row r="113" spans="153:175" ht="14.4">
      <c r="EW113" s="3" t="e">
        <f>Cal!#REF!</f>
        <v>#REF!</v>
      </c>
      <c r="EX113" s="77" t="s">
        <v>349</v>
      </c>
      <c r="EY113" s="3">
        <v>30</v>
      </c>
      <c r="EZ113" s="3">
        <v>30</v>
      </c>
      <c r="FA113" s="3" t="s">
        <v>686</v>
      </c>
      <c r="FB113" s="75" cm="1">
        <f t="array" ref="FB113">_xll.DCEPropSectBox(EY113, EZ113, FA113, 1, 1, "Area")/100</f>
        <v>0.80778141200776987</v>
      </c>
      <c r="FC113" s="75">
        <f t="shared" si="16"/>
        <v>0.63410840842609939</v>
      </c>
      <c r="FD113" s="75" cm="1">
        <f t="array" ref="FD113">_xll.DCEPropSectBox(EY113, EZ113, FA113, 1, 1, "Ix")/10000</f>
        <v>1.146621494131451</v>
      </c>
      <c r="FE113" s="75" cm="1">
        <f t="array" ref="FE113">_xll.DCEPropSectBox(EY113, EZ113, FA113, 1, 1, "Iy")/10000</f>
        <v>1.146621494131451</v>
      </c>
      <c r="FF113" s="75">
        <f t="shared" si="14"/>
        <v>0.76441432942096732</v>
      </c>
      <c r="FG113" s="75">
        <f t="shared" si="15"/>
        <v>0.76441432942096732</v>
      </c>
      <c r="FJ113" s="3" t="e">
        <f>Cal!#REF!</f>
        <v>#REF!</v>
      </c>
      <c r="FK113" s="77" t="s">
        <v>826</v>
      </c>
      <c r="FL113" s="3">
        <v>42</v>
      </c>
      <c r="FM113" s="3">
        <v>2</v>
      </c>
      <c r="FN113" s="80" cm="1">
        <f t="array" ref="FN113">_xll.DCEPropSectPipe(FL113, FM113, "A")/100</f>
        <v>2.5132741228718349</v>
      </c>
      <c r="FO113" s="75">
        <f t="shared" si="17"/>
        <v>1.9729201864543904</v>
      </c>
      <c r="FP113" s="76" cm="1">
        <f t="array" ref="FP113">_xll.DCEPropSectPipe(FL113, FM113, "I")/10000</f>
        <v>5.0391146163580274</v>
      </c>
      <c r="FQ113" s="76">
        <f t="shared" si="18"/>
        <v>5.0391146163580274</v>
      </c>
      <c r="FR113" s="75">
        <f t="shared" si="19"/>
        <v>2.3995783887419178</v>
      </c>
      <c r="FS113" s="75">
        <f t="shared" si="20"/>
        <v>2.3995783887419178</v>
      </c>
    </row>
    <row r="114" spans="153:175" ht="14.4">
      <c r="EW114" s="3" t="e">
        <f>Cal!#REF!</f>
        <v>#REF!</v>
      </c>
      <c r="EX114" s="77" t="s">
        <v>350</v>
      </c>
      <c r="EY114" s="3">
        <v>30</v>
      </c>
      <c r="EZ114" s="3">
        <v>30</v>
      </c>
      <c r="FA114" s="3" t="s">
        <v>687</v>
      </c>
      <c r="FB114" s="75" cm="1">
        <f t="array" ref="FB114">_xll.DCEPropSectBox(EY114, EZ114, FA114, 1, 1, "Area")/100</f>
        <v>0.91791857894892404</v>
      </c>
      <c r="FC114" s="75">
        <f t="shared" si="16"/>
        <v>0.72056608447490533</v>
      </c>
      <c r="FD114" s="75" cm="1">
        <f t="array" ref="FD114">_xll.DCEPropSectBox(EY114, EZ114, FA114, 1, 1, "Ix")/10000</f>
        <v>1.2925072823256136</v>
      </c>
      <c r="FE114" s="75" cm="1">
        <f t="array" ref="FE114">_xll.DCEPropSectBox(EY114, EZ114, FA114, 1, 1, "Iy")/10000</f>
        <v>1.2925072823256136</v>
      </c>
      <c r="FF114" s="75">
        <f t="shared" si="14"/>
        <v>0.86167152155040905</v>
      </c>
      <c r="FG114" s="75">
        <f t="shared" si="15"/>
        <v>0.86167152155040905</v>
      </c>
      <c r="FJ114" s="3" t="e">
        <f>Cal!#REF!</f>
        <v>#REF!</v>
      </c>
      <c r="FK114" s="77" t="s">
        <v>827</v>
      </c>
      <c r="FL114" s="3">
        <v>42</v>
      </c>
      <c r="FM114" s="3">
        <v>2.2999999999999998</v>
      </c>
      <c r="FN114" s="80" cm="1">
        <f t="array" ref="FN114">_xll.DCEPropSectPipe(FL114, FM114, "A")/100</f>
        <v>2.8685882519928394</v>
      </c>
      <c r="FO114" s="75">
        <f t="shared" si="17"/>
        <v>2.2518417778143789</v>
      </c>
      <c r="FP114" s="76" cm="1">
        <f t="array" ref="FP114">_xll.DCEPropSectPipe(FL114, FM114, "I")/10000</f>
        <v>5.6704101124205479</v>
      </c>
      <c r="FQ114" s="76">
        <f t="shared" si="18"/>
        <v>5.6704101124205479</v>
      </c>
      <c r="FR114" s="75">
        <f t="shared" si="19"/>
        <v>2.7001952916288321</v>
      </c>
      <c r="FS114" s="75">
        <f t="shared" si="20"/>
        <v>2.7001952916288321</v>
      </c>
    </row>
    <row r="115" spans="153:175" ht="14.4">
      <c r="EW115" s="3" t="e">
        <f>Cal!#REF!</f>
        <v>#REF!</v>
      </c>
      <c r="EX115" s="77" t="s">
        <v>351</v>
      </c>
      <c r="EY115" s="3">
        <v>30</v>
      </c>
      <c r="EZ115" s="3">
        <v>30</v>
      </c>
      <c r="FA115" s="3" t="s">
        <v>688</v>
      </c>
      <c r="FB115" s="75" cm="1">
        <f t="array" ref="FB115">_xll.DCEPropSectBox(EY115, EZ115, FA115, 1, 1, "Area")/100</f>
        <v>1.0267407014822321</v>
      </c>
      <c r="FC115" s="75">
        <f t="shared" si="16"/>
        <v>0.80599145066355216</v>
      </c>
      <c r="FD115" s="75" cm="1">
        <f t="array" ref="FD115">_xll.DCEPropSectBox(EY115, EZ115, FA115, 1, 1, "Ix")/10000</f>
        <v>1.434078747865148</v>
      </c>
      <c r="FE115" s="75" cm="1">
        <f t="array" ref="FE115">_xll.DCEPropSectBox(EY115, EZ115, FA115, 1, 1, "Iy")/10000</f>
        <v>1.434078747865148</v>
      </c>
      <c r="FF115" s="75">
        <f t="shared" si="14"/>
        <v>0.95605249857676533</v>
      </c>
      <c r="FG115" s="75">
        <f t="shared" si="15"/>
        <v>0.95605249857676533</v>
      </c>
      <c r="FJ115" s="3" t="e">
        <f>Cal!#REF!</f>
        <v>#REF!</v>
      </c>
      <c r="FK115" s="77" t="s">
        <v>828</v>
      </c>
      <c r="FL115" s="3">
        <v>42</v>
      </c>
      <c r="FM115" s="3">
        <v>2.5</v>
      </c>
      <c r="FN115" s="80" cm="1">
        <f t="array" ref="FN115">_xll.DCEPropSectPipe(FL115, FM115, "A")/100</f>
        <v>3.1023227454199196</v>
      </c>
      <c r="FO115" s="75">
        <f t="shared" si="17"/>
        <v>2.4353233551546372</v>
      </c>
      <c r="FP115" s="76" cm="1">
        <f t="array" ref="FP115">_xll.DCEPropSectPipe(FL115, FM115, "I")/10000</f>
        <v>6.0747357258753807</v>
      </c>
      <c r="FQ115" s="76">
        <f t="shared" si="18"/>
        <v>6.0747357258753807</v>
      </c>
      <c r="FR115" s="75">
        <f t="shared" si="19"/>
        <v>2.8927312980358955</v>
      </c>
      <c r="FS115" s="75">
        <f t="shared" si="20"/>
        <v>2.8927312980358955</v>
      </c>
    </row>
    <row r="116" spans="153:175" ht="14.4">
      <c r="EW116" s="3" t="e">
        <f>Cal!#REF!</f>
        <v>#REF!</v>
      </c>
      <c r="EX116" s="77" t="s">
        <v>352</v>
      </c>
      <c r="EY116" s="3">
        <v>30</v>
      </c>
      <c r="EZ116" s="3">
        <v>30</v>
      </c>
      <c r="FA116" s="3" t="s">
        <v>689</v>
      </c>
      <c r="FB116" s="75" cm="1">
        <f t="array" ref="FB116">_xll.DCEPropSectBox(EY116, EZ116, FA116, 1, 1, "Area")/100</f>
        <v>1.1342477796076937</v>
      </c>
      <c r="FC116" s="75">
        <f t="shared" si="16"/>
        <v>0.89038450699203964</v>
      </c>
      <c r="FD116" s="75" cm="1">
        <f t="array" ref="FD116">_xll.DCEPropSectBox(EY116, EZ116, FA116, 1, 1, "Ix")/10000</f>
        <v>1.5713901781154316</v>
      </c>
      <c r="FE116" s="75" cm="1">
        <f t="array" ref="FE116">_xll.DCEPropSectBox(EY116, EZ116, FA116, 1, 1, "Iy")/10000</f>
        <v>1.5713901781154316</v>
      </c>
      <c r="FF116" s="75">
        <f t="shared" si="14"/>
        <v>1.0475934520769543</v>
      </c>
      <c r="FG116" s="75">
        <f t="shared" si="15"/>
        <v>1.0475934520769543</v>
      </c>
      <c r="FJ116" s="3" t="e">
        <f>Cal!#REF!</f>
        <v>#REF!</v>
      </c>
      <c r="FK116" s="77" t="s">
        <v>829</v>
      </c>
      <c r="FL116" s="3">
        <v>42</v>
      </c>
      <c r="FM116" s="3">
        <v>2.8</v>
      </c>
      <c r="FN116" s="80" cm="1">
        <f t="array" ref="FN116">_xll.DCEPropSectPipe(FL116, FM116, "A")/100</f>
        <v>3.4482120965801575</v>
      </c>
      <c r="FO116" s="75">
        <f t="shared" si="17"/>
        <v>2.7068464958154239</v>
      </c>
      <c r="FP116" s="76" cm="1">
        <f t="array" ref="FP116">_xll.DCEPropSectPipe(FL116, FM116, "I")/10000</f>
        <v>6.6571182736576517</v>
      </c>
      <c r="FQ116" s="76">
        <f t="shared" si="18"/>
        <v>6.6571182736576517</v>
      </c>
      <c r="FR116" s="75">
        <f t="shared" si="19"/>
        <v>3.170056320789358</v>
      </c>
      <c r="FS116" s="75">
        <f t="shared" si="20"/>
        <v>3.170056320789358</v>
      </c>
    </row>
    <row r="117" spans="153:175" ht="14.4">
      <c r="EW117" s="3" t="e">
        <f>Cal!#REF!</f>
        <v>#REF!</v>
      </c>
      <c r="EX117" s="77" t="s">
        <v>353</v>
      </c>
      <c r="EY117" s="3">
        <v>30</v>
      </c>
      <c r="EZ117" s="3">
        <v>30</v>
      </c>
      <c r="FA117" s="3" t="s">
        <v>690</v>
      </c>
      <c r="FB117" s="75" cm="1">
        <f t="array" ref="FB117">_xll.DCEPropSectBox(EY117, EZ117, FA117, 1, 1, "Area")/100</f>
        <v>1.2404398133253096</v>
      </c>
      <c r="FC117" s="75">
        <f t="shared" si="16"/>
        <v>0.97374525346036811</v>
      </c>
      <c r="FD117" s="75" cm="1">
        <f t="array" ref="FD117">_xll.DCEPropSectBox(EY117, EZ117, FA117, 1, 1, "Ix")/10000</f>
        <v>1.7044955756620652</v>
      </c>
      <c r="FE117" s="75" cm="1">
        <f t="array" ref="FE117">_xll.DCEPropSectBox(EY117, EZ117, FA117, 1, 1, "Iy")/10000</f>
        <v>1.7044955756620652</v>
      </c>
      <c r="FF117" s="75">
        <f t="shared" si="14"/>
        <v>1.1363303837747101</v>
      </c>
      <c r="FG117" s="75">
        <f t="shared" si="15"/>
        <v>1.1363303837747101</v>
      </c>
      <c r="FJ117" s="3" t="e">
        <f>Cal!#REF!</f>
        <v>#REF!</v>
      </c>
      <c r="FK117" s="77" t="s">
        <v>830</v>
      </c>
      <c r="FL117" s="3">
        <v>42</v>
      </c>
      <c r="FM117" s="3">
        <v>3</v>
      </c>
      <c r="FN117" s="80" cm="1">
        <f t="array" ref="FN117">_xll.DCEPropSectPipe(FL117, FM117, "A")/100</f>
        <v>3.675663404700058</v>
      </c>
      <c r="FO117" s="75">
        <f t="shared" si="17"/>
        <v>2.8853957726895456</v>
      </c>
      <c r="FP117" s="76" cm="1">
        <f t="array" ref="FP117">_xll.DCEPropSectPipe(FL117, FM117, "I")/10000</f>
        <v>7.029706261488859</v>
      </c>
      <c r="FQ117" s="76">
        <f t="shared" si="18"/>
        <v>7.029706261488859</v>
      </c>
      <c r="FR117" s="75">
        <f t="shared" si="19"/>
        <v>3.3474791721375516</v>
      </c>
      <c r="FS117" s="75">
        <f t="shared" si="20"/>
        <v>3.3474791721375516</v>
      </c>
    </row>
    <row r="118" spans="153:175" ht="14.4">
      <c r="EW118" s="3" t="e">
        <f>Cal!#REF!</f>
        <v>#REF!</v>
      </c>
      <c r="EX118" s="77" t="s">
        <v>354</v>
      </c>
      <c r="EY118" s="3">
        <v>30</v>
      </c>
      <c r="EZ118" s="3">
        <v>30</v>
      </c>
      <c r="FA118" s="3" t="s">
        <v>691</v>
      </c>
      <c r="FB118" s="75" cm="1">
        <f t="array" ref="FB118">_xll.DCEPropSectBox(EY118, EZ118, FA118, 1, 1, "Area")/100</f>
        <v>1.3453168026350792</v>
      </c>
      <c r="FC118" s="75">
        <f t="shared" si="16"/>
        <v>1.0560736900685372</v>
      </c>
      <c r="FD118" s="75" cm="1">
        <f t="array" ref="FD118">_xll.DCEPropSectBox(EY118, EZ118, FA118, 1, 1, "Ix")/10000</f>
        <v>1.8334486583108813</v>
      </c>
      <c r="FE118" s="75" cm="1">
        <f t="array" ref="FE118">_xll.DCEPropSectBox(EY118, EZ118, FA118, 1, 1, "Iy")/10000</f>
        <v>1.8334486583108813</v>
      </c>
      <c r="FF118" s="75">
        <f t="shared" si="14"/>
        <v>1.2222991055405876</v>
      </c>
      <c r="FG118" s="75">
        <f t="shared" si="15"/>
        <v>1.2222991055405876</v>
      </c>
      <c r="FJ118" s="3" t="e">
        <f>Cal!#REF!</f>
        <v>#REF!</v>
      </c>
      <c r="FK118" s="77" t="s">
        <v>831</v>
      </c>
      <c r="FL118" s="3">
        <v>49</v>
      </c>
      <c r="FM118" s="3">
        <v>0.8</v>
      </c>
      <c r="FN118" s="80" cm="1">
        <f t="array" ref="FN118">_xll.DCEPropSectPipe(FL118, FM118, "A")/100</f>
        <v>1.2113981272242267</v>
      </c>
      <c r="FO118" s="75">
        <f t="shared" si="17"/>
        <v>0.95094752987101794</v>
      </c>
      <c r="FP118" s="76" cm="1">
        <f t="array" ref="FP118">_xll.DCEPropSectPipe(FL118, FM118, "I")/10000</f>
        <v>3.518929849867293</v>
      </c>
      <c r="FQ118" s="76">
        <f t="shared" si="18"/>
        <v>3.518929849867293</v>
      </c>
      <c r="FR118" s="75">
        <f t="shared" si="19"/>
        <v>1.4362978979050174</v>
      </c>
      <c r="FS118" s="75">
        <f t="shared" si="20"/>
        <v>1.4362978979050174</v>
      </c>
    </row>
    <row r="119" spans="153:175" ht="14.4">
      <c r="EW119" s="3" t="e">
        <f>Cal!#REF!</f>
        <v>#REF!</v>
      </c>
      <c r="EX119" s="77" t="s">
        <v>355</v>
      </c>
      <c r="EY119" s="3">
        <v>30</v>
      </c>
      <c r="EZ119" s="3">
        <v>30</v>
      </c>
      <c r="FA119" s="3" t="s">
        <v>692</v>
      </c>
      <c r="FB119" s="75" cm="1">
        <f t="array" ref="FB119">_xll.DCEPropSectBox(EY119, EZ119, FA119, 1, 1, "Area")/100</f>
        <v>1.5511256480310798</v>
      </c>
      <c r="FC119" s="75">
        <f t="shared" si="16"/>
        <v>1.2176336337043976</v>
      </c>
      <c r="FD119" s="75" cm="1">
        <f t="array" ref="FD119">_xll.DCEPropSectBox(EY119, EZ119, FA119, 1, 1, "Ix")/10000</f>
        <v>2.0791113262395546</v>
      </c>
      <c r="FE119" s="75" cm="1">
        <f t="array" ref="FE119">_xll.DCEPropSectBox(EY119, EZ119, FA119, 1, 1, "Iy")/10000</f>
        <v>2.0791113262395546</v>
      </c>
      <c r="FF119" s="75">
        <f t="shared" si="14"/>
        <v>1.3860742174930365</v>
      </c>
      <c r="FG119" s="75">
        <f t="shared" si="15"/>
        <v>1.3860742174930365</v>
      </c>
      <c r="FJ119" s="3" t="e">
        <f>Cal!#REF!</f>
        <v>#REF!</v>
      </c>
      <c r="FK119" s="77" t="s">
        <v>832</v>
      </c>
      <c r="FL119" s="3">
        <v>49</v>
      </c>
      <c r="FM119" s="3">
        <v>0.9</v>
      </c>
      <c r="FN119" s="80" cm="1">
        <f t="array" ref="FN119">_xll.DCEPropSectPipe(FL119, FM119, "A")/100</f>
        <v>1.3599954597390207</v>
      </c>
      <c r="FO119" s="75">
        <f t="shared" si="17"/>
        <v>1.0675964358951311</v>
      </c>
      <c r="FP119" s="76" cm="1">
        <f t="array" ref="FP119">_xll.DCEPropSectPipe(FL119, FM119, "I")/10000</f>
        <v>3.9345008649114783</v>
      </c>
      <c r="FQ119" s="76">
        <f t="shared" si="18"/>
        <v>3.9345008649114783</v>
      </c>
      <c r="FR119" s="75">
        <f t="shared" si="19"/>
        <v>1.6059187203720318</v>
      </c>
      <c r="FS119" s="75">
        <f t="shared" si="20"/>
        <v>1.6059187203720318</v>
      </c>
    </row>
    <row r="120" spans="153:175" ht="14.4">
      <c r="EW120" s="3" t="e">
        <f>Cal!#REF!</f>
        <v>#REF!</v>
      </c>
      <c r="EX120" s="77" t="s">
        <v>356</v>
      </c>
      <c r="EY120" s="3">
        <v>30</v>
      </c>
      <c r="EZ120" s="3">
        <v>30</v>
      </c>
      <c r="FA120" s="3" t="s">
        <v>693</v>
      </c>
      <c r="FB120" s="75" cm="1">
        <f t="array" ref="FB120">_xll.DCEPropSectBox(EY120, EZ120, FA120, 1, 1, "Area")/100</f>
        <v>1.6520575041173111</v>
      </c>
      <c r="FC120" s="75">
        <f t="shared" si="16"/>
        <v>1.2968651407320892</v>
      </c>
      <c r="FD120" s="75" cm="1">
        <f t="array" ref="FD120">_xll.DCEPropSectBox(EY120, EZ120, FA120, 1, 1, "Ix")/10000</f>
        <v>2.1959269232322272</v>
      </c>
      <c r="FE120" s="75" cm="1">
        <f t="array" ref="FE120">_xll.DCEPropSectBox(EY120, EZ120, FA120, 1, 1, "Iy")/10000</f>
        <v>2.1959269232322272</v>
      </c>
      <c r="FF120" s="75">
        <f t="shared" si="14"/>
        <v>1.4639512821548182</v>
      </c>
      <c r="FG120" s="75">
        <f t="shared" si="15"/>
        <v>1.4639512821548182</v>
      </c>
      <c r="FJ120" s="3" t="e">
        <f>Cal!#REF!</f>
        <v>#REF!</v>
      </c>
      <c r="FK120" s="77" t="s">
        <v>833</v>
      </c>
      <c r="FL120" s="3">
        <v>49</v>
      </c>
      <c r="FM120" s="3">
        <v>1</v>
      </c>
      <c r="FN120" s="80" cm="1">
        <f t="array" ref="FN120">_xll.DCEPropSectPipe(FL120, FM120, "A")/100</f>
        <v>1.5079644737231002</v>
      </c>
      <c r="FO120" s="75">
        <f t="shared" si="17"/>
        <v>1.1837521118726335</v>
      </c>
      <c r="FP120" s="76" cm="1">
        <f t="array" ref="FP120">_xll.DCEPropSectPipe(FL120, FM120, "I")/10000</f>
        <v>4.3448226399146863</v>
      </c>
      <c r="FQ120" s="76">
        <f t="shared" si="18"/>
        <v>4.3448226399146863</v>
      </c>
      <c r="FR120" s="75">
        <f t="shared" si="19"/>
        <v>1.7733969958835454</v>
      </c>
      <c r="FS120" s="75">
        <f t="shared" si="20"/>
        <v>1.7733969958835454</v>
      </c>
    </row>
    <row r="121" spans="153:175" ht="14.4">
      <c r="EW121" s="3" t="e">
        <f>Cal!#REF!</f>
        <v>#REF!</v>
      </c>
      <c r="EX121" s="77" t="s">
        <v>357</v>
      </c>
      <c r="EY121" s="3">
        <v>30</v>
      </c>
      <c r="EZ121" s="3">
        <v>30</v>
      </c>
      <c r="FA121" s="3" t="s">
        <v>694</v>
      </c>
      <c r="FB121" s="75" cm="1">
        <f t="array" ref="FB121">_xll.DCEPropSectBox(EY121, EZ121, FA121, 1, 1, "Area")/100</f>
        <v>1.751674315795696</v>
      </c>
      <c r="FC121" s="75">
        <f t="shared" si="16"/>
        <v>1.3750643378996215</v>
      </c>
      <c r="FD121" s="75" cm="1">
        <f t="array" ref="FD121">_xll.DCEPropSectBox(EY121, EZ121, FA121, 1, 1, "Ix")/10000</f>
        <v>2.3088022287527221</v>
      </c>
      <c r="FE121" s="75" cm="1">
        <f t="array" ref="FE121">_xll.DCEPropSectBox(EY121, EZ121, FA121, 1, 1, "Iy")/10000</f>
        <v>2.3088022287527221</v>
      </c>
      <c r="FF121" s="75">
        <f t="shared" si="14"/>
        <v>1.5392014858351482</v>
      </c>
      <c r="FG121" s="75">
        <f t="shared" si="15"/>
        <v>1.5392014858351482</v>
      </c>
      <c r="FJ121" s="3" t="e">
        <f>Cal!#REF!</f>
        <v>#REF!</v>
      </c>
      <c r="FK121" s="77" t="s">
        <v>834</v>
      </c>
      <c r="FL121" s="3">
        <v>49</v>
      </c>
      <c r="FM121" s="3">
        <v>1.1000000000000001</v>
      </c>
      <c r="FN121" s="80" cm="1">
        <f t="array" ref="FN121">_xll.DCEPropSectPipe(FL121, FM121, "A")/100</f>
        <v>1.6553051691764653</v>
      </c>
      <c r="FO121" s="75">
        <f t="shared" si="17"/>
        <v>1.2994145578035254</v>
      </c>
      <c r="FP121" s="76" cm="1">
        <f t="array" ref="FP121">_xll.DCEPropSectPipe(FL121, FM121, "I")/10000</f>
        <v>4.7499395655810916</v>
      </c>
      <c r="FQ121" s="76">
        <f t="shared" si="18"/>
        <v>4.7499395655810916</v>
      </c>
      <c r="FR121" s="75">
        <f t="shared" si="19"/>
        <v>1.938750843094323</v>
      </c>
      <c r="FS121" s="75">
        <f t="shared" si="20"/>
        <v>1.938750843094323</v>
      </c>
    </row>
    <row r="122" spans="153:175" ht="14.4">
      <c r="EW122" s="3" t="e">
        <f>Cal!#REF!</f>
        <v>#REF!</v>
      </c>
      <c r="EX122" s="77" t="s">
        <v>358</v>
      </c>
      <c r="EY122" s="3">
        <v>30</v>
      </c>
      <c r="EZ122" s="3">
        <v>30</v>
      </c>
      <c r="FA122" s="3" t="s">
        <v>695</v>
      </c>
      <c r="FB122" s="75" cm="1">
        <f t="array" ref="FB122">_xll.DCEPropSectBox(EY122, EZ122, FA122, 1, 1, "Area")/100</f>
        <v>1.8499760830662351</v>
      </c>
      <c r="FC122" s="75">
        <f t="shared" si="16"/>
        <v>1.4522312252069944</v>
      </c>
      <c r="FD122" s="75" cm="1">
        <f t="array" ref="FD122">_xll.DCEPropSectBox(EY122, EZ122, FA122, 1, 1, "Ix")/10000</f>
        <v>2.417789536708026</v>
      </c>
      <c r="FE122" s="75" cm="1">
        <f t="array" ref="FE122">_xll.DCEPropSectBox(EY122, EZ122, FA122, 1, 1, "Iy")/10000</f>
        <v>2.417789536708026</v>
      </c>
      <c r="FF122" s="75">
        <f t="shared" si="14"/>
        <v>1.611859691138684</v>
      </c>
      <c r="FG122" s="75">
        <f t="shared" si="15"/>
        <v>1.611859691138684</v>
      </c>
      <c r="FJ122" s="3" t="e">
        <f>Cal!#REF!</f>
        <v>#REF!</v>
      </c>
      <c r="FK122" s="77" t="s">
        <v>835</v>
      </c>
      <c r="FL122" s="3">
        <v>49</v>
      </c>
      <c r="FM122" s="3">
        <v>1.2</v>
      </c>
      <c r="FN122" s="80" cm="1">
        <f t="array" ref="FN122">_xll.DCEPropSectPipe(FL122, FM122, "A")/100</f>
        <v>1.8020175460991072</v>
      </c>
      <c r="FO122" s="75">
        <f t="shared" si="17"/>
        <v>1.4145837736877991</v>
      </c>
      <c r="FP122" s="76" cm="1">
        <f t="array" ref="FP122">_xll.DCEPropSectPipe(FL122, FM122, "I")/10000</f>
        <v>5.1498958441193272</v>
      </c>
      <c r="FQ122" s="76">
        <f t="shared" si="18"/>
        <v>5.1498958441193272</v>
      </c>
      <c r="FR122" s="75">
        <f t="shared" si="19"/>
        <v>2.1019983037221741</v>
      </c>
      <c r="FS122" s="75">
        <f t="shared" si="20"/>
        <v>2.1019983037221741</v>
      </c>
    </row>
    <row r="123" spans="153:175" ht="14.4">
      <c r="EW123" s="3" t="e">
        <f>Cal!#REF!</f>
        <v>#REF!</v>
      </c>
      <c r="EX123" s="77" t="s">
        <v>359</v>
      </c>
      <c r="EY123" s="3">
        <v>30</v>
      </c>
      <c r="EZ123" s="3">
        <v>30</v>
      </c>
      <c r="FA123" s="3" t="s">
        <v>696</v>
      </c>
      <c r="FB123" s="75" cm="1">
        <f t="array" ref="FB123">_xll.DCEPropSectBox(EY123, EZ123, FA123, 1, 1, "Area")/100</f>
        <v>1.9469628059289277</v>
      </c>
      <c r="FC123" s="75">
        <f t="shared" si="16"/>
        <v>1.5283658026542082</v>
      </c>
      <c r="FD123" s="75" cm="1">
        <f t="array" ref="FD123">_xll.DCEPropSectBox(EY123, EZ123, FA123, 1, 1, "Ix")/10000</f>
        <v>2.5229408562253566</v>
      </c>
      <c r="FE123" s="75" cm="1">
        <f t="array" ref="FE123">_xll.DCEPropSectBox(EY123, EZ123, FA123, 1, 1, "Iy")/10000</f>
        <v>2.5229408562253566</v>
      </c>
      <c r="FF123" s="75">
        <f t="shared" si="14"/>
        <v>1.6819605708169043</v>
      </c>
      <c r="FG123" s="75">
        <f t="shared" si="15"/>
        <v>1.6819605708169043</v>
      </c>
      <c r="FJ123" s="3" t="e">
        <f>Cal!#REF!</f>
        <v>#REF!</v>
      </c>
      <c r="FK123" s="77" t="s">
        <v>836</v>
      </c>
      <c r="FL123" s="3">
        <v>49</v>
      </c>
      <c r="FM123" s="3">
        <v>1.4</v>
      </c>
      <c r="FN123" s="80" cm="1">
        <f t="array" ref="FN123">_xll.DCEPropSectPipe(FL123, FM123, "A")/100</f>
        <v>2.0935573443522388</v>
      </c>
      <c r="FO123" s="75">
        <f t="shared" si="17"/>
        <v>1.6434425153165075</v>
      </c>
      <c r="FP123" s="76" cm="1">
        <f t="array" ref="FP123">_xll.DCEPropSectPipe(FL123, FM123, "I")/10000</f>
        <v>5.9345023261680705</v>
      </c>
      <c r="FQ123" s="76">
        <f t="shared" si="18"/>
        <v>5.9345023261680705</v>
      </c>
      <c r="FR123" s="75">
        <f t="shared" si="19"/>
        <v>2.4222458474155388</v>
      </c>
      <c r="FS123" s="75">
        <f t="shared" si="20"/>
        <v>2.4222458474155388</v>
      </c>
    </row>
    <row r="124" spans="153:175" ht="14.4">
      <c r="EW124" s="3" t="e">
        <f>Cal!#REF!</f>
        <v>#REF!</v>
      </c>
      <c r="EX124" s="77" t="s">
        <v>360</v>
      </c>
      <c r="EY124" s="3">
        <v>30</v>
      </c>
      <c r="EZ124" s="3">
        <v>30</v>
      </c>
      <c r="FA124" s="3" t="s">
        <v>697</v>
      </c>
      <c r="FB124" s="75" cm="1">
        <f t="array" ref="FB124">_xll.DCEPropSectBox(EY124, EZ124, FA124, 1, 1, "Area")/100</f>
        <v>2.0426344843837745</v>
      </c>
      <c r="FC124" s="75">
        <f t="shared" si="16"/>
        <v>1.6034680702412631</v>
      </c>
      <c r="FD124" s="75" cm="1">
        <f t="array" ref="FD124">_xll.DCEPropSectBox(EY124, EZ124, FA124, 1, 1, "Ix")/10000</f>
        <v>2.6243079116521582</v>
      </c>
      <c r="FE124" s="75" cm="1">
        <f t="array" ref="FE124">_xll.DCEPropSectBox(EY124, EZ124, FA124, 1, 1, "Iy")/10000</f>
        <v>2.6243079116521582</v>
      </c>
      <c r="FF124" s="75">
        <f t="shared" si="14"/>
        <v>1.7495386077681054</v>
      </c>
      <c r="FG124" s="75">
        <f t="shared" si="15"/>
        <v>1.7495386077681054</v>
      </c>
      <c r="FJ124" s="3" t="e">
        <f>Cal!#REF!</f>
        <v>#REF!</v>
      </c>
      <c r="FK124" s="77" t="s">
        <v>837</v>
      </c>
      <c r="FL124" s="3">
        <v>49</v>
      </c>
      <c r="FM124" s="3">
        <v>1.5</v>
      </c>
      <c r="FN124" s="80" cm="1">
        <f t="array" ref="FN124">_xll.DCEPropSectPipe(FL124, FM124, "A")/100</f>
        <v>2.2383847656827287</v>
      </c>
      <c r="FO124" s="75">
        <f t="shared" si="17"/>
        <v>1.7571320410609421</v>
      </c>
      <c r="FP124" s="76" cm="1">
        <f t="array" ref="FP124">_xll.DCEPropSectPipe(FL124, FM124, "I")/10000</f>
        <v>6.3192399916180522</v>
      </c>
      <c r="FQ124" s="76">
        <f t="shared" si="18"/>
        <v>6.3192399916180522</v>
      </c>
      <c r="FR124" s="75">
        <f t="shared" si="19"/>
        <v>2.5792816292318577</v>
      </c>
      <c r="FS124" s="75">
        <f t="shared" si="20"/>
        <v>2.5792816292318577</v>
      </c>
    </row>
    <row r="125" spans="153:175" ht="14.4">
      <c r="EW125" s="3" t="e">
        <f>Cal!#REF!</f>
        <v>#REF!</v>
      </c>
      <c r="EX125" s="77" t="s">
        <v>361</v>
      </c>
      <c r="EY125" s="3">
        <v>30</v>
      </c>
      <c r="EZ125" s="3">
        <v>30</v>
      </c>
      <c r="FA125" s="3" t="s">
        <v>698</v>
      </c>
      <c r="FB125" s="75" cm="1">
        <f t="array" ref="FB125">_xll.DCEPropSectBox(EY125, EZ125, FA125, 1, 1, "Area")/100</f>
        <v>2.136991118430775</v>
      </c>
      <c r="FC125" s="75">
        <f t="shared" si="16"/>
        <v>1.6775380279681584</v>
      </c>
      <c r="FD125" s="75" cm="1">
        <f t="array" ref="FD125">_xll.DCEPropSectBox(EY125, EZ125, FA125, 1, 1, "Ix")/10000</f>
        <v>2.7219421425561099</v>
      </c>
      <c r="FE125" s="75" cm="1">
        <f t="array" ref="FE125">_xll.DCEPropSectBox(EY125, EZ125, FA125, 1, 1, "Iy")/10000</f>
        <v>2.7219421425561099</v>
      </c>
      <c r="FF125" s="75">
        <f t="shared" si="14"/>
        <v>1.8146280950374065</v>
      </c>
      <c r="FG125" s="75">
        <f t="shared" si="15"/>
        <v>1.8146280950374065</v>
      </c>
      <c r="FJ125" s="3" t="e">
        <f>Cal!#REF!</f>
        <v>#REF!</v>
      </c>
      <c r="FK125" s="77" t="s">
        <v>838</v>
      </c>
      <c r="FL125" s="3">
        <v>49</v>
      </c>
      <c r="FM125" s="3">
        <v>1.7</v>
      </c>
      <c r="FN125" s="80" cm="1">
        <f t="array" ref="FN125">_xll.DCEPropSectPipe(FL125, FM125, "A")/100</f>
        <v>2.5261546527515519</v>
      </c>
      <c r="FO125" s="75">
        <f t="shared" si="17"/>
        <v>1.9830314024099682</v>
      </c>
      <c r="FP125" s="76" cm="1">
        <f t="array" ref="FP125">_xll.DCEPropSectPipe(FL125, FM125, "I")/10000</f>
        <v>7.073801412501215</v>
      </c>
      <c r="FQ125" s="76">
        <f t="shared" si="18"/>
        <v>7.073801412501215</v>
      </c>
      <c r="FR125" s="75">
        <f t="shared" si="19"/>
        <v>2.8872658826535571</v>
      </c>
      <c r="FS125" s="75">
        <f t="shared" si="20"/>
        <v>2.8872658826535571</v>
      </c>
    </row>
    <row r="126" spans="153:175" ht="14.4">
      <c r="EW126" s="3" t="e">
        <f>Cal!#REF!</f>
        <v>#REF!</v>
      </c>
      <c r="EX126" s="77" t="s">
        <v>362</v>
      </c>
      <c r="EY126" s="3">
        <v>30</v>
      </c>
      <c r="EZ126" s="3">
        <v>30</v>
      </c>
      <c r="FA126" s="3" t="s">
        <v>699</v>
      </c>
      <c r="FB126" s="75" cm="1">
        <f t="array" ref="FB126">_xll.DCEPropSectBox(EY126, EZ126, FA126, 1, 1, "Area")/100</f>
        <v>2.2300327080699294</v>
      </c>
      <c r="FC126" s="75">
        <f t="shared" si="16"/>
        <v>1.7505756758348945</v>
      </c>
      <c r="FD126" s="75" cm="1">
        <f t="array" ref="FD126">_xll.DCEPropSectBox(EY126, EZ126, FA126, 1, 1, "Ix")/10000</f>
        <v>2.8158947037251205</v>
      </c>
      <c r="FE126" s="75" cm="1">
        <f t="array" ref="FE126">_xll.DCEPropSectBox(EY126, EZ126, FA126, 1, 1, "Iy")/10000</f>
        <v>2.8158947037251205</v>
      </c>
      <c r="FF126" s="75">
        <f t="shared" si="14"/>
        <v>1.8772631358167471</v>
      </c>
      <c r="FG126" s="75">
        <f t="shared" si="15"/>
        <v>1.8772631358167471</v>
      </c>
      <c r="FJ126" s="3" t="e">
        <f>Cal!#REF!</f>
        <v>#REF!</v>
      </c>
      <c r="FK126" s="77" t="s">
        <v>839</v>
      </c>
      <c r="FL126" s="3">
        <v>49</v>
      </c>
      <c r="FM126" s="3">
        <v>1.8</v>
      </c>
      <c r="FN126" s="80" cm="1">
        <f t="array" ref="FN126">_xll.DCEPropSectPipe(FL126, FM126, "A")/100</f>
        <v>2.6690971184898897</v>
      </c>
      <c r="FO126" s="75">
        <f t="shared" si="17"/>
        <v>2.0952412380145633</v>
      </c>
      <c r="FP126" s="76" cm="1">
        <f t="array" ref="FP126">_xll.DCEPropSectPipe(FL126, FM126, "I")/10000</f>
        <v>7.4437114989005266</v>
      </c>
      <c r="FQ126" s="76">
        <f t="shared" si="18"/>
        <v>7.4437114989005266</v>
      </c>
      <c r="FR126" s="75">
        <f t="shared" si="19"/>
        <v>3.0382495913879697</v>
      </c>
      <c r="FS126" s="75">
        <f t="shared" si="20"/>
        <v>3.0382495913879697</v>
      </c>
    </row>
    <row r="127" spans="153:175" ht="14.4">
      <c r="EW127" s="3" t="e">
        <f>Cal!#REF!</f>
        <v>#REF!</v>
      </c>
      <c r="EX127" s="77" t="s">
        <v>363</v>
      </c>
      <c r="EY127" s="3">
        <v>30</v>
      </c>
      <c r="EZ127" s="3">
        <v>30</v>
      </c>
      <c r="FA127" s="3" t="s">
        <v>700</v>
      </c>
      <c r="FB127" s="75" cm="1">
        <f t="array" ref="FB127">_xll.DCEPropSectBox(EY127, EZ127, FA127, 1, 1, "Area")/100</f>
        <v>2.3217592533012383</v>
      </c>
      <c r="FC127" s="75">
        <f t="shared" si="16"/>
        <v>1.822581013841472</v>
      </c>
      <c r="FD127" s="75" cm="1">
        <f t="array" ref="FD127">_xll.DCEPropSectBox(EY127, EZ127, FA127, 1, 1, "Ix")/10000</f>
        <v>2.9062164651673283</v>
      </c>
      <c r="FE127" s="75" cm="1">
        <f t="array" ref="FE127">_xll.DCEPropSectBox(EY127, EZ127, FA127, 1, 1, "Iy")/10000</f>
        <v>2.9062164651673283</v>
      </c>
      <c r="FF127" s="75">
        <f t="shared" si="14"/>
        <v>1.9374776434448855</v>
      </c>
      <c r="FG127" s="75">
        <f t="shared" si="15"/>
        <v>1.9374776434448855</v>
      </c>
      <c r="FJ127" s="3" t="e">
        <f>Cal!#REF!</f>
        <v>#REF!</v>
      </c>
      <c r="FK127" s="77" t="s">
        <v>840</v>
      </c>
      <c r="FL127" s="3">
        <v>49</v>
      </c>
      <c r="FM127" s="3">
        <v>2</v>
      </c>
      <c r="FN127" s="80" cm="1">
        <f t="array" ref="FN127">_xll.DCEPropSectPipe(FL127, FM127, "A")/100</f>
        <v>2.953097094374407</v>
      </c>
      <c r="FO127" s="75">
        <f t="shared" si="17"/>
        <v>2.3181812190839097</v>
      </c>
      <c r="FP127" s="76" cm="1">
        <f t="array" ref="FP127">_xll.DCEPropSectPipe(FL127, FM127, "I")/10000</f>
        <v>8.1690048373132012</v>
      </c>
      <c r="FQ127" s="76">
        <f t="shared" si="18"/>
        <v>8.1690048373132012</v>
      </c>
      <c r="FR127" s="75">
        <f t="shared" si="19"/>
        <v>3.3342876886992654</v>
      </c>
      <c r="FS127" s="75">
        <f t="shared" si="20"/>
        <v>3.3342876886992654</v>
      </c>
    </row>
    <row r="128" spans="153:175" ht="14.4">
      <c r="EW128" s="3" t="e">
        <f>Cal!#REF!</f>
        <v>#REF!</v>
      </c>
      <c r="EX128" s="77" t="s">
        <v>364</v>
      </c>
      <c r="EY128" s="3">
        <v>30</v>
      </c>
      <c r="EZ128" s="3">
        <v>30</v>
      </c>
      <c r="FA128" s="3" t="s">
        <v>701</v>
      </c>
      <c r="FB128" s="75" cm="1">
        <f t="array" ref="FB128">_xll.DCEPropSectBox(EY128, EZ128, FA128, 1, 1, "Area")/100</f>
        <v>2.4121707541247002</v>
      </c>
      <c r="FC128" s="75">
        <f t="shared" si="16"/>
        <v>1.8935540419878898</v>
      </c>
      <c r="FD128" s="75" cm="1">
        <f t="array" ref="FD128">_xll.DCEPropSectBox(EY128, EZ128, FA128, 1, 1, "Ix")/10000</f>
        <v>2.9929580121111052</v>
      </c>
      <c r="FE128" s="75" cm="1">
        <f t="array" ref="FE128">_xll.DCEPropSectBox(EY128, EZ128, FA128, 1, 1, "Iy")/10000</f>
        <v>2.9929580121111052</v>
      </c>
      <c r="FF128" s="75">
        <f t="shared" si="14"/>
        <v>1.9953053414074036</v>
      </c>
      <c r="FG128" s="75">
        <f t="shared" si="15"/>
        <v>1.9953053414074036</v>
      </c>
      <c r="FJ128" s="3" t="e">
        <f>Cal!#REF!</f>
        <v>#REF!</v>
      </c>
      <c r="FK128" s="77" t="s">
        <v>841</v>
      </c>
      <c r="FL128" s="3">
        <v>49</v>
      </c>
      <c r="FM128" s="3">
        <v>2.2999999999999998</v>
      </c>
      <c r="FN128" s="80" cm="1">
        <f t="array" ref="FN128">_xll.DCEPropSectPipe(FL128, FM128, "A")/100</f>
        <v>3.3743846692207988</v>
      </c>
      <c r="FO128" s="75">
        <f t="shared" si="17"/>
        <v>2.6488919653383274</v>
      </c>
      <c r="FP128" s="76" cm="1">
        <f t="array" ref="FP128">_xll.DCEPropSectPipe(FL128, FM128, "I")/10000</f>
        <v>9.2212653451964055</v>
      </c>
      <c r="FQ128" s="76">
        <f t="shared" si="18"/>
        <v>9.2212653451964055</v>
      </c>
      <c r="FR128" s="75">
        <f t="shared" si="19"/>
        <v>3.7637817735495531</v>
      </c>
      <c r="FS128" s="75">
        <f t="shared" si="20"/>
        <v>3.7637817735495531</v>
      </c>
    </row>
    <row r="129" spans="153:175" ht="14.4">
      <c r="EW129" s="3" t="e">
        <f>Cal!#REF!</f>
        <v>#REF!</v>
      </c>
      <c r="EX129" s="77" t="s">
        <v>365</v>
      </c>
      <c r="EY129" s="3">
        <v>30</v>
      </c>
      <c r="EZ129" s="3">
        <v>30</v>
      </c>
      <c r="FA129" s="3" t="s">
        <v>702</v>
      </c>
      <c r="FB129" s="75" cm="1">
        <f t="array" ref="FB129">_xll.DCEPropSectBox(EY129, EZ129, FA129, 1, 1, "Area")/100</f>
        <v>2.5012672105403162</v>
      </c>
      <c r="FC129" s="75">
        <f t="shared" si="16"/>
        <v>1.9634947602741482</v>
      </c>
      <c r="FD129" s="75" cm="1">
        <f t="array" ref="FD129">_xll.DCEPropSectBox(EY129, EZ129, FA129, 1, 1, "Ix")/10000</f>
        <v>3.0761696450050482</v>
      </c>
      <c r="FE129" s="75" cm="1">
        <f t="array" ref="FE129">_xll.DCEPropSectBox(EY129, EZ129, FA129, 1, 1, "Iy")/10000</f>
        <v>3.0761696450050482</v>
      </c>
      <c r="FF129" s="75">
        <f t="shared" si="14"/>
        <v>2.0507797633366986</v>
      </c>
      <c r="FG129" s="75">
        <f t="shared" si="15"/>
        <v>2.0507797633366986</v>
      </c>
      <c r="FJ129" s="3" t="e">
        <f>Cal!#REF!</f>
        <v>#REF!</v>
      </c>
      <c r="FK129" s="77" t="s">
        <v>842</v>
      </c>
      <c r="FL129" s="3">
        <v>49</v>
      </c>
      <c r="FM129" s="3">
        <v>2.5</v>
      </c>
      <c r="FN129" s="80" cm="1">
        <f t="array" ref="FN129">_xll.DCEPropSectPipe(FL129, FM129, "A")/100</f>
        <v>3.6521014597981343</v>
      </c>
      <c r="FO129" s="75">
        <f t="shared" si="17"/>
        <v>2.8668996459415355</v>
      </c>
      <c r="FP129" s="76" cm="1">
        <f t="array" ref="FP129">_xll.DCEPropSectPipe(FL129, FM129, "I")/10000</f>
        <v>9.8994775194653197</v>
      </c>
      <c r="FQ129" s="76">
        <f t="shared" si="18"/>
        <v>9.8994775194653197</v>
      </c>
      <c r="FR129" s="75">
        <f t="shared" si="19"/>
        <v>4.0406030691695181</v>
      </c>
      <c r="FS129" s="75">
        <f t="shared" si="20"/>
        <v>4.0406030691695181</v>
      </c>
    </row>
    <row r="130" spans="153:175" ht="14.4">
      <c r="EW130" s="3" t="e">
        <f>Cal!#REF!</f>
        <v>#REF!</v>
      </c>
      <c r="EX130" s="77" t="s">
        <v>366</v>
      </c>
      <c r="EY130" s="3">
        <v>25</v>
      </c>
      <c r="EZ130" s="3">
        <v>50</v>
      </c>
      <c r="FA130" s="3" t="s">
        <v>686</v>
      </c>
      <c r="FB130" s="75" cm="1">
        <f t="array" ref="FB130">_xll.DCEPropSectBox(EY130, EZ130, FA130, 1, 1, "Area")/100</f>
        <v>1.0177814120077699</v>
      </c>
      <c r="FC130" s="75">
        <f t="shared" si="16"/>
        <v>0.79895840842609944</v>
      </c>
      <c r="FD130" s="75" cm="1">
        <f t="array" ref="FD130">_xll.DCEPropSectBox(EY130, EZ130, FA130, 1, 1, "Ix")/10000</f>
        <v>3.3880200134670218</v>
      </c>
      <c r="FE130" s="75" cm="1">
        <f t="array" ref="FE130">_xll.DCEPropSectBox(EY130, EZ130, FA130, 1, 1, "Iy")/10000</f>
        <v>1.1676948055499861</v>
      </c>
      <c r="FF130" s="75">
        <f t="shared" si="14"/>
        <v>1.3552080053868087</v>
      </c>
      <c r="FG130" s="75">
        <f t="shared" si="15"/>
        <v>0.93415584443998889</v>
      </c>
      <c r="FJ130" s="3" t="e">
        <f>Cal!#REF!</f>
        <v>#REF!</v>
      </c>
      <c r="FK130" s="77" t="s">
        <v>843</v>
      </c>
      <c r="FL130" s="3">
        <v>49</v>
      </c>
      <c r="FM130" s="3">
        <v>2.8</v>
      </c>
      <c r="FN130" s="80" cm="1">
        <f t="array" ref="FN130">_xll.DCEPropSectPipe(FL130, FM130, "A")/100</f>
        <v>4.0639642566837573</v>
      </c>
      <c r="FO130" s="75">
        <f t="shared" si="17"/>
        <v>3.1902119414967491</v>
      </c>
      <c r="FP130" s="76" cm="1">
        <f t="array" ref="FP130">_xll.DCEPropSectPipe(FL130, FM130, "I")/10000</f>
        <v>10.8826866847606</v>
      </c>
      <c r="FQ130" s="76">
        <f t="shared" si="18"/>
        <v>10.8826866847606</v>
      </c>
      <c r="FR130" s="75">
        <f t="shared" si="19"/>
        <v>4.4419129325553461</v>
      </c>
      <c r="FS130" s="75">
        <f t="shared" si="20"/>
        <v>4.4419129325553461</v>
      </c>
    </row>
    <row r="131" spans="153:175" ht="14.4">
      <c r="EW131" s="3" t="e">
        <f>Cal!#REF!</f>
        <v>#REF!</v>
      </c>
      <c r="EX131" s="77" t="s">
        <v>367</v>
      </c>
      <c r="EY131" s="3">
        <v>25</v>
      </c>
      <c r="EZ131" s="3">
        <v>50</v>
      </c>
      <c r="FA131" s="3" t="s">
        <v>687</v>
      </c>
      <c r="FB131" s="75" cm="1">
        <f t="array" ref="FB131">_xll.DCEPropSectBox(EY131, EZ131, FA131, 1, 1, "Area")/100</f>
        <v>1.1579185789489241</v>
      </c>
      <c r="FC131" s="75">
        <f t="shared" si="16"/>
        <v>0.90896608447490546</v>
      </c>
      <c r="FD131" s="75" cm="1">
        <f t="array" ref="FD131">_xll.DCEPropSectBox(EY131, EZ131, FA131, 1, 1, "Ix")/10000</f>
        <v>3.8308209861909868</v>
      </c>
      <c r="FE131" s="75" cm="1">
        <f t="array" ref="FE131">_xll.DCEPropSectBox(EY131, EZ131, FA131, 1, 1, "Iy")/10000</f>
        <v>1.317418412280809</v>
      </c>
      <c r="FF131" s="75">
        <f t="shared" si="14"/>
        <v>1.5323283944763948</v>
      </c>
      <c r="FG131" s="75">
        <f t="shared" si="15"/>
        <v>1.0539347298246473</v>
      </c>
      <c r="FJ131" s="3" t="e">
        <f>Cal!#REF!</f>
        <v>#REF!</v>
      </c>
      <c r="FK131" s="77" t="s">
        <v>844</v>
      </c>
      <c r="FL131" s="3">
        <v>49</v>
      </c>
      <c r="FM131" s="3">
        <v>3</v>
      </c>
      <c r="FN131" s="80" cm="1">
        <f t="array" ref="FN131">_xll.DCEPropSectPipe(FL131, FM131, "A")/100</f>
        <v>4.3353978619539157</v>
      </c>
      <c r="FO131" s="75">
        <f t="shared" si="17"/>
        <v>3.4032873216338242</v>
      </c>
      <c r="FP131" s="76" cm="1">
        <f t="array" ref="FP131">_xll.DCEPropSectPipe(FL131, FM131, "I")/10000</f>
        <v>11.515900570815086</v>
      </c>
      <c r="FQ131" s="76">
        <f t="shared" si="18"/>
        <v>11.515900570815086</v>
      </c>
      <c r="FR131" s="75">
        <f t="shared" si="19"/>
        <v>4.7003675799245244</v>
      </c>
      <c r="FS131" s="75">
        <f t="shared" si="20"/>
        <v>4.7003675799245244</v>
      </c>
    </row>
    <row r="132" spans="153:175" ht="14.4">
      <c r="EW132" s="3" t="e">
        <f>Cal!#REF!</f>
        <v>#REF!</v>
      </c>
      <c r="EX132" s="77" t="s">
        <v>368</v>
      </c>
      <c r="EY132" s="3">
        <v>25</v>
      </c>
      <c r="EZ132" s="3">
        <v>50</v>
      </c>
      <c r="FA132" s="3" t="s">
        <v>688</v>
      </c>
      <c r="FB132" s="75" cm="1">
        <f t="array" ref="FB132">_xll.DCEPropSectBox(EY132, EZ132, FA132, 1, 1, "Area")/100</f>
        <v>1.2967407014822323</v>
      </c>
      <c r="FC132" s="75">
        <f t="shared" si="16"/>
        <v>1.0179414506635522</v>
      </c>
      <c r="FD132" s="75" cm="1">
        <f t="array" ref="FD132">_xll.DCEPropSectBox(EY132, EZ132, FA132, 1, 1, "Ix")/10000</f>
        <v>4.2635699012604702</v>
      </c>
      <c r="FE132" s="75" cm="1">
        <f t="array" ref="FE132">_xll.DCEPropSectBox(EY132, EZ132, FA132, 1, 1, "Iy")/10000</f>
        <v>1.4630361787295145</v>
      </c>
      <c r="FF132" s="75">
        <f t="shared" si="14"/>
        <v>1.705427960504188</v>
      </c>
      <c r="FG132" s="75">
        <f t="shared" si="15"/>
        <v>1.1704289429836117</v>
      </c>
      <c r="FJ132" s="3" t="e">
        <f>Cal!#REF!</f>
        <v>#REF!</v>
      </c>
      <c r="FK132" s="77" t="s">
        <v>845</v>
      </c>
      <c r="FL132" s="3">
        <v>60</v>
      </c>
      <c r="FM132" s="3">
        <v>1</v>
      </c>
      <c r="FN132" s="80" cm="1">
        <f t="array" ref="FN132">_xll.DCEPropSectPipe(FL132, FM132, "A")/100</f>
        <v>1.8535396656179772</v>
      </c>
      <c r="FO132" s="75">
        <f t="shared" si="17"/>
        <v>1.455028637510112</v>
      </c>
      <c r="FP132" s="76" cm="1">
        <f t="array" ref="FP132">_xll.DCEPropSectPipe(FL132, FM132, "I")/10000</f>
        <v>8.0675313946022413</v>
      </c>
      <c r="FQ132" s="76">
        <f t="shared" si="18"/>
        <v>8.0675313946022413</v>
      </c>
      <c r="FR132" s="75">
        <f t="shared" si="19"/>
        <v>2.6891771315340804</v>
      </c>
      <c r="FS132" s="75">
        <f t="shared" si="20"/>
        <v>2.6891771315340804</v>
      </c>
    </row>
    <row r="133" spans="153:175" ht="14.4">
      <c r="EW133" s="3" t="e">
        <f>Cal!#REF!</f>
        <v>#REF!</v>
      </c>
      <c r="EX133" s="77" t="s">
        <v>369</v>
      </c>
      <c r="EY133" s="3">
        <v>25</v>
      </c>
      <c r="EZ133" s="3">
        <v>50</v>
      </c>
      <c r="FA133" s="3" t="s">
        <v>689</v>
      </c>
      <c r="FB133" s="75" cm="1">
        <f t="array" ref="FB133">_xll.DCEPropSectBox(EY133, EZ133, FA133, 1, 1, "Area")/100</f>
        <v>1.4342477796076938</v>
      </c>
      <c r="FC133" s="75">
        <f t="shared" si="16"/>
        <v>1.1258845069920398</v>
      </c>
      <c r="FD133" s="75" cm="1">
        <f t="array" ref="FD133">_xll.DCEPropSectBox(EY133, EZ133, FA133, 1, 1, "Ix")/10000</f>
        <v>4.6863488513697948</v>
      </c>
      <c r="FE133" s="75" cm="1">
        <f t="array" ref="FE133">_xll.DCEPropSectBox(EY133, EZ133, FA133, 1, 1, "Iy")/10000</f>
        <v>1.604602940929245</v>
      </c>
      <c r="FF133" s="75">
        <f t="shared" si="14"/>
        <v>1.8745395405479179</v>
      </c>
      <c r="FG133" s="75">
        <f t="shared" si="15"/>
        <v>1.283682352743396</v>
      </c>
      <c r="FJ133" s="3" t="e">
        <f>Cal!#REF!</f>
        <v>#REF!</v>
      </c>
      <c r="FK133" s="77" t="s">
        <v>846</v>
      </c>
      <c r="FL133" s="3">
        <v>60</v>
      </c>
      <c r="FM133" s="3">
        <v>1.1000000000000001</v>
      </c>
      <c r="FN133" s="80" cm="1">
        <f t="array" ref="FN133">_xll.DCEPropSectPipe(FL133, FM133, "A")/100</f>
        <v>2.0354378802608291</v>
      </c>
      <c r="FO133" s="75">
        <f t="shared" si="17"/>
        <v>1.5978187360047509</v>
      </c>
      <c r="FP133" s="76" cm="1">
        <f t="array" ref="FP133">_xll.DCEPropSectPipe(FL133, FM133, "I")/10000</f>
        <v>8.8297804105184738</v>
      </c>
      <c r="FQ133" s="76">
        <f t="shared" si="18"/>
        <v>8.8297804105184738</v>
      </c>
      <c r="FR133" s="75">
        <f t="shared" si="19"/>
        <v>2.9432601368394913</v>
      </c>
      <c r="FS133" s="75">
        <f t="shared" si="20"/>
        <v>2.9432601368394913</v>
      </c>
    </row>
    <row r="134" spans="153:175" ht="14.4">
      <c r="EW134" s="3" t="e">
        <f>Cal!#REF!</f>
        <v>#REF!</v>
      </c>
      <c r="EX134" s="77" t="s">
        <v>370</v>
      </c>
      <c r="EY134" s="3">
        <v>25</v>
      </c>
      <c r="EZ134" s="3">
        <v>50</v>
      </c>
      <c r="FA134" s="3" t="s">
        <v>690</v>
      </c>
      <c r="FB134" s="75" cm="1">
        <f t="array" ref="FB134">_xll.DCEPropSectBox(EY134, EZ134, FA134, 1, 1, "Area")/100</f>
        <v>1.5704398133253092</v>
      </c>
      <c r="FC134" s="75">
        <f t="shared" si="16"/>
        <v>1.2327952534603679</v>
      </c>
      <c r="FD134" s="75" cm="1">
        <f t="array" ref="FD134">_xll.DCEPropSectBox(EY134, EZ134, FA134, 1, 1, "Ix")/10000</f>
        <v>5.0992396444335011</v>
      </c>
      <c r="FE134" s="75" cm="1">
        <f t="array" ref="FE134">_xll.DCEPropSectBox(EY134, EZ134, FA134, 1, 1, "Iy")/10000</f>
        <v>1.7421732501333662</v>
      </c>
      <c r="FF134" s="75">
        <f t="shared" ref="FF134:FF197" si="21">FD134/(EZ134/20)</f>
        <v>2.0396958577734003</v>
      </c>
      <c r="FG134" s="75">
        <f t="shared" ref="FG134:FG197" si="22">FE134/(EY134/20)</f>
        <v>1.3937386001066929</v>
      </c>
      <c r="FJ134" s="3" t="e">
        <f>Cal!#REF!</f>
        <v>#REF!</v>
      </c>
      <c r="FK134" s="77" t="s">
        <v>847</v>
      </c>
      <c r="FL134" s="3">
        <v>60</v>
      </c>
      <c r="FM134" s="3">
        <v>1.2</v>
      </c>
      <c r="FN134" s="80" cm="1">
        <f t="array" ref="FN134">_xll.DCEPropSectPipe(FL134, FM134, "A")/100</f>
        <v>2.2167077763729548</v>
      </c>
      <c r="FO134" s="75">
        <f t="shared" si="17"/>
        <v>1.7401156044527695</v>
      </c>
      <c r="FP134" s="76" cm="1">
        <f t="array" ref="FP134">_xll.DCEPropSectPipe(FL134, FM134, "I")/10000</f>
        <v>9.5841577419261093</v>
      </c>
      <c r="FQ134" s="76">
        <f t="shared" si="18"/>
        <v>9.5841577419261093</v>
      </c>
      <c r="FR134" s="75">
        <f t="shared" si="19"/>
        <v>3.1947192473087029</v>
      </c>
      <c r="FS134" s="75">
        <f t="shared" si="20"/>
        <v>3.1947192473087029</v>
      </c>
    </row>
    <row r="135" spans="153:175" ht="14.4">
      <c r="EW135" s="3" t="e">
        <f>Cal!#REF!</f>
        <v>#REF!</v>
      </c>
      <c r="EX135" s="77" t="s">
        <v>371</v>
      </c>
      <c r="EY135" s="3">
        <v>25</v>
      </c>
      <c r="EZ135" s="3">
        <v>50</v>
      </c>
      <c r="FA135" s="3" t="s">
        <v>691</v>
      </c>
      <c r="FB135" s="75" cm="1">
        <f t="array" ref="FB135">_xll.DCEPropSectBox(EY135, EZ135, FA135, 1, 1, "Area")/100</f>
        <v>1.7053168026350789</v>
      </c>
      <c r="FC135" s="75">
        <f t="shared" ref="FC135:FC198" si="23">7850*(FB135/10000)</f>
        <v>1.338673690068537</v>
      </c>
      <c r="FD135" s="75" cm="1">
        <f t="array" ref="FD135">_xll.DCEPropSectBox(EY135, EZ135, FA135, 1, 1, "Ix")/10000</f>
        <v>5.5023238035863589</v>
      </c>
      <c r="FE135" s="75" cm="1">
        <f t="array" ref="FE135">_xll.DCEPropSectBox(EY135, EZ135, FA135, 1, 1, "Iy")/10000</f>
        <v>1.875801372815475</v>
      </c>
      <c r="FF135" s="75">
        <f t="shared" si="21"/>
        <v>2.2009295214345435</v>
      </c>
      <c r="FG135" s="75">
        <f t="shared" si="22"/>
        <v>1.5006410982523799</v>
      </c>
      <c r="FJ135" s="3" t="e">
        <f>Cal!#REF!</f>
        <v>#REF!</v>
      </c>
      <c r="FK135" s="77" t="s">
        <v>848</v>
      </c>
      <c r="FL135" s="3">
        <v>60</v>
      </c>
      <c r="FM135" s="3">
        <v>1.4</v>
      </c>
      <c r="FN135" s="80" cm="1">
        <f t="array" ref="FN135">_xll.DCEPropSectPipe(FL135, FM135, "A")/100</f>
        <v>2.5773626130050662</v>
      </c>
      <c r="FO135" s="75">
        <f t="shared" ref="FO135:FO181" si="24">7850*(FN135/10000)</f>
        <v>2.0232296512089771</v>
      </c>
      <c r="FP135" s="76" cm="1">
        <f t="array" ref="FP135">_xll.DCEPropSectPipe(FL135, FM135, "I")/10000</f>
        <v>11.069514686595438</v>
      </c>
      <c r="FQ135" s="76">
        <f t="shared" ref="FQ135:FQ181" si="25">FP135</f>
        <v>11.069514686595438</v>
      </c>
      <c r="FR135" s="75">
        <f t="shared" ref="FR135:FR181" si="26">FP135/(FL135/20)</f>
        <v>3.6898382288651459</v>
      </c>
      <c r="FS135" s="75">
        <f t="shared" ref="FS135:FS181" si="27">FR135</f>
        <v>3.6898382288651459</v>
      </c>
    </row>
    <row r="136" spans="153:175" ht="14.4">
      <c r="EW136" s="3" t="e">
        <f>Cal!#REF!</f>
        <v>#REF!</v>
      </c>
      <c r="EX136" s="77" t="s">
        <v>372</v>
      </c>
      <c r="EY136" s="3">
        <v>25</v>
      </c>
      <c r="EZ136" s="3">
        <v>50</v>
      </c>
      <c r="FA136" s="3" t="s">
        <v>692</v>
      </c>
      <c r="FB136" s="75" cm="1">
        <f t="array" ref="FB136">_xll.DCEPropSectBox(EY136, EZ136, FA136, 1, 1, "Area")/100</f>
        <v>1.9711256480310797</v>
      </c>
      <c r="FC136" s="75">
        <f t="shared" si="23"/>
        <v>1.5473336337043977</v>
      </c>
      <c r="FD136" s="75" cm="1">
        <f t="array" ref="FD136">_xll.DCEPropSectBox(EY136, EZ136, FA136, 1, 1, "Ix")/10000</f>
        <v>6.2793968887997966</v>
      </c>
      <c r="FE136" s="75" cm="1">
        <f t="array" ref="FE136">_xll.DCEPropSectBox(EY136, EZ136, FA136, 1, 1, "Iy")/10000</f>
        <v>2.1314467006092039</v>
      </c>
      <c r="FF136" s="75">
        <f t="shared" si="21"/>
        <v>2.5117587555199186</v>
      </c>
      <c r="FG136" s="75">
        <f t="shared" si="22"/>
        <v>1.7051573604873631</v>
      </c>
      <c r="FJ136" s="3" t="e">
        <f>Cal!#REF!</f>
        <v>#REF!</v>
      </c>
      <c r="FK136" s="77" t="s">
        <v>849</v>
      </c>
      <c r="FL136" s="3">
        <v>60</v>
      </c>
      <c r="FM136" s="3">
        <v>1.5</v>
      </c>
      <c r="FN136" s="80" cm="1">
        <f t="array" ref="FN136">_xll.DCEPropSectPipe(FL136, FM136, "A")/100</f>
        <v>2.7567475535250425</v>
      </c>
      <c r="FO136" s="75">
        <f t="shared" si="24"/>
        <v>2.1640468295171584</v>
      </c>
      <c r="FP136" s="76" cm="1">
        <f t="array" ref="FP136">_xll.DCEPropSectPipe(FL136, FM136, "I")/10000</f>
        <v>11.800602496308136</v>
      </c>
      <c r="FQ136" s="76">
        <f t="shared" si="25"/>
        <v>11.800602496308136</v>
      </c>
      <c r="FR136" s="75">
        <f t="shared" si="26"/>
        <v>3.9335341654360452</v>
      </c>
      <c r="FS136" s="75">
        <f t="shared" si="27"/>
        <v>3.9335341654360452</v>
      </c>
    </row>
    <row r="137" spans="153:175" ht="14.4">
      <c r="EW137" s="3" t="e">
        <f>Cal!#REF!</f>
        <v>#REF!</v>
      </c>
      <c r="EX137" s="77" t="s">
        <v>373</v>
      </c>
      <c r="EY137" s="3">
        <v>25</v>
      </c>
      <c r="EZ137" s="3">
        <v>50</v>
      </c>
      <c r="FA137" s="3" t="s">
        <v>693</v>
      </c>
      <c r="FB137" s="75" cm="1">
        <f t="array" ref="FB137">_xll.DCEPropSectBox(EY137, EZ137, FA137, 1, 1, "Area")/100</f>
        <v>2.1020575041173113</v>
      </c>
      <c r="FC137" s="75">
        <f t="shared" si="23"/>
        <v>1.6501151407320895</v>
      </c>
      <c r="FD137" s="75" cm="1">
        <f t="array" ref="FD137">_xll.DCEPropSectBox(EY137, EZ137, FA137, 1, 1, "Ix")/10000</f>
        <v>6.6535474372310839</v>
      </c>
      <c r="FE137" s="75" cm="1">
        <f t="array" ref="FE137">_xll.DCEPropSectBox(EY137, EZ137, FA137, 1, 1, "Iy")/10000</f>
        <v>2.2535710147691725</v>
      </c>
      <c r="FF137" s="75">
        <f t="shared" si="21"/>
        <v>2.6614189748924337</v>
      </c>
      <c r="FG137" s="75">
        <f t="shared" si="22"/>
        <v>1.8028568118153381</v>
      </c>
      <c r="FJ137" s="3" t="e">
        <f>Cal!#REF!</f>
        <v>#REF!</v>
      </c>
      <c r="FK137" s="77" t="s">
        <v>850</v>
      </c>
      <c r="FL137" s="3">
        <v>60</v>
      </c>
      <c r="FM137" s="3">
        <v>1.7</v>
      </c>
      <c r="FN137" s="80" cm="1">
        <f t="array" ref="FN137">_xll.DCEPropSectPipe(FL137, FM137, "A")/100</f>
        <v>3.1136324789728449</v>
      </c>
      <c r="FO137" s="75">
        <f t="shared" si="24"/>
        <v>2.4442014959936835</v>
      </c>
      <c r="FP137" s="76" cm="1">
        <f t="array" ref="FP137">_xll.DCEPropSectPipe(FL137, FM137, "I")/10000</f>
        <v>13.23986586790029</v>
      </c>
      <c r="FQ137" s="76">
        <f t="shared" si="25"/>
        <v>13.23986586790029</v>
      </c>
      <c r="FR137" s="75">
        <f t="shared" si="26"/>
        <v>4.4132886226334298</v>
      </c>
      <c r="FS137" s="75">
        <f t="shared" si="27"/>
        <v>4.4132886226334298</v>
      </c>
    </row>
    <row r="138" spans="153:175" ht="14.4">
      <c r="EW138" s="3" t="e">
        <f>Cal!#REF!</f>
        <v>#REF!</v>
      </c>
      <c r="EX138" s="77" t="s">
        <v>374</v>
      </c>
      <c r="EY138" s="3">
        <v>25</v>
      </c>
      <c r="EZ138" s="3">
        <v>50</v>
      </c>
      <c r="FA138" s="3" t="s">
        <v>694</v>
      </c>
      <c r="FB138" s="75" cm="1">
        <f t="array" ref="FB138">_xll.DCEPropSectBox(EY138, EZ138, FA138, 1, 1, "Area")/100</f>
        <v>2.2316743157956962</v>
      </c>
      <c r="FC138" s="75">
        <f t="shared" si="23"/>
        <v>1.7518643378996215</v>
      </c>
      <c r="FD138" s="75" cm="1">
        <f t="array" ref="FD138">_xll.DCEPropSectBox(EY138, EZ138, FA138, 1, 1, "Ix")/10000</f>
        <v>7.0182145964929337</v>
      </c>
      <c r="FE138" s="75" cm="1">
        <f t="array" ref="FE138">_xll.DCEPropSectBox(EY138, EZ138, FA138, 1, 1, "Iy")/10000</f>
        <v>2.3719673605038261</v>
      </c>
      <c r="FF138" s="75">
        <f t="shared" si="21"/>
        <v>2.8072858385971733</v>
      </c>
      <c r="FG138" s="75">
        <f t="shared" si="22"/>
        <v>1.8975738884030608</v>
      </c>
      <c r="FJ138" s="3" t="e">
        <f>Cal!#REF!</f>
        <v>#REF!</v>
      </c>
      <c r="FK138" s="77" t="s">
        <v>851</v>
      </c>
      <c r="FL138" s="3">
        <v>60</v>
      </c>
      <c r="FM138" s="3">
        <v>1.8</v>
      </c>
      <c r="FN138" s="80" cm="1">
        <f t="array" ref="FN138">_xll.DCEPropSectPipe(FL138, FM138, "A")/100</f>
        <v>3.2911324639006669</v>
      </c>
      <c r="FO138" s="75">
        <f t="shared" si="24"/>
        <v>2.5835389841620233</v>
      </c>
      <c r="FP138" s="76" cm="1">
        <f t="array" ref="FP138">_xll.DCEPropSectPipe(FL138, FM138, "I")/10000</f>
        <v>13.948148495257419</v>
      </c>
      <c r="FQ138" s="76">
        <f t="shared" si="25"/>
        <v>13.948148495257419</v>
      </c>
      <c r="FR138" s="75">
        <f t="shared" si="26"/>
        <v>4.6493828317524732</v>
      </c>
      <c r="FS138" s="75">
        <f t="shared" si="27"/>
        <v>4.6493828317524732</v>
      </c>
    </row>
    <row r="139" spans="153:175" ht="14.4">
      <c r="EW139" s="3" t="e">
        <f>Cal!#REF!</f>
        <v>#REF!</v>
      </c>
      <c r="EX139" s="77" t="s">
        <v>375</v>
      </c>
      <c r="EY139" s="3">
        <v>25</v>
      </c>
      <c r="EZ139" s="3">
        <v>50</v>
      </c>
      <c r="FA139" s="3" t="s">
        <v>695</v>
      </c>
      <c r="FB139" s="75" cm="1">
        <f t="array" ref="FB139">_xll.DCEPropSectBox(EY139, EZ139, FA139, 1, 1, "Area")/100</f>
        <v>2.3599760830662349</v>
      </c>
      <c r="FC139" s="75">
        <f t="shared" si="23"/>
        <v>1.8525812252069944</v>
      </c>
      <c r="FD139" s="75" cm="1">
        <f t="array" ref="FD139">_xll.DCEPropSectBox(EY139, EZ139, FA139, 1, 1, "Ix")/10000</f>
        <v>7.3734784658212549</v>
      </c>
      <c r="FE139" s="75" cm="1">
        <f t="array" ref="FE139">_xll.DCEPropSectBox(EY139, EZ139, FA139, 1, 1, "Iy")/10000</f>
        <v>2.4866885803879155</v>
      </c>
      <c r="FF139" s="75">
        <f t="shared" si="21"/>
        <v>2.949391386328502</v>
      </c>
      <c r="FG139" s="75">
        <f t="shared" si="22"/>
        <v>1.9893508643103324</v>
      </c>
      <c r="FJ139" s="3" t="e">
        <f>Cal!#REF!</f>
        <v>#REF!</v>
      </c>
      <c r="FK139" s="77" t="s">
        <v>852</v>
      </c>
      <c r="FL139" s="3">
        <v>60</v>
      </c>
      <c r="FM139" s="3">
        <v>2</v>
      </c>
      <c r="FN139" s="80" cm="1">
        <f t="array" ref="FN139">_xll.DCEPropSectPipe(FL139, FM139, "A")/100</f>
        <v>3.6442474781641612</v>
      </c>
      <c r="FO139" s="75">
        <f t="shared" si="24"/>
        <v>2.8607342703588667</v>
      </c>
      <c r="FP139" s="76" cm="1">
        <f t="array" ref="FP139">_xll.DCEPropSectPipe(FL139, FM139, "I")/10000</f>
        <v>15.342281883071108</v>
      </c>
      <c r="FQ139" s="76">
        <f t="shared" si="25"/>
        <v>15.342281883071108</v>
      </c>
      <c r="FR139" s="75">
        <f t="shared" si="26"/>
        <v>5.1140939610237028</v>
      </c>
      <c r="FS139" s="75">
        <f t="shared" si="27"/>
        <v>5.1140939610237028</v>
      </c>
    </row>
    <row r="140" spans="153:175" ht="14.4">
      <c r="EW140" s="3" t="e">
        <f>Cal!#REF!</f>
        <v>#REF!</v>
      </c>
      <c r="EX140" s="77" t="s">
        <v>376</v>
      </c>
      <c r="EY140" s="3">
        <v>25</v>
      </c>
      <c r="EZ140" s="3">
        <v>50</v>
      </c>
      <c r="FA140" s="3" t="s">
        <v>696</v>
      </c>
      <c r="FB140" s="75" cm="1">
        <f t="array" ref="FB140">_xll.DCEPropSectBox(EY140, EZ140, FA140, 1, 1, "Area")/100</f>
        <v>2.4869628059289282</v>
      </c>
      <c r="FC140" s="75">
        <f t="shared" si="23"/>
        <v>1.9522658026542086</v>
      </c>
      <c r="FD140" s="75" cm="1">
        <f t="array" ref="FD140">_xll.DCEPropSectBox(EY140, EZ140, FA140, 1, 1, "Ix")/10000</f>
        <v>7.7194188596722411</v>
      </c>
      <c r="FE140" s="75" cm="1">
        <f t="array" ref="FE140">_xll.DCEPropSectBox(EY140, EZ140, FA140, 1, 1, "Iy")/10000</f>
        <v>2.5977872322164259</v>
      </c>
      <c r="FF140" s="75">
        <f t="shared" si="21"/>
        <v>3.0877675438688965</v>
      </c>
      <c r="FG140" s="75">
        <f t="shared" si="22"/>
        <v>2.0782297857731407</v>
      </c>
      <c r="FJ140" s="3" t="e">
        <f>Cal!#REF!</f>
        <v>#REF!</v>
      </c>
      <c r="FK140" s="77" t="s">
        <v>853</v>
      </c>
      <c r="FL140" s="3">
        <v>60</v>
      </c>
      <c r="FM140" s="3">
        <v>2.2999999999999998</v>
      </c>
      <c r="FN140" s="80" cm="1">
        <f t="array" ref="FN140">_xll.DCEPropSectPipe(FL140, FM140, "A")/100</f>
        <v>4.169207610579015</v>
      </c>
      <c r="FO140" s="75">
        <f t="shared" si="24"/>
        <v>3.2728279743045268</v>
      </c>
      <c r="FP140" s="76" cm="1">
        <f t="array" ref="FP140">_xll.DCEPropSectPipe(FL140, FM140, "I")/10000</f>
        <v>17.378195392605708</v>
      </c>
      <c r="FQ140" s="76">
        <f t="shared" si="25"/>
        <v>17.378195392605708</v>
      </c>
      <c r="FR140" s="75">
        <f t="shared" si="26"/>
        <v>5.7927317975352359</v>
      </c>
      <c r="FS140" s="75">
        <f t="shared" si="27"/>
        <v>5.7927317975352359</v>
      </c>
    </row>
    <row r="141" spans="153:175" ht="14.4">
      <c r="EW141" s="3" t="e">
        <f>Cal!#REF!</f>
        <v>#REF!</v>
      </c>
      <c r="EX141" s="77" t="s">
        <v>377</v>
      </c>
      <c r="EY141" s="3">
        <v>25</v>
      </c>
      <c r="EZ141" s="3">
        <v>50</v>
      </c>
      <c r="FA141" s="3" t="s">
        <v>697</v>
      </c>
      <c r="FB141" s="75" cm="1">
        <f t="array" ref="FB141">_xll.DCEPropSectBox(EY141, EZ141, FA141, 1, 1, "Area")/100</f>
        <v>2.6126344843837743</v>
      </c>
      <c r="FC141" s="75">
        <f t="shared" si="23"/>
        <v>2.0509180702412628</v>
      </c>
      <c r="FD141" s="75" cm="1">
        <f t="array" ref="FD141">_xll.DCEPropSectBox(EY141, EZ141, FA141, 1, 1, "Ix")/10000</f>
        <v>8.0561153077222531</v>
      </c>
      <c r="FE141" s="75" cm="1">
        <f t="array" ref="FE141">_xll.DCEPropSectBox(EY141, EZ141, FA141, 1, 1, "Iy")/10000</f>
        <v>2.7053155890045635</v>
      </c>
      <c r="FF141" s="75">
        <f t="shared" si="21"/>
        <v>3.2224461230889014</v>
      </c>
      <c r="FG141" s="75">
        <f t="shared" si="22"/>
        <v>2.1642524712036506</v>
      </c>
      <c r="FJ141" s="3" t="e">
        <f>Cal!#REF!</f>
        <v>#REF!</v>
      </c>
      <c r="FK141" s="77" t="s">
        <v>854</v>
      </c>
      <c r="FL141" s="3">
        <v>60</v>
      </c>
      <c r="FM141" s="3">
        <v>2.5</v>
      </c>
      <c r="FN141" s="80" cm="1">
        <f t="array" ref="FN141">_xll.DCEPropSectPipe(FL141, FM141, "A")/100</f>
        <v>4.5160394395353247</v>
      </c>
      <c r="FO141" s="75">
        <f t="shared" si="24"/>
        <v>3.5450909600352301</v>
      </c>
      <c r="FP141" s="76" cm="1">
        <f t="array" ref="FP141">_xll.DCEPropSectPipe(FL141, FM141, "I")/10000</f>
        <v>18.699225804325962</v>
      </c>
      <c r="FQ141" s="76">
        <f t="shared" si="25"/>
        <v>18.699225804325962</v>
      </c>
      <c r="FR141" s="75">
        <f t="shared" si="26"/>
        <v>6.2330752681086539</v>
      </c>
      <c r="FS141" s="75">
        <f t="shared" si="27"/>
        <v>6.2330752681086539</v>
      </c>
    </row>
    <row r="142" spans="153:175" ht="14.4">
      <c r="EW142" s="3" t="e">
        <f>Cal!#REF!</f>
        <v>#REF!</v>
      </c>
      <c r="EX142" s="77" t="s">
        <v>378</v>
      </c>
      <c r="EY142" s="3">
        <v>25</v>
      </c>
      <c r="EZ142" s="3">
        <v>50</v>
      </c>
      <c r="FA142" s="3" t="s">
        <v>698</v>
      </c>
      <c r="FB142" s="75" cm="1">
        <f t="array" ref="FB142">_xll.DCEPropSectBox(EY142, EZ142, FA142, 1, 1, "Area")/100</f>
        <v>2.7369911184307751</v>
      </c>
      <c r="FC142" s="75">
        <f t="shared" si="23"/>
        <v>2.1485380279681587</v>
      </c>
      <c r="FD142" s="75" cm="1">
        <f t="array" ref="FD142">_xll.DCEPropSectBox(EY142, EZ142, FA142, 1, 1, "Ix")/10000</f>
        <v>8.3836470548679216</v>
      </c>
      <c r="FE142" s="75" cm="1">
        <f t="array" ref="FE142">_xll.DCEPropSectBox(EY142, EZ142, FA142, 1, 1, "Iy")/10000</f>
        <v>2.8093256389877737</v>
      </c>
      <c r="FF142" s="75">
        <f t="shared" si="21"/>
        <v>3.3534588219471688</v>
      </c>
      <c r="FG142" s="75">
        <f t="shared" si="22"/>
        <v>2.2474605111902188</v>
      </c>
      <c r="FJ142" s="3" t="e">
        <f>Cal!#REF!</f>
        <v>#REF!</v>
      </c>
      <c r="FK142" s="77" t="s">
        <v>855</v>
      </c>
      <c r="FL142" s="3">
        <v>60</v>
      </c>
      <c r="FM142" s="3">
        <v>2.8</v>
      </c>
      <c r="FN142" s="80" cm="1">
        <f t="array" ref="FN142">_xll.DCEPropSectPipe(FL142, FM142, "A")/100</f>
        <v>5.0315747939894164</v>
      </c>
      <c r="FO142" s="75">
        <f t="shared" si="24"/>
        <v>3.9497862132816914</v>
      </c>
      <c r="FP142" s="76" cm="1">
        <f t="array" ref="FP142">_xll.DCEPropSectPipe(FL142, FM142, "I")/10000</f>
        <v>20.627444025439001</v>
      </c>
      <c r="FQ142" s="76">
        <f t="shared" si="25"/>
        <v>20.627444025439001</v>
      </c>
      <c r="FR142" s="75">
        <f t="shared" si="26"/>
        <v>6.8758146751463336</v>
      </c>
      <c r="FS142" s="75">
        <f t="shared" si="27"/>
        <v>6.8758146751463336</v>
      </c>
    </row>
    <row r="143" spans="153:175" ht="14.4">
      <c r="EW143" s="3" t="e">
        <f>Cal!#REF!</f>
        <v>#REF!</v>
      </c>
      <c r="EX143" s="77" t="s">
        <v>379</v>
      </c>
      <c r="EY143" s="3">
        <v>25</v>
      </c>
      <c r="EZ143" s="3">
        <v>50</v>
      </c>
      <c r="FA143" s="3" t="s">
        <v>699</v>
      </c>
      <c r="FB143" s="75" cm="1">
        <f t="array" ref="FB143">_xll.DCEPropSectBox(EY143, EZ143, FA143, 1, 1, "Area")/100</f>
        <v>2.8600327080699297</v>
      </c>
      <c r="FC143" s="75">
        <f t="shared" si="23"/>
        <v>2.245125675834895</v>
      </c>
      <c r="FD143" s="75" cm="1">
        <f t="array" ref="FD143">_xll.DCEPropSectBox(EY143, EZ143, FA143, 1, 1, "Ix")/10000</f>
        <v>8.7020930612260994</v>
      </c>
      <c r="FE143" s="75" cm="1">
        <f t="array" ref="FE143">_xll.DCEPropSectBox(EY143, EZ143, FA143, 1, 1, "Iy")/10000</f>
        <v>2.9098690856217289</v>
      </c>
      <c r="FF143" s="75">
        <f t="shared" si="21"/>
        <v>3.4808372244904398</v>
      </c>
      <c r="FG143" s="75">
        <f t="shared" si="22"/>
        <v>2.3278952684973833</v>
      </c>
      <c r="FJ143" s="3" t="e">
        <f>Cal!#REF!</f>
        <v>#REF!</v>
      </c>
      <c r="FK143" s="77" t="s">
        <v>856</v>
      </c>
      <c r="FL143" s="3">
        <v>60</v>
      </c>
      <c r="FM143" s="3">
        <v>3</v>
      </c>
      <c r="FN143" s="80" cm="1">
        <f t="array" ref="FN143">_xll.DCEPropSectPipe(FL143, FM143, "A")/100</f>
        <v>5.3721234376385469</v>
      </c>
      <c r="FO143" s="75">
        <f t="shared" si="24"/>
        <v>4.2171168985462586</v>
      </c>
      <c r="FP143" s="76" cm="1">
        <f t="array" ref="FP143">_xll.DCEPropSectPipe(FL143, FM143, "I")/10000</f>
        <v>21.877972699782973</v>
      </c>
      <c r="FQ143" s="76">
        <f t="shared" si="25"/>
        <v>21.877972699782973</v>
      </c>
      <c r="FR143" s="75">
        <f t="shared" si="26"/>
        <v>7.2926575665943245</v>
      </c>
      <c r="FS143" s="75">
        <f t="shared" si="27"/>
        <v>7.2926575665943245</v>
      </c>
    </row>
    <row r="144" spans="153:175" ht="14.4">
      <c r="EW144" s="3" t="e">
        <f>Cal!#REF!</f>
        <v>#REF!</v>
      </c>
      <c r="EX144" s="77" t="s">
        <v>380</v>
      </c>
      <c r="EY144" s="3">
        <v>25</v>
      </c>
      <c r="EZ144" s="3">
        <v>50</v>
      </c>
      <c r="FA144" s="3" t="s">
        <v>700</v>
      </c>
      <c r="FB144" s="75" cm="1">
        <f t="array" ref="FB144">_xll.DCEPropSectBox(EY144, EZ144, FA144, 1, 1, "Area")/100</f>
        <v>2.981759253301238</v>
      </c>
      <c r="FC144" s="75">
        <f t="shared" si="23"/>
        <v>2.340681013841472</v>
      </c>
      <c r="FD144" s="75" cm="1">
        <f t="array" ref="FD144">_xll.DCEPropSectBox(EY144, EZ144, FA144, 1, 1, "Ix")/10000</f>
        <v>9.0115320021338547</v>
      </c>
      <c r="FE144" s="75" cm="1">
        <f t="array" ref="FE144">_xll.DCEPropSectBox(EY144, EZ144, FA144, 1, 1, "Iy")/10000</f>
        <v>3.0069973475823324</v>
      </c>
      <c r="FF144" s="75">
        <f t="shared" si="21"/>
        <v>3.6046128008535421</v>
      </c>
      <c r="FG144" s="75">
        <f t="shared" si="22"/>
        <v>2.405597878065866</v>
      </c>
      <c r="FJ144" s="3" t="e">
        <f>Cal!#REF!</f>
        <v>#REF!</v>
      </c>
      <c r="FK144" s="77" t="s">
        <v>857</v>
      </c>
      <c r="FL144" s="3">
        <v>76</v>
      </c>
      <c r="FM144" s="3">
        <v>1.1000000000000001</v>
      </c>
      <c r="FN144" s="80" cm="1">
        <f t="array" ref="FN144">_xll.DCEPropSectPipe(FL144, FM144, "A")/100</f>
        <v>2.5883581872926333</v>
      </c>
      <c r="FO144" s="75">
        <f t="shared" si="24"/>
        <v>2.0318611770247172</v>
      </c>
      <c r="FP144" s="76" cm="1">
        <f t="array" ref="FP144">_xll.DCEPropSectPipe(FL144, FM144, "I")/10000</f>
        <v>18.15480903462521</v>
      </c>
      <c r="FQ144" s="76">
        <f t="shared" si="25"/>
        <v>18.15480903462521</v>
      </c>
      <c r="FR144" s="75">
        <f t="shared" si="26"/>
        <v>4.7775813249013712</v>
      </c>
      <c r="FS144" s="75">
        <f t="shared" si="27"/>
        <v>4.7775813249013712</v>
      </c>
    </row>
    <row r="145" spans="153:175" ht="14.4">
      <c r="EW145" s="3" t="e">
        <f>Cal!#REF!</f>
        <v>#REF!</v>
      </c>
      <c r="EX145" s="77" t="s">
        <v>381</v>
      </c>
      <c r="EY145" s="3">
        <v>25</v>
      </c>
      <c r="EZ145" s="3">
        <v>50</v>
      </c>
      <c r="FA145" s="3" t="s">
        <v>701</v>
      </c>
      <c r="FB145" s="75" cm="1">
        <f t="array" ref="FB145">_xll.DCEPropSectBox(EY145, EZ145, FA145, 1, 1, "Area")/100</f>
        <v>3.1021707541246997</v>
      </c>
      <c r="FC145" s="75">
        <f t="shared" si="23"/>
        <v>2.4352040419878889</v>
      </c>
      <c r="FD145" s="75" cm="1">
        <f t="array" ref="FD145">_xll.DCEPropSectBox(EY145, EZ145, FA145, 1, 1, "Ix")/10000</f>
        <v>9.3120422681485149</v>
      </c>
      <c r="FE145" s="75" cm="1">
        <f t="array" ref="FE145">_xll.DCEPropSectBox(EY145, EZ145, FA145, 1, 1, "Iy")/10000</f>
        <v>3.100761558765722</v>
      </c>
      <c r="FF145" s="75">
        <f t="shared" si="21"/>
        <v>3.724816907259406</v>
      </c>
      <c r="FG145" s="75">
        <f t="shared" si="22"/>
        <v>2.4806092470125778</v>
      </c>
      <c r="FJ145" s="3" t="e">
        <f>Cal!#REF!</f>
        <v>#REF!</v>
      </c>
      <c r="FK145" s="77" t="s">
        <v>858</v>
      </c>
      <c r="FL145" s="3">
        <v>76</v>
      </c>
      <c r="FM145" s="3">
        <v>1.2</v>
      </c>
      <c r="FN145" s="80" cm="1">
        <f t="array" ref="FN145">_xll.DCEPropSectPipe(FL145, FM145, "A")/100</f>
        <v>2.8198935658622033</v>
      </c>
      <c r="FO145" s="75">
        <f t="shared" si="24"/>
        <v>2.2136164492018295</v>
      </c>
      <c r="FP145" s="76" cm="1">
        <f t="array" ref="FP145">_xll.DCEPropSectPipe(FL145, FM145, "I")/10000</f>
        <v>19.726847429345643</v>
      </c>
      <c r="FQ145" s="76">
        <f t="shared" si="25"/>
        <v>19.726847429345643</v>
      </c>
      <c r="FR145" s="75">
        <f t="shared" si="26"/>
        <v>5.1912756393014856</v>
      </c>
      <c r="FS145" s="75">
        <f t="shared" si="27"/>
        <v>5.1912756393014856</v>
      </c>
    </row>
    <row r="146" spans="153:175" ht="14.4">
      <c r="EW146" s="3" t="e">
        <f>Cal!#REF!</f>
        <v>#REF!</v>
      </c>
      <c r="EX146" s="77" t="s">
        <v>382</v>
      </c>
      <c r="EY146" s="3">
        <v>25</v>
      </c>
      <c r="EZ146" s="3">
        <v>50</v>
      </c>
      <c r="FA146" s="3" t="s">
        <v>702</v>
      </c>
      <c r="FB146" s="75" cm="1">
        <f t="array" ref="FB146">_xll.DCEPropSectBox(EY146, EZ146, FA146, 1, 1, "Area")/100</f>
        <v>3.221267210540316</v>
      </c>
      <c r="FC146" s="75">
        <f t="shared" si="23"/>
        <v>2.5286947602741479</v>
      </c>
      <c r="FD146" s="75" cm="1">
        <f t="array" ref="FD146">_xll.DCEPropSectBox(EY146, EZ146, FA146, 1, 1, "Ix")/10000</f>
        <v>9.6037019650476072</v>
      </c>
      <c r="FE146" s="75" cm="1">
        <f t="array" ref="FE146">_xll.DCEPropSectBox(EY146, EZ146, FA146, 1, 1, "Iy")/10000</f>
        <v>3.1912125682882566</v>
      </c>
      <c r="FF146" s="75">
        <f t="shared" si="21"/>
        <v>3.841480786019043</v>
      </c>
      <c r="FG146" s="75">
        <f t="shared" si="22"/>
        <v>2.5529700546306051</v>
      </c>
      <c r="FJ146" s="3" t="e">
        <f>Cal!#REF!</f>
        <v>#REF!</v>
      </c>
      <c r="FK146" s="77" t="s">
        <v>859</v>
      </c>
      <c r="FL146" s="3">
        <v>76</v>
      </c>
      <c r="FM146" s="3">
        <v>1.4</v>
      </c>
      <c r="FN146" s="80" cm="1">
        <f t="array" ref="FN146">_xll.DCEPropSectPipe(FL146, FM146, "A")/100</f>
        <v>3.2810793674091747</v>
      </c>
      <c r="FO146" s="75">
        <f t="shared" si="24"/>
        <v>2.5756473034162024</v>
      </c>
      <c r="FP146" s="76" cm="1">
        <f t="array" ref="FP146">_xll.DCEPropSectPipe(FL146, FM146, "I")/10000</f>
        <v>22.83270320986372</v>
      </c>
      <c r="FQ146" s="76">
        <f t="shared" si="25"/>
        <v>22.83270320986372</v>
      </c>
      <c r="FR146" s="75">
        <f t="shared" si="26"/>
        <v>6.0086061078588742</v>
      </c>
      <c r="FS146" s="75">
        <f t="shared" si="27"/>
        <v>6.0086061078588742</v>
      </c>
    </row>
    <row r="147" spans="153:175" ht="14.4">
      <c r="EW147" s="3" t="e">
        <f>Cal!#REF!</f>
        <v>#REF!</v>
      </c>
      <c r="EX147" s="77" t="s">
        <v>383</v>
      </c>
      <c r="EY147" s="3">
        <v>25</v>
      </c>
      <c r="EZ147" s="3">
        <v>50</v>
      </c>
      <c r="FA147" s="3" t="s">
        <v>703</v>
      </c>
      <c r="FB147" s="75" cm="1">
        <f t="array" ref="FB147">_xll.DCEPropSectBox(EY147, EZ147, FA147, 1, 1, "Area")/100</f>
        <v>3.339048622548086</v>
      </c>
      <c r="FC147" s="75">
        <f t="shared" si="23"/>
        <v>2.6211531687002476</v>
      </c>
      <c r="FD147" s="75" cm="1">
        <f t="array" ref="FD147">_xll.DCEPropSectBox(EY147, EZ147, FA147, 1, 1, "Ix")/10000</f>
        <v>9.8865889138289127</v>
      </c>
      <c r="FE147" s="75" cm="1">
        <f t="array" ref="FE147">_xll.DCEPropSectBox(EY147, EZ147, FA147, 1, 1, "Iy")/10000</f>
        <v>3.278400940486534</v>
      </c>
      <c r="FF147" s="75">
        <f t="shared" si="21"/>
        <v>3.9546355655315653</v>
      </c>
      <c r="FG147" s="75">
        <f t="shared" si="22"/>
        <v>2.6227207523892271</v>
      </c>
      <c r="FJ147" s="3" t="e">
        <f>Cal!#REF!</f>
        <v>#REF!</v>
      </c>
      <c r="FK147" s="77" t="s">
        <v>860</v>
      </c>
      <c r="FL147" s="3">
        <v>76</v>
      </c>
      <c r="FM147" s="3">
        <v>1.5</v>
      </c>
      <c r="FN147" s="80" cm="1">
        <f t="array" ref="FN147">_xll.DCEPropSectPipe(FL147, FM147, "A")/100</f>
        <v>3.5107297903865855</v>
      </c>
      <c r="FO147" s="75">
        <f t="shared" si="24"/>
        <v>2.7559228854534696</v>
      </c>
      <c r="FP147" s="76" cm="1">
        <f t="array" ref="FP147">_xll.DCEPropSectPipe(FL147, FM147, "I")/10000</f>
        <v>24.366658951401966</v>
      </c>
      <c r="FQ147" s="76">
        <f t="shared" si="25"/>
        <v>24.366658951401966</v>
      </c>
      <c r="FR147" s="75">
        <f t="shared" si="26"/>
        <v>6.4122786714215705</v>
      </c>
      <c r="FS147" s="75">
        <f t="shared" si="27"/>
        <v>6.4122786714215705</v>
      </c>
    </row>
    <row r="148" spans="153:175" ht="14.4">
      <c r="EW148" s="3" t="e">
        <f>Cal!#REF!</f>
        <v>#REF!</v>
      </c>
      <c r="EX148" s="77" t="s">
        <v>384</v>
      </c>
      <c r="EY148" s="3">
        <v>25</v>
      </c>
      <c r="EZ148" s="3">
        <v>50</v>
      </c>
      <c r="FA148" s="3" t="s">
        <v>704</v>
      </c>
      <c r="FB148" s="75" cm="1">
        <f t="array" ref="FB148">_xll.DCEPropSectBox(EY148, EZ148, FA148, 1, 1, "Area")/100</f>
        <v>3.5706663133400878</v>
      </c>
      <c r="FC148" s="75">
        <f t="shared" si="23"/>
        <v>2.802973055971969</v>
      </c>
      <c r="FD148" s="75" cm="1">
        <f t="array" ref="FD148">_xll.DCEPropSectBox(EY148, EZ148, FA148, 1, 1, "Ix")/10000</f>
        <v>10.426354427130391</v>
      </c>
      <c r="FE148" s="75" cm="1">
        <f t="array" ref="FE148">_xll.DCEPropSectBox(EY148, EZ148, FA148, 1, 1, "Iy")/10000</f>
        <v>3.4431906063578528</v>
      </c>
      <c r="FF148" s="75">
        <f t="shared" si="21"/>
        <v>4.1705417708521564</v>
      </c>
      <c r="FG148" s="75">
        <f t="shared" si="22"/>
        <v>2.7545524850862821</v>
      </c>
      <c r="FJ148" s="3" t="e">
        <f>Cal!#REF!</f>
        <v>#REF!</v>
      </c>
      <c r="FK148" s="77" t="s">
        <v>861</v>
      </c>
      <c r="FL148" s="3">
        <v>76</v>
      </c>
      <c r="FM148" s="3">
        <v>1.7</v>
      </c>
      <c r="FN148" s="80" cm="1">
        <f t="array" ref="FN148">_xll.DCEPropSectPipe(FL148, FM148, "A")/100</f>
        <v>3.968145680749267</v>
      </c>
      <c r="FO148" s="75">
        <f t="shared" si="24"/>
        <v>3.1149943593881746</v>
      </c>
      <c r="FP148" s="76" cm="1">
        <f t="array" ref="FP148">_xll.DCEPropSectPipe(FL148, FM148, "I")/10000</f>
        <v>27.396970612671158</v>
      </c>
      <c r="FQ148" s="76">
        <f t="shared" si="25"/>
        <v>27.396970612671158</v>
      </c>
      <c r="FR148" s="75">
        <f t="shared" si="26"/>
        <v>7.2097291085976734</v>
      </c>
      <c r="FS148" s="75">
        <f t="shared" si="27"/>
        <v>7.2097291085976734</v>
      </c>
    </row>
    <row r="149" spans="153:175" ht="14.4">
      <c r="EW149" s="3" t="e">
        <f>Cal!#REF!</f>
        <v>#REF!</v>
      </c>
      <c r="EX149" s="77" t="s">
        <v>385</v>
      </c>
      <c r="EY149" s="3">
        <v>25</v>
      </c>
      <c r="EZ149" s="3">
        <v>50</v>
      </c>
      <c r="FA149" s="3" t="s">
        <v>705</v>
      </c>
      <c r="FB149" s="75" cm="1">
        <f t="array" ref="FB149">_xll.DCEPropSectBox(EY149, EZ149, FA149, 1, 1, "Area")/100</f>
        <v>3.6845025921243195</v>
      </c>
      <c r="FC149" s="75">
        <f t="shared" si="23"/>
        <v>2.8923345348175906</v>
      </c>
      <c r="FD149" s="75" cm="1">
        <f t="array" ref="FD149">_xll.DCEPropSectBox(EY149, EZ149, FA149, 1, 1, "Ix")/10000</f>
        <v>10.683387209747272</v>
      </c>
      <c r="FE149" s="75" cm="1">
        <f t="array" ref="FE149">_xll.DCEPropSectBox(EY149, EZ149, FA149, 1, 1, "Iy")/10000</f>
        <v>3.5208916048052386</v>
      </c>
      <c r="FF149" s="75">
        <f t="shared" si="21"/>
        <v>4.2733548838989091</v>
      </c>
      <c r="FG149" s="75">
        <f t="shared" si="22"/>
        <v>2.8167132838441908</v>
      </c>
      <c r="FJ149" s="3" t="e">
        <f>Cal!#REF!</f>
        <v>#REF!</v>
      </c>
      <c r="FK149" s="77" t="s">
        <v>862</v>
      </c>
      <c r="FL149" s="3">
        <v>76</v>
      </c>
      <c r="FM149" s="3">
        <v>1.8</v>
      </c>
      <c r="FN149" s="80" cm="1">
        <f t="array" ref="FN149">_xll.DCEPropSectPipe(FL149, FM149, "A")/100</f>
        <v>4.1959111481345186</v>
      </c>
      <c r="FO149" s="75">
        <f t="shared" si="24"/>
        <v>3.2937902512855972</v>
      </c>
      <c r="FP149" s="76" cm="1">
        <f t="array" ref="FP149">_xll.DCEPropSectPipe(FL149, FM149, "I")/10000</f>
        <v>28.89346375716913</v>
      </c>
      <c r="FQ149" s="76">
        <f t="shared" si="25"/>
        <v>28.89346375716913</v>
      </c>
      <c r="FR149" s="75">
        <f t="shared" si="26"/>
        <v>7.6035430939918767</v>
      </c>
      <c r="FS149" s="75">
        <f t="shared" si="27"/>
        <v>7.6035430939918767</v>
      </c>
    </row>
    <row r="150" spans="153:175" ht="14.4">
      <c r="EW150" s="3" t="e">
        <f>Cal!#REF!</f>
        <v>#REF!</v>
      </c>
      <c r="EX150" s="77" t="s">
        <v>386</v>
      </c>
      <c r="EY150" s="3">
        <v>25</v>
      </c>
      <c r="EZ150" s="3">
        <v>50</v>
      </c>
      <c r="FA150" s="3" t="s">
        <v>706</v>
      </c>
      <c r="FB150" s="75" cm="1">
        <f t="array" ref="FB150">_xll.DCEPropSectBox(EY150, EZ150, FA150, 1, 1, "Area")/100</f>
        <v>3.797023826500705</v>
      </c>
      <c r="FC150" s="75">
        <f t="shared" si="23"/>
        <v>2.9806637038030535</v>
      </c>
      <c r="FD150" s="75" cm="1">
        <f t="array" ref="FD150">_xll.DCEPropSectBox(EY150, EZ150, FA150, 1, 1, "Ix")/10000</f>
        <v>10.931955680439748</v>
      </c>
      <c r="FE150" s="75" cm="1">
        <f t="array" ref="FE150">_xll.DCEPropSectBox(EY150, EZ150, FA150, 1, 1, "Iy")/10000</f>
        <v>3.5955293754770521</v>
      </c>
      <c r="FF150" s="75">
        <f t="shared" si="21"/>
        <v>4.3727822721758987</v>
      </c>
      <c r="FG150" s="75">
        <f t="shared" si="22"/>
        <v>2.8764235003816419</v>
      </c>
      <c r="FJ150" s="3" t="e">
        <f>Cal!#REF!</f>
        <v>#REF!</v>
      </c>
      <c r="FK150" s="77" t="s">
        <v>863</v>
      </c>
      <c r="FL150" s="3">
        <v>76</v>
      </c>
      <c r="FM150" s="3">
        <v>2</v>
      </c>
      <c r="FN150" s="80" cm="1">
        <f t="array" ref="FN150">_xll.DCEPropSectPipe(FL150, FM150, "A")/100</f>
        <v>4.6495571273128915</v>
      </c>
      <c r="FO150" s="75">
        <f t="shared" si="24"/>
        <v>3.64990234494062</v>
      </c>
      <c r="FP150" s="76" cm="1">
        <f t="array" ref="FP150">_xll.DCEPropSectPipe(FL150, FM150, "I")/10000</f>
        <v>31.849466322093317</v>
      </c>
      <c r="FQ150" s="76">
        <f t="shared" si="25"/>
        <v>31.849466322093317</v>
      </c>
      <c r="FR150" s="75">
        <f t="shared" si="26"/>
        <v>8.3814385058140317</v>
      </c>
      <c r="FS150" s="75">
        <f t="shared" si="27"/>
        <v>8.3814385058140317</v>
      </c>
    </row>
    <row r="151" spans="153:175" ht="14.4">
      <c r="EW151" s="3" t="e">
        <f>Cal!#REF!</f>
        <v>#REF!</v>
      </c>
      <c r="EX151" s="77" t="s">
        <v>387</v>
      </c>
      <c r="EY151" s="3">
        <v>25</v>
      </c>
      <c r="EZ151" s="3">
        <v>50</v>
      </c>
      <c r="FA151" s="3" t="s">
        <v>707</v>
      </c>
      <c r="FB151" s="75" cm="1">
        <f t="array" ref="FB151">_xll.DCEPropSectBox(EY151, EZ151, FA151, 1, 1, "Area")/100</f>
        <v>3.9082300164692443</v>
      </c>
      <c r="FC151" s="75">
        <f t="shared" si="23"/>
        <v>3.0679605629283571</v>
      </c>
      <c r="FD151" s="75" cm="1">
        <f t="array" ref="FD151">_xll.DCEPropSectBox(EY151, EZ151, FA151, 1, 1, "Ix")/10000</f>
        <v>11.172136236306761</v>
      </c>
      <c r="FE151" s="75" cm="1">
        <f t="array" ref="FE151">_xll.DCEPropSectBox(EY151, EZ151, FA151, 1, 1, "Iy")/10000</f>
        <v>3.6671530588110457</v>
      </c>
      <c r="FF151" s="75">
        <f t="shared" si="21"/>
        <v>4.468854494522704</v>
      </c>
      <c r="FG151" s="75">
        <f t="shared" si="22"/>
        <v>2.9337224470488366</v>
      </c>
      <c r="FJ151" s="3" t="e">
        <f>Cal!#REF!</f>
        <v>#REF!</v>
      </c>
      <c r="FK151" s="77" t="s">
        <v>864</v>
      </c>
      <c r="FL151" s="3">
        <v>76</v>
      </c>
      <c r="FM151" s="3">
        <v>2.2999999999999998</v>
      </c>
      <c r="FN151" s="80" cm="1">
        <f t="array" ref="FN151">_xll.DCEPropSectPipe(FL151, FM151, "A")/100</f>
        <v>5.3253137071000491</v>
      </c>
      <c r="FO151" s="75">
        <f t="shared" si="24"/>
        <v>4.1803712600735388</v>
      </c>
      <c r="FP151" s="76" cm="1">
        <f t="array" ref="FP151">_xll.DCEPropSectPipe(FL151, FM151, "I")/10000</f>
        <v>36.192030149036064</v>
      </c>
      <c r="FQ151" s="76">
        <f t="shared" si="25"/>
        <v>36.192030149036064</v>
      </c>
      <c r="FR151" s="75">
        <f t="shared" si="26"/>
        <v>9.5242184602726496</v>
      </c>
      <c r="FS151" s="75">
        <f t="shared" si="27"/>
        <v>9.5242184602726496</v>
      </c>
    </row>
    <row r="152" spans="153:175" ht="14.4">
      <c r="EW152" s="3" t="e">
        <f>Cal!#REF!</f>
        <v>#REF!</v>
      </c>
      <c r="EX152" s="77" t="s">
        <v>388</v>
      </c>
      <c r="EY152" s="3">
        <v>30</v>
      </c>
      <c r="EZ152" s="3">
        <v>60</v>
      </c>
      <c r="FA152" s="3" t="s">
        <v>687</v>
      </c>
      <c r="FB152" s="75" cm="1">
        <f t="array" ref="FB152">_xll.DCEPropSectBox(EY152, EZ152, FA152, 1, 1, "Area")/100</f>
        <v>1.3979185789489241</v>
      </c>
      <c r="FC152" s="75">
        <f t="shared" si="23"/>
        <v>1.0973660844749056</v>
      </c>
      <c r="FD152" s="75" cm="1">
        <f t="array" ref="FD152">_xll.DCEPropSectBox(EY152, EZ152, FA152, 1, 1, "Ix")/10000</f>
        <v>6.714672772335363</v>
      </c>
      <c r="FE152" s="75" cm="1">
        <f t="array" ref="FE152">_xll.DCEPropSectBox(EY152, EZ152, FA152, 1, 1, "Iy")/10000</f>
        <v>2.3159312823256135</v>
      </c>
      <c r="FF152" s="75">
        <f t="shared" si="21"/>
        <v>2.238224257445121</v>
      </c>
      <c r="FG152" s="75">
        <f t="shared" si="22"/>
        <v>1.5439541882170758</v>
      </c>
      <c r="FJ152" s="3" t="e">
        <f>Cal!#REF!</f>
        <v>#REF!</v>
      </c>
      <c r="FK152" s="77" t="s">
        <v>865</v>
      </c>
      <c r="FL152" s="3">
        <v>76</v>
      </c>
      <c r="FM152" s="3">
        <v>2.5</v>
      </c>
      <c r="FN152" s="80" cm="1">
        <f t="array" ref="FN152">_xll.DCEPropSectPipe(FL152, FM152, "A")/100</f>
        <v>5.7726765009712429</v>
      </c>
      <c r="FO152" s="75">
        <f t="shared" si="24"/>
        <v>4.531551053262425</v>
      </c>
      <c r="FP152" s="76" cm="1">
        <f t="array" ref="FP152">_xll.DCEPropSectPipe(FL152, FM152, "I")/10000</f>
        <v>39.026901069378738</v>
      </c>
      <c r="FQ152" s="76">
        <f t="shared" si="25"/>
        <v>39.026901069378738</v>
      </c>
      <c r="FR152" s="75">
        <f t="shared" si="26"/>
        <v>10.270237123520721</v>
      </c>
      <c r="FS152" s="75">
        <f t="shared" si="27"/>
        <v>10.270237123520721</v>
      </c>
    </row>
    <row r="153" spans="153:175" ht="14.4">
      <c r="EW153" s="3" t="e">
        <f>Cal!#REF!</f>
        <v>#REF!</v>
      </c>
      <c r="EX153" s="77" t="s">
        <v>389</v>
      </c>
      <c r="EY153" s="3">
        <v>30</v>
      </c>
      <c r="EZ153" s="3">
        <v>60</v>
      </c>
      <c r="FA153" s="3" t="s">
        <v>688</v>
      </c>
      <c r="FB153" s="75" cm="1">
        <f t="array" ref="FB153">_xll.DCEPropSectBox(EY153, EZ153, FA153, 1, 1, "Area")/100</f>
        <v>1.5667407014822323</v>
      </c>
      <c r="FC153" s="75">
        <f t="shared" si="23"/>
        <v>1.2298914506635523</v>
      </c>
      <c r="FD153" s="75" cm="1">
        <f t="array" ref="FD153">_xll.DCEPropSectBox(EY153, EZ153, FA153, 1, 1, "Ix")/10000</f>
        <v>7.4871105040698049</v>
      </c>
      <c r="FE153" s="75" cm="1">
        <f t="array" ref="FE153">_xll.DCEPropSectBox(EY153, EZ153, FA153, 1, 1, "Iy")/10000</f>
        <v>2.5776367478651476</v>
      </c>
      <c r="FF153" s="75">
        <f t="shared" si="21"/>
        <v>2.4957035013566018</v>
      </c>
      <c r="FG153" s="75">
        <f t="shared" si="22"/>
        <v>1.7184244985767652</v>
      </c>
      <c r="FJ153" s="3" t="e">
        <f>Cal!#REF!</f>
        <v>#REF!</v>
      </c>
      <c r="FK153" s="77" t="s">
        <v>866</v>
      </c>
      <c r="FL153" s="3">
        <v>76</v>
      </c>
      <c r="FM153" s="3">
        <v>2.8</v>
      </c>
      <c r="FN153" s="80" cm="1">
        <f t="array" ref="FN153">_xll.DCEPropSectPipe(FL153, FM153, "A")/100</f>
        <v>6.439008302797629</v>
      </c>
      <c r="FO153" s="75">
        <f t="shared" si="24"/>
        <v>5.0546215176961384</v>
      </c>
      <c r="FP153" s="76" cm="1">
        <f t="array" ref="FP153">_xll.DCEPropSectPipe(FL153, FM153, "I")/10000</f>
        <v>43.190292091845421</v>
      </c>
      <c r="FQ153" s="76">
        <f t="shared" si="25"/>
        <v>43.190292091845421</v>
      </c>
      <c r="FR153" s="75">
        <f t="shared" si="26"/>
        <v>11.365866339959322</v>
      </c>
      <c r="FS153" s="75">
        <f t="shared" si="27"/>
        <v>11.365866339959322</v>
      </c>
    </row>
    <row r="154" spans="153:175" ht="14.4">
      <c r="EW154" s="3" t="e">
        <f>Cal!#REF!</f>
        <v>#REF!</v>
      </c>
      <c r="EX154" s="77" t="s">
        <v>390</v>
      </c>
      <c r="EY154" s="3">
        <v>30</v>
      </c>
      <c r="EZ154" s="3">
        <v>60</v>
      </c>
      <c r="FA154" s="3" t="s">
        <v>689</v>
      </c>
      <c r="FB154" s="75" cm="1">
        <f t="array" ref="FB154">_xll.DCEPropSectBox(EY154, EZ154, FA154, 1, 1, "Area")/100</f>
        <v>1.7342477796076938</v>
      </c>
      <c r="FC154" s="75">
        <f t="shared" si="23"/>
        <v>1.3613845069920396</v>
      </c>
      <c r="FD154" s="75" cm="1">
        <f t="array" ref="FD154">_xll.DCEPropSectBox(EY154, EZ154, FA154, 1, 1, "Ix")/10000</f>
        <v>8.2450140227027493</v>
      </c>
      <c r="FE154" s="75" cm="1">
        <f t="array" ref="FE154">_xll.DCEPropSectBox(EY154, EZ154, FA154, 1, 1, "Iy")/10000</f>
        <v>2.8333901781154323</v>
      </c>
      <c r="FF154" s="75">
        <f t="shared" si="21"/>
        <v>2.748338007567583</v>
      </c>
      <c r="FG154" s="75">
        <f t="shared" si="22"/>
        <v>1.8889267854102882</v>
      </c>
      <c r="FJ154" s="3" t="e">
        <f>Cal!#REF!</f>
        <v>#REF!</v>
      </c>
      <c r="FK154" s="77" t="s">
        <v>867</v>
      </c>
      <c r="FL154" s="3">
        <v>76</v>
      </c>
      <c r="FM154" s="3">
        <v>3</v>
      </c>
      <c r="FN154" s="80" cm="1">
        <f t="array" ref="FN154">_xll.DCEPropSectPipe(FL154, FM154, "A")/100</f>
        <v>6.8800879113616427</v>
      </c>
      <c r="FO154" s="75">
        <f t="shared" si="24"/>
        <v>5.400869010418889</v>
      </c>
      <c r="FP154" s="76" cm="1">
        <f t="array" ref="FP154">_xll.DCEPropSectPipe(FL154, FM154, "I")/10000</f>
        <v>45.907386588560605</v>
      </c>
      <c r="FQ154" s="76">
        <f t="shared" si="25"/>
        <v>45.907386588560605</v>
      </c>
      <c r="FR154" s="75">
        <f t="shared" si="26"/>
        <v>12.080891207515949</v>
      </c>
      <c r="FS154" s="75">
        <f t="shared" si="27"/>
        <v>12.080891207515949</v>
      </c>
    </row>
    <row r="155" spans="153:175" ht="14.4">
      <c r="EW155" s="3" t="e">
        <f>Cal!#REF!</f>
        <v>#REF!</v>
      </c>
      <c r="EX155" s="77" t="s">
        <v>391</v>
      </c>
      <c r="EY155" s="3">
        <v>30</v>
      </c>
      <c r="EZ155" s="3">
        <v>60</v>
      </c>
      <c r="FA155" s="3" t="s">
        <v>690</v>
      </c>
      <c r="FB155" s="75" cm="1">
        <f t="array" ref="FB155">_xll.DCEPropSectBox(EY155, EZ155, FA155, 1, 1, "Area")/100</f>
        <v>1.9004398133253093</v>
      </c>
      <c r="FC155" s="75">
        <f t="shared" si="23"/>
        <v>1.4918452534603677</v>
      </c>
      <c r="FD155" s="75" cm="1">
        <f t="array" ref="FD155">_xll.DCEPropSectBox(EY155, EZ155, FA155, 1, 1, "Ix")/10000</f>
        <v>8.9884820388132045</v>
      </c>
      <c r="FE155" s="75" cm="1">
        <f t="array" ref="FE155">_xll.DCEPropSectBox(EY155, EZ155, FA155, 1, 1, "Iy")/10000</f>
        <v>3.0832575756620657</v>
      </c>
      <c r="FF155" s="75">
        <f t="shared" si="21"/>
        <v>2.9961606796044014</v>
      </c>
      <c r="FG155" s="75">
        <f t="shared" si="22"/>
        <v>2.055505050441377</v>
      </c>
      <c r="FJ155" s="3" t="e">
        <f>Cal!#REF!</f>
        <v>#REF!</v>
      </c>
      <c r="FK155" s="77" t="s">
        <v>868</v>
      </c>
      <c r="FL155" s="3">
        <v>90</v>
      </c>
      <c r="FM155" s="3">
        <v>1.2</v>
      </c>
      <c r="FN155" s="80" cm="1">
        <f t="array" ref="FN155">_xll.DCEPropSectPipe(FL155, FM155, "A")/100</f>
        <v>3.3476811316652855</v>
      </c>
      <c r="FO155" s="75">
        <f t="shared" si="24"/>
        <v>2.6279296883572489</v>
      </c>
      <c r="FP155" s="76" cm="1">
        <f t="array" ref="FP155">_xll.DCEPropSectPipe(FL155, FM155, "I")/10000</f>
        <v>33.003449204635437</v>
      </c>
      <c r="FQ155" s="76">
        <f t="shared" si="25"/>
        <v>33.003449204635437</v>
      </c>
      <c r="FR155" s="75">
        <f t="shared" si="26"/>
        <v>7.3340998232523198</v>
      </c>
      <c r="FS155" s="75">
        <f t="shared" si="27"/>
        <v>7.3340998232523198</v>
      </c>
    </row>
    <row r="156" spans="153:175" ht="14.4">
      <c r="EW156" s="3" t="e">
        <f>Cal!#REF!</f>
        <v>#REF!</v>
      </c>
      <c r="EX156" s="77" t="s">
        <v>392</v>
      </c>
      <c r="EY156" s="3">
        <v>30</v>
      </c>
      <c r="EZ156" s="3">
        <v>60</v>
      </c>
      <c r="FA156" s="3" t="s">
        <v>691</v>
      </c>
      <c r="FB156" s="75" cm="1">
        <f t="array" ref="FB156">_xll.DCEPropSectBox(EY156, EZ156, FA156, 1, 1, "Area")/100</f>
        <v>2.065316802635079</v>
      </c>
      <c r="FC156" s="75">
        <f t="shared" si="23"/>
        <v>1.6212736900685372</v>
      </c>
      <c r="FD156" s="75" cm="1">
        <f t="array" ref="FD156">_xll.DCEPropSectBox(EY156, EZ156, FA156, 1, 1, "Ix")/10000</f>
        <v>9.7176129782004015</v>
      </c>
      <c r="FE156" s="75" cm="1">
        <f t="array" ref="FE156">_xll.DCEPropSectBox(EY156, EZ156, FA156, 1, 1, "Iy")/10000</f>
        <v>3.3273046583108816</v>
      </c>
      <c r="FF156" s="75">
        <f t="shared" si="21"/>
        <v>3.2392043260668006</v>
      </c>
      <c r="FG156" s="75">
        <f t="shared" si="22"/>
        <v>2.2182031055405877</v>
      </c>
      <c r="FJ156" s="3" t="e">
        <f>Cal!#REF!</f>
        <v>#REF!</v>
      </c>
      <c r="FK156" s="77" t="s">
        <v>869</v>
      </c>
      <c r="FL156" s="3">
        <v>90</v>
      </c>
      <c r="FM156" s="3">
        <v>1.4</v>
      </c>
      <c r="FN156" s="80" cm="1">
        <f t="array" ref="FN156">_xll.DCEPropSectPipe(FL156, FM156, "A")/100</f>
        <v>3.8968315275127772</v>
      </c>
      <c r="FO156" s="75">
        <f t="shared" si="24"/>
        <v>3.0590127490975298</v>
      </c>
      <c r="FP156" s="76" cm="1">
        <f t="array" ref="FP156">_xll.DCEPropSectPipe(FL156, FM156, "I")/10000</f>
        <v>38.247011759385138</v>
      </c>
      <c r="FQ156" s="76">
        <f t="shared" si="25"/>
        <v>38.247011759385138</v>
      </c>
      <c r="FR156" s="75">
        <f t="shared" si="26"/>
        <v>8.4993359465300315</v>
      </c>
      <c r="FS156" s="75">
        <f t="shared" si="27"/>
        <v>8.4993359465300315</v>
      </c>
    </row>
    <row r="157" spans="153:175" ht="14.4">
      <c r="EW157" s="3" t="e">
        <f>Cal!#REF!</f>
        <v>#REF!</v>
      </c>
      <c r="EX157" s="77" t="s">
        <v>393</v>
      </c>
      <c r="EY157" s="3">
        <v>30</v>
      </c>
      <c r="EZ157" s="3">
        <v>60</v>
      </c>
      <c r="FA157" s="3" t="s">
        <v>692</v>
      </c>
      <c r="FB157" s="75" cm="1">
        <f t="array" ref="FB157">_xll.DCEPropSectBox(EY157, EZ157, FA157, 1, 1, "Area")/100</f>
        <v>2.3911256480310796</v>
      </c>
      <c r="FC157" s="75">
        <f t="shared" si="23"/>
        <v>1.8770336337043976</v>
      </c>
      <c r="FD157" s="75" cm="1">
        <f t="array" ref="FD157">_xll.DCEPropSectBox(EY157, EZ157, FA157, 1, 1, "Ix")/10000</f>
        <v>11.133255906103232</v>
      </c>
      <c r="FE157" s="75" cm="1">
        <f t="array" ref="FE157">_xll.DCEPropSectBox(EY157, EZ157, FA157, 1, 1, "Iy")/10000</f>
        <v>3.7981993262395548</v>
      </c>
      <c r="FF157" s="75">
        <f t="shared" si="21"/>
        <v>3.7110853020344106</v>
      </c>
      <c r="FG157" s="75">
        <f t="shared" si="22"/>
        <v>2.5321328841597031</v>
      </c>
      <c r="FJ157" s="3" t="e">
        <f>Cal!#REF!</f>
        <v>#REF!</v>
      </c>
      <c r="FK157" s="77" t="s">
        <v>870</v>
      </c>
      <c r="FL157" s="3">
        <v>90</v>
      </c>
      <c r="FM157" s="3">
        <v>1.5</v>
      </c>
      <c r="FN157" s="80" cm="1">
        <f t="array" ref="FN157">_xll.DCEPropSectPipe(FL157, FM157, "A")/100</f>
        <v>4.1704642476404477</v>
      </c>
      <c r="FO157" s="75">
        <f t="shared" si="24"/>
        <v>3.2738144343977513</v>
      </c>
      <c r="FP157" s="76" cm="1">
        <f t="array" ref="FP157">_xll.DCEPropSectPipe(FL157, FM157, "I")/10000</f>
        <v>40.841877685173877</v>
      </c>
      <c r="FQ157" s="76">
        <f t="shared" si="25"/>
        <v>40.841877685173877</v>
      </c>
      <c r="FR157" s="75">
        <f t="shared" si="26"/>
        <v>9.0759728189275286</v>
      </c>
      <c r="FS157" s="75">
        <f t="shared" si="27"/>
        <v>9.0759728189275286</v>
      </c>
    </row>
    <row r="158" spans="153:175" ht="14.4">
      <c r="EW158" s="3" t="e">
        <f>Cal!#REF!</f>
        <v>#REF!</v>
      </c>
      <c r="EX158" s="77" t="s">
        <v>394</v>
      </c>
      <c r="EY158" s="3">
        <v>30</v>
      </c>
      <c r="EZ158" s="3">
        <v>60</v>
      </c>
      <c r="FA158" s="3" t="s">
        <v>693</v>
      </c>
      <c r="FB158" s="75" cm="1">
        <f t="array" ref="FB158">_xll.DCEPropSectBox(EY158, EZ158, FA158, 1, 1, "Area")/100</f>
        <v>2.552057504117311</v>
      </c>
      <c r="FC158" s="75">
        <f t="shared" si="23"/>
        <v>2.0033651407320892</v>
      </c>
      <c r="FD158" s="75" cm="1">
        <f t="array" ref="FD158">_xll.DCEPropSectBox(EY158, EZ158, FA158, 1, 1, "Ix")/10000</f>
        <v>11.819963322318497</v>
      </c>
      <c r="FE158" s="75" cm="1">
        <f t="array" ref="FE158">_xll.DCEPropSectBox(EY158, EZ158, FA158, 1, 1, "Iy")/10000</f>
        <v>4.0251769232322276</v>
      </c>
      <c r="FF158" s="75">
        <f t="shared" si="21"/>
        <v>3.9399877741061657</v>
      </c>
      <c r="FG158" s="75">
        <f t="shared" si="22"/>
        <v>2.6834512821548184</v>
      </c>
      <c r="FJ158" s="3" t="e">
        <f>Cal!#REF!</f>
        <v>#REF!</v>
      </c>
      <c r="FK158" s="77" t="s">
        <v>871</v>
      </c>
      <c r="FL158" s="3">
        <v>90</v>
      </c>
      <c r="FM158" s="3">
        <v>1.7</v>
      </c>
      <c r="FN158" s="80" cm="1">
        <f t="array" ref="FN158">_xll.DCEPropSectPipe(FL158, FM158, "A")/100</f>
        <v>4.7158447323036485</v>
      </c>
      <c r="FO158" s="75">
        <f t="shared" si="24"/>
        <v>3.7019381148583643</v>
      </c>
      <c r="FP158" s="76" cm="1">
        <f t="array" ref="FP158">_xll.DCEPropSectPipe(FL158, FM158, "I")/10000</f>
        <v>45.978189282659159</v>
      </c>
      <c r="FQ158" s="76">
        <f t="shared" si="25"/>
        <v>45.978189282659159</v>
      </c>
      <c r="FR158" s="75">
        <f t="shared" si="26"/>
        <v>10.21737539614648</v>
      </c>
      <c r="FS158" s="75">
        <f t="shared" si="27"/>
        <v>10.21737539614648</v>
      </c>
    </row>
    <row r="159" spans="153:175" ht="14.4">
      <c r="EW159" s="3" t="e">
        <f>Cal!#REF!</f>
        <v>#REF!</v>
      </c>
      <c r="EX159" s="77" t="s">
        <v>395</v>
      </c>
      <c r="EY159" s="3">
        <v>30</v>
      </c>
      <c r="EZ159" s="3">
        <v>60</v>
      </c>
      <c r="FA159" s="3" t="s">
        <v>694</v>
      </c>
      <c r="FB159" s="75" cm="1">
        <f t="array" ref="FB159">_xll.DCEPropSectBox(EY159, EZ159, FA159, 1, 1, "Area")/100</f>
        <v>2.7116743157956962</v>
      </c>
      <c r="FC159" s="75">
        <f t="shared" si="23"/>
        <v>2.1286643378996213</v>
      </c>
      <c r="FD159" s="75" cm="1">
        <f t="array" ref="FD159">_xll.DCEPropSectBox(EY159, EZ159, FA159, 1, 1, "Ix")/10000</f>
        <v>12.492724517209808</v>
      </c>
      <c r="FE159" s="75" cm="1">
        <f t="array" ref="FE159">_xll.DCEPropSectBox(EY159, EZ159, FA159, 1, 1, "Iy")/10000</f>
        <v>4.2465942287527225</v>
      </c>
      <c r="FF159" s="75">
        <f t="shared" si="21"/>
        <v>4.1642415057366025</v>
      </c>
      <c r="FG159" s="75">
        <f t="shared" si="22"/>
        <v>2.8310628191684817</v>
      </c>
      <c r="FJ159" s="3" t="e">
        <f>Cal!#REF!</f>
        <v>#REF!</v>
      </c>
      <c r="FK159" s="77" t="s">
        <v>872</v>
      </c>
      <c r="FL159" s="3">
        <v>90</v>
      </c>
      <c r="FM159" s="3">
        <v>1.8</v>
      </c>
      <c r="FN159" s="80" cm="1">
        <f t="array" ref="FN159">_xll.DCEPropSectPipe(FL159, FM159, "A")/100</f>
        <v>4.9875924968391425</v>
      </c>
      <c r="FO159" s="75">
        <f t="shared" si="24"/>
        <v>3.915260110018727</v>
      </c>
      <c r="FP159" s="76" cm="1">
        <f t="array" ref="FP159">_xll.DCEPropSectPipe(FL159, FM159, "I")/10000</f>
        <v>48.519798568500903</v>
      </c>
      <c r="FQ159" s="76">
        <f t="shared" si="25"/>
        <v>48.519798568500903</v>
      </c>
      <c r="FR159" s="75">
        <f t="shared" si="26"/>
        <v>10.782177459666867</v>
      </c>
      <c r="FS159" s="75">
        <f t="shared" si="27"/>
        <v>10.782177459666867</v>
      </c>
    </row>
    <row r="160" spans="153:175" ht="14.4">
      <c r="EW160" s="3" t="e">
        <f>Cal!#REF!</f>
        <v>#REF!</v>
      </c>
      <c r="EX160" s="77" t="s">
        <v>396</v>
      </c>
      <c r="EY160" s="3">
        <v>30</v>
      </c>
      <c r="EZ160" s="3">
        <v>60</v>
      </c>
      <c r="FA160" s="3" t="s">
        <v>695</v>
      </c>
      <c r="FB160" s="75" cm="1">
        <f t="array" ref="FB160">_xll.DCEPropSectBox(EY160, EZ160, FA160, 1, 1, "Area")/100</f>
        <v>2.8699760830662355</v>
      </c>
      <c r="FC160" s="75">
        <f t="shared" si="23"/>
        <v>2.2529312252069946</v>
      </c>
      <c r="FD160" s="75" cm="1">
        <f t="array" ref="FD160">_xll.DCEPropSectBox(EY160, EZ160, FA160, 1, 1, "Ix")/10000</f>
        <v>13.15163649267755</v>
      </c>
      <c r="FE160" s="75" cm="1">
        <f t="array" ref="FE160">_xll.DCEPropSectBox(EY160, EZ160, FA160, 1, 1, "Iy")/10000</f>
        <v>4.4625155367080254</v>
      </c>
      <c r="FF160" s="75">
        <f t="shared" si="21"/>
        <v>4.3838788308925167</v>
      </c>
      <c r="FG160" s="75">
        <f t="shared" si="22"/>
        <v>2.9750103578053504</v>
      </c>
      <c r="FJ160" s="3" t="e">
        <f>Cal!#REF!</f>
        <v>#REF!</v>
      </c>
      <c r="FK160" s="77" t="s">
        <v>873</v>
      </c>
      <c r="FL160" s="3">
        <v>90</v>
      </c>
      <c r="FM160" s="3">
        <v>2</v>
      </c>
      <c r="FN160" s="80" cm="1">
        <f t="array" ref="FN160">_xll.DCEPropSectPipe(FL160, FM160, "A")/100</f>
        <v>5.5292030703180357</v>
      </c>
      <c r="FO160" s="75">
        <f t="shared" si="24"/>
        <v>4.3404244101996579</v>
      </c>
      <c r="FP160" s="76" cm="1">
        <f t="array" ref="FP160">_xll.DCEPropSectPipe(FL160, FM160, "I")/10000</f>
        <v>53.550331736030152</v>
      </c>
      <c r="FQ160" s="76">
        <f t="shared" si="25"/>
        <v>53.550331736030152</v>
      </c>
      <c r="FR160" s="75">
        <f t="shared" si="26"/>
        <v>11.900073719117811</v>
      </c>
      <c r="FS160" s="75">
        <f t="shared" si="27"/>
        <v>11.900073719117811</v>
      </c>
    </row>
    <row r="161" spans="153:175" ht="14.4">
      <c r="EW161" s="3" t="e">
        <f>Cal!#REF!</f>
        <v>#REF!</v>
      </c>
      <c r="EX161" s="77" t="s">
        <v>397</v>
      </c>
      <c r="EY161" s="3">
        <v>30</v>
      </c>
      <c r="EZ161" s="3">
        <v>60</v>
      </c>
      <c r="FA161" s="3" t="s">
        <v>696</v>
      </c>
      <c r="FB161" s="75" cm="1">
        <f t="array" ref="FB161">_xll.DCEPropSectBox(EY161, EZ161, FA161, 1, 1, "Area")/100</f>
        <v>3.0269628059289282</v>
      </c>
      <c r="FC161" s="75">
        <f t="shared" si="23"/>
        <v>2.3761658026542087</v>
      </c>
      <c r="FD161" s="75" cm="1">
        <f t="array" ref="FD161">_xll.DCEPropSectBox(EY161, EZ161, FA161, 1, 1, "Ix")/10000</f>
        <v>13.796795965842385</v>
      </c>
      <c r="FE161" s="75" cm="1">
        <f t="array" ref="FE161">_xll.DCEPropSectBox(EY161, EZ161, FA161, 1, 1, "Iy")/10000</f>
        <v>4.673004856225357</v>
      </c>
      <c r="FF161" s="75">
        <f t="shared" si="21"/>
        <v>4.5989319886141287</v>
      </c>
      <c r="FG161" s="75">
        <f t="shared" si="22"/>
        <v>3.1153365708169045</v>
      </c>
      <c r="FJ161" s="3" t="e">
        <f>Cal!#REF!</f>
        <v>#REF!</v>
      </c>
      <c r="FK161" s="77" t="s">
        <v>874</v>
      </c>
      <c r="FL161" s="3">
        <v>90</v>
      </c>
      <c r="FM161" s="3">
        <v>2.2999999999999998</v>
      </c>
      <c r="FN161" s="80" cm="1">
        <f t="array" ref="FN161">_xll.DCEPropSectPipe(FL161, FM161, "A")/100</f>
        <v>6.3369065415559636</v>
      </c>
      <c r="FO161" s="75">
        <f t="shared" si="24"/>
        <v>4.9744716351214313</v>
      </c>
      <c r="FP161" s="76" cm="1">
        <f t="array" ref="FP161">_xll.DCEPropSectPipe(FL161, FM161, "I")/10000</f>
        <v>60.965635187010982</v>
      </c>
      <c r="FQ161" s="76">
        <f t="shared" si="25"/>
        <v>60.965635187010982</v>
      </c>
      <c r="FR161" s="75">
        <f t="shared" si="26"/>
        <v>13.547918930446885</v>
      </c>
      <c r="FS161" s="75">
        <f t="shared" si="27"/>
        <v>13.547918930446885</v>
      </c>
    </row>
    <row r="162" spans="153:175" ht="14.4">
      <c r="EW162" s="3" t="e">
        <f>Cal!#REF!</f>
        <v>#REF!</v>
      </c>
      <c r="EX162" s="77" t="s">
        <v>398</v>
      </c>
      <c r="EY162" s="3">
        <v>30</v>
      </c>
      <c r="EZ162" s="3">
        <v>60</v>
      </c>
      <c r="FA162" s="3" t="s">
        <v>697</v>
      </c>
      <c r="FB162" s="75" cm="1">
        <f t="array" ref="FB162">_xll.DCEPropSectBox(EY162, EZ162, FA162, 1, 1, "Area")/100</f>
        <v>3.1826344843837746</v>
      </c>
      <c r="FC162" s="75">
        <f t="shared" si="23"/>
        <v>2.4983680702412632</v>
      </c>
      <c r="FD162" s="75" cm="1">
        <f t="array" ref="FD162">_xll.DCEPropSectBox(EY162, EZ162, FA162, 1, 1, "Ix")/10000</f>
        <v>14.428299369045126</v>
      </c>
      <c r="FE162" s="75" cm="1">
        <f t="array" ref="FE162">_xll.DCEPropSectBox(EY162, EZ162, FA162, 1, 1, "Iy")/10000</f>
        <v>4.8781259116521589</v>
      </c>
      <c r="FF162" s="75">
        <f t="shared" si="21"/>
        <v>4.809433123015042</v>
      </c>
      <c r="FG162" s="75">
        <f t="shared" si="22"/>
        <v>3.2520839411014393</v>
      </c>
      <c r="FJ162" s="3" t="e">
        <f>Cal!#REF!</f>
        <v>#REF!</v>
      </c>
      <c r="FK162" s="77" t="s">
        <v>875</v>
      </c>
      <c r="FL162" s="3">
        <v>90</v>
      </c>
      <c r="FM162" s="3">
        <v>2.5</v>
      </c>
      <c r="FN162" s="80" cm="1">
        <f t="array" ref="FN162">_xll.DCEPropSectPipe(FL162, FM162, "A")/100</f>
        <v>6.8722339297276722</v>
      </c>
      <c r="FO162" s="75">
        <f t="shared" si="24"/>
        <v>5.3947036348362225</v>
      </c>
      <c r="FP162" s="76" cm="1">
        <f t="array" ref="FP162">_xll.DCEPropSectPipe(FL162, FM162, "I")/10000</f>
        <v>65.82311560817287</v>
      </c>
      <c r="FQ162" s="76">
        <f t="shared" si="25"/>
        <v>65.82311560817287</v>
      </c>
      <c r="FR162" s="75">
        <f t="shared" si="26"/>
        <v>14.627359024038416</v>
      </c>
      <c r="FS162" s="75">
        <f t="shared" si="27"/>
        <v>14.627359024038416</v>
      </c>
    </row>
    <row r="163" spans="153:175" ht="14.4">
      <c r="EW163" s="3" t="e">
        <f>Cal!#REF!</f>
        <v>#REF!</v>
      </c>
      <c r="EX163" s="77" t="s">
        <v>399</v>
      </c>
      <c r="EY163" s="3">
        <v>30</v>
      </c>
      <c r="EZ163" s="3">
        <v>60</v>
      </c>
      <c r="FA163" s="3" t="s">
        <v>698</v>
      </c>
      <c r="FB163" s="75" cm="1">
        <f t="array" ref="FB163">_xll.DCEPropSectBox(EY163, EZ163, FA163, 1, 1, "Area")/100</f>
        <v>3.3369911184307752</v>
      </c>
      <c r="FC163" s="75">
        <f t="shared" si="23"/>
        <v>2.6195380279681584</v>
      </c>
      <c r="FD163" s="75" cm="1">
        <f t="array" ref="FD163">_xll.DCEPropSectBox(EY163, EZ163, FA163, 1, 1, "Ix")/10000</f>
        <v>15.046242849846912</v>
      </c>
      <c r="FE163" s="75" cm="1">
        <f t="array" ref="FE163">_xll.DCEPropSectBox(EY163, EZ163, FA163, 1, 1, "Iy")/10000</f>
        <v>5.0779421425561102</v>
      </c>
      <c r="FF163" s="75">
        <f t="shared" si="21"/>
        <v>5.0154142832823041</v>
      </c>
      <c r="FG163" s="75">
        <f t="shared" si="22"/>
        <v>3.3852947617040736</v>
      </c>
      <c r="FJ163" s="3" t="e">
        <f>Cal!#REF!</f>
        <v>#REF!</v>
      </c>
      <c r="FK163" s="77" t="s">
        <v>876</v>
      </c>
      <c r="FL163" s="3">
        <v>90</v>
      </c>
      <c r="FM163" s="3">
        <v>2.8</v>
      </c>
      <c r="FN163" s="80" cm="1">
        <f t="array" ref="FN163">_xll.DCEPropSectPipe(FL163, FM163, "A")/100</f>
        <v>7.6705126230048339</v>
      </c>
      <c r="FO163" s="75">
        <f t="shared" si="24"/>
        <v>6.0213524090587942</v>
      </c>
      <c r="FP163" s="76" cm="1">
        <f t="array" ref="FP163">_xll.DCEPropSectPipe(FL163, FM163, "I")/10000</f>
        <v>72.981859402841749</v>
      </c>
      <c r="FQ163" s="76">
        <f t="shared" si="25"/>
        <v>72.981859402841749</v>
      </c>
      <c r="FR163" s="75">
        <f t="shared" si="26"/>
        <v>16.218190978409279</v>
      </c>
      <c r="FS163" s="75">
        <f t="shared" si="27"/>
        <v>16.218190978409279</v>
      </c>
    </row>
    <row r="164" spans="153:175" ht="14.4">
      <c r="EW164" s="3" t="e">
        <f>Cal!#REF!</f>
        <v>#REF!</v>
      </c>
      <c r="EX164" s="77" t="s">
        <v>400</v>
      </c>
      <c r="EY164" s="3">
        <v>30</v>
      </c>
      <c r="EZ164" s="3">
        <v>60</v>
      </c>
      <c r="FA164" s="3" t="s">
        <v>699</v>
      </c>
      <c r="FB164" s="75" cm="1">
        <f t="array" ref="FB164">_xll.DCEPropSectBox(EY164, EZ164, FA164, 1, 1, "Area")/100</f>
        <v>3.49003270806993</v>
      </c>
      <c r="FC164" s="75">
        <f t="shared" si="23"/>
        <v>2.7396756758348952</v>
      </c>
      <c r="FD164" s="75" cm="1">
        <f t="array" ref="FD164">_xll.DCEPropSectBox(EY164, EZ164, FA164, 1, 1, "Ix")/10000</f>
        <v>15.650722271029043</v>
      </c>
      <c r="FE164" s="75" cm="1">
        <f t="array" ref="FE164">_xll.DCEPropSectBox(EY164, EZ164, FA164, 1, 1, "Iy")/10000</f>
        <v>5.2725167037251204</v>
      </c>
      <c r="FF164" s="75">
        <f t="shared" si="21"/>
        <v>5.2169074236763473</v>
      </c>
      <c r="FG164" s="75">
        <f t="shared" si="22"/>
        <v>3.5150111358167471</v>
      </c>
      <c r="FJ164" s="3" t="e">
        <f>Cal!#REF!</f>
        <v>#REF!</v>
      </c>
      <c r="FK164" s="77" t="s">
        <v>877</v>
      </c>
      <c r="FL164" s="3">
        <v>90</v>
      </c>
      <c r="FM164" s="3">
        <v>3</v>
      </c>
      <c r="FN164" s="80" cm="1">
        <f t="array" ref="FN164">_xll.DCEPropSectPipe(FL164, FM164, "A")/100</f>
        <v>8.1995568258693581</v>
      </c>
      <c r="FO164" s="75">
        <f t="shared" si="24"/>
        <v>6.4366521083074462</v>
      </c>
      <c r="FP164" s="76" cm="1">
        <f t="array" ref="FP164">_xll.DCEPropSectPipe(FL164, FM164, "I")/10000</f>
        <v>77.67030203304752</v>
      </c>
      <c r="FQ164" s="76">
        <f t="shared" si="25"/>
        <v>77.67030203304752</v>
      </c>
      <c r="FR164" s="75">
        <f t="shared" si="26"/>
        <v>17.260067118455005</v>
      </c>
      <c r="FS164" s="75">
        <f t="shared" si="27"/>
        <v>17.260067118455005</v>
      </c>
    </row>
    <row r="165" spans="153:175" ht="14.4">
      <c r="EW165" s="3" t="e">
        <f>Cal!#REF!</f>
        <v>#REF!</v>
      </c>
      <c r="EX165" s="77" t="s">
        <v>401</v>
      </c>
      <c r="EY165" s="3">
        <v>30</v>
      </c>
      <c r="EZ165" s="3">
        <v>60</v>
      </c>
      <c r="FA165" s="3" t="s">
        <v>700</v>
      </c>
      <c r="FB165" s="75" cm="1">
        <f t="array" ref="FB165">_xll.DCEPropSectBox(EY165, EZ165, FA165, 1, 1, "Area")/100</f>
        <v>3.6417592533012377</v>
      </c>
      <c r="FC165" s="75">
        <f t="shared" si="23"/>
        <v>2.8587810138414715</v>
      </c>
      <c r="FD165" s="75" cm="1">
        <f t="array" ref="FD165">_xll.DCEPropSectBox(EY165, EZ165, FA165, 1, 1, "Ix")/10000</f>
        <v>16.241833210593043</v>
      </c>
      <c r="FE165" s="75" cm="1">
        <f t="array" ref="FE165">_xll.DCEPropSectBox(EY165, EZ165, FA165, 1, 1, "Iy")/10000</f>
        <v>5.4619124651673268</v>
      </c>
      <c r="FF165" s="75">
        <f t="shared" si="21"/>
        <v>5.4139444035310147</v>
      </c>
      <c r="FG165" s="75">
        <f t="shared" si="22"/>
        <v>3.641274976778218</v>
      </c>
      <c r="FJ165" s="3" t="e">
        <f>Cal!#REF!</f>
        <v>#REF!</v>
      </c>
      <c r="FK165" s="77" t="s">
        <v>878</v>
      </c>
      <c r="FL165" s="3">
        <v>114</v>
      </c>
      <c r="FM165" s="3">
        <v>1.4</v>
      </c>
      <c r="FN165" s="80" cm="1">
        <f t="array" ref="FN165">_xll.DCEPropSectPipe(FL165, FM165, "A")/100</f>
        <v>4.9524066591189513</v>
      </c>
      <c r="FO165" s="75">
        <f t="shared" si="24"/>
        <v>3.8876392274083771</v>
      </c>
      <c r="FP165" s="76" cm="1">
        <f t="array" ref="FP165">_xll.DCEPropSectPipe(FL165, FM165, "I")/10000</f>
        <v>78.50010271302844</v>
      </c>
      <c r="FQ165" s="76">
        <f t="shared" si="25"/>
        <v>78.50010271302844</v>
      </c>
      <c r="FR165" s="75">
        <f t="shared" si="26"/>
        <v>13.771947844390954</v>
      </c>
      <c r="FS165" s="75">
        <f t="shared" si="27"/>
        <v>13.771947844390954</v>
      </c>
    </row>
    <row r="166" spans="153:175" ht="14.4">
      <c r="EW166" s="3" t="e">
        <f>Cal!#REF!</f>
        <v>#REF!</v>
      </c>
      <c r="EX166" s="77" t="s">
        <v>402</v>
      </c>
      <c r="EY166" s="3">
        <v>30</v>
      </c>
      <c r="EZ166" s="3">
        <v>60</v>
      </c>
      <c r="FA166" s="3" t="s">
        <v>701</v>
      </c>
      <c r="FB166" s="75" cm="1">
        <f t="array" ref="FB166">_xll.DCEPropSectBox(EY166, EZ166, FA166, 1, 1, "Area")/100</f>
        <v>3.7921707541246996</v>
      </c>
      <c r="FC166" s="75">
        <f t="shared" si="23"/>
        <v>2.9768540419878891</v>
      </c>
      <c r="FD166" s="75" cm="1">
        <f t="array" ref="FD166">_xll.DCEPropSectBox(EY166, EZ166, FA166, 1, 1, "Ix")/10000</f>
        <v>16.819670961760746</v>
      </c>
      <c r="FE166" s="75" cm="1">
        <f t="array" ref="FE166">_xll.DCEPropSectBox(EY166, EZ166, FA166, 1, 1, "Iy")/10000</f>
        <v>5.6461920121111051</v>
      </c>
      <c r="FF166" s="75">
        <f t="shared" si="21"/>
        <v>5.6065569872535823</v>
      </c>
      <c r="FG166" s="75">
        <f t="shared" si="22"/>
        <v>3.7641280080740702</v>
      </c>
      <c r="FJ166" s="3" t="e">
        <f>Cal!#REF!</f>
        <v>#REF!</v>
      </c>
      <c r="FK166" s="77" t="s">
        <v>879</v>
      </c>
      <c r="FL166" s="3">
        <v>114</v>
      </c>
      <c r="FM166" s="3">
        <v>1.5</v>
      </c>
      <c r="FN166" s="80" cm="1">
        <f t="array" ref="FN166">_xll.DCEPropSectPipe(FL166, FM166, "A")/100</f>
        <v>5.3014376029327828</v>
      </c>
      <c r="FO166" s="75">
        <f t="shared" si="24"/>
        <v>4.1616285183022343</v>
      </c>
      <c r="FP166" s="76" cm="1">
        <f t="array" ref="FP166">_xll.DCEPropSectPipe(FL166, FM166, "I")/10000</f>
        <v>83.885309870905616</v>
      </c>
      <c r="FQ166" s="76">
        <f t="shared" si="25"/>
        <v>83.885309870905616</v>
      </c>
      <c r="FR166" s="75">
        <f t="shared" si="26"/>
        <v>14.716721029983441</v>
      </c>
      <c r="FS166" s="75">
        <f t="shared" si="27"/>
        <v>14.716721029983441</v>
      </c>
    </row>
    <row r="167" spans="153:175" ht="14.4">
      <c r="EW167" s="3" t="e">
        <f>Cal!#REF!</f>
        <v>#REF!</v>
      </c>
      <c r="EX167" s="77" t="s">
        <v>403</v>
      </c>
      <c r="EY167" s="3">
        <v>30</v>
      </c>
      <c r="EZ167" s="3">
        <v>60</v>
      </c>
      <c r="FA167" s="3" t="s">
        <v>702</v>
      </c>
      <c r="FB167" s="75" cm="1">
        <f t="array" ref="FB167">_xll.DCEPropSectBox(EY167, EZ167, FA167, 1, 1, "Area")/100</f>
        <v>3.9412672105403157</v>
      </c>
      <c r="FC167" s="75">
        <f t="shared" si="23"/>
        <v>3.0938947602741478</v>
      </c>
      <c r="FD167" s="75" cm="1">
        <f t="array" ref="FD167">_xll.DCEPropSectBox(EY167, EZ167, FA167, 1, 1, "Ix")/10000</f>
        <v>17.384330532974126</v>
      </c>
      <c r="FE167" s="75" cm="1">
        <f t="array" ref="FE167">_xll.DCEPropSectBox(EY167, EZ167, FA167, 1, 1, "Iy")/10000</f>
        <v>5.8254176450050492</v>
      </c>
      <c r="FF167" s="75">
        <f t="shared" si="21"/>
        <v>5.7947768443247085</v>
      </c>
      <c r="FG167" s="75">
        <f t="shared" si="22"/>
        <v>3.8836117633366993</v>
      </c>
      <c r="FJ167" s="3" t="e">
        <f>Cal!#REF!</f>
        <v>#REF!</v>
      </c>
      <c r="FK167" s="77" t="s">
        <v>880</v>
      </c>
      <c r="FL167" s="3">
        <v>114</v>
      </c>
      <c r="FM167" s="3">
        <v>1.7</v>
      </c>
      <c r="FN167" s="80" cm="1">
        <f t="array" ref="FN167">_xll.DCEPropSectPipe(FL167, FM167, "A")/100</f>
        <v>5.9976145349682888</v>
      </c>
      <c r="FO167" s="75">
        <f t="shared" si="24"/>
        <v>4.708127409950106</v>
      </c>
      <c r="FP167" s="76" cm="1">
        <f t="array" ref="FP167">_xll.DCEPropSectPipe(FL167, FM167, "I")/10000</f>
        <v>94.568736643382721</v>
      </c>
      <c r="FQ167" s="76">
        <f t="shared" si="25"/>
        <v>94.568736643382721</v>
      </c>
      <c r="FR167" s="75">
        <f t="shared" si="26"/>
        <v>16.591006428663636</v>
      </c>
      <c r="FS167" s="75">
        <f t="shared" si="27"/>
        <v>16.591006428663636</v>
      </c>
    </row>
    <row r="168" spans="153:175" ht="14.4">
      <c r="EW168" s="3" t="e">
        <f>Cal!#REF!</f>
        <v>#REF!</v>
      </c>
      <c r="EX168" s="77" t="s">
        <v>404</v>
      </c>
      <c r="EY168" s="3">
        <v>30</v>
      </c>
      <c r="EZ168" s="3">
        <v>60</v>
      </c>
      <c r="FA168" s="3" t="s">
        <v>703</v>
      </c>
      <c r="FB168" s="75" cm="1">
        <f t="array" ref="FB168">_xll.DCEPropSectBox(EY168, EZ168, FA168, 1, 1, "Area")/100</f>
        <v>4.089048622548086</v>
      </c>
      <c r="FC168" s="75">
        <f t="shared" si="23"/>
        <v>3.2099031687002473</v>
      </c>
      <c r="FD168" s="75" cm="1">
        <f t="array" ref="FD168">_xll.DCEPropSectBox(EY168, EZ168, FA168, 1, 1, "Ix")/10000</f>
        <v>17.935906647895443</v>
      </c>
      <c r="FE168" s="75" cm="1">
        <f t="array" ref="FE168">_xll.DCEPropSectBox(EY168, EZ168, FA168, 1, 1, "Iy")/10000</f>
        <v>5.9996513795179895</v>
      </c>
      <c r="FF168" s="75">
        <f t="shared" si="21"/>
        <v>5.9786355492984811</v>
      </c>
      <c r="FG168" s="75">
        <f t="shared" si="22"/>
        <v>3.9997675863453264</v>
      </c>
      <c r="FJ168" s="3" t="e">
        <f>Cal!#REF!</f>
        <v>#REF!</v>
      </c>
      <c r="FK168" s="77" t="s">
        <v>881</v>
      </c>
      <c r="FL168" s="3">
        <v>114</v>
      </c>
      <c r="FM168" s="3">
        <v>1.8</v>
      </c>
      <c r="FN168" s="80" cm="1">
        <f t="array" ref="FN168">_xll.DCEPropSectPipe(FL168, FM168, "A")/100</f>
        <v>6.3447605231899438</v>
      </c>
      <c r="FO168" s="75">
        <f t="shared" si="24"/>
        <v>4.9806370107041058</v>
      </c>
      <c r="FP168" s="76" cm="1">
        <f t="array" ref="FP168">_xll.DCEPropSectPipe(FL168, FM168, "I")/10000</f>
        <v>99.867165111061837</v>
      </c>
      <c r="FQ168" s="76">
        <f t="shared" si="25"/>
        <v>99.867165111061837</v>
      </c>
      <c r="FR168" s="75">
        <f t="shared" si="26"/>
        <v>17.520555282642427</v>
      </c>
      <c r="FS168" s="75">
        <f t="shared" si="27"/>
        <v>17.520555282642427</v>
      </c>
    </row>
    <row r="169" spans="153:175" ht="14.4">
      <c r="EW169" s="3" t="e">
        <f>Cal!#REF!</f>
        <v>#REF!</v>
      </c>
      <c r="EX169" s="77" t="s">
        <v>405</v>
      </c>
      <c r="EY169" s="3">
        <v>30</v>
      </c>
      <c r="EZ169" s="3">
        <v>60</v>
      </c>
      <c r="FA169" s="3" t="s">
        <v>704</v>
      </c>
      <c r="FB169" s="75" cm="1">
        <f t="array" ref="FB169">_xll.DCEPropSectBox(EY169, EZ169, FA169, 1, 1, "Area")/100</f>
        <v>4.3806663133400878</v>
      </c>
      <c r="FC169" s="75">
        <f t="shared" si="23"/>
        <v>3.4388230559719686</v>
      </c>
      <c r="FD169" s="75" cm="1">
        <f t="array" ref="FD169">_xll.DCEPropSectBox(EY169, EZ169, FA169, 1, 1, "Ix")/10000</f>
        <v>19.000185979611985</v>
      </c>
      <c r="FE169" s="75" cm="1">
        <f t="array" ref="FE169">_xll.DCEPropSectBox(EY169, EZ169, FA169, 1, 1, "Iy")/10000</f>
        <v>6.3333897921773383</v>
      </c>
      <c r="FF169" s="75">
        <f t="shared" si="21"/>
        <v>6.3333953265373282</v>
      </c>
      <c r="FG169" s="75">
        <f t="shared" si="22"/>
        <v>4.2222598614515592</v>
      </c>
      <c r="FJ169" s="3" t="e">
        <f>Cal!#REF!</f>
        <v>#REF!</v>
      </c>
      <c r="FK169" s="77" t="s">
        <v>882</v>
      </c>
      <c r="FL169" s="3">
        <v>114</v>
      </c>
      <c r="FM169" s="3">
        <v>2</v>
      </c>
      <c r="FN169" s="80" cm="1">
        <f t="array" ref="FN169">_xll.DCEPropSectPipe(FL169, FM169, "A")/100</f>
        <v>7.0371675440411305</v>
      </c>
      <c r="FO169" s="75">
        <f t="shared" si="24"/>
        <v>5.5241765220722874</v>
      </c>
      <c r="FP169" s="76" cm="1">
        <f t="array" ref="FP169">_xll.DCEPropSectPipe(FL169, FM169, "I")/10000</f>
        <v>110.37797292828523</v>
      </c>
      <c r="FQ169" s="76">
        <f t="shared" si="25"/>
        <v>110.37797292828523</v>
      </c>
      <c r="FR169" s="75">
        <f t="shared" si="26"/>
        <v>19.364556654085128</v>
      </c>
      <c r="FS169" s="75">
        <f t="shared" si="27"/>
        <v>19.364556654085128</v>
      </c>
    </row>
    <row r="170" spans="153:175" ht="14.4">
      <c r="EW170" s="3" t="e">
        <f>Cal!#REF!</f>
        <v>#REF!</v>
      </c>
      <c r="EX170" s="77" t="s">
        <v>406</v>
      </c>
      <c r="EY170" s="3">
        <v>30</v>
      </c>
      <c r="EZ170" s="3">
        <v>60</v>
      </c>
      <c r="FA170" s="3" t="s">
        <v>705</v>
      </c>
      <c r="FB170" s="75" cm="1">
        <f t="array" ref="FB170">_xll.DCEPropSectBox(EY170, EZ170, FA170, 1, 1, "Area")/100</f>
        <v>4.5245025921243194</v>
      </c>
      <c r="FC170" s="75">
        <f t="shared" si="23"/>
        <v>3.5517345348175904</v>
      </c>
      <c r="FD170" s="75" cm="1">
        <f t="array" ref="FD170">_xll.DCEPropSectBox(EY170, EZ170, FA170, 1, 1, "Ix")/10000</f>
        <v>19.513077219832873</v>
      </c>
      <c r="FE170" s="75" cm="1">
        <f t="array" ref="FE170">_xll.DCEPropSectBox(EY170, EZ170, FA170, 1, 1, "Iy")/10000</f>
        <v>6.4930170777625662</v>
      </c>
      <c r="FF170" s="75">
        <f t="shared" si="21"/>
        <v>6.504359073277624</v>
      </c>
      <c r="FG170" s="75">
        <f t="shared" si="22"/>
        <v>4.3286780518417105</v>
      </c>
      <c r="FJ170" s="3" t="e">
        <f>Cal!#REF!</f>
        <v>#REF!</v>
      </c>
      <c r="FK170" s="77" t="s">
        <v>883</v>
      </c>
      <c r="FL170" s="3">
        <v>114</v>
      </c>
      <c r="FM170" s="3">
        <v>2.2999999999999998</v>
      </c>
      <c r="FN170" s="80" cm="1">
        <f t="array" ref="FN170">_xll.DCEPropSectPipe(FL170, FM170, "A")/100</f>
        <v>8.0710656863375334</v>
      </c>
      <c r="FO170" s="75">
        <f t="shared" si="24"/>
        <v>6.3357865637749633</v>
      </c>
      <c r="FP170" s="76" cm="1">
        <f t="array" ref="FP170">_xll.DCEPropSectPipe(FL170, FM170, "I")/10000</f>
        <v>125.93061836086073</v>
      </c>
      <c r="FQ170" s="76">
        <f t="shared" si="25"/>
        <v>125.93061836086073</v>
      </c>
      <c r="FR170" s="75">
        <f t="shared" si="26"/>
        <v>22.093090940501881</v>
      </c>
      <c r="FS170" s="75">
        <f t="shared" si="27"/>
        <v>22.093090940501881</v>
      </c>
    </row>
    <row r="171" spans="153:175" ht="14.4">
      <c r="EW171" s="3" t="e">
        <f>Cal!#REF!</f>
        <v>#REF!</v>
      </c>
      <c r="EX171" s="77" t="s">
        <v>407</v>
      </c>
      <c r="EY171" s="3">
        <v>30</v>
      </c>
      <c r="EZ171" s="3">
        <v>60</v>
      </c>
      <c r="FA171" s="3" t="s">
        <v>706</v>
      </c>
      <c r="FB171" s="75" cm="1">
        <f t="array" ref="FB171">_xll.DCEPropSectBox(EY171, EZ171, FA171, 1, 1, "Area")/100</f>
        <v>4.6670238265007047</v>
      </c>
      <c r="FC171" s="75">
        <f t="shared" si="23"/>
        <v>3.6636137038030534</v>
      </c>
      <c r="FD171" s="75" cm="1">
        <f t="array" ref="FD171">_xll.DCEPropSectBox(EY171, EZ171, FA171, 1, 1, "Ix")/10000</f>
        <v>20.013261050612947</v>
      </c>
      <c r="FE171" s="75" cm="1">
        <f t="array" ref="FE171">_xll.DCEPropSectBox(EY171, EZ171, FA171, 1, 1, "Iy")/10000</f>
        <v>6.6478976798444167</v>
      </c>
      <c r="FF171" s="75">
        <f t="shared" si="21"/>
        <v>6.6710870168709819</v>
      </c>
      <c r="FG171" s="75">
        <f t="shared" si="22"/>
        <v>4.4319317865629442</v>
      </c>
      <c r="FJ171" s="3" t="e">
        <f>Cal!#REF!</f>
        <v>#REF!</v>
      </c>
      <c r="FK171" s="77" t="s">
        <v>884</v>
      </c>
      <c r="FL171" s="3">
        <v>114</v>
      </c>
      <c r="FM171" s="3">
        <v>2.5</v>
      </c>
      <c r="FN171" s="80" cm="1">
        <f t="array" ref="FN171">_xll.DCEPropSectPipe(FL171, FM171, "A")/100</f>
        <v>8.7571895218815552</v>
      </c>
      <c r="FO171" s="75">
        <f t="shared" si="24"/>
        <v>6.8743937746770207</v>
      </c>
      <c r="FP171" s="76" cm="1">
        <f t="array" ref="FP171">_xll.DCEPropSectPipe(FL171, FM171, "I")/10000</f>
        <v>136.1578773349045</v>
      </c>
      <c r="FQ171" s="76">
        <f t="shared" si="25"/>
        <v>136.1578773349045</v>
      </c>
      <c r="FR171" s="75">
        <f t="shared" si="26"/>
        <v>23.887346900860436</v>
      </c>
      <c r="FS171" s="75">
        <f t="shared" si="27"/>
        <v>23.887346900860436</v>
      </c>
    </row>
    <row r="172" spans="153:175" ht="14.4">
      <c r="EW172" s="3" t="e">
        <f>Cal!#REF!</f>
        <v>#REF!</v>
      </c>
      <c r="EX172" s="77" t="s">
        <v>408</v>
      </c>
      <c r="EY172" s="3">
        <v>30</v>
      </c>
      <c r="EZ172" s="3">
        <v>60</v>
      </c>
      <c r="FA172" s="3" t="s">
        <v>707</v>
      </c>
      <c r="FB172" s="75" cm="1">
        <f t="array" ref="FB172">_xll.DCEPropSectBox(EY172, EZ172, FA172, 1, 1, "Area")/100</f>
        <v>4.8082300164692438</v>
      </c>
      <c r="FC172" s="75">
        <f t="shared" si="23"/>
        <v>3.7744605629283563</v>
      </c>
      <c r="FD172" s="75" cm="1">
        <f t="array" ref="FD172">_xll.DCEPropSectBox(EY172, EZ172, FA172, 1, 1, "Ix")/10000</f>
        <v>20.500830771715638</v>
      </c>
      <c r="FE172" s="75" cm="1">
        <f t="array" ref="FE172">_xll.DCEPropSectBox(EY172, EZ172, FA172, 1, 1, "Iy")/10000</f>
        <v>6.798092190192877</v>
      </c>
      <c r="FF172" s="75">
        <f t="shared" si="21"/>
        <v>6.8336102572385462</v>
      </c>
      <c r="FG172" s="75">
        <f t="shared" si="22"/>
        <v>4.5320614601285847</v>
      </c>
      <c r="FJ172" s="3" t="e">
        <f>Cal!#REF!</f>
        <v>#REF!</v>
      </c>
      <c r="FK172" s="77" t="s">
        <v>885</v>
      </c>
      <c r="FL172" s="3">
        <v>114</v>
      </c>
      <c r="FM172" s="3">
        <v>2.8</v>
      </c>
      <c r="FN172" s="80" cm="1">
        <f t="array" ref="FN172">_xll.DCEPropSectPipe(FL172, FM172, "A")/100</f>
        <v>9.7816628862171644</v>
      </c>
      <c r="FO172" s="75">
        <f t="shared" si="24"/>
        <v>7.6786053656804745</v>
      </c>
      <c r="FP172" s="76" cm="1">
        <f t="array" ref="FP172">_xll.DCEPropSectPipe(FL172, FM172, "I")/10000</f>
        <v>151.28906719596648</v>
      </c>
      <c r="FQ172" s="76">
        <f t="shared" si="25"/>
        <v>151.28906719596648</v>
      </c>
      <c r="FR172" s="75">
        <f t="shared" si="26"/>
        <v>26.541941613327452</v>
      </c>
      <c r="FS172" s="75">
        <f t="shared" si="27"/>
        <v>26.541941613327452</v>
      </c>
    </row>
    <row r="173" spans="153:175" ht="14.4">
      <c r="EW173" s="3" t="e">
        <f>Cal!#REF!</f>
        <v>#REF!</v>
      </c>
      <c r="EX173" s="77" t="s">
        <v>409</v>
      </c>
      <c r="EY173" s="3">
        <v>30</v>
      </c>
      <c r="EZ173" s="3">
        <v>60</v>
      </c>
      <c r="FA173" s="3" t="s">
        <v>708</v>
      </c>
      <c r="FB173" s="75" cm="1">
        <f t="array" ref="FB173">_xll.DCEPropSectBox(EY173, EZ173, FA173, 1, 1, "Area")/100</f>
        <v>4.9481211620299366</v>
      </c>
      <c r="FC173" s="75">
        <f t="shared" si="23"/>
        <v>3.8842751121935004</v>
      </c>
      <c r="FD173" s="75" cm="1">
        <f t="array" ref="FD173">_xll.DCEPropSectBox(EY173, EZ173, FA173, 1, 1, "Ix")/10000</f>
        <v>20.975879398124562</v>
      </c>
      <c r="FE173" s="75" cm="1">
        <f t="array" ref="FE173">_xll.DCEPropSectBox(EY173, EZ173, FA173, 1, 1, "Iy")/10000</f>
        <v>6.943660915798163</v>
      </c>
      <c r="FF173" s="75">
        <f t="shared" si="21"/>
        <v>6.9919597993748539</v>
      </c>
      <c r="FG173" s="75">
        <f t="shared" si="22"/>
        <v>4.6291072771987753</v>
      </c>
      <c r="FJ173" s="3" t="e">
        <f>Cal!#REF!</f>
        <v>#REF!</v>
      </c>
      <c r="FK173" s="77" t="s">
        <v>886</v>
      </c>
      <c r="FL173" s="3">
        <v>114</v>
      </c>
      <c r="FM173" s="3">
        <v>3</v>
      </c>
      <c r="FN173" s="80" cm="1">
        <f t="array" ref="FN173">_xll.DCEPropSectPipe(FL173, FM173, "A")/100</f>
        <v>10.461503536454019</v>
      </c>
      <c r="FO173" s="75">
        <f t="shared" si="24"/>
        <v>8.2122802761164042</v>
      </c>
      <c r="FP173" s="76" cm="1">
        <f t="array" ref="FP173">_xll.DCEPropSectPipe(FL173, FM173, "I")/10000</f>
        <v>161.23792325559742</v>
      </c>
      <c r="FQ173" s="76">
        <f t="shared" si="25"/>
        <v>161.23792325559742</v>
      </c>
      <c r="FR173" s="75">
        <f t="shared" si="26"/>
        <v>28.287354957122353</v>
      </c>
      <c r="FS173" s="75">
        <f t="shared" si="27"/>
        <v>28.287354957122353</v>
      </c>
    </row>
    <row r="174" spans="153:175" ht="14.4">
      <c r="EW174" s="3" t="e">
        <f>Cal!#REF!</f>
        <v>#REF!</v>
      </c>
      <c r="EX174" s="77" t="s">
        <v>410</v>
      </c>
      <c r="EY174" s="3">
        <v>30</v>
      </c>
      <c r="EZ174" s="3">
        <v>50</v>
      </c>
      <c r="FA174" s="3" t="s">
        <v>687</v>
      </c>
      <c r="FB174" s="75" cm="1">
        <f t="array" ref="FB174">_xll.DCEPropSectBox(EY174, EZ174, FA174, 1, 1, "Area")/100</f>
        <v>1.2379185789489242</v>
      </c>
      <c r="FC174" s="75">
        <f t="shared" si="23"/>
        <v>0.97176608447490542</v>
      </c>
      <c r="FD174" s="75" cm="1">
        <f t="array" ref="FD174">_xll.DCEPropSectBox(EY174, EZ174, FA174, 1, 1, "Ix")/10000</f>
        <v>4.3149916528576595</v>
      </c>
      <c r="FE174" s="75" cm="1">
        <f t="array" ref="FE174">_xll.DCEPropSectBox(EY174, EZ174, FA174, 1, 1, "Iy")/10000</f>
        <v>1.9747899489922804</v>
      </c>
      <c r="FF174" s="75">
        <f t="shared" si="21"/>
        <v>1.7259966611430637</v>
      </c>
      <c r="FG174" s="75">
        <f t="shared" si="22"/>
        <v>1.3165266326615204</v>
      </c>
      <c r="FJ174" s="3" t="e">
        <f>Cal!#REF!</f>
        <v>#REF!</v>
      </c>
      <c r="FK174" s="77" t="s">
        <v>887</v>
      </c>
      <c r="FL174" s="3">
        <v>140</v>
      </c>
      <c r="FM174" s="3">
        <v>1.5</v>
      </c>
      <c r="FN174" s="80" cm="1">
        <f t="array" ref="FN174">_xll.DCEPropSectPipe(FL174, FM174, "A")/100</f>
        <v>6.526658737832804</v>
      </c>
      <c r="FO174" s="75">
        <f t="shared" si="24"/>
        <v>5.1234271091987509</v>
      </c>
      <c r="FP174" s="76" cm="1">
        <f t="array" ref="FP174">_xll.DCEPropSectPipe(FL174, FM174, "I")/10000</f>
        <v>156.51335569494142</v>
      </c>
      <c r="FQ174" s="76">
        <f t="shared" si="25"/>
        <v>156.51335569494142</v>
      </c>
      <c r="FR174" s="75">
        <f t="shared" si="26"/>
        <v>22.359050813563062</v>
      </c>
      <c r="FS174" s="75">
        <f t="shared" si="27"/>
        <v>22.359050813563062</v>
      </c>
    </row>
    <row r="175" spans="153:175" ht="14.4">
      <c r="EW175" s="3" t="e">
        <f>Cal!#REF!</f>
        <v>#REF!</v>
      </c>
      <c r="EX175" s="77" t="s">
        <v>411</v>
      </c>
      <c r="EY175" s="3">
        <v>30</v>
      </c>
      <c r="EZ175" s="3">
        <v>50</v>
      </c>
      <c r="FA175" s="3" t="s">
        <v>688</v>
      </c>
      <c r="FB175" s="75" cm="1">
        <f t="array" ref="FB175">_xll.DCEPropSectBox(EY175, EZ175, FA175, 1, 1, "Area")/100</f>
        <v>1.3867407014822322</v>
      </c>
      <c r="FC175" s="75">
        <f t="shared" si="23"/>
        <v>1.0885914506635523</v>
      </c>
      <c r="FD175" s="75" cm="1">
        <f t="array" ref="FD175">_xll.DCEPropSectBox(EY175, EZ175, FA175, 1, 1, "Ix")/10000</f>
        <v>4.806062901260467</v>
      </c>
      <c r="FE175" s="75" cm="1">
        <f t="array" ref="FE175">_xll.DCEPropSectBox(EY175, EZ175, FA175, 1, 1, "Iy")/10000</f>
        <v>2.1964507478651476</v>
      </c>
      <c r="FF175" s="75">
        <f t="shared" si="21"/>
        <v>1.9224251605041869</v>
      </c>
      <c r="FG175" s="75">
        <f t="shared" si="22"/>
        <v>1.4643004985767651</v>
      </c>
      <c r="FJ175" s="3" t="e">
        <f>Cal!#REF!</f>
        <v>#REF!</v>
      </c>
      <c r="FK175" s="77" t="s">
        <v>888</v>
      </c>
      <c r="FL175" s="3">
        <v>140</v>
      </c>
      <c r="FM175" s="3">
        <v>1.7</v>
      </c>
      <c r="FN175" s="80" cm="1">
        <f t="array" ref="FN175">_xll.DCEPropSectPipe(FL175, FM175, "A")/100</f>
        <v>7.3861984878549807</v>
      </c>
      <c r="FO175" s="75">
        <f t="shared" si="24"/>
        <v>5.7981658129661602</v>
      </c>
      <c r="FP175" s="76" cm="1">
        <f t="array" ref="FP175">_xll.DCEPropSectPipe(FL175, FM175, "I")/10000</f>
        <v>176.62044013624788</v>
      </c>
      <c r="FQ175" s="76">
        <f t="shared" si="25"/>
        <v>176.62044013624788</v>
      </c>
      <c r="FR175" s="75">
        <f t="shared" si="26"/>
        <v>25.23149144803541</v>
      </c>
      <c r="FS175" s="75">
        <f t="shared" si="27"/>
        <v>25.23149144803541</v>
      </c>
    </row>
    <row r="176" spans="153:175" ht="14.4">
      <c r="EW176" s="3" t="e">
        <f>Cal!#REF!</f>
        <v>#REF!</v>
      </c>
      <c r="EX176" s="77" t="s">
        <v>412</v>
      </c>
      <c r="EY176" s="3">
        <v>30</v>
      </c>
      <c r="EZ176" s="3">
        <v>50</v>
      </c>
      <c r="FA176" s="3" t="s">
        <v>689</v>
      </c>
      <c r="FB176" s="75" cm="1">
        <f t="array" ref="FB176">_xll.DCEPropSectBox(EY176, EZ176, FA176, 1, 1, "Area")/100</f>
        <v>1.5342477796076937</v>
      </c>
      <c r="FC176" s="75">
        <f t="shared" si="23"/>
        <v>1.2043845069920394</v>
      </c>
      <c r="FD176" s="75" cm="1">
        <f t="array" ref="FD176">_xll.DCEPropSectBox(EY176, EZ176, FA176, 1, 1, "Ix")/10000</f>
        <v>5.2866821847031291</v>
      </c>
      <c r="FE176" s="75" cm="1">
        <f t="array" ref="FE176">_xll.DCEPropSectBox(EY176, EZ176, FA176, 1, 1, "Iy")/10000</f>
        <v>2.4127235114487653</v>
      </c>
      <c r="FF176" s="75">
        <f t="shared" si="21"/>
        <v>2.1146728738812515</v>
      </c>
      <c r="FG176" s="75">
        <f t="shared" si="22"/>
        <v>1.6084823409658435</v>
      </c>
      <c r="FJ176" s="3" t="e">
        <f>Cal!#REF!</f>
        <v>#REF!</v>
      </c>
      <c r="FK176" s="77" t="s">
        <v>889</v>
      </c>
      <c r="FL176" s="3">
        <v>140</v>
      </c>
      <c r="FM176" s="3">
        <v>1.8</v>
      </c>
      <c r="FN176" s="80" cm="1">
        <f t="array" ref="FN176">_xll.DCEPropSectPipe(FL176, FM176, "A")/100</f>
        <v>7.8150258850699537</v>
      </c>
      <c r="FO176" s="75">
        <f t="shared" si="24"/>
        <v>6.1347953197799141</v>
      </c>
      <c r="FP176" s="76" cm="1">
        <f t="array" ref="FP176">_xll.DCEPropSectPipe(FL176, FM176, "I")/10000</f>
        <v>186.60796958628893</v>
      </c>
      <c r="FQ176" s="76">
        <f t="shared" si="25"/>
        <v>186.60796958628893</v>
      </c>
      <c r="FR176" s="75">
        <f t="shared" si="26"/>
        <v>26.658281369469847</v>
      </c>
      <c r="FS176" s="75">
        <f t="shared" si="27"/>
        <v>26.658281369469847</v>
      </c>
    </row>
    <row r="177" spans="153:175" ht="14.4">
      <c r="EW177" s="3" t="e">
        <f>Cal!#REF!</f>
        <v>#REF!</v>
      </c>
      <c r="EX177" s="77" t="s">
        <v>413</v>
      </c>
      <c r="EY177" s="3">
        <v>30</v>
      </c>
      <c r="EZ177" s="3">
        <v>50</v>
      </c>
      <c r="FA177" s="3" t="s">
        <v>690</v>
      </c>
      <c r="FB177" s="75" cm="1">
        <f t="array" ref="FB177">_xll.DCEPropSectBox(EY177, EZ177, FA177, 1, 1, "Area")/100</f>
        <v>1.6804398133253093</v>
      </c>
      <c r="FC177" s="75">
        <f t="shared" si="23"/>
        <v>1.3191452534603678</v>
      </c>
      <c r="FD177" s="75" cm="1">
        <f t="array" ref="FD177">_xll.DCEPropSectBox(EY177, EZ177, FA177, 1, 1, "Ix")/10000</f>
        <v>5.7569333111001715</v>
      </c>
      <c r="FE177" s="75" cm="1">
        <f t="array" ref="FE177">_xll.DCEPropSectBox(EY177, EZ177, FA177, 1, 1, "Iy")/10000</f>
        <v>2.6236702423287319</v>
      </c>
      <c r="FF177" s="75">
        <f t="shared" si="21"/>
        <v>2.3027733244400688</v>
      </c>
      <c r="FG177" s="75">
        <f t="shared" si="22"/>
        <v>1.7491134948858214</v>
      </c>
      <c r="FJ177" s="3" t="e">
        <f>Cal!#REF!</f>
        <v>#REF!</v>
      </c>
      <c r="FK177" s="77" t="s">
        <v>890</v>
      </c>
      <c r="FL177" s="3">
        <v>140</v>
      </c>
      <c r="FM177" s="3">
        <v>2</v>
      </c>
      <c r="FN177" s="80" cm="1">
        <f t="array" ref="FN177">_xll.DCEPropSectPipe(FL177, FM177, "A")/100</f>
        <v>8.6707957239078315</v>
      </c>
      <c r="FO177" s="75">
        <f t="shared" si="24"/>
        <v>6.8065746432676484</v>
      </c>
      <c r="FP177" s="76" cm="1">
        <f t="array" ref="FP177">_xll.DCEPropSectPipe(FL177, FM177, "I")/10000</f>
        <v>206.45164618624523</v>
      </c>
      <c r="FQ177" s="76">
        <f t="shared" si="25"/>
        <v>206.45164618624523</v>
      </c>
      <c r="FR177" s="75">
        <f t="shared" si="26"/>
        <v>29.493092312320748</v>
      </c>
      <c r="FS177" s="75">
        <f t="shared" si="27"/>
        <v>29.493092312320748</v>
      </c>
    </row>
    <row r="178" spans="153:175" ht="14.4">
      <c r="EW178" s="3" t="e">
        <f>Cal!#REF!</f>
        <v>#REF!</v>
      </c>
      <c r="EX178" s="77" t="s">
        <v>414</v>
      </c>
      <c r="EY178" s="3">
        <v>30</v>
      </c>
      <c r="EZ178" s="3">
        <v>50</v>
      </c>
      <c r="FA178" s="3" t="s">
        <v>691</v>
      </c>
      <c r="FB178" s="75" cm="1">
        <f t="array" ref="FB178">_xll.DCEPropSectBox(EY178, EZ178, FA178, 1, 1, "Area")/100</f>
        <v>1.825316802635079</v>
      </c>
      <c r="FC178" s="75">
        <f t="shared" si="23"/>
        <v>1.432873690068537</v>
      </c>
      <c r="FD178" s="75" cm="1">
        <f t="array" ref="FD178">_xll.DCEPropSectBox(EY178, EZ178, FA178, 1, 1, "Ix")/10000</f>
        <v>6.2168998035863599</v>
      </c>
      <c r="FE178" s="75" cm="1">
        <f t="array" ref="FE178">_xll.DCEPropSectBox(EY178, EZ178, FA178, 1, 1, "Iy")/10000</f>
        <v>2.8293526583108806</v>
      </c>
      <c r="FF178" s="75">
        <f t="shared" si="21"/>
        <v>2.4867599214345439</v>
      </c>
      <c r="FG178" s="75">
        <f t="shared" si="22"/>
        <v>1.886235105540587</v>
      </c>
      <c r="FJ178" s="3" t="e">
        <f>Cal!#REF!</f>
        <v>#REF!</v>
      </c>
      <c r="FK178" s="77" t="s">
        <v>891</v>
      </c>
      <c r="FL178" s="3">
        <v>140</v>
      </c>
      <c r="FM178" s="3">
        <v>2.2999999999999998</v>
      </c>
      <c r="FN178" s="80" cm="1">
        <f t="array" ref="FN178">_xll.DCEPropSectPipe(FL178, FM178, "A")/100</f>
        <v>9.9497380931842425</v>
      </c>
      <c r="FO178" s="75">
        <f t="shared" si="24"/>
        <v>7.8105444031496303</v>
      </c>
      <c r="FP178" s="76" cm="1">
        <f t="array" ref="FP178">_xll.DCEPropSectPipe(FL178, FM178, "I")/10000</f>
        <v>235.89062940428221</v>
      </c>
      <c r="FQ178" s="76">
        <f t="shared" si="25"/>
        <v>235.89062940428221</v>
      </c>
      <c r="FR178" s="75">
        <f t="shared" si="26"/>
        <v>33.698661343468885</v>
      </c>
      <c r="FS178" s="75">
        <f t="shared" si="27"/>
        <v>33.698661343468885</v>
      </c>
    </row>
    <row r="179" spans="153:175" ht="14.4">
      <c r="EW179" s="3" t="e">
        <f>Cal!#REF!</f>
        <v>#REF!</v>
      </c>
      <c r="EX179" s="77" t="s">
        <v>415</v>
      </c>
      <c r="EY179" s="3">
        <v>30</v>
      </c>
      <c r="EZ179" s="3">
        <v>50</v>
      </c>
      <c r="FA179" s="3" t="s">
        <v>692</v>
      </c>
      <c r="FB179" s="75" cm="1">
        <f t="array" ref="FB179">_xll.DCEPropSectBox(EY179, EZ179, FA179, 1, 1, "Area")/100</f>
        <v>2.1111256480310798</v>
      </c>
      <c r="FC179" s="75">
        <f t="shared" si="23"/>
        <v>1.6572336337043978</v>
      </c>
      <c r="FD179" s="75" cm="1">
        <f t="array" ref="FD179">_xll.DCEPropSectBox(EY179, EZ179, FA179, 1, 1, "Ix")/10000</f>
        <v>7.1063115554664646</v>
      </c>
      <c r="FE179" s="75" cm="1">
        <f t="array" ref="FE179">_xll.DCEPropSectBox(EY179, EZ179, FA179, 1, 1, "Iy")/10000</f>
        <v>3.225169992906221</v>
      </c>
      <c r="FF179" s="75">
        <f t="shared" si="21"/>
        <v>2.8425246221865859</v>
      </c>
      <c r="FG179" s="75">
        <f t="shared" si="22"/>
        <v>2.1501133286041472</v>
      </c>
      <c r="FJ179" s="3" t="e">
        <f>Cal!#REF!</f>
        <v>#REF!</v>
      </c>
      <c r="FK179" s="77" t="s">
        <v>892</v>
      </c>
      <c r="FL179" s="3">
        <v>140</v>
      </c>
      <c r="FM179" s="3">
        <v>2.5</v>
      </c>
      <c r="FN179" s="80" cm="1">
        <f t="array" ref="FN179">_xll.DCEPropSectPipe(FL179, FM179, "A")/100</f>
        <v>10.799224746714918</v>
      </c>
      <c r="FO179" s="75">
        <f t="shared" si="24"/>
        <v>8.4773914261712111</v>
      </c>
      <c r="FP179" s="76" cm="1">
        <f t="array" ref="FP179">_xll.DCEPropSectPipe(FL179, FM179, "I")/10000</f>
        <v>255.30042252780703</v>
      </c>
      <c r="FQ179" s="76">
        <f t="shared" si="25"/>
        <v>255.30042252780703</v>
      </c>
      <c r="FR179" s="75">
        <f t="shared" si="26"/>
        <v>36.471488932543863</v>
      </c>
      <c r="FS179" s="75">
        <f t="shared" si="27"/>
        <v>36.471488932543863</v>
      </c>
    </row>
    <row r="180" spans="153:175" ht="14.4">
      <c r="EW180" s="3" t="e">
        <f>Cal!#REF!</f>
        <v>#REF!</v>
      </c>
      <c r="EX180" s="77" t="s">
        <v>416</v>
      </c>
      <c r="EY180" s="3">
        <v>30</v>
      </c>
      <c r="EZ180" s="3">
        <v>50</v>
      </c>
      <c r="FA180" s="3" t="s">
        <v>693</v>
      </c>
      <c r="FB180" s="75" cm="1">
        <f t="array" ref="FB180">_xll.DCEPropSectBox(EY180, EZ180, FA180, 1, 1, "Area")/100</f>
        <v>2.2520575041173112</v>
      </c>
      <c r="FC180" s="75">
        <f t="shared" si="23"/>
        <v>1.7678651407320893</v>
      </c>
      <c r="FD180" s="75" cm="1">
        <f t="array" ref="FD180">_xll.DCEPropSectBox(EY180, EZ180, FA180, 1, 1, "Ix")/10000</f>
        <v>7.5359224372310853</v>
      </c>
      <c r="FE180" s="75" cm="1">
        <f t="array" ref="FE180">_xll.DCEPropSectBox(EY180, EZ180, FA180, 1, 1, "Iy")/10000</f>
        <v>3.4154269232322272</v>
      </c>
      <c r="FF180" s="75">
        <f t="shared" si="21"/>
        <v>3.014368974892434</v>
      </c>
      <c r="FG180" s="75">
        <f t="shared" si="22"/>
        <v>2.2769512821548181</v>
      </c>
      <c r="FJ180" s="3" t="e">
        <f>Cal!#REF!</f>
        <v>#REF!</v>
      </c>
      <c r="FK180" s="77" t="s">
        <v>893</v>
      </c>
      <c r="FL180" s="3">
        <v>140</v>
      </c>
      <c r="FM180" s="3">
        <v>2.8</v>
      </c>
      <c r="FN180" s="80" cm="1">
        <f t="array" ref="FN180">_xll.DCEPropSectPipe(FL180, FM180, "A")/100</f>
        <v>12.068742338030551</v>
      </c>
      <c r="FO180" s="75">
        <f t="shared" si="24"/>
        <v>9.4739627353539824</v>
      </c>
      <c r="FP180" s="76" cm="1">
        <f t="array" ref="FP180">_xll.DCEPropSectPipe(FL180, FM180, "I")/10000</f>
        <v>284.09336714030337</v>
      </c>
      <c r="FQ180" s="76">
        <f t="shared" si="25"/>
        <v>284.09336714030337</v>
      </c>
      <c r="FR180" s="75">
        <f t="shared" si="26"/>
        <v>40.584766734329051</v>
      </c>
      <c r="FS180" s="75">
        <f t="shared" si="27"/>
        <v>40.584766734329051</v>
      </c>
    </row>
    <row r="181" spans="153:175" ht="14.4">
      <c r="EW181" s="3" t="e">
        <f>Cal!#REF!</f>
        <v>#REF!</v>
      </c>
      <c r="EX181" s="77" t="s">
        <v>417</v>
      </c>
      <c r="EY181" s="3">
        <v>30</v>
      </c>
      <c r="EZ181" s="3">
        <v>50</v>
      </c>
      <c r="FA181" s="3" t="s">
        <v>694</v>
      </c>
      <c r="FB181" s="75" cm="1">
        <f t="array" ref="FB181">_xll.DCEPropSectBox(EY181, EZ181, FA181, 1, 1, "Area")/100</f>
        <v>2.3916743157956959</v>
      </c>
      <c r="FC181" s="75">
        <f t="shared" si="23"/>
        <v>1.8774643378996212</v>
      </c>
      <c r="FD181" s="75" cm="1">
        <f t="array" ref="FD181">_xll.DCEPropSectBox(EY181, EZ181, FA181, 1, 1, "Ix")/10000</f>
        <v>7.9555799298262659</v>
      </c>
      <c r="FE181" s="75" cm="1">
        <f t="array" ref="FE181">_xll.DCEPropSectBox(EY181, EZ181, FA181, 1, 1, "Iy")/10000</f>
        <v>3.600663562086055</v>
      </c>
      <c r="FF181" s="75">
        <f t="shared" si="21"/>
        <v>3.1822319719305066</v>
      </c>
      <c r="FG181" s="75">
        <f t="shared" si="22"/>
        <v>2.4004423747240367</v>
      </c>
      <c r="FJ181" s="3" t="e">
        <f>Cal!#REF!</f>
        <v>#REF!</v>
      </c>
      <c r="FK181" s="77" t="s">
        <v>894</v>
      </c>
      <c r="FL181" s="3">
        <v>140</v>
      </c>
      <c r="FM181" s="3">
        <v>3</v>
      </c>
      <c r="FN181" s="80" cm="1">
        <f t="array" ref="FN181">_xll.DCEPropSectPipe(FL181, FM181, "A")/100</f>
        <v>12.911945806254044</v>
      </c>
      <c r="FO181" s="75">
        <f t="shared" si="24"/>
        <v>10.135877457909425</v>
      </c>
      <c r="FP181" s="76" cm="1">
        <f t="array" ref="FP181">_xll.DCEPropSectPipe(FL181, FM181, "I")/10000</f>
        <v>303.07564793729802</v>
      </c>
      <c r="FQ181" s="76">
        <f t="shared" si="25"/>
        <v>303.07564793729802</v>
      </c>
      <c r="FR181" s="75">
        <f t="shared" si="26"/>
        <v>43.296521133899716</v>
      </c>
      <c r="FS181" s="75">
        <f t="shared" si="27"/>
        <v>43.296521133899716</v>
      </c>
    </row>
    <row r="182" spans="153:175" ht="14.4">
      <c r="EW182" s="3" t="e">
        <f>Cal!#REF!</f>
        <v>#REF!</v>
      </c>
      <c r="EX182" s="77" t="s">
        <v>418</v>
      </c>
      <c r="EY182" s="3">
        <v>30</v>
      </c>
      <c r="EZ182" s="3">
        <v>50</v>
      </c>
      <c r="FA182" s="3" t="s">
        <v>695</v>
      </c>
      <c r="FB182" s="75" cm="1">
        <f t="array" ref="FB182">_xll.DCEPropSectBox(EY182, EZ182, FA182, 1, 1, "Area")/100</f>
        <v>2.5299760830662352</v>
      </c>
      <c r="FC182" s="75">
        <f t="shared" si="23"/>
        <v>1.9860312252069947</v>
      </c>
      <c r="FD182" s="75" cm="1">
        <f t="array" ref="FD182">_xll.DCEPropSectBox(EY182, EZ182, FA182, 1, 1, "Ix")/10000</f>
        <v>8.3653661324879227</v>
      </c>
      <c r="FE182" s="75" cm="1">
        <f t="array" ref="FE182">_xll.DCEPropSectBox(EY182, EZ182, FA182, 1, 1, "Iy")/10000</f>
        <v>3.7809402033746928</v>
      </c>
      <c r="FF182" s="75">
        <f t="shared" si="21"/>
        <v>3.346146452995169</v>
      </c>
      <c r="FG182" s="75">
        <f t="shared" si="22"/>
        <v>2.5206268022497951</v>
      </c>
      <c r="FJ182" s="3"/>
      <c r="FK182" s="77"/>
      <c r="FL182" s="3"/>
      <c r="FM182" s="3"/>
      <c r="FN182" s="3"/>
      <c r="FO182" s="3"/>
      <c r="FP182" s="3"/>
      <c r="FQ182" s="3"/>
      <c r="FR182" s="3"/>
      <c r="FS182" s="3"/>
    </row>
    <row r="183" spans="153:175" ht="14.4">
      <c r="EW183" s="3" t="e">
        <f>Cal!#REF!</f>
        <v>#REF!</v>
      </c>
      <c r="EX183" s="77" t="s">
        <v>419</v>
      </c>
      <c r="EY183" s="3">
        <v>30</v>
      </c>
      <c r="EZ183" s="3">
        <v>50</v>
      </c>
      <c r="FA183" s="3" t="s">
        <v>696</v>
      </c>
      <c r="FB183" s="75" cm="1">
        <f t="array" ref="FB183">_xll.DCEPropSectBox(EY183, EZ183, FA183, 1, 1, "Area")/100</f>
        <v>2.6669628059289283</v>
      </c>
      <c r="FC183" s="75">
        <f t="shared" si="23"/>
        <v>2.0935658026542088</v>
      </c>
      <c r="FD183" s="75" cm="1">
        <f t="array" ref="FD183">_xll.DCEPropSectBox(EY183, EZ183, FA183, 1, 1, "Ix")/10000</f>
        <v>8.7653628596722406</v>
      </c>
      <c r="FE183" s="75" cm="1">
        <f t="array" ref="FE183">_xll.DCEPropSectBox(EY183, EZ183, FA183, 1, 1, "Iy")/10000</f>
        <v>3.9563168562253566</v>
      </c>
      <c r="FF183" s="75">
        <f t="shared" si="21"/>
        <v>3.5061451438688964</v>
      </c>
      <c r="FG183" s="75">
        <f t="shared" si="22"/>
        <v>2.6375445708169045</v>
      </c>
      <c r="FJ183" s="3"/>
      <c r="FK183" s="77"/>
      <c r="FL183" s="3"/>
      <c r="FM183" s="3"/>
      <c r="FN183" s="3"/>
      <c r="FO183" s="3"/>
      <c r="FP183" s="3"/>
      <c r="FQ183" s="3"/>
      <c r="FR183" s="3"/>
      <c r="FS183" s="3"/>
    </row>
    <row r="184" spans="153:175" ht="14.4">
      <c r="EW184" s="3" t="e">
        <f>Cal!#REF!</f>
        <v>#REF!</v>
      </c>
      <c r="EX184" s="77" t="s">
        <v>420</v>
      </c>
      <c r="EY184" s="3">
        <v>30</v>
      </c>
      <c r="EZ184" s="3">
        <v>50</v>
      </c>
      <c r="FA184" s="3" t="s">
        <v>697</v>
      </c>
      <c r="FB184" s="75" cm="1">
        <f t="array" ref="FB184">_xll.DCEPropSectBox(EY184, EZ184, FA184, 1, 1, "Area")/100</f>
        <v>2.8026344843837747</v>
      </c>
      <c r="FC184" s="75">
        <f t="shared" si="23"/>
        <v>2.2000680702412629</v>
      </c>
      <c r="FD184" s="75" cm="1">
        <f t="array" ref="FD184">_xll.DCEPropSectBox(EY184, EZ184, FA184, 1, 1, "Ix")/10000</f>
        <v>9.1556516410555862</v>
      </c>
      <c r="FE184" s="75" cm="1">
        <f t="array" ref="FE184">_xll.DCEPropSectBox(EY184, EZ184, FA184, 1, 1, "Iy")/10000</f>
        <v>4.126853244985492</v>
      </c>
      <c r="FF184" s="75">
        <f t="shared" si="21"/>
        <v>3.6622606564222346</v>
      </c>
      <c r="FG184" s="75">
        <f t="shared" si="22"/>
        <v>2.7512354966569945</v>
      </c>
      <c r="FJ184" s="3"/>
      <c r="FK184" s="77"/>
      <c r="FL184" s="3"/>
      <c r="FM184" s="3"/>
      <c r="FN184" s="3"/>
      <c r="FO184" s="3"/>
      <c r="FP184" s="3"/>
      <c r="FQ184" s="3"/>
      <c r="FR184" s="3"/>
      <c r="FS184" s="3"/>
    </row>
    <row r="185" spans="153:175" ht="14.4">
      <c r="EW185" s="3" t="e">
        <f>Cal!#REF!</f>
        <v>#REF!</v>
      </c>
      <c r="EX185" s="77" t="s">
        <v>421</v>
      </c>
      <c r="EY185" s="3">
        <v>30</v>
      </c>
      <c r="EZ185" s="3">
        <v>50</v>
      </c>
      <c r="FA185" s="3" t="s">
        <v>698</v>
      </c>
      <c r="FB185" s="75" cm="1">
        <f t="array" ref="FB185">_xll.DCEPropSectBox(EY185, EZ185, FA185, 1, 1, "Area")/100</f>
        <v>2.9369911184307749</v>
      </c>
      <c r="FC185" s="75">
        <f t="shared" si="23"/>
        <v>2.3055380279681579</v>
      </c>
      <c r="FD185" s="75" cm="1">
        <f t="array" ref="FD185">_xll.DCEPropSectBox(EY185, EZ185, FA185, 1, 1, "Ix")/10000</f>
        <v>9.5363137215345901</v>
      </c>
      <c r="FE185" s="75" cm="1">
        <f t="array" ref="FE185">_xll.DCEPropSectBox(EY185, EZ185, FA185, 1, 1, "Iy")/10000</f>
        <v>4.2926088092227754</v>
      </c>
      <c r="FF185" s="75">
        <f t="shared" si="21"/>
        <v>3.8145254886138362</v>
      </c>
      <c r="FG185" s="75">
        <f t="shared" si="22"/>
        <v>2.861739206148517</v>
      </c>
      <c r="FJ185" s="3"/>
      <c r="FK185" s="77"/>
      <c r="FL185" s="3"/>
      <c r="FM185" s="3"/>
      <c r="FN185" s="3"/>
      <c r="FO185" s="3"/>
      <c r="FP185" s="3"/>
      <c r="FQ185" s="3"/>
      <c r="FR185" s="3"/>
      <c r="FS185" s="3"/>
    </row>
    <row r="186" spans="153:175" ht="14.4">
      <c r="EW186" s="3" t="e">
        <f>Cal!#REF!</f>
        <v>#REF!</v>
      </c>
      <c r="EX186" s="77" t="s">
        <v>422</v>
      </c>
      <c r="EY186" s="3">
        <v>30</v>
      </c>
      <c r="EZ186" s="3">
        <v>50</v>
      </c>
      <c r="FA186" s="3" t="s">
        <v>699</v>
      </c>
      <c r="FB186" s="75" cm="1">
        <f t="array" ref="FB186">_xll.DCEPropSectBox(EY186, EZ186, FA186, 1, 1, "Area")/100</f>
        <v>3.0700327080699297</v>
      </c>
      <c r="FC186" s="75">
        <f t="shared" si="23"/>
        <v>2.4099756758348949</v>
      </c>
      <c r="FD186" s="75" cm="1">
        <f t="array" ref="FD186">_xll.DCEPropSectBox(EY186, EZ186, FA186, 1, 1, "Ix")/10000</f>
        <v>9.9074300612260977</v>
      </c>
      <c r="FE186" s="75" cm="1">
        <f t="array" ref="FE186">_xll.DCEPropSectBox(EY186, EZ186, FA186, 1, 1, "Iy")/10000</f>
        <v>4.4536427037251212</v>
      </c>
      <c r="FF186" s="75">
        <f t="shared" si="21"/>
        <v>3.9629720244904392</v>
      </c>
      <c r="FG186" s="75">
        <f t="shared" si="22"/>
        <v>2.9690951358167474</v>
      </c>
      <c r="FJ186" s="3"/>
      <c r="FK186" s="77"/>
      <c r="FL186" s="3"/>
      <c r="FM186" s="3"/>
      <c r="FN186" s="3"/>
      <c r="FO186" s="3"/>
      <c r="FP186" s="3"/>
      <c r="FQ186" s="3"/>
      <c r="FR186" s="3"/>
      <c r="FS186" s="3"/>
    </row>
    <row r="187" spans="153:175" ht="14.4">
      <c r="EW187" s="3" t="e">
        <f>Cal!#REF!</f>
        <v>#REF!</v>
      </c>
      <c r="EX187" s="77" t="s">
        <v>423</v>
      </c>
      <c r="EY187" s="3">
        <v>30</v>
      </c>
      <c r="EZ187" s="3">
        <v>50</v>
      </c>
      <c r="FA187" s="3" t="s">
        <v>700</v>
      </c>
      <c r="FB187" s="75" cm="1">
        <f t="array" ref="FB187">_xll.DCEPropSectBox(EY187, EZ187, FA187, 1, 1, "Area")/100</f>
        <v>3.2017592533012378</v>
      </c>
      <c r="FC187" s="75">
        <f t="shared" si="23"/>
        <v>2.5133810138414718</v>
      </c>
      <c r="FD187" s="75" cm="1">
        <f t="array" ref="FD187">_xll.DCEPropSectBox(EY187, EZ187, FA187, 1, 1, "Ix")/10000</f>
        <v>10.269081335467188</v>
      </c>
      <c r="FE187" s="75" cm="1">
        <f t="array" ref="FE187">_xll.DCEPropSectBox(EY187, EZ187, FA187, 1, 1, "Iy")/10000</f>
        <v>4.6100137985006597</v>
      </c>
      <c r="FF187" s="75">
        <f t="shared" si="21"/>
        <v>4.1076325341868749</v>
      </c>
      <c r="FG187" s="75">
        <f t="shared" si="22"/>
        <v>3.0733425323337733</v>
      </c>
      <c r="FJ187" s="3"/>
      <c r="FK187" s="77"/>
      <c r="FL187" s="3"/>
      <c r="FM187" s="3"/>
      <c r="FN187" s="3"/>
      <c r="FO187" s="3"/>
      <c r="FP187" s="3"/>
      <c r="FQ187" s="3"/>
      <c r="FR187" s="3"/>
      <c r="FS187" s="3"/>
    </row>
    <row r="188" spans="153:175" ht="14.4">
      <c r="EW188" s="3" t="e">
        <f>Cal!#REF!</f>
        <v>#REF!</v>
      </c>
      <c r="EX188" s="77" t="s">
        <v>424</v>
      </c>
      <c r="EY188" s="3">
        <v>30</v>
      </c>
      <c r="EZ188" s="3">
        <v>50</v>
      </c>
      <c r="FA188" s="3" t="s">
        <v>701</v>
      </c>
      <c r="FB188" s="75" cm="1">
        <f t="array" ref="FB188">_xll.DCEPropSectBox(EY188, EZ188, FA188, 1, 1, "Area")/100</f>
        <v>3.3321707541246997</v>
      </c>
      <c r="FC188" s="75">
        <f t="shared" si="23"/>
        <v>2.6157540419878891</v>
      </c>
      <c r="FD188" s="75" cm="1">
        <f t="array" ref="FD188">_xll.DCEPropSectBox(EY188, EZ188, FA188, 1, 1, "Ix")/10000</f>
        <v>10.621347934815185</v>
      </c>
      <c r="FE188" s="75" cm="1">
        <f t="array" ref="FE188">_xll.DCEPropSectBox(EY188, EZ188, FA188, 1, 1, "Iy")/10000</f>
        <v>4.7617806787777726</v>
      </c>
      <c r="FF188" s="75">
        <f t="shared" si="21"/>
        <v>4.2485391739260745</v>
      </c>
      <c r="FG188" s="75">
        <f t="shared" si="22"/>
        <v>3.1745204525185149</v>
      </c>
      <c r="FJ188" s="3"/>
      <c r="FK188" s="77"/>
      <c r="FL188" s="3"/>
      <c r="FM188" s="3"/>
      <c r="FN188" s="3"/>
      <c r="FO188" s="3"/>
      <c r="FP188" s="3"/>
      <c r="FQ188" s="3"/>
      <c r="FR188" s="3"/>
      <c r="FS188" s="3"/>
    </row>
    <row r="189" spans="153:175" ht="14.4">
      <c r="EW189" s="3" t="e">
        <f>Cal!#REF!</f>
        <v>#REF!</v>
      </c>
      <c r="EX189" s="77" t="s">
        <v>425</v>
      </c>
      <c r="EY189" s="3">
        <v>30</v>
      </c>
      <c r="EZ189" s="3">
        <v>50</v>
      </c>
      <c r="FA189" s="3" t="s">
        <v>702</v>
      </c>
      <c r="FB189" s="75" cm="1">
        <f t="array" ref="FB189">_xll.DCEPropSectBox(EY189, EZ189, FA189, 1, 1, "Area")/100</f>
        <v>3.4612672105403157</v>
      </c>
      <c r="FC189" s="75">
        <f t="shared" si="23"/>
        <v>2.717094760274148</v>
      </c>
      <c r="FD189" s="75" cm="1">
        <f t="array" ref="FD189">_xll.DCEPropSectBox(EY189, EZ189, FA189, 1, 1, "Ix")/10000</f>
        <v>10.964309965047606</v>
      </c>
      <c r="FE189" s="75" cm="1">
        <f t="array" ref="FE189">_xll.DCEPropSectBox(EY189, EZ189, FA189, 1, 1, "Iy")/10000</f>
        <v>4.9090016450050493</v>
      </c>
      <c r="FF189" s="75">
        <f t="shared" si="21"/>
        <v>4.3857239860190429</v>
      </c>
      <c r="FG189" s="75">
        <f t="shared" si="22"/>
        <v>3.2726677633366994</v>
      </c>
      <c r="FJ189" s="3"/>
      <c r="FK189" s="77"/>
      <c r="FL189" s="3"/>
      <c r="FM189" s="3"/>
      <c r="FN189" s="3"/>
      <c r="FO189" s="3"/>
      <c r="FP189" s="3"/>
      <c r="FQ189" s="3"/>
      <c r="FR189" s="3"/>
      <c r="FS189" s="3"/>
    </row>
    <row r="190" spans="153:175" ht="14.4">
      <c r="EW190" s="3" t="e">
        <f>Cal!#REF!</f>
        <v>#REF!</v>
      </c>
      <c r="EX190" s="77" t="s">
        <v>426</v>
      </c>
      <c r="EY190" s="3">
        <v>30</v>
      </c>
      <c r="EZ190" s="3">
        <v>50</v>
      </c>
      <c r="FA190" s="3" t="s">
        <v>703</v>
      </c>
      <c r="FB190" s="75" cm="1">
        <f t="array" ref="FB190">_xll.DCEPropSectBox(EY190, EZ190, FA190, 1, 1, "Area")/100</f>
        <v>3.589048622548086</v>
      </c>
      <c r="FC190" s="75">
        <f t="shared" si="23"/>
        <v>2.8174031687002472</v>
      </c>
      <c r="FD190" s="75" cm="1">
        <f t="array" ref="FD190">_xll.DCEPropSectBox(EY190, EZ190, FA190, 1, 1, "Ix")/10000</f>
        <v>11.298047247162247</v>
      </c>
      <c r="FE190" s="75" cm="1">
        <f t="array" ref="FE190">_xll.DCEPropSectBox(EY190, EZ190, FA190, 1, 1, "Iy")/10000</f>
        <v>5.0517347128513226</v>
      </c>
      <c r="FF190" s="75">
        <f t="shared" si="21"/>
        <v>4.5192188988648985</v>
      </c>
      <c r="FG190" s="75">
        <f t="shared" si="22"/>
        <v>3.3678231419008817</v>
      </c>
      <c r="FJ190" s="3"/>
      <c r="FK190" s="77"/>
      <c r="FL190" s="3"/>
      <c r="FM190" s="3"/>
      <c r="FN190" s="3"/>
      <c r="FO190" s="3"/>
      <c r="FP190" s="3"/>
      <c r="FQ190" s="3"/>
      <c r="FR190" s="3"/>
      <c r="FS190" s="3"/>
    </row>
    <row r="191" spans="153:175" ht="14.4">
      <c r="EW191" s="3" t="e">
        <f>Cal!#REF!</f>
        <v>#REF!</v>
      </c>
      <c r="EX191" s="77" t="s">
        <v>427</v>
      </c>
      <c r="EY191" s="3">
        <v>30</v>
      </c>
      <c r="EZ191" s="3">
        <v>50</v>
      </c>
      <c r="FA191" s="3" t="s">
        <v>704</v>
      </c>
      <c r="FB191" s="75" cm="1">
        <f t="array" ref="FB191">_xll.DCEPropSectBox(EY191, EZ191, FA191, 1, 1, "Area")/100</f>
        <v>3.8406663133400878</v>
      </c>
      <c r="FC191" s="75">
        <f t="shared" si="23"/>
        <v>3.0149230559719689</v>
      </c>
      <c r="FD191" s="75" cm="1">
        <f t="array" ref="FD191">_xll.DCEPropSectBox(EY191, EZ191, FA191, 1, 1, "Ix")/10000</f>
        <v>11.938165427130391</v>
      </c>
      <c r="FE191" s="75" cm="1">
        <f t="array" ref="FE191">_xll.DCEPropSectBox(EY191, EZ191, FA191, 1, 1, "Iy")/10000</f>
        <v>5.3239677921773394</v>
      </c>
      <c r="FF191" s="75">
        <f t="shared" si="21"/>
        <v>4.7752661708521567</v>
      </c>
      <c r="FG191" s="75">
        <f t="shared" si="22"/>
        <v>3.5493118614515597</v>
      </c>
      <c r="FJ191" s="3"/>
      <c r="FK191" s="77"/>
      <c r="FL191" s="3"/>
      <c r="FM191" s="3"/>
      <c r="FN191" s="3"/>
      <c r="FO191" s="3"/>
      <c r="FP191" s="3"/>
      <c r="FQ191" s="3"/>
      <c r="FR191" s="3"/>
      <c r="FS191" s="3"/>
    </row>
    <row r="192" spans="153:175" ht="14.4">
      <c r="EW192" s="3" t="e">
        <f>Cal!#REF!</f>
        <v>#REF!</v>
      </c>
      <c r="EX192" s="77" t="s">
        <v>428</v>
      </c>
      <c r="EY192" s="3">
        <v>30</v>
      </c>
      <c r="EZ192" s="3">
        <v>50</v>
      </c>
      <c r="FA192" s="3" t="s">
        <v>705</v>
      </c>
      <c r="FB192" s="75" cm="1">
        <f t="array" ref="FB192">_xll.DCEPropSectBox(EY192, EZ192, FA192, 1, 1, "Area")/100</f>
        <v>3.9645025921243193</v>
      </c>
      <c r="FC192" s="75">
        <f t="shared" si="23"/>
        <v>3.1121345348175904</v>
      </c>
      <c r="FD192" s="75" cm="1">
        <f t="array" ref="FD192">_xll.DCEPropSectBox(EY192, EZ192, FA192, 1, 1, "Ix")/10000</f>
        <v>12.244704543080609</v>
      </c>
      <c r="FE192" s="75" cm="1">
        <f t="array" ref="FE192">_xll.DCEPropSectBox(EY192, EZ192, FA192, 1, 1, "Iy")/10000</f>
        <v>5.4535824110959004</v>
      </c>
      <c r="FF192" s="75">
        <f t="shared" si="21"/>
        <v>4.8978818172322436</v>
      </c>
      <c r="FG192" s="75">
        <f t="shared" si="22"/>
        <v>3.6357216073972669</v>
      </c>
      <c r="FJ192" s="3"/>
      <c r="FK192" s="77"/>
      <c r="FL192" s="3"/>
      <c r="FM192" s="3"/>
      <c r="FN192" s="3"/>
      <c r="FO192" s="3"/>
      <c r="FP192" s="3"/>
      <c r="FQ192" s="3"/>
      <c r="FR192" s="3"/>
      <c r="FS192" s="3"/>
    </row>
    <row r="193" spans="153:175" ht="14.4">
      <c r="EW193" s="3" t="e">
        <f>Cal!#REF!</f>
        <v>#REF!</v>
      </c>
      <c r="EX193" s="77" t="s">
        <v>429</v>
      </c>
      <c r="EY193" s="3">
        <v>30</v>
      </c>
      <c r="EZ193" s="3">
        <v>50</v>
      </c>
      <c r="FA193" s="3" t="s">
        <v>706</v>
      </c>
      <c r="FB193" s="75" cm="1">
        <f t="array" ref="FB193">_xll.DCEPropSectBox(EY193, EZ193, FA193, 1, 1, "Area")/100</f>
        <v>4.0870238265007046</v>
      </c>
      <c r="FC193" s="75">
        <f t="shared" si="23"/>
        <v>3.2083137038030531</v>
      </c>
      <c r="FD193" s="75" cm="1">
        <f t="array" ref="FD193">_xll.DCEPropSectBox(EY193, EZ193, FA193, 1, 1, "Ix")/10000</f>
        <v>12.542335347106414</v>
      </c>
      <c r="FE193" s="75" cm="1">
        <f t="array" ref="FE193">_xll.DCEPropSectBox(EY193, EZ193, FA193, 1, 1, "Iy")/10000</f>
        <v>5.578938346511082</v>
      </c>
      <c r="FF193" s="75">
        <f t="shared" si="21"/>
        <v>5.0169341388425659</v>
      </c>
      <c r="FG193" s="75">
        <f t="shared" si="22"/>
        <v>3.7192922310073881</v>
      </c>
      <c r="FJ193" s="3"/>
      <c r="FK193" s="77"/>
      <c r="FL193" s="3"/>
      <c r="FM193" s="3"/>
      <c r="FN193" s="3"/>
      <c r="FO193" s="3"/>
      <c r="FP193" s="3"/>
      <c r="FQ193" s="3"/>
      <c r="FR193" s="3"/>
      <c r="FS193" s="3"/>
    </row>
    <row r="194" spans="153:175" ht="14.4">
      <c r="EW194" s="3" t="e">
        <f>Cal!#REF!</f>
        <v>#REF!</v>
      </c>
      <c r="EX194" s="77" t="s">
        <v>430</v>
      </c>
      <c r="EY194" s="3">
        <v>30</v>
      </c>
      <c r="EZ194" s="3">
        <v>50</v>
      </c>
      <c r="FA194" s="3" t="s">
        <v>707</v>
      </c>
      <c r="FB194" s="75" cm="1">
        <f t="array" ref="FB194">_xll.DCEPropSectBox(EY194, EZ194, FA194, 1, 1, "Area")/100</f>
        <v>4.2082300164692441</v>
      </c>
      <c r="FC194" s="75">
        <f t="shared" si="23"/>
        <v>3.3034605629283567</v>
      </c>
      <c r="FD194" s="75" cm="1">
        <f t="array" ref="FD194">_xll.DCEPropSectBox(EY194, EZ194, FA194, 1, 1, "Ix")/10000</f>
        <v>12.83113623630676</v>
      </c>
      <c r="FE194" s="75" cm="1">
        <f t="array" ref="FE194">_xll.DCEPropSectBox(EY194, EZ194, FA194, 1, 1, "Iy")/10000</f>
        <v>5.700092190192878</v>
      </c>
      <c r="FF194" s="75">
        <f t="shared" si="21"/>
        <v>5.1324544945227037</v>
      </c>
      <c r="FG194" s="75">
        <f t="shared" si="22"/>
        <v>3.8000614601285854</v>
      </c>
      <c r="FJ194" s="3"/>
      <c r="FK194" s="77"/>
      <c r="FL194" s="3"/>
      <c r="FM194" s="3"/>
      <c r="FN194" s="3"/>
      <c r="FO194" s="3"/>
      <c r="FP194" s="3"/>
      <c r="FQ194" s="3"/>
      <c r="FR194" s="3"/>
      <c r="FS194" s="3"/>
    </row>
    <row r="195" spans="153:175" ht="14.4">
      <c r="EW195" s="3" t="e">
        <f>Cal!#REF!</f>
        <v>#REF!</v>
      </c>
      <c r="EX195" s="77" t="s">
        <v>431</v>
      </c>
      <c r="EY195" s="3">
        <v>30</v>
      </c>
      <c r="EZ195" s="3">
        <v>50</v>
      </c>
      <c r="FA195" s="3" t="s">
        <v>708</v>
      </c>
      <c r="FB195" s="75" cm="1">
        <f t="array" ref="FB195">_xll.DCEPropSectBox(EY195, EZ195, FA195, 1, 1, "Area")/100</f>
        <v>4.3281211620299374</v>
      </c>
      <c r="FC195" s="75">
        <f t="shared" si="23"/>
        <v>3.3975751121935005</v>
      </c>
      <c r="FD195" s="75" cm="1">
        <f t="array" ref="FD195">_xll.DCEPropSectBox(EY195, EZ195, FA195, 1, 1, "Ix")/10000</f>
        <v>13.111185323000795</v>
      </c>
      <c r="FE195" s="75" cm="1">
        <f t="array" ref="FE195">_xll.DCEPropSectBox(EY195, EZ195, FA195, 1, 1, "Iy")/10000</f>
        <v>5.8171002491314967</v>
      </c>
      <c r="FF195" s="75">
        <f t="shared" si="21"/>
        <v>5.2444741292003183</v>
      </c>
      <c r="FG195" s="75">
        <f t="shared" si="22"/>
        <v>3.8780668327543313</v>
      </c>
      <c r="FJ195" s="3"/>
      <c r="FK195" s="77"/>
      <c r="FL195" s="3"/>
      <c r="FM195" s="3"/>
      <c r="FN195" s="3"/>
      <c r="FO195" s="3"/>
      <c r="FP195" s="3"/>
      <c r="FQ195" s="3"/>
      <c r="FR195" s="3"/>
      <c r="FS195" s="3"/>
    </row>
    <row r="196" spans="153:175" ht="14.4">
      <c r="EW196" s="3" t="e">
        <f>Cal!#REF!</f>
        <v>#REF!</v>
      </c>
      <c r="EX196" s="77" t="s">
        <v>432</v>
      </c>
      <c r="EY196" s="3">
        <v>40</v>
      </c>
      <c r="EZ196" s="3">
        <v>40</v>
      </c>
      <c r="FA196" s="3" t="s">
        <v>687</v>
      </c>
      <c r="FB196" s="75" cm="1">
        <f t="array" ref="FB196">_xll.DCEPropSectBox(EY196, EZ196, FA196, 1, 1, "Area")/100</f>
        <v>1.2379185789489242</v>
      </c>
      <c r="FC196" s="75">
        <f t="shared" si="23"/>
        <v>0.97176608447490542</v>
      </c>
      <c r="FD196" s="75" cm="1">
        <f t="array" ref="FD196">_xll.DCEPropSectBox(EY196, EZ196, FA196, 1, 1, "Ix")/10000</f>
        <v>3.1490111561877407</v>
      </c>
      <c r="FE196" s="75" cm="1">
        <f t="array" ref="FE196">_xll.DCEPropSectBox(EY196, EZ196, FA196, 1, 1, "Iy")/10000</f>
        <v>3.1490111561877407</v>
      </c>
      <c r="FF196" s="75">
        <f t="shared" si="21"/>
        <v>1.5745055780938704</v>
      </c>
      <c r="FG196" s="75">
        <f t="shared" si="22"/>
        <v>1.5745055780938704</v>
      </c>
      <c r="FJ196" s="3"/>
      <c r="FK196" s="77"/>
      <c r="FL196" s="3"/>
      <c r="FM196" s="3"/>
      <c r="FN196" s="3"/>
      <c r="FO196" s="3"/>
      <c r="FP196" s="3"/>
      <c r="FQ196" s="3"/>
      <c r="FR196" s="3"/>
      <c r="FS196" s="3"/>
    </row>
    <row r="197" spans="153:175" ht="14.4">
      <c r="EW197" s="3" t="e">
        <f>Cal!#REF!</f>
        <v>#REF!</v>
      </c>
      <c r="EX197" s="77" t="s">
        <v>433</v>
      </c>
      <c r="EY197" s="3">
        <v>40</v>
      </c>
      <c r="EZ197" s="3">
        <v>40</v>
      </c>
      <c r="FA197" s="3" t="s">
        <v>688</v>
      </c>
      <c r="FB197" s="75" cm="1">
        <f t="array" ref="FB197">_xll.DCEPropSectBox(EY197, EZ197, FA197, 1, 1, "Area")/100</f>
        <v>1.3867407014822322</v>
      </c>
      <c r="FC197" s="75">
        <f t="shared" si="23"/>
        <v>1.0885914506635523</v>
      </c>
      <c r="FD197" s="75" cm="1">
        <f t="array" ref="FD197">_xll.DCEPropSectBox(EY197, EZ197, FA197, 1, 1, "Ix")/10000</f>
        <v>3.5064716491922487</v>
      </c>
      <c r="FE197" s="75" cm="1">
        <f t="array" ref="FE197">_xll.DCEPropSectBox(EY197, EZ197, FA197, 1, 1, "Iy")/10000</f>
        <v>3.5064716491922487</v>
      </c>
      <c r="FF197" s="75">
        <f t="shared" si="21"/>
        <v>1.7532358245961244</v>
      </c>
      <c r="FG197" s="75">
        <f t="shared" si="22"/>
        <v>1.7532358245961244</v>
      </c>
      <c r="FJ197" s="3"/>
      <c r="FK197" s="77"/>
      <c r="FL197" s="3"/>
      <c r="FM197" s="3"/>
      <c r="FN197" s="3"/>
      <c r="FO197" s="3"/>
      <c r="FP197" s="3"/>
      <c r="FQ197" s="3"/>
      <c r="FR197" s="3"/>
      <c r="FS197" s="3"/>
    </row>
    <row r="198" spans="153:175" ht="14.4">
      <c r="EW198" s="3" t="e">
        <f>Cal!#REF!</f>
        <v>#REF!</v>
      </c>
      <c r="EX198" s="77" t="s">
        <v>434</v>
      </c>
      <c r="EY198" s="3">
        <v>40</v>
      </c>
      <c r="EZ198" s="3">
        <v>40</v>
      </c>
      <c r="FA198" s="3" t="s">
        <v>689</v>
      </c>
      <c r="FB198" s="75" cm="1">
        <f t="array" ref="FB198">_xll.DCEPropSectBox(EY198, EZ198, FA198, 1, 1, "Area")/100</f>
        <v>1.5342477796076937</v>
      </c>
      <c r="FC198" s="75">
        <f t="shared" si="23"/>
        <v>1.2043845069920394</v>
      </c>
      <c r="FD198" s="75" cm="1">
        <f t="array" ref="FD198">_xll.DCEPropSectBox(EY198, EZ198, FA198, 1, 1, "Ix")/10000</f>
        <v>3.8561409031740239</v>
      </c>
      <c r="FE198" s="75" cm="1">
        <f t="array" ref="FE198">_xll.DCEPropSectBox(EY198, EZ198, FA198, 1, 1, "Iy")/10000</f>
        <v>3.8561409031740239</v>
      </c>
      <c r="FF198" s="75">
        <f t="shared" ref="FF198:FF261" si="28">FD198/(EZ198/20)</f>
        <v>1.928070451587012</v>
      </c>
      <c r="FG198" s="75">
        <f t="shared" ref="FG198:FG261" si="29">FE198/(EY198/20)</f>
        <v>1.928070451587012</v>
      </c>
      <c r="FJ198" s="3"/>
      <c r="FK198" s="77"/>
      <c r="FL198" s="3"/>
      <c r="FM198" s="3"/>
      <c r="FN198" s="3"/>
      <c r="FO198" s="3"/>
      <c r="FP198" s="3"/>
      <c r="FQ198" s="3"/>
      <c r="FR198" s="3"/>
      <c r="FS198" s="3"/>
    </row>
    <row r="199" spans="153:175" ht="14.4">
      <c r="EW199" s="3" t="e">
        <f>Cal!#REF!</f>
        <v>#REF!</v>
      </c>
      <c r="EX199" s="77" t="s">
        <v>435</v>
      </c>
      <c r="EY199" s="3">
        <v>40</v>
      </c>
      <c r="EZ199" s="3">
        <v>40</v>
      </c>
      <c r="FA199" s="3" t="s">
        <v>690</v>
      </c>
      <c r="FB199" s="75" cm="1">
        <f t="array" ref="FB199">_xll.DCEPropSectBox(EY199, EZ199, FA199, 1, 1, "Area")/100</f>
        <v>1.6804398133253093</v>
      </c>
      <c r="FC199" s="75">
        <f t="shared" ref="FC199:FC262" si="30">7850*(FB199/10000)</f>
        <v>1.3191452534603678</v>
      </c>
      <c r="FD199" s="75" cm="1">
        <f t="array" ref="FD199">_xll.DCEPropSectBox(EY199, EZ199, FA199, 1, 1, "Ix")/10000</f>
        <v>4.1980918233831286</v>
      </c>
      <c r="FE199" s="75" cm="1">
        <f t="array" ref="FE199">_xll.DCEPropSectBox(EY199, EZ199, FA199, 1, 1, "Iy")/10000</f>
        <v>4.1980918233831286</v>
      </c>
      <c r="FF199" s="75">
        <f t="shared" si="28"/>
        <v>2.0990459116915643</v>
      </c>
      <c r="FG199" s="75">
        <f t="shared" si="29"/>
        <v>2.0990459116915643</v>
      </c>
      <c r="FJ199" s="3"/>
      <c r="FK199" s="77"/>
      <c r="FL199" s="3"/>
      <c r="FM199" s="3"/>
      <c r="FN199" s="3"/>
      <c r="FO199" s="3"/>
      <c r="FP199" s="3"/>
      <c r="FQ199" s="3"/>
      <c r="FR199" s="3"/>
      <c r="FS199" s="3"/>
    </row>
    <row r="200" spans="153:175" ht="14.4">
      <c r="EW200" s="3" t="e">
        <f>Cal!#REF!</f>
        <v>#REF!</v>
      </c>
      <c r="EX200" s="77" t="s">
        <v>436</v>
      </c>
      <c r="EY200" s="3">
        <v>40</v>
      </c>
      <c r="EZ200" s="3">
        <v>40</v>
      </c>
      <c r="FA200" s="3" t="s">
        <v>691</v>
      </c>
      <c r="FB200" s="75" cm="1">
        <f t="array" ref="FB200">_xll.DCEPropSectBox(EY200, EZ200, FA200, 1, 1, "Area")/100</f>
        <v>1.825316802635079</v>
      </c>
      <c r="FC200" s="75">
        <f t="shared" si="30"/>
        <v>1.432873690068537</v>
      </c>
      <c r="FD200" s="75" cm="1">
        <f t="array" ref="FD200">_xll.DCEPropSectBox(EY200, EZ200, FA200, 1, 1, "Ix")/10000</f>
        <v>4.532397030289852</v>
      </c>
      <c r="FE200" s="75" cm="1">
        <f t="array" ref="FE200">_xll.DCEPropSectBox(EY200, EZ200, FA200, 1, 1, "Iy")/10000</f>
        <v>4.532397030289852</v>
      </c>
      <c r="FF200" s="75">
        <f t="shared" si="28"/>
        <v>2.266198515144926</v>
      </c>
      <c r="FG200" s="75">
        <f t="shared" si="29"/>
        <v>2.266198515144926</v>
      </c>
      <c r="FJ200" s="3"/>
      <c r="FK200" s="77"/>
      <c r="FL200" s="3"/>
      <c r="FM200" s="3"/>
      <c r="FN200" s="3"/>
      <c r="FO200" s="3"/>
      <c r="FP200" s="3"/>
      <c r="FQ200" s="3"/>
      <c r="FR200" s="3"/>
      <c r="FS200" s="3"/>
    </row>
    <row r="201" spans="153:175" ht="14.4">
      <c r="EW201" s="3" t="e">
        <f>Cal!#REF!</f>
        <v>#REF!</v>
      </c>
      <c r="EX201" s="77" t="s">
        <v>437</v>
      </c>
      <c r="EY201" s="3">
        <v>40</v>
      </c>
      <c r="EZ201" s="3">
        <v>40</v>
      </c>
      <c r="FA201" s="3" t="s">
        <v>692</v>
      </c>
      <c r="FB201" s="75" cm="1">
        <f t="array" ref="FB201">_xll.DCEPropSectBox(EY201, EZ201, FA201, 1, 1, "Area")/100</f>
        <v>2.1111256480310798</v>
      </c>
      <c r="FC201" s="75">
        <f t="shared" si="30"/>
        <v>1.6572336337043978</v>
      </c>
      <c r="FD201" s="75" cm="1">
        <f t="array" ref="FD201">_xll.DCEPropSectBox(EY201, EZ201, FA201, 1, 1, "Ix")/10000</f>
        <v>5.1783593621785711</v>
      </c>
      <c r="FE201" s="75" cm="1">
        <f t="array" ref="FE201">_xll.DCEPropSectBox(EY201, EZ201, FA201, 1, 1, "Iy")/10000</f>
        <v>5.1783593621785711</v>
      </c>
      <c r="FF201" s="75">
        <f t="shared" si="28"/>
        <v>2.5891796810892855</v>
      </c>
      <c r="FG201" s="75">
        <f t="shared" si="29"/>
        <v>2.5891796810892855</v>
      </c>
      <c r="FJ201" s="3"/>
      <c r="FK201" s="77"/>
      <c r="FL201" s="3"/>
      <c r="FM201" s="3"/>
      <c r="FN201" s="3"/>
      <c r="FO201" s="3"/>
      <c r="FP201" s="3"/>
      <c r="FQ201" s="3"/>
      <c r="FR201" s="3"/>
      <c r="FS201" s="3"/>
    </row>
    <row r="202" spans="153:175" ht="14.4">
      <c r="EW202" s="3" t="e">
        <f>Cal!#REF!</f>
        <v>#REF!</v>
      </c>
      <c r="EX202" s="77" t="s">
        <v>438</v>
      </c>
      <c r="EY202" s="3">
        <v>40</v>
      </c>
      <c r="EZ202" s="3">
        <v>40</v>
      </c>
      <c r="FA202" s="3" t="s">
        <v>693</v>
      </c>
      <c r="FB202" s="75" cm="1">
        <f t="array" ref="FB202">_xll.DCEPropSectBox(EY202, EZ202, FA202, 1, 1, "Area")/100</f>
        <v>2.2520575041173112</v>
      </c>
      <c r="FC202" s="75">
        <f t="shared" si="30"/>
        <v>1.7678651407320893</v>
      </c>
      <c r="FD202" s="75" cm="1">
        <f t="array" ref="FD202">_xll.DCEPropSectBox(EY202, EZ202, FA202, 1, 1, "Ix")/10000</f>
        <v>5.4901603042023286</v>
      </c>
      <c r="FE202" s="75" cm="1">
        <f t="array" ref="FE202">_xll.DCEPropSectBox(EY202, EZ202, FA202, 1, 1, "Iy")/10000</f>
        <v>5.4901603042023286</v>
      </c>
      <c r="FF202" s="75">
        <f t="shared" si="28"/>
        <v>2.7450801521011643</v>
      </c>
      <c r="FG202" s="75">
        <f t="shared" si="29"/>
        <v>2.7450801521011643</v>
      </c>
      <c r="FJ202" s="3"/>
      <c r="FK202" s="77"/>
      <c r="FL202" s="3"/>
      <c r="FM202" s="3"/>
      <c r="FN202" s="3"/>
      <c r="FO202" s="3"/>
      <c r="FP202" s="3"/>
      <c r="FQ202" s="3"/>
      <c r="FR202" s="3"/>
      <c r="FS202" s="3"/>
    </row>
    <row r="203" spans="153:175" ht="14.4">
      <c r="EW203" s="3" t="e">
        <f>Cal!#REF!</f>
        <v>#REF!</v>
      </c>
      <c r="EX203" s="77" t="s">
        <v>439</v>
      </c>
      <c r="EY203" s="3">
        <v>40</v>
      </c>
      <c r="EZ203" s="3">
        <v>40</v>
      </c>
      <c r="FA203" s="3" t="s">
        <v>694</v>
      </c>
      <c r="FB203" s="75" cm="1">
        <f t="array" ref="FB203">_xll.DCEPropSectBox(EY203, EZ203, FA203, 1, 1, "Area")/100</f>
        <v>2.3916743157956959</v>
      </c>
      <c r="FC203" s="75">
        <f t="shared" si="30"/>
        <v>1.8774643378996212</v>
      </c>
      <c r="FD203" s="75" cm="1">
        <f t="array" ref="FD203">_xll.DCEPropSectBox(EY203, EZ203, FA203, 1, 1, "Ix")/10000</f>
        <v>5.7946031670072378</v>
      </c>
      <c r="FE203" s="75" cm="1">
        <f t="array" ref="FE203">_xll.DCEPropSectBox(EY203, EZ203, FA203, 1, 1, "Iy")/10000</f>
        <v>5.7946031670072378</v>
      </c>
      <c r="FF203" s="75">
        <f t="shared" si="28"/>
        <v>2.8973015835036189</v>
      </c>
      <c r="FG203" s="75">
        <f t="shared" si="29"/>
        <v>2.8973015835036189</v>
      </c>
      <c r="FJ203" s="3"/>
      <c r="FK203" s="77"/>
      <c r="FL203" s="3"/>
      <c r="FM203" s="3"/>
      <c r="FN203" s="3"/>
      <c r="FO203" s="3"/>
      <c r="FP203" s="3"/>
      <c r="FQ203" s="3"/>
      <c r="FR203" s="3"/>
      <c r="FS203" s="3"/>
    </row>
    <row r="204" spans="153:175" ht="14.4">
      <c r="EW204" s="3" t="e">
        <f>Cal!#REF!</f>
        <v>#REF!</v>
      </c>
      <c r="EX204" s="77" t="s">
        <v>440</v>
      </c>
      <c r="EY204" s="3">
        <v>40</v>
      </c>
      <c r="EZ204" s="3">
        <v>40</v>
      </c>
      <c r="FA204" s="3" t="s">
        <v>695</v>
      </c>
      <c r="FB204" s="75" cm="1">
        <f t="array" ref="FB204">_xll.DCEPropSectBox(EY204, EZ204, FA204, 1, 1, "Area")/100</f>
        <v>2.5299760830662352</v>
      </c>
      <c r="FC204" s="75">
        <f t="shared" si="30"/>
        <v>1.9860312252069947</v>
      </c>
      <c r="FD204" s="75" cm="1">
        <f t="array" ref="FD204">_xll.DCEPropSectBox(EY204, EZ204, FA204, 1, 1, "Ix")/10000</f>
        <v>6.0917591471647503</v>
      </c>
      <c r="FE204" s="75" cm="1">
        <f t="array" ref="FE204">_xll.DCEPropSectBox(EY204, EZ204, FA204, 1, 1, "Iy")/10000</f>
        <v>6.0917591471647503</v>
      </c>
      <c r="FF204" s="75">
        <f t="shared" si="28"/>
        <v>3.0458795735823752</v>
      </c>
      <c r="FG204" s="75">
        <f t="shared" si="29"/>
        <v>3.0458795735823752</v>
      </c>
      <c r="FJ204" s="3"/>
      <c r="FK204" s="77"/>
      <c r="FL204" s="3"/>
      <c r="FM204" s="3"/>
      <c r="FN204" s="3"/>
      <c r="FO204" s="3"/>
      <c r="FP204" s="3"/>
      <c r="FQ204" s="3"/>
      <c r="FR204" s="3"/>
      <c r="FS204" s="3"/>
    </row>
    <row r="205" spans="153:175" ht="14.4">
      <c r="EW205" s="3" t="e">
        <f>Cal!#REF!</f>
        <v>#REF!</v>
      </c>
      <c r="EX205" s="77" t="s">
        <v>441</v>
      </c>
      <c r="EY205" s="3">
        <v>40</v>
      </c>
      <c r="EZ205" s="3">
        <v>40</v>
      </c>
      <c r="FA205" s="3" t="s">
        <v>696</v>
      </c>
      <c r="FB205" s="75" cm="1">
        <f t="array" ref="FB205">_xll.DCEPropSectBox(EY205, EZ205, FA205, 1, 1, "Area")/100</f>
        <v>2.6669628059289283</v>
      </c>
      <c r="FC205" s="75">
        <f t="shared" si="30"/>
        <v>2.0935658026542088</v>
      </c>
      <c r="FD205" s="75" cm="1">
        <f t="array" ref="FD205">_xll.DCEPropSectBox(EY205, EZ205, FA205, 1, 1, "Ix")/10000</f>
        <v>6.3816991564665688</v>
      </c>
      <c r="FE205" s="75" cm="1">
        <f t="array" ref="FE205">_xll.DCEPropSectBox(EY205, EZ205, FA205, 1, 1, "Iy")/10000</f>
        <v>6.3816991564665688</v>
      </c>
      <c r="FF205" s="75">
        <f t="shared" si="28"/>
        <v>3.1908495782332844</v>
      </c>
      <c r="FG205" s="75">
        <f t="shared" si="29"/>
        <v>3.1908495782332844</v>
      </c>
      <c r="FJ205" s="3"/>
      <c r="FK205" s="77"/>
      <c r="FL205" s="3"/>
      <c r="FM205" s="3"/>
      <c r="FN205" s="3"/>
      <c r="FO205" s="3"/>
      <c r="FP205" s="3"/>
      <c r="FQ205" s="3"/>
      <c r="FR205" s="3"/>
      <c r="FS205" s="3"/>
    </row>
    <row r="206" spans="153:175" ht="14.4">
      <c r="EW206" s="3" t="e">
        <f>Cal!#REF!</f>
        <v>#REF!</v>
      </c>
      <c r="EX206" s="77" t="s">
        <v>442</v>
      </c>
      <c r="EY206" s="3">
        <v>40</v>
      </c>
      <c r="EZ206" s="3">
        <v>40</v>
      </c>
      <c r="FA206" s="3" t="s">
        <v>697</v>
      </c>
      <c r="FB206" s="75" cm="1">
        <f t="array" ref="FB206">_xll.DCEPropSectBox(EY206, EZ206, FA206, 1, 1, "Area")/100</f>
        <v>2.8026344843837747</v>
      </c>
      <c r="FC206" s="75">
        <f t="shared" si="30"/>
        <v>2.2000680702412629</v>
      </c>
      <c r="FD206" s="75" cm="1">
        <f t="array" ref="FD206">_xll.DCEPropSectBox(EY206, EZ206, FA206, 1, 1, "Ix")/10000</f>
        <v>6.6644938219245935</v>
      </c>
      <c r="FE206" s="75" cm="1">
        <f t="array" ref="FE206">_xll.DCEPropSectBox(EY206, EZ206, FA206, 1, 1, "Iy")/10000</f>
        <v>6.6644938219245935</v>
      </c>
      <c r="FF206" s="75">
        <f t="shared" si="28"/>
        <v>3.3322469109622967</v>
      </c>
      <c r="FG206" s="75">
        <f t="shared" si="29"/>
        <v>3.3322469109622967</v>
      </c>
      <c r="FJ206" s="3"/>
      <c r="FK206" s="77"/>
      <c r="FL206" s="3"/>
      <c r="FM206" s="3"/>
      <c r="FN206" s="3"/>
      <c r="FO206" s="3"/>
      <c r="FP206" s="3"/>
      <c r="FQ206" s="3"/>
      <c r="FR206" s="3"/>
      <c r="FS206" s="3"/>
    </row>
    <row r="207" spans="153:175" ht="14.4">
      <c r="EW207" s="3" t="e">
        <f>Cal!#REF!</f>
        <v>#REF!</v>
      </c>
      <c r="EX207" s="77" t="s">
        <v>443</v>
      </c>
      <c r="EY207" s="3">
        <v>40</v>
      </c>
      <c r="EZ207" s="3">
        <v>40</v>
      </c>
      <c r="FA207" s="3" t="s">
        <v>698</v>
      </c>
      <c r="FB207" s="75" cm="1">
        <f t="array" ref="FB207">_xll.DCEPropSectBox(EY207, EZ207, FA207, 1, 1, "Area")/100</f>
        <v>2.9369911184307749</v>
      </c>
      <c r="FC207" s="75">
        <f t="shared" si="30"/>
        <v>2.3055380279681579</v>
      </c>
      <c r="FD207" s="75" cm="1">
        <f t="array" ref="FD207">_xll.DCEPropSectBox(EY207, EZ207, FA207, 1, 1, "Ix")/10000</f>
        <v>6.9402134857709914</v>
      </c>
      <c r="FE207" s="75" cm="1">
        <f t="array" ref="FE207">_xll.DCEPropSectBox(EY207, EZ207, FA207, 1, 1, "Iy")/10000</f>
        <v>6.9402134857709914</v>
      </c>
      <c r="FF207" s="75">
        <f t="shared" si="28"/>
        <v>3.4701067428854957</v>
      </c>
      <c r="FG207" s="75">
        <f t="shared" si="29"/>
        <v>3.4701067428854957</v>
      </c>
      <c r="FJ207" s="3"/>
      <c r="FK207" s="77"/>
      <c r="FL207" s="3"/>
      <c r="FM207" s="3"/>
      <c r="FN207" s="3"/>
      <c r="FO207" s="3"/>
      <c r="FP207" s="3"/>
      <c r="FQ207" s="3"/>
      <c r="FR207" s="3"/>
      <c r="FS207" s="3"/>
    </row>
    <row r="208" spans="153:175" ht="14.4">
      <c r="EW208" s="3" t="e">
        <f>Cal!#REF!</f>
        <v>#REF!</v>
      </c>
      <c r="EX208" s="77" t="s">
        <v>444</v>
      </c>
      <c r="EY208" s="3">
        <v>40</v>
      </c>
      <c r="EZ208" s="3">
        <v>40</v>
      </c>
      <c r="FA208" s="3" t="s">
        <v>699</v>
      </c>
      <c r="FB208" s="75" cm="1">
        <f t="array" ref="FB208">_xll.DCEPropSectBox(EY208, EZ208, FA208, 1, 1, "Area")/100</f>
        <v>3.0700327080699297</v>
      </c>
      <c r="FC208" s="75">
        <f t="shared" si="30"/>
        <v>2.4099756758348949</v>
      </c>
      <c r="FD208" s="75" cm="1">
        <f t="array" ref="FD208">_xll.DCEPropSectBox(EY208, EZ208, FA208, 1, 1, "Ix")/10000</f>
        <v>7.2089282054581334</v>
      </c>
      <c r="FE208" s="75" cm="1">
        <f t="array" ref="FE208">_xll.DCEPropSectBox(EY208, EZ208, FA208, 1, 1, "Iy")/10000</f>
        <v>7.2089282054581334</v>
      </c>
      <c r="FF208" s="75">
        <f t="shared" si="28"/>
        <v>3.6044641027290667</v>
      </c>
      <c r="FG208" s="75">
        <f t="shared" si="29"/>
        <v>3.6044641027290667</v>
      </c>
      <c r="FJ208" s="3"/>
      <c r="FK208" s="77"/>
      <c r="FL208" s="3"/>
      <c r="FM208" s="3"/>
      <c r="FN208" s="3"/>
      <c r="FO208" s="3"/>
      <c r="FP208" s="3"/>
      <c r="FQ208" s="3"/>
      <c r="FR208" s="3"/>
      <c r="FS208" s="3"/>
    </row>
    <row r="209" spans="153:175" ht="14.4">
      <c r="EW209" s="3" t="e">
        <f>Cal!#REF!</f>
        <v>#REF!</v>
      </c>
      <c r="EX209" s="77" t="s">
        <v>445</v>
      </c>
      <c r="EY209" s="3">
        <v>40</v>
      </c>
      <c r="EZ209" s="3">
        <v>40</v>
      </c>
      <c r="FA209" s="3" t="s">
        <v>700</v>
      </c>
      <c r="FB209" s="75" cm="1">
        <f t="array" ref="FB209">_xll.DCEPropSectBox(EY209, EZ209, FA209, 1, 1, "Area")/100</f>
        <v>3.2017592533012378</v>
      </c>
      <c r="FC209" s="75">
        <f t="shared" si="30"/>
        <v>2.5133810138414718</v>
      </c>
      <c r="FD209" s="75" cm="1">
        <f t="array" ref="FD209">_xll.DCEPropSectBox(EY209, EZ209, FA209, 1, 1, "Ix")/10000</f>
        <v>7.4707077536586164</v>
      </c>
      <c r="FE209" s="75" cm="1">
        <f t="array" ref="FE209">_xll.DCEPropSectBox(EY209, EZ209, FA209, 1, 1, "Iy")/10000</f>
        <v>7.4707077536586164</v>
      </c>
      <c r="FF209" s="75">
        <f t="shared" si="28"/>
        <v>3.7353538768293082</v>
      </c>
      <c r="FG209" s="75">
        <f t="shared" si="29"/>
        <v>3.7353538768293082</v>
      </c>
      <c r="FJ209" s="3"/>
      <c r="FK209" s="77"/>
      <c r="FL209" s="3"/>
      <c r="FM209" s="3"/>
      <c r="FN209" s="3"/>
      <c r="FO209" s="3"/>
      <c r="FP209" s="3"/>
      <c r="FQ209" s="3"/>
      <c r="FR209" s="3"/>
      <c r="FS209" s="3"/>
    </row>
    <row r="210" spans="153:175" ht="14.4">
      <c r="EW210" s="3" t="e">
        <f>Cal!#REF!</f>
        <v>#REF!</v>
      </c>
      <c r="EX210" s="77" t="s">
        <v>446</v>
      </c>
      <c r="EY210" s="3">
        <v>40</v>
      </c>
      <c r="EZ210" s="3">
        <v>40</v>
      </c>
      <c r="FA210" s="3" t="s">
        <v>701</v>
      </c>
      <c r="FB210" s="75" cm="1">
        <f t="array" ref="FB210">_xll.DCEPropSectBox(EY210, EZ210, FA210, 1, 1, "Area")/100</f>
        <v>3.3321707541246997</v>
      </c>
      <c r="FC210" s="75">
        <f t="shared" si="30"/>
        <v>2.6157540419878891</v>
      </c>
      <c r="FD210" s="75" cm="1">
        <f t="array" ref="FD210">_xll.DCEPropSectBox(EY210, EZ210, FA210, 1, 1, "Ix")/10000</f>
        <v>7.7256216182653032</v>
      </c>
      <c r="FE210" s="75" cm="1">
        <f t="array" ref="FE210">_xll.DCEPropSectBox(EY210, EZ210, FA210, 1, 1, "Iy")/10000</f>
        <v>7.7256216182653032</v>
      </c>
      <c r="FF210" s="75">
        <f t="shared" si="28"/>
        <v>3.8628108091326516</v>
      </c>
      <c r="FG210" s="75">
        <f t="shared" si="29"/>
        <v>3.8628108091326516</v>
      </c>
      <c r="FJ210" s="3"/>
      <c r="FK210" s="77"/>
      <c r="FL210" s="3"/>
      <c r="FM210" s="3"/>
      <c r="FN210" s="3"/>
      <c r="FO210" s="3"/>
      <c r="FP210" s="3"/>
      <c r="FQ210" s="3"/>
      <c r="FR210" s="3"/>
      <c r="FS210" s="3"/>
    </row>
    <row r="211" spans="153:175" ht="14.4">
      <c r="EW211" s="3" t="e">
        <f>Cal!#REF!</f>
        <v>#REF!</v>
      </c>
      <c r="EX211" s="77" t="s">
        <v>447</v>
      </c>
      <c r="EY211" s="3">
        <v>40</v>
      </c>
      <c r="EZ211" s="3">
        <v>40</v>
      </c>
      <c r="FA211" s="3" t="s">
        <v>702</v>
      </c>
      <c r="FB211" s="75" cm="1">
        <f t="array" ref="FB211">_xll.DCEPropSectBox(EY211, EZ211, FA211, 1, 1, "Area")/100</f>
        <v>3.4612672105403157</v>
      </c>
      <c r="FC211" s="75">
        <f t="shared" si="30"/>
        <v>2.717094760274148</v>
      </c>
      <c r="FD211" s="75" cm="1">
        <f t="array" ref="FD211">_xll.DCEPropSectBox(EY211, EZ211, FA211, 1, 1, "Ix")/10000</f>
        <v>7.9737390023912447</v>
      </c>
      <c r="FE211" s="75" cm="1">
        <f t="array" ref="FE211">_xll.DCEPropSectBox(EY211, EZ211, FA211, 1, 1, "Iy")/10000</f>
        <v>7.9737390023912447</v>
      </c>
      <c r="FF211" s="75">
        <f t="shared" si="28"/>
        <v>3.9868695011956223</v>
      </c>
      <c r="FG211" s="75">
        <f t="shared" si="29"/>
        <v>3.9868695011956223</v>
      </c>
      <c r="FJ211" s="3"/>
      <c r="FK211" s="77"/>
      <c r="FL211" s="3"/>
      <c r="FM211" s="3"/>
      <c r="FN211" s="3"/>
      <c r="FO211" s="3"/>
      <c r="FP211" s="3"/>
      <c r="FQ211" s="3"/>
      <c r="FR211" s="3"/>
      <c r="FS211" s="3"/>
    </row>
    <row r="212" spans="153:175" ht="14.4">
      <c r="EW212" s="3" t="e">
        <f>Cal!#REF!</f>
        <v>#REF!</v>
      </c>
      <c r="EX212" s="77" t="s">
        <v>448</v>
      </c>
      <c r="EY212" s="3">
        <v>40</v>
      </c>
      <c r="EZ212" s="3">
        <v>40</v>
      </c>
      <c r="FA212" s="3" t="s">
        <v>703</v>
      </c>
      <c r="FB212" s="75" cm="1">
        <f t="array" ref="FB212">_xll.DCEPropSectBox(EY212, EZ212, FA212, 1, 1, "Area")/100</f>
        <v>3.589048622548086</v>
      </c>
      <c r="FC212" s="75">
        <f t="shared" si="30"/>
        <v>2.8174031687002472</v>
      </c>
      <c r="FD212" s="75" cm="1">
        <f t="array" ref="FD212">_xll.DCEPropSectBox(EY212, EZ212, FA212, 1, 1, "Ix")/10000</f>
        <v>8.2151288243697635</v>
      </c>
      <c r="FE212" s="75" cm="1">
        <f t="array" ref="FE212">_xll.DCEPropSectBox(EY212, EZ212, FA212, 1, 1, "Iy")/10000</f>
        <v>8.2151288243697635</v>
      </c>
      <c r="FF212" s="75">
        <f t="shared" si="28"/>
        <v>4.1075644121848818</v>
      </c>
      <c r="FG212" s="75">
        <f t="shared" si="29"/>
        <v>4.1075644121848818</v>
      </c>
      <c r="FJ212" s="3"/>
      <c r="FK212" s="77"/>
      <c r="FL212" s="3"/>
      <c r="FM212" s="3"/>
      <c r="FN212" s="3"/>
      <c r="FO212" s="3"/>
      <c r="FP212" s="3"/>
      <c r="FQ212" s="3"/>
      <c r="FR212" s="3"/>
      <c r="FS212" s="3"/>
    </row>
    <row r="213" spans="153:175" ht="14.4">
      <c r="EW213" s="3" t="e">
        <f>Cal!#REF!</f>
        <v>#REF!</v>
      </c>
      <c r="EX213" s="77" t="s">
        <v>449</v>
      </c>
      <c r="EY213" s="3">
        <v>40</v>
      </c>
      <c r="EZ213" s="3">
        <v>40</v>
      </c>
      <c r="FA213" s="3" t="s">
        <v>704</v>
      </c>
      <c r="FB213" s="75" cm="1">
        <f t="array" ref="FB213">_xll.DCEPropSectBox(EY213, EZ213, FA213, 1, 1, "Area")/100</f>
        <v>3.8406663133400878</v>
      </c>
      <c r="FC213" s="75">
        <f t="shared" si="30"/>
        <v>3.0149230559719689</v>
      </c>
      <c r="FD213" s="75" cm="1">
        <f t="array" ref="FD213">_xll.DCEPropSectBox(EY213, EZ213, FA213, 1, 1, "Ix")/10000</f>
        <v>8.6780000313188452</v>
      </c>
      <c r="FE213" s="75" cm="1">
        <f t="array" ref="FE213">_xll.DCEPropSectBox(EY213, EZ213, FA213, 1, 1, "Iy")/10000</f>
        <v>8.6780000313188452</v>
      </c>
      <c r="FF213" s="75">
        <f t="shared" si="28"/>
        <v>4.3390000156594226</v>
      </c>
      <c r="FG213" s="75">
        <f t="shared" si="29"/>
        <v>4.3390000156594226</v>
      </c>
      <c r="FJ213" s="3"/>
      <c r="FK213" s="77"/>
      <c r="FL213" s="3"/>
      <c r="FM213" s="3"/>
      <c r="FN213" s="3"/>
      <c r="FO213" s="3"/>
      <c r="FP213" s="3"/>
      <c r="FQ213" s="3"/>
      <c r="FR213" s="3"/>
      <c r="FS213" s="3"/>
    </row>
    <row r="214" spans="153:175" ht="14.4">
      <c r="EW214" s="3" t="e">
        <f>Cal!#REF!</f>
        <v>#REF!</v>
      </c>
      <c r="EX214" s="77" t="s">
        <v>450</v>
      </c>
      <c r="EY214" s="3">
        <v>40</v>
      </c>
      <c r="EZ214" s="3">
        <v>40</v>
      </c>
      <c r="FA214" s="3" t="s">
        <v>705</v>
      </c>
      <c r="FB214" s="75" cm="1">
        <f t="array" ref="FB214">_xll.DCEPropSectBox(EY214, EZ214, FA214, 1, 1, "Area")/100</f>
        <v>3.9645025921243193</v>
      </c>
      <c r="FC214" s="75">
        <f t="shared" si="30"/>
        <v>3.1121345348175904</v>
      </c>
      <c r="FD214" s="75" cm="1">
        <f t="array" ref="FD214">_xll.DCEPropSectBox(EY214, EZ214, FA214, 1, 1, "Ix")/10000</f>
        <v>8.8996178290571741</v>
      </c>
      <c r="FE214" s="75" cm="1">
        <f t="array" ref="FE214">_xll.DCEPropSectBox(EY214, EZ214, FA214, 1, 1, "Iy")/10000</f>
        <v>8.8996178290571741</v>
      </c>
      <c r="FF214" s="75">
        <f t="shared" si="28"/>
        <v>4.4498089145285871</v>
      </c>
      <c r="FG214" s="75">
        <f t="shared" si="29"/>
        <v>4.4498089145285871</v>
      </c>
      <c r="FJ214" s="3"/>
      <c r="FK214" s="77"/>
      <c r="FL214" s="3"/>
      <c r="FM214" s="3"/>
      <c r="FN214" s="3"/>
      <c r="FO214" s="3"/>
      <c r="FP214" s="3"/>
      <c r="FQ214" s="3"/>
      <c r="FR214" s="3"/>
      <c r="FS214" s="3"/>
    </row>
    <row r="215" spans="153:175" ht="14.4">
      <c r="EW215" s="3" t="e">
        <f>Cal!#REF!</f>
        <v>#REF!</v>
      </c>
      <c r="EX215" s="77" t="s">
        <v>451</v>
      </c>
      <c r="EY215" s="3">
        <v>40</v>
      </c>
      <c r="EZ215" s="3">
        <v>40</v>
      </c>
      <c r="FA215" s="3" t="s">
        <v>706</v>
      </c>
      <c r="FB215" s="75" cm="1">
        <f t="array" ref="FB215">_xll.DCEPropSectBox(EY215, EZ215, FA215, 1, 1, "Area")/100</f>
        <v>4.0870238265007046</v>
      </c>
      <c r="FC215" s="75">
        <f t="shared" si="30"/>
        <v>3.2083137038030531</v>
      </c>
      <c r="FD215" s="75" cm="1">
        <f t="array" ref="FD215">_xll.DCEPropSectBox(EY215, EZ215, FA215, 1, 1, "Ix")/10000</f>
        <v>9.1147808901835727</v>
      </c>
      <c r="FE215" s="75" cm="1">
        <f t="array" ref="FE215">_xll.DCEPropSectBox(EY215, EZ215, FA215, 1, 1, "Iy")/10000</f>
        <v>9.1147808901835727</v>
      </c>
      <c r="FF215" s="75">
        <f t="shared" si="28"/>
        <v>4.5573904450917864</v>
      </c>
      <c r="FG215" s="75">
        <f t="shared" si="29"/>
        <v>4.5573904450917864</v>
      </c>
      <c r="FJ215" s="3"/>
      <c r="FK215" s="77"/>
      <c r="FL215" s="3"/>
      <c r="FM215" s="3"/>
      <c r="FN215" s="3"/>
      <c r="FO215" s="3"/>
      <c r="FP215" s="3"/>
      <c r="FQ215" s="3"/>
      <c r="FR215" s="3"/>
      <c r="FS215" s="3"/>
    </row>
    <row r="216" spans="153:175" ht="14.4">
      <c r="EW216" s="3" t="e">
        <f>Cal!#REF!</f>
        <v>#REF!</v>
      </c>
      <c r="EX216" s="77" t="s">
        <v>452</v>
      </c>
      <c r="EY216" s="3">
        <v>40</v>
      </c>
      <c r="EZ216" s="3">
        <v>40</v>
      </c>
      <c r="FA216" s="3" t="s">
        <v>707</v>
      </c>
      <c r="FB216" s="75" cm="1">
        <f t="array" ref="FB216">_xll.DCEPropSectBox(EY216, EZ216, FA216, 1, 1, "Area")/100</f>
        <v>4.2082300164692441</v>
      </c>
      <c r="FC216" s="75">
        <f t="shared" si="30"/>
        <v>3.3034605629283567</v>
      </c>
      <c r="FD216" s="75" cm="1">
        <f t="array" ref="FD216">_xll.DCEPropSectBox(EY216, EZ216, FA216, 1, 1, "Ix")/10000</f>
        <v>9.3235567091325091</v>
      </c>
      <c r="FE216" s="75" cm="1">
        <f t="array" ref="FE216">_xll.DCEPropSectBox(EY216, EZ216, FA216, 1, 1, "Iy")/10000</f>
        <v>9.3235567091325091</v>
      </c>
      <c r="FF216" s="75">
        <f t="shared" si="28"/>
        <v>4.6617783545662546</v>
      </c>
      <c r="FG216" s="75">
        <f t="shared" si="29"/>
        <v>4.6617783545662546</v>
      </c>
      <c r="FJ216" s="3"/>
      <c r="FK216" s="77"/>
      <c r="FL216" s="3"/>
      <c r="FM216" s="3"/>
      <c r="FN216" s="3"/>
      <c r="FO216" s="3"/>
      <c r="FP216" s="3"/>
      <c r="FQ216" s="3"/>
      <c r="FR216" s="3"/>
      <c r="FS216" s="3"/>
    </row>
    <row r="217" spans="153:175" ht="14.4">
      <c r="EW217" s="3" t="e">
        <f>Cal!#REF!</f>
        <v>#REF!</v>
      </c>
      <c r="EX217" s="77" t="s">
        <v>453</v>
      </c>
      <c r="EY217" s="3">
        <v>40</v>
      </c>
      <c r="EZ217" s="3">
        <v>40</v>
      </c>
      <c r="FA217" s="3" t="s">
        <v>708</v>
      </c>
      <c r="FB217" s="75" cm="1">
        <f t="array" ref="FB217">_xll.DCEPropSectBox(EY217, EZ217, FA217, 1, 1, "Area")/100</f>
        <v>4.3281211620299374</v>
      </c>
      <c r="FC217" s="75">
        <f t="shared" si="30"/>
        <v>3.3975751121935005</v>
      </c>
      <c r="FD217" s="75" cm="1">
        <f t="array" ref="FD217">_xll.DCEPropSectBox(EY217, EZ217, FA217, 1, 1, "Ix")/10000</f>
        <v>9.5260124955586658</v>
      </c>
      <c r="FE217" s="75" cm="1">
        <f t="array" ref="FE217">_xll.DCEPropSectBox(EY217, EZ217, FA217, 1, 1, "Iy")/10000</f>
        <v>9.5260124955586658</v>
      </c>
      <c r="FF217" s="75">
        <f t="shared" si="28"/>
        <v>4.7630062477793329</v>
      </c>
      <c r="FG217" s="75">
        <f t="shared" si="29"/>
        <v>4.7630062477793329</v>
      </c>
      <c r="FJ217" s="3"/>
      <c r="FK217" s="77"/>
      <c r="FL217" s="3"/>
      <c r="FM217" s="3"/>
      <c r="FN217" s="3"/>
      <c r="FO217" s="3"/>
      <c r="FP217" s="3"/>
      <c r="FQ217" s="3"/>
      <c r="FR217" s="3"/>
      <c r="FS217" s="3"/>
    </row>
    <row r="218" spans="153:175" ht="14.4">
      <c r="EW218" s="3" t="e">
        <f>Cal!#REF!</f>
        <v>#REF!</v>
      </c>
      <c r="EX218" s="77" t="s">
        <v>454</v>
      </c>
      <c r="EY218" s="3">
        <v>40</v>
      </c>
      <c r="EZ218" s="3">
        <v>60</v>
      </c>
      <c r="FA218" s="3" t="s">
        <v>689</v>
      </c>
      <c r="FB218" s="75" cm="1">
        <f t="array" ref="FB218">_xll.DCEPropSectBox(EY218, EZ218, FA218, 1, 1, "Area")/100</f>
        <v>1.9342477796076938</v>
      </c>
      <c r="FC218" s="75">
        <f t="shared" si="30"/>
        <v>1.5183845069920396</v>
      </c>
      <c r="FD218" s="75" cm="1">
        <f t="array" ref="FD218">_xll.DCEPropSectBox(EY218, EZ218, FA218, 1, 1, "Ix")/10000</f>
        <v>9.9856806893694188</v>
      </c>
      <c r="FE218" s="75" cm="1">
        <f t="array" ref="FE218">_xll.DCEPropSectBox(EY218, EZ218, FA218, 1, 1, "Iy")/10000</f>
        <v>5.3774742365073553</v>
      </c>
      <c r="FF218" s="75">
        <f t="shared" si="28"/>
        <v>3.3285602297898063</v>
      </c>
      <c r="FG218" s="75">
        <f t="shared" si="29"/>
        <v>2.6887371182536777</v>
      </c>
      <c r="FJ218" s="3"/>
      <c r="FK218" s="77"/>
      <c r="FL218" s="3"/>
      <c r="FM218" s="3"/>
      <c r="FN218" s="3"/>
      <c r="FO218" s="3"/>
      <c r="FP218" s="3"/>
      <c r="FQ218" s="3"/>
      <c r="FR218" s="3"/>
      <c r="FS218" s="3"/>
    </row>
    <row r="219" spans="153:175" ht="14.4">
      <c r="EW219" s="3" t="e">
        <f>Cal!#REF!</f>
        <v>#REF!</v>
      </c>
      <c r="EX219" s="77" t="s">
        <v>455</v>
      </c>
      <c r="EY219" s="3">
        <v>40</v>
      </c>
      <c r="EZ219" s="3">
        <v>60</v>
      </c>
      <c r="FA219" s="3" t="s">
        <v>690</v>
      </c>
      <c r="FB219" s="75" cm="1">
        <f t="array" ref="FB219">_xll.DCEPropSectBox(EY219, EZ219, FA219, 1, 1, "Area")/100</f>
        <v>2.1204398133253095</v>
      </c>
      <c r="FC219" s="75">
        <f t="shared" si="30"/>
        <v>1.664545253460368</v>
      </c>
      <c r="FD219" s="75" cm="1">
        <f t="array" ref="FD219">_xll.DCEPropSectBox(EY219, EZ219, FA219, 1, 1, "Ix")/10000</f>
        <v>10.896769372146553</v>
      </c>
      <c r="FE219" s="75" cm="1">
        <f t="array" ref="FE219">_xll.DCEPropSectBox(EY219, EZ219, FA219, 1, 1, "Iy")/10000</f>
        <v>5.8630664900497953</v>
      </c>
      <c r="FF219" s="75">
        <f t="shared" si="28"/>
        <v>3.6322564573821841</v>
      </c>
      <c r="FG219" s="75">
        <f t="shared" si="29"/>
        <v>2.9315332450248976</v>
      </c>
      <c r="FJ219" s="3"/>
      <c r="FK219" s="77"/>
      <c r="FL219" s="3"/>
      <c r="FM219" s="3"/>
      <c r="FN219" s="3"/>
      <c r="FO219" s="3"/>
      <c r="FP219" s="3"/>
      <c r="FQ219" s="3"/>
      <c r="FR219" s="3"/>
      <c r="FS219" s="3"/>
    </row>
    <row r="220" spans="153:175" ht="14.4">
      <c r="EW220" s="3" t="e">
        <f>Cal!#REF!</f>
        <v>#REF!</v>
      </c>
      <c r="EX220" s="77" t="s">
        <v>456</v>
      </c>
      <c r="EY220" s="3">
        <v>40</v>
      </c>
      <c r="EZ220" s="3">
        <v>60</v>
      </c>
      <c r="FA220" s="3" t="s">
        <v>691</v>
      </c>
      <c r="FB220" s="75" cm="1">
        <f t="array" ref="FB220">_xll.DCEPropSectBox(EY220, EZ220, FA220, 1, 1, "Area")/100</f>
        <v>2.3053168026350788</v>
      </c>
      <c r="FC220" s="75">
        <f t="shared" si="30"/>
        <v>1.8096736900685368</v>
      </c>
      <c r="FD220" s="75" cm="1">
        <f t="array" ref="FD220">_xll.DCEPropSectBox(EY220, EZ220, FA220, 1, 1, "Ix")/10000</f>
        <v>11.792364978200403</v>
      </c>
      <c r="FE220" s="75" cm="1">
        <f t="array" ref="FE220">_xll.DCEPropSectBox(EY220, EZ220, FA220, 1, 1, "Iy")/10000</f>
        <v>6.33950103028985</v>
      </c>
      <c r="FF220" s="75">
        <f t="shared" si="28"/>
        <v>3.9307883260668013</v>
      </c>
      <c r="FG220" s="75">
        <f t="shared" si="29"/>
        <v>3.169750515144925</v>
      </c>
      <c r="FJ220" s="3"/>
      <c r="FK220" s="77"/>
      <c r="FL220" s="3"/>
      <c r="FM220" s="3"/>
      <c r="FN220" s="3"/>
      <c r="FO220" s="3"/>
      <c r="FP220" s="3"/>
      <c r="FQ220" s="3"/>
      <c r="FR220" s="3"/>
      <c r="FS220" s="3"/>
    </row>
    <row r="221" spans="153:175" ht="14.4">
      <c r="EW221" s="3" t="e">
        <f>Cal!#REF!</f>
        <v>#REF!</v>
      </c>
      <c r="EX221" s="77" t="s">
        <v>457</v>
      </c>
      <c r="EY221" s="3">
        <v>40</v>
      </c>
      <c r="EZ221" s="3">
        <v>60</v>
      </c>
      <c r="FA221" s="3" t="s">
        <v>692</v>
      </c>
      <c r="FB221" s="75" cm="1">
        <f t="array" ref="FB221">_xll.DCEPropSectBox(EY221, EZ221, FA221, 1, 1, "Area")/100</f>
        <v>2.6711256480310794</v>
      </c>
      <c r="FC221" s="75">
        <f t="shared" si="30"/>
        <v>2.0968336337043971</v>
      </c>
      <c r="FD221" s="75" cm="1">
        <f t="array" ref="FD221">_xll.DCEPropSectBox(EY221, EZ221, FA221, 1, 1, "Ix")/10000</f>
        <v>13.53748523943656</v>
      </c>
      <c r="FE221" s="75" cm="1">
        <f t="array" ref="FE221">_xll.DCEPropSectBox(EY221, EZ221, FA221, 1, 1, "Iy")/10000</f>
        <v>7.2652180288452346</v>
      </c>
      <c r="FF221" s="75">
        <f t="shared" si="28"/>
        <v>4.5124950798121866</v>
      </c>
      <c r="FG221" s="75">
        <f t="shared" si="29"/>
        <v>3.6326090144226173</v>
      </c>
      <c r="FJ221" s="3"/>
      <c r="FK221" s="77"/>
      <c r="FL221" s="3"/>
      <c r="FM221" s="3"/>
      <c r="FN221" s="3"/>
      <c r="FO221" s="3"/>
      <c r="FP221" s="3"/>
      <c r="FQ221" s="3"/>
      <c r="FR221" s="3"/>
      <c r="FS221" s="3"/>
    </row>
    <row r="222" spans="153:175" ht="14.4">
      <c r="EW222" s="3" t="e">
        <f>Cal!#REF!</f>
        <v>#REF!</v>
      </c>
      <c r="EX222" s="77" t="s">
        <v>458</v>
      </c>
      <c r="EY222" s="3">
        <v>40</v>
      </c>
      <c r="EZ222" s="3">
        <v>60</v>
      </c>
      <c r="FA222" s="3" t="s">
        <v>693</v>
      </c>
      <c r="FB222" s="75" cm="1">
        <f t="array" ref="FB222">_xll.DCEPropSectBox(EY222, EZ222, FA222, 1, 1, "Area")/100</f>
        <v>2.8520575041173113</v>
      </c>
      <c r="FC222" s="75">
        <f t="shared" si="30"/>
        <v>2.2388651407320896</v>
      </c>
      <c r="FD222" s="75" cm="1">
        <f t="array" ref="FD222">_xll.DCEPropSectBox(EY222, EZ222, FA222, 1, 1, "Ix")/10000</f>
        <v>14.387213322318496</v>
      </c>
      <c r="FE222" s="75" cm="1">
        <f t="array" ref="FE222">_xll.DCEPropSectBox(EY222, EZ222, FA222, 1, 1, "Iy")/10000</f>
        <v>7.7146603042023267</v>
      </c>
      <c r="FF222" s="75">
        <f t="shared" si="28"/>
        <v>4.7957377741061658</v>
      </c>
      <c r="FG222" s="75">
        <f t="shared" si="29"/>
        <v>3.8573301521011634</v>
      </c>
      <c r="FJ222" s="3"/>
      <c r="FK222" s="77"/>
      <c r="FL222" s="3"/>
      <c r="FM222" s="3"/>
      <c r="FN222" s="3"/>
      <c r="FO222" s="3"/>
      <c r="FP222" s="3"/>
      <c r="FQ222" s="3"/>
      <c r="FR222" s="3"/>
      <c r="FS222" s="3"/>
    </row>
    <row r="223" spans="153:175" ht="14.4">
      <c r="EW223" s="3" t="e">
        <f>Cal!#REF!</f>
        <v>#REF!</v>
      </c>
      <c r="EX223" s="77" t="s">
        <v>459</v>
      </c>
      <c r="EY223" s="3">
        <v>40</v>
      </c>
      <c r="EZ223" s="3">
        <v>60</v>
      </c>
      <c r="FA223" s="3" t="s">
        <v>694</v>
      </c>
      <c r="FB223" s="75" cm="1">
        <f t="array" ref="FB223">_xll.DCEPropSectBox(EY223, EZ223, FA223, 1, 1, "Area")/100</f>
        <v>3.031674315795696</v>
      </c>
      <c r="FC223" s="75">
        <f t="shared" si="30"/>
        <v>2.3798643378996216</v>
      </c>
      <c r="FD223" s="75" cm="1">
        <f t="array" ref="FD223">_xll.DCEPropSectBox(EY223, EZ223, FA223, 1, 1, "Ix")/10000</f>
        <v>15.221855183876478</v>
      </c>
      <c r="FE223" s="75" cm="1">
        <f t="array" ref="FE223">_xll.DCEPropSectBox(EY223, EZ223, FA223, 1, 1, "Iy")/10000</f>
        <v>8.1552645003405715</v>
      </c>
      <c r="FF223" s="75">
        <f t="shared" si="28"/>
        <v>5.0739517279588258</v>
      </c>
      <c r="FG223" s="75">
        <f t="shared" si="29"/>
        <v>4.0776322501702857</v>
      </c>
      <c r="FJ223" s="3"/>
      <c r="FK223" s="77"/>
      <c r="FL223" s="3"/>
      <c r="FM223" s="3"/>
      <c r="FN223" s="3"/>
      <c r="FO223" s="3"/>
      <c r="FP223" s="3"/>
      <c r="FQ223" s="3"/>
      <c r="FR223" s="3"/>
      <c r="FS223" s="3"/>
    </row>
    <row r="224" spans="153:175" ht="14.4">
      <c r="EW224" s="3" t="e">
        <f>Cal!#REF!</f>
        <v>#REF!</v>
      </c>
      <c r="EX224" s="77" t="s">
        <v>460</v>
      </c>
      <c r="EY224" s="3">
        <v>40</v>
      </c>
      <c r="EZ224" s="3">
        <v>60</v>
      </c>
      <c r="FA224" s="3" t="s">
        <v>695</v>
      </c>
      <c r="FB224" s="75" cm="1">
        <f t="array" ref="FB224">_xll.DCEPropSectBox(EY224, EZ224, FA224, 1, 1, "Area")/100</f>
        <v>3.2099760830662354</v>
      </c>
      <c r="FC224" s="75">
        <f t="shared" si="30"/>
        <v>2.5198312252069948</v>
      </c>
      <c r="FD224" s="75" cm="1">
        <f t="array" ref="FD224">_xll.DCEPropSectBox(EY224, EZ224, FA224, 1, 1, "Ix")/10000</f>
        <v>16.041511826010879</v>
      </c>
      <c r="FE224" s="75" cm="1">
        <f t="array" ref="FE224">_xll.DCEPropSectBox(EY224, EZ224, FA224, 1, 1, "Iy")/10000</f>
        <v>8.5871098138314146</v>
      </c>
      <c r="FF224" s="75">
        <f t="shared" si="28"/>
        <v>5.347170608670293</v>
      </c>
      <c r="FG224" s="75">
        <f t="shared" si="29"/>
        <v>4.2935549069157073</v>
      </c>
      <c r="FJ224" s="3"/>
      <c r="FK224" s="77"/>
      <c r="FL224" s="3"/>
      <c r="FM224" s="3"/>
      <c r="FN224" s="3"/>
      <c r="FO224" s="3"/>
      <c r="FP224" s="3"/>
      <c r="FQ224" s="3"/>
      <c r="FR224" s="3"/>
      <c r="FS224" s="3"/>
    </row>
    <row r="225" spans="153:175" ht="14.4">
      <c r="EW225" s="3" t="e">
        <f>Cal!#REF!</f>
        <v>#REF!</v>
      </c>
      <c r="EX225" s="77" t="s">
        <v>461</v>
      </c>
      <c r="EY225" s="3">
        <v>40</v>
      </c>
      <c r="EZ225" s="3">
        <v>60</v>
      </c>
      <c r="FA225" s="3" t="s">
        <v>696</v>
      </c>
      <c r="FB225" s="75" cm="1">
        <f t="array" ref="FB225">_xll.DCEPropSectBox(EY225, EZ225, FA225, 1, 1, "Area")/100</f>
        <v>3.3869628059289285</v>
      </c>
      <c r="FC225" s="75">
        <f t="shared" si="30"/>
        <v>2.6587658026542091</v>
      </c>
      <c r="FD225" s="75" cm="1">
        <f t="array" ref="FD225">_xll.DCEPropSectBox(EY225, EZ225, FA225, 1, 1, "Ix")/10000</f>
        <v>16.846283965842378</v>
      </c>
      <c r="FE225" s="75" cm="1">
        <f t="array" ref="FE225">_xll.DCEPropSectBox(EY225, EZ225, FA225, 1, 1, "Iy")/10000</f>
        <v>9.0102751564665695</v>
      </c>
      <c r="FF225" s="75">
        <f t="shared" si="28"/>
        <v>5.6154279886141261</v>
      </c>
      <c r="FG225" s="75">
        <f t="shared" si="29"/>
        <v>4.5051375782332848</v>
      </c>
      <c r="FJ225" s="3"/>
      <c r="FK225" s="77"/>
      <c r="FL225" s="3"/>
      <c r="FM225" s="3"/>
      <c r="FN225" s="3"/>
      <c r="FO225" s="3"/>
      <c r="FP225" s="3"/>
      <c r="FQ225" s="3"/>
      <c r="FR225" s="3"/>
      <c r="FS225" s="3"/>
    </row>
    <row r="226" spans="153:175" ht="14.4">
      <c r="EW226" s="3" t="e">
        <f>Cal!#REF!</f>
        <v>#REF!</v>
      </c>
      <c r="EX226" s="77" t="s">
        <v>462</v>
      </c>
      <c r="EY226" s="3">
        <v>40</v>
      </c>
      <c r="EZ226" s="3">
        <v>60</v>
      </c>
      <c r="FA226" s="3" t="s">
        <v>697</v>
      </c>
      <c r="FB226" s="75" cm="1">
        <f t="array" ref="FB226">_xll.DCEPropSectBox(EY226, EZ226, FA226, 1, 1, "Area")/100</f>
        <v>3.5626344843837745</v>
      </c>
      <c r="FC226" s="75">
        <f t="shared" si="30"/>
        <v>2.796668070241263</v>
      </c>
      <c r="FD226" s="75" cm="1">
        <f t="array" ref="FD226">_xll.DCEPropSectBox(EY226, EZ226, FA226, 1, 1, "Ix")/10000</f>
        <v>17.636272035711784</v>
      </c>
      <c r="FE226" s="75" cm="1">
        <f t="array" ref="FE226">_xll.DCEPropSectBox(EY226, EZ226, FA226, 1, 1, "Iy")/10000</f>
        <v>9.4248391552579207</v>
      </c>
      <c r="FF226" s="75">
        <f t="shared" si="28"/>
        <v>5.8787573452372612</v>
      </c>
      <c r="FG226" s="75">
        <f t="shared" si="29"/>
        <v>4.7124195776289604</v>
      </c>
      <c r="FJ226" s="3"/>
      <c r="FK226" s="77"/>
      <c r="FL226" s="3"/>
      <c r="FM226" s="3"/>
      <c r="FN226" s="3"/>
      <c r="FO226" s="3"/>
      <c r="FP226" s="3"/>
      <c r="FQ226" s="3"/>
      <c r="FR226" s="3"/>
      <c r="FS226" s="3"/>
    </row>
    <row r="227" spans="153:175" ht="14.4">
      <c r="EW227" s="3" t="e">
        <f>Cal!#REF!</f>
        <v>#REF!</v>
      </c>
      <c r="EX227" s="77" t="s">
        <v>463</v>
      </c>
      <c r="EY227" s="3">
        <v>40</v>
      </c>
      <c r="EZ227" s="3">
        <v>60</v>
      </c>
      <c r="FA227" s="3" t="s">
        <v>698</v>
      </c>
      <c r="FB227" s="75" cm="1">
        <f t="array" ref="FB227">_xll.DCEPropSectBox(EY227, EZ227, FA227, 1, 1, "Area")/100</f>
        <v>3.7369911184307751</v>
      </c>
      <c r="FC227" s="75">
        <f t="shared" si="30"/>
        <v>2.9335380279681584</v>
      </c>
      <c r="FD227" s="75" cm="1">
        <f t="array" ref="FD227">_xll.DCEPropSectBox(EY227, EZ227, FA227, 1, 1, "Ix")/10000</f>
        <v>18.411576183180244</v>
      </c>
      <c r="FE227" s="75" cm="1">
        <f t="array" ref="FE227">_xll.DCEPropSectBox(EY227, EZ227, FA227, 1, 1, "Iy")/10000</f>
        <v>9.8308801524376577</v>
      </c>
      <c r="FF227" s="75">
        <f t="shared" si="28"/>
        <v>6.1371920610600812</v>
      </c>
      <c r="FG227" s="75">
        <f t="shared" si="29"/>
        <v>4.9154400762188288</v>
      </c>
      <c r="FJ227" s="3"/>
      <c r="FK227" s="77"/>
      <c r="FL227" s="3"/>
      <c r="FM227" s="3"/>
      <c r="FN227" s="3"/>
      <c r="FO227" s="3"/>
      <c r="FP227" s="3"/>
      <c r="FQ227" s="3"/>
      <c r="FR227" s="3"/>
      <c r="FS227" s="3"/>
    </row>
    <row r="228" spans="153:175" ht="14.4">
      <c r="EW228" s="3" t="e">
        <f>Cal!#REF!</f>
        <v>#REF!</v>
      </c>
      <c r="EX228" s="77" t="s">
        <v>464</v>
      </c>
      <c r="EY228" s="3">
        <v>40</v>
      </c>
      <c r="EZ228" s="3">
        <v>60</v>
      </c>
      <c r="FA228" s="3" t="s">
        <v>699</v>
      </c>
      <c r="FB228" s="75" cm="1">
        <f t="array" ref="FB228">_xll.DCEPropSectBox(EY228, EZ228, FA228, 1, 1, "Area")/100</f>
        <v>3.91003270806993</v>
      </c>
      <c r="FC228" s="75">
        <f t="shared" si="30"/>
        <v>3.0693756758348951</v>
      </c>
      <c r="FD228" s="75" cm="1">
        <f t="array" ref="FD228">_xll.DCEPropSectBox(EY228, EZ228, FA228, 1, 1, "Ix")/10000</f>
        <v>19.172296271029047</v>
      </c>
      <c r="FE228" s="75" cm="1">
        <f t="array" ref="FE228">_xll.DCEPropSectBox(EY228, EZ228, FA228, 1, 1, "Iy")/10000</f>
        <v>10.228476205458135</v>
      </c>
      <c r="FF228" s="75">
        <f t="shared" si="28"/>
        <v>6.3907654236763491</v>
      </c>
      <c r="FG228" s="75">
        <f t="shared" si="29"/>
        <v>5.1142381027290673</v>
      </c>
      <c r="FJ228" s="3"/>
      <c r="FK228" s="77"/>
      <c r="FL228" s="3"/>
      <c r="FM228" s="3"/>
      <c r="FN228" s="3"/>
      <c r="FO228" s="3"/>
      <c r="FP228" s="3"/>
      <c r="FQ228" s="3"/>
      <c r="FR228" s="3"/>
      <c r="FS228" s="3"/>
    </row>
    <row r="229" spans="153:175" ht="14.4">
      <c r="EW229" s="3" t="e">
        <f>Cal!#REF!</f>
        <v>#REF!</v>
      </c>
      <c r="EX229" s="77" t="s">
        <v>465</v>
      </c>
      <c r="EY229" s="3">
        <v>40</v>
      </c>
      <c r="EZ229" s="3">
        <v>60</v>
      </c>
      <c r="FA229" s="3" t="s">
        <v>700</v>
      </c>
      <c r="FB229" s="75" cm="1">
        <f t="array" ref="FB229">_xll.DCEPropSectBox(EY229, EZ229, FA229, 1, 1, "Area")/100</f>
        <v>4.0817592533012377</v>
      </c>
      <c r="FC229" s="75">
        <f t="shared" si="30"/>
        <v>3.2041810138414717</v>
      </c>
      <c r="FD229" s="75" cm="1">
        <f t="array" ref="FD229">_xll.DCEPropSectBox(EY229, EZ229, FA229, 1, 1, "Ix")/10000</f>
        <v>19.918531877259714</v>
      </c>
      <c r="FE229" s="75" cm="1">
        <f t="array" ref="FE229">_xll.DCEPropSectBox(EY229, EZ229, FA229, 1, 1, "Iy")/10000</f>
        <v>10.617705086991949</v>
      </c>
      <c r="FF229" s="75">
        <f t="shared" si="28"/>
        <v>6.6395106257532381</v>
      </c>
      <c r="FG229" s="75">
        <f t="shared" si="29"/>
        <v>5.3088525434959744</v>
      </c>
      <c r="FJ229" s="3"/>
      <c r="FK229" s="77"/>
      <c r="FL229" s="3"/>
      <c r="FM229" s="3"/>
      <c r="FN229" s="3"/>
      <c r="FO229" s="3"/>
      <c r="FP229" s="3"/>
      <c r="FQ229" s="3"/>
      <c r="FR229" s="3"/>
      <c r="FS229" s="3"/>
    </row>
    <row r="230" spans="153:175" ht="14.4">
      <c r="EW230" s="3" t="e">
        <f>Cal!#REF!</f>
        <v>#REF!</v>
      </c>
      <c r="EX230" s="77" t="s">
        <v>466</v>
      </c>
      <c r="EY230" s="3">
        <v>40</v>
      </c>
      <c r="EZ230" s="3">
        <v>60</v>
      </c>
      <c r="FA230" s="3" t="s">
        <v>701</v>
      </c>
      <c r="FB230" s="75" cm="1">
        <f t="array" ref="FB230">_xll.DCEPropSectBox(EY230, EZ230, FA230, 1, 1, "Area")/100</f>
        <v>4.2521707541247</v>
      </c>
      <c r="FC230" s="75">
        <f t="shared" si="30"/>
        <v>3.3379540419878899</v>
      </c>
      <c r="FD230" s="75" cm="1">
        <f t="array" ref="FD230">_xll.DCEPropSectBox(EY230, EZ230, FA230, 1, 1, "Ix")/10000</f>
        <v>20.650382295094083</v>
      </c>
      <c r="FE230" s="75" cm="1">
        <f t="array" ref="FE230">_xll.DCEPropSectBox(EY230, EZ230, FA230, 1, 1, "Iy")/10000</f>
        <v>10.99864428493197</v>
      </c>
      <c r="FF230" s="75">
        <f t="shared" si="28"/>
        <v>6.8834607650313613</v>
      </c>
      <c r="FG230" s="75">
        <f t="shared" si="29"/>
        <v>5.4993221424659851</v>
      </c>
      <c r="FJ230" s="3"/>
      <c r="FK230" s="77"/>
      <c r="FL230" s="3"/>
      <c r="FM230" s="3"/>
      <c r="FN230" s="3"/>
      <c r="FO230" s="3"/>
      <c r="FP230" s="3"/>
      <c r="FQ230" s="3"/>
      <c r="FR230" s="3"/>
      <c r="FS230" s="3"/>
    </row>
    <row r="231" spans="153:175" ht="14.4">
      <c r="EW231" s="3" t="e">
        <f>Cal!#REF!</f>
        <v>#REF!</v>
      </c>
      <c r="EX231" s="77" t="s">
        <v>467</v>
      </c>
      <c r="EY231" s="3">
        <v>40</v>
      </c>
      <c r="EZ231" s="3">
        <v>60</v>
      </c>
      <c r="FA231" s="3" t="s">
        <v>702</v>
      </c>
      <c r="FB231" s="75" cm="1">
        <f t="array" ref="FB231">_xll.DCEPropSectBox(EY231, EZ231, FA231, 1, 1, "Area")/100</f>
        <v>4.4212672105403161</v>
      </c>
      <c r="FC231" s="75">
        <f t="shared" si="30"/>
        <v>3.4706947602741485</v>
      </c>
      <c r="FD231" s="75" cm="1">
        <f t="array" ref="FD231">_xll.DCEPropSectBox(EY231, EZ231, FA231, 1, 1, "Ix")/10000</f>
        <v>21.367946532974116</v>
      </c>
      <c r="FE231" s="75" cm="1">
        <f t="array" ref="FE231">_xll.DCEPropSectBox(EY231, EZ231, FA231, 1, 1, "Iy")/10000</f>
        <v>11.371371002391243</v>
      </c>
      <c r="FF231" s="75">
        <f t="shared" si="28"/>
        <v>7.1226488443247051</v>
      </c>
      <c r="FG231" s="75">
        <f t="shared" si="29"/>
        <v>5.6856855011956213</v>
      </c>
      <c r="FJ231" s="3"/>
      <c r="FK231" s="77"/>
      <c r="FL231" s="3"/>
      <c r="FM231" s="3"/>
      <c r="FN231" s="3"/>
      <c r="FO231" s="3"/>
      <c r="FP231" s="3"/>
      <c r="FQ231" s="3"/>
      <c r="FR231" s="3"/>
      <c r="FS231" s="3"/>
    </row>
    <row r="232" spans="153:175" ht="14.4">
      <c r="EW232" s="3" t="e">
        <f>Cal!#REF!</f>
        <v>#REF!</v>
      </c>
      <c r="EX232" s="77" t="s">
        <v>468</v>
      </c>
      <c r="EY232" s="3">
        <v>40</v>
      </c>
      <c r="EZ232" s="3">
        <v>60</v>
      </c>
      <c r="FA232" s="3" t="s">
        <v>703</v>
      </c>
      <c r="FB232" s="75" cm="1">
        <f t="array" ref="FB232">_xll.DCEPropSectBox(EY232, EZ232, FA232, 1, 1, "Area")/100</f>
        <v>4.589048622548086</v>
      </c>
      <c r="FC232" s="75">
        <f t="shared" si="30"/>
        <v>3.6024031687002478</v>
      </c>
      <c r="FD232" s="75" cm="1">
        <f t="array" ref="FD232">_xll.DCEPropSectBox(EY232, EZ232, FA232, 1, 1, "Ix")/10000</f>
        <v>22.071323314562104</v>
      </c>
      <c r="FE232" s="75" cm="1">
        <f t="array" ref="FE232">_xll.DCEPropSectBox(EY232, EZ232, FA232, 1, 1, "Iy")/10000</f>
        <v>11.735962157703096</v>
      </c>
      <c r="FF232" s="75">
        <f t="shared" si="28"/>
        <v>7.3571077715207016</v>
      </c>
      <c r="FG232" s="75">
        <f t="shared" si="29"/>
        <v>5.8679810788515478</v>
      </c>
      <c r="FJ232" s="3"/>
      <c r="FK232" s="77"/>
      <c r="FL232" s="3"/>
      <c r="FM232" s="3"/>
      <c r="FN232" s="3"/>
      <c r="FO232" s="3"/>
      <c r="FP232" s="3"/>
      <c r="FQ232" s="3"/>
      <c r="FR232" s="3"/>
      <c r="FS232" s="3"/>
    </row>
    <row r="233" spans="153:175" ht="14.4">
      <c r="EW233" s="3" t="e">
        <f>Cal!#REF!</f>
        <v>#REF!</v>
      </c>
      <c r="EX233" s="77" t="s">
        <v>469</v>
      </c>
      <c r="EY233" s="3">
        <v>40</v>
      </c>
      <c r="EZ233" s="3">
        <v>60</v>
      </c>
      <c r="FA233" s="3" t="s">
        <v>704</v>
      </c>
      <c r="FB233" s="75" cm="1">
        <f t="array" ref="FB233">_xll.DCEPropSectBox(EY233, EZ233, FA233, 1, 1, "Area")/100</f>
        <v>4.9206663133400879</v>
      </c>
      <c r="FC233" s="75">
        <f t="shared" si="30"/>
        <v>3.8627230559719692</v>
      </c>
      <c r="FD233" s="75" cm="1">
        <f t="array" ref="FD233">_xll.DCEPropSectBox(EY233, EZ233, FA233, 1, 1, "Ix")/10000</f>
        <v>23.43590797961199</v>
      </c>
      <c r="FE233" s="75" cm="1">
        <f t="array" ref="FE233">_xll.DCEPropSectBox(EY233, EZ233, FA233, 1, 1, "Iy")/10000</f>
        <v>12.441044031318841</v>
      </c>
      <c r="FF233" s="75">
        <f t="shared" si="28"/>
        <v>7.81196932653733</v>
      </c>
      <c r="FG233" s="75">
        <f t="shared" si="29"/>
        <v>6.2205220156594203</v>
      </c>
      <c r="FJ233" s="3"/>
      <c r="FK233" s="77"/>
      <c r="FL233" s="3"/>
      <c r="FM233" s="3"/>
      <c r="FN233" s="3"/>
      <c r="FO233" s="3"/>
      <c r="FP233" s="3"/>
      <c r="FQ233" s="3"/>
      <c r="FR233" s="3"/>
      <c r="FS233" s="3"/>
    </row>
    <row r="234" spans="153:175" ht="14.4">
      <c r="EW234" s="3" t="e">
        <f>Cal!#REF!</f>
        <v>#REF!</v>
      </c>
      <c r="EX234" s="77" t="s">
        <v>470</v>
      </c>
      <c r="EY234" s="3">
        <v>40</v>
      </c>
      <c r="EZ234" s="3">
        <v>60</v>
      </c>
      <c r="FA234" s="3" t="s">
        <v>705</v>
      </c>
      <c r="FB234" s="75" cm="1">
        <f t="array" ref="FB234">_xll.DCEPropSectBox(EY234, EZ234, FA234, 1, 1, "Area")/100</f>
        <v>5.0845025921243199</v>
      </c>
      <c r="FC234" s="75">
        <f t="shared" si="30"/>
        <v>3.9913345348175913</v>
      </c>
      <c r="FD234" s="75" cm="1">
        <f t="array" ref="FD234">_xll.DCEPropSectBox(EY234, EZ234, FA234, 1, 1, "Ix")/10000</f>
        <v>24.097311886499533</v>
      </c>
      <c r="FE234" s="75" cm="1">
        <f t="array" ref="FE234">_xll.DCEPropSectBox(EY234, EZ234, FA234, 1, 1, "Iy")/10000</f>
        <v>12.781687162390508</v>
      </c>
      <c r="FF234" s="75">
        <f t="shared" si="28"/>
        <v>8.0324372954998449</v>
      </c>
      <c r="FG234" s="75">
        <f t="shared" si="29"/>
        <v>6.390843581195254</v>
      </c>
      <c r="FJ234" s="3"/>
      <c r="FK234" s="77"/>
      <c r="FL234" s="3"/>
      <c r="FM234" s="3"/>
      <c r="FN234" s="3"/>
      <c r="FO234" s="3"/>
      <c r="FP234" s="3"/>
      <c r="FQ234" s="3"/>
      <c r="FR234" s="3"/>
      <c r="FS234" s="3"/>
    </row>
    <row r="235" spans="153:175" ht="14.4">
      <c r="EW235" s="3" t="e">
        <f>Cal!#REF!</f>
        <v>#REF!</v>
      </c>
      <c r="EX235" s="77" t="s">
        <v>471</v>
      </c>
      <c r="EY235" s="3">
        <v>40</v>
      </c>
      <c r="EZ235" s="3">
        <v>60</v>
      </c>
      <c r="FA235" s="3" t="s">
        <v>706</v>
      </c>
      <c r="FB235" s="75" cm="1">
        <f t="array" ref="FB235">_xll.DCEPropSectBox(EY235, EZ235, FA235, 1, 1, "Area")/100</f>
        <v>5.2470238265007048</v>
      </c>
      <c r="FC235" s="75">
        <f t="shared" si="30"/>
        <v>4.1189137038030532</v>
      </c>
      <c r="FD235" s="75" cm="1">
        <f t="array" ref="FD235">_xll.DCEPropSectBox(EY235, EZ235, FA235, 1, 1, "Ix")/10000</f>
        <v>24.744920383946273</v>
      </c>
      <c r="FE235" s="75" cm="1">
        <f t="array" ref="FE235">_xll.DCEPropSectBox(EY235, EZ235, FA235, 1, 1, "Iy")/10000</f>
        <v>13.114499556850237</v>
      </c>
      <c r="FF235" s="75">
        <f t="shared" si="28"/>
        <v>8.2483067946487569</v>
      </c>
      <c r="FG235" s="75">
        <f t="shared" si="29"/>
        <v>6.5572497784251187</v>
      </c>
      <c r="FJ235" s="3"/>
      <c r="FK235" s="77"/>
      <c r="FL235" s="3"/>
      <c r="FM235" s="3"/>
      <c r="FN235" s="3"/>
      <c r="FO235" s="3"/>
      <c r="FP235" s="3"/>
      <c r="FQ235" s="3"/>
      <c r="FR235" s="3"/>
      <c r="FS235" s="3"/>
    </row>
    <row r="236" spans="153:175" ht="14.4">
      <c r="EW236" s="3" t="e">
        <f>Cal!#REF!</f>
        <v>#REF!</v>
      </c>
      <c r="EX236" s="77" t="s">
        <v>472</v>
      </c>
      <c r="EY236" s="3">
        <v>40</v>
      </c>
      <c r="EZ236" s="3">
        <v>60</v>
      </c>
      <c r="FA236" s="3" t="s">
        <v>707</v>
      </c>
      <c r="FB236" s="75" cm="1">
        <f t="array" ref="FB236">_xll.DCEPropSectBox(EY236, EZ236, FA236, 1, 1, "Area")/100</f>
        <v>5.4082300164692443</v>
      </c>
      <c r="FC236" s="75">
        <f t="shared" si="30"/>
        <v>4.2454605629283568</v>
      </c>
      <c r="FD236" s="75" cm="1">
        <f t="array" ref="FD236">_xll.DCEPropSectBox(EY236, EZ236, FA236, 1, 1, "Ix")/10000</f>
        <v>25.378830771715638</v>
      </c>
      <c r="FE236" s="75" cm="1">
        <f t="array" ref="FE236">_xll.DCEPropSectBox(EY236, EZ236, FA236, 1, 1, "Iy")/10000</f>
        <v>13.439556709132509</v>
      </c>
      <c r="FF236" s="75">
        <f t="shared" si="28"/>
        <v>8.4596102572385465</v>
      </c>
      <c r="FG236" s="75">
        <f t="shared" si="29"/>
        <v>6.7197783545662544</v>
      </c>
      <c r="FJ236" s="3"/>
      <c r="FK236" s="77"/>
      <c r="FL236" s="3"/>
      <c r="FM236" s="3"/>
      <c r="FN236" s="3"/>
      <c r="FO236" s="3"/>
      <c r="FP236" s="3"/>
      <c r="FQ236" s="3"/>
      <c r="FR236" s="3"/>
      <c r="FS236" s="3"/>
    </row>
    <row r="237" spans="153:175" ht="14.4">
      <c r="EW237" s="3" t="e">
        <f>Cal!#REF!</f>
        <v>#REF!</v>
      </c>
      <c r="EX237" s="77" t="s">
        <v>473</v>
      </c>
      <c r="EY237" s="3">
        <v>40</v>
      </c>
      <c r="EZ237" s="3">
        <v>60</v>
      </c>
      <c r="FA237" s="3" t="s">
        <v>708</v>
      </c>
      <c r="FB237" s="75" cm="1">
        <f t="array" ref="FB237">_xll.DCEPropSectBox(EY237, EZ237, FA237, 1, 1, "Area")/100</f>
        <v>5.5681211620299367</v>
      </c>
      <c r="FC237" s="75">
        <f t="shared" si="30"/>
        <v>4.3709751121935003</v>
      </c>
      <c r="FD237" s="75" cm="1">
        <f t="array" ref="FD237">_xll.DCEPropSectBox(EY237, EZ237, FA237, 1, 1, "Ix")/10000</f>
        <v>25.999140064791238</v>
      </c>
      <c r="FE237" s="75" cm="1">
        <f t="array" ref="FE237">_xll.DCEPropSectBox(EY237, EZ237, FA237, 1, 1, "Iy")/10000</f>
        <v>13.756933828892</v>
      </c>
      <c r="FF237" s="75">
        <f t="shared" si="28"/>
        <v>8.6663800215970799</v>
      </c>
      <c r="FG237" s="75">
        <f t="shared" si="29"/>
        <v>6.8784669144460002</v>
      </c>
      <c r="FJ237" s="3"/>
      <c r="FK237" s="77"/>
      <c r="FL237" s="3"/>
      <c r="FM237" s="3"/>
      <c r="FN237" s="3"/>
      <c r="FO237" s="3"/>
      <c r="FP237" s="3"/>
      <c r="FQ237" s="3"/>
      <c r="FR237" s="3"/>
      <c r="FS237" s="3"/>
    </row>
    <row r="238" spans="153:175" ht="14.4">
      <c r="EW238" s="3" t="e">
        <f>Cal!#REF!</f>
        <v>#REF!</v>
      </c>
      <c r="EX238" s="77" t="s">
        <v>474</v>
      </c>
      <c r="EY238" s="3">
        <v>40</v>
      </c>
      <c r="EZ238" s="3">
        <v>60</v>
      </c>
      <c r="FA238" s="3" t="s">
        <v>709</v>
      </c>
      <c r="FB238" s="75" cm="1">
        <f t="array" ref="FB238">_xll.DCEPropSectBox(EY238, EZ238, FA238, 1, 1, "Area")/100</f>
        <v>5.7266972631827846</v>
      </c>
      <c r="FC238" s="75">
        <f t="shared" si="30"/>
        <v>4.4954573515984855</v>
      </c>
      <c r="FD238" s="75" cm="1">
        <f t="array" ref="FD238">_xll.DCEPropSectBox(EY238, EZ238, FA238, 1, 1, "Ix")/10000</f>
        <v>26.605944993376887</v>
      </c>
      <c r="FE238" s="75" cm="1">
        <f t="array" ref="FE238">_xll.DCEPropSectBox(EY238, EZ238, FA238, 1, 1, "Iy")/10000</f>
        <v>14.066705841003603</v>
      </c>
      <c r="FF238" s="75">
        <f t="shared" si="28"/>
        <v>8.8686483311256286</v>
      </c>
      <c r="FG238" s="75">
        <f t="shared" si="29"/>
        <v>7.0333529205018017</v>
      </c>
      <c r="FJ238" s="3"/>
      <c r="FK238" s="77"/>
      <c r="FL238" s="3"/>
      <c r="FM238" s="3"/>
      <c r="FN238" s="3"/>
      <c r="FO238" s="3"/>
      <c r="FP238" s="3"/>
      <c r="FQ238" s="3"/>
      <c r="FR238" s="3"/>
      <c r="FS238" s="3"/>
    </row>
    <row r="239" spans="153:175" ht="14.4">
      <c r="EW239" s="3" t="e">
        <f>Cal!#REF!</f>
        <v>#REF!</v>
      </c>
      <c r="EX239" s="77" t="s">
        <v>475</v>
      </c>
      <c r="EY239" s="3">
        <v>40</v>
      </c>
      <c r="EZ239" s="3">
        <v>60</v>
      </c>
      <c r="FA239" s="3" t="s">
        <v>710</v>
      </c>
      <c r="FB239" s="75" cm="1">
        <f t="array" ref="FB239">_xll.DCEPropSectBox(EY239, EZ239, FA239, 1, 1, "Area")/100</f>
        <v>5.8839583199277863</v>
      </c>
      <c r="FC239" s="75">
        <f t="shared" si="30"/>
        <v>4.6189072811433123</v>
      </c>
      <c r="FD239" s="75" cm="1">
        <f t="array" ref="FD239">_xll.DCEPropSectBox(EY239, EZ239, FA239, 1, 1, "Ix")/10000</f>
        <v>27.199342002896756</v>
      </c>
      <c r="FE239" s="75" cm="1">
        <f t="array" ref="FE239">_xll.DCEPropSectBox(EY239, EZ239, FA239, 1, 1, "Iy")/10000</f>
        <v>14.368947385562505</v>
      </c>
      <c r="FF239" s="75">
        <f t="shared" si="28"/>
        <v>9.0664473342989194</v>
      </c>
      <c r="FG239" s="75">
        <f t="shared" si="29"/>
        <v>7.1844736927812525</v>
      </c>
      <c r="FJ239" s="3"/>
      <c r="FK239" s="77"/>
      <c r="FL239" s="3"/>
      <c r="FM239" s="3"/>
      <c r="FN239" s="3"/>
      <c r="FO239" s="3"/>
      <c r="FP239" s="3"/>
      <c r="FQ239" s="3"/>
      <c r="FR239" s="3"/>
      <c r="FS239" s="3"/>
    </row>
    <row r="240" spans="153:175" ht="14.4">
      <c r="EW240" s="3" t="e">
        <f>Cal!#REF!</f>
        <v>#REF!</v>
      </c>
      <c r="EX240" s="77" t="s">
        <v>476</v>
      </c>
      <c r="EY240" s="3">
        <v>40</v>
      </c>
      <c r="EZ240" s="3">
        <v>60</v>
      </c>
      <c r="FA240" s="3" t="s">
        <v>711</v>
      </c>
      <c r="FB240" s="75" cm="1">
        <f t="array" ref="FB240">_xll.DCEPropSectBox(EY240, EZ240, FA240, 1, 1, "Area")/100</f>
        <v>6.0399043322649399</v>
      </c>
      <c r="FC240" s="75">
        <f t="shared" si="30"/>
        <v>4.7413249008279772</v>
      </c>
      <c r="FD240" s="75" cm="1">
        <f t="array" ref="FD240">_xll.DCEPropSectBox(EY240, EZ240, FA240, 1, 1, "Ix")/10000</f>
        <v>27.779427253995092</v>
      </c>
      <c r="FE240" s="75" cm="1">
        <f t="array" ref="FE240">_xll.DCEPropSectBox(EY240, EZ240, FA240, 1, 1, "Iy")/10000</f>
        <v>14.663732817884043</v>
      </c>
      <c r="FF240" s="75">
        <f t="shared" si="28"/>
        <v>9.2598090846650312</v>
      </c>
      <c r="FG240" s="75">
        <f t="shared" si="29"/>
        <v>7.3318664089420214</v>
      </c>
      <c r="FJ240" s="3"/>
      <c r="FK240" s="77"/>
      <c r="FL240" s="3"/>
      <c r="FM240" s="3"/>
      <c r="FN240" s="3"/>
      <c r="FO240" s="3"/>
      <c r="FP240" s="3"/>
      <c r="FQ240" s="3"/>
      <c r="FR240" s="3"/>
      <c r="FS240" s="3"/>
    </row>
    <row r="241" spans="153:175" ht="14.4">
      <c r="EW241" s="3" t="e">
        <f>Cal!#REF!</f>
        <v>#REF!</v>
      </c>
      <c r="EX241" s="77" t="s">
        <v>477</v>
      </c>
      <c r="EY241" s="3">
        <v>50</v>
      </c>
      <c r="EZ241" s="3">
        <v>50</v>
      </c>
      <c r="FA241" s="3" t="s">
        <v>689</v>
      </c>
      <c r="FB241" s="75" cm="1">
        <f t="array" ref="FB241">_xll.DCEPropSectBox(EY241, EZ241, FA241, 1, 1, "Area")/100</f>
        <v>1.9342477796076938</v>
      </c>
      <c r="FC241" s="75">
        <f t="shared" si="30"/>
        <v>1.5183845069920396</v>
      </c>
      <c r="FD241" s="75" cm="1">
        <f t="array" ref="FD241">_xll.DCEPropSectBox(EY241, EZ241, FA241, 1, 1, "Ix")/10000</f>
        <v>7.6880155180364618</v>
      </c>
      <c r="FE241" s="75" cm="1">
        <f t="array" ref="FE241">_xll.DCEPropSectBox(EY241, EZ241, FA241, 1, 1, "Iy")/10000</f>
        <v>7.6880155180364618</v>
      </c>
      <c r="FF241" s="75">
        <f t="shared" si="28"/>
        <v>3.0752062072145847</v>
      </c>
      <c r="FG241" s="75">
        <f t="shared" si="29"/>
        <v>3.0752062072145847</v>
      </c>
      <c r="FJ241" s="3"/>
      <c r="FK241" s="77"/>
      <c r="FL241" s="3"/>
      <c r="FM241" s="3"/>
      <c r="FN241" s="3"/>
      <c r="FO241" s="3"/>
      <c r="FP241" s="3"/>
      <c r="FQ241" s="3"/>
      <c r="FR241" s="3"/>
      <c r="FS241" s="3"/>
    </row>
    <row r="242" spans="153:175" ht="14.4">
      <c r="EW242" s="3" t="e">
        <f>Cal!#REF!</f>
        <v>#REF!</v>
      </c>
      <c r="EX242" s="77" t="s">
        <v>478</v>
      </c>
      <c r="EY242" s="3">
        <v>50</v>
      </c>
      <c r="EZ242" s="3">
        <v>50</v>
      </c>
      <c r="FA242" s="3" t="s">
        <v>690</v>
      </c>
      <c r="FB242" s="75" cm="1">
        <f t="array" ref="FB242">_xll.DCEPropSectBox(EY242, EZ242, FA242, 1, 1, "Area")/100</f>
        <v>2.1204398133253095</v>
      </c>
      <c r="FC242" s="75">
        <f t="shared" si="30"/>
        <v>1.664545253460368</v>
      </c>
      <c r="FD242" s="75" cm="1">
        <f t="array" ref="FD242">_xll.DCEPropSectBox(EY242, EZ242, FA242, 1, 1, "Ix")/10000</f>
        <v>8.3877079777668389</v>
      </c>
      <c r="FE242" s="75" cm="1">
        <f t="array" ref="FE242">_xll.DCEPropSectBox(EY242, EZ242, FA242, 1, 1, "Iy")/10000</f>
        <v>8.3877079777668389</v>
      </c>
      <c r="FF242" s="75">
        <f t="shared" si="28"/>
        <v>3.3550831911067354</v>
      </c>
      <c r="FG242" s="75">
        <f t="shared" si="29"/>
        <v>3.3550831911067354</v>
      </c>
      <c r="FJ242" s="3"/>
      <c r="FK242" s="77"/>
      <c r="FL242" s="3"/>
      <c r="FM242" s="3"/>
      <c r="FN242" s="3"/>
      <c r="FO242" s="3"/>
      <c r="FP242" s="3"/>
      <c r="FQ242" s="3"/>
      <c r="FR242" s="3"/>
      <c r="FS242" s="3"/>
    </row>
    <row r="243" spans="153:175" ht="14.4">
      <c r="EW243" s="3" t="e">
        <f>Cal!#REF!</f>
        <v>#REF!</v>
      </c>
      <c r="EX243" s="77" t="s">
        <v>479</v>
      </c>
      <c r="EY243" s="3">
        <v>50</v>
      </c>
      <c r="EZ243" s="3">
        <v>50</v>
      </c>
      <c r="FA243" s="3" t="s">
        <v>691</v>
      </c>
      <c r="FB243" s="75" cm="1">
        <f t="array" ref="FB243">_xll.DCEPropSectBox(EY243, EZ243, FA243, 1, 1, "Area")/100</f>
        <v>2.3053168026350788</v>
      </c>
      <c r="FC243" s="75">
        <f t="shared" si="30"/>
        <v>1.8096736900685368</v>
      </c>
      <c r="FD243" s="75" cm="1">
        <f t="array" ref="FD243">_xll.DCEPropSectBox(EY243, EZ243, FA243, 1, 1, "Ix")/10000</f>
        <v>9.0752038035863567</v>
      </c>
      <c r="FE243" s="75" cm="1">
        <f t="array" ref="FE243">_xll.DCEPropSectBox(EY243, EZ243, FA243, 1, 1, "Iy")/10000</f>
        <v>9.0752038035863567</v>
      </c>
      <c r="FF243" s="75">
        <f t="shared" si="28"/>
        <v>3.6300815214345428</v>
      </c>
      <c r="FG243" s="75">
        <f t="shared" si="29"/>
        <v>3.6300815214345428</v>
      </c>
      <c r="FJ243" s="3"/>
      <c r="FK243" s="77"/>
      <c r="FL243" s="3"/>
      <c r="FM243" s="3"/>
      <c r="FN243" s="3"/>
      <c r="FO243" s="3"/>
      <c r="FP243" s="3"/>
      <c r="FQ243" s="3"/>
      <c r="FR243" s="3"/>
      <c r="FS243" s="3"/>
    </row>
    <row r="244" spans="153:175" ht="14.4">
      <c r="EW244" s="3" t="e">
        <f>Cal!#REF!</f>
        <v>#REF!</v>
      </c>
      <c r="EX244" s="77" t="s">
        <v>480</v>
      </c>
      <c r="EY244" s="3">
        <v>50</v>
      </c>
      <c r="EZ244" s="3">
        <v>50</v>
      </c>
      <c r="FA244" s="3" t="s">
        <v>692</v>
      </c>
      <c r="FB244" s="75" cm="1">
        <f t="array" ref="FB244">_xll.DCEPropSectBox(EY244, EZ244, FA244, 1, 1, "Area")/100</f>
        <v>2.6711256480310794</v>
      </c>
      <c r="FC244" s="75">
        <f t="shared" si="30"/>
        <v>2.0968336337043971</v>
      </c>
      <c r="FD244" s="75" cm="1">
        <f t="array" ref="FD244">_xll.DCEPropSectBox(EY244, EZ244, FA244, 1, 1, "Ix")/10000</f>
        <v>10.41397022213312</v>
      </c>
      <c r="FE244" s="75" cm="1">
        <f t="array" ref="FE244">_xll.DCEPropSectBox(EY244, EZ244, FA244, 1, 1, "Iy")/10000</f>
        <v>10.41397022213312</v>
      </c>
      <c r="FF244" s="75">
        <f t="shared" si="28"/>
        <v>4.1655880888532479</v>
      </c>
      <c r="FG244" s="75">
        <f t="shared" si="29"/>
        <v>4.1655880888532479</v>
      </c>
      <c r="FJ244" s="3"/>
      <c r="FK244" s="77"/>
      <c r="FL244" s="3"/>
      <c r="FM244" s="3"/>
      <c r="FN244" s="3"/>
      <c r="FO244" s="3"/>
      <c r="FP244" s="3"/>
      <c r="FQ244" s="3"/>
      <c r="FR244" s="3"/>
      <c r="FS244" s="3"/>
    </row>
    <row r="245" spans="153:175" ht="14.4">
      <c r="EW245" s="3" t="e">
        <f>Cal!#REF!</f>
        <v>#REF!</v>
      </c>
      <c r="EX245" s="77" t="s">
        <v>481</v>
      </c>
      <c r="EY245" s="3">
        <v>50</v>
      </c>
      <c r="EZ245" s="3">
        <v>50</v>
      </c>
      <c r="FA245" s="3" t="s">
        <v>693</v>
      </c>
      <c r="FB245" s="75" cm="1">
        <f t="array" ref="FB245">_xll.DCEPropSectBox(EY245, EZ245, FA245, 1, 1, "Area")/100</f>
        <v>2.8520575041173113</v>
      </c>
      <c r="FC245" s="75">
        <f t="shared" si="30"/>
        <v>2.2388651407320896</v>
      </c>
      <c r="FD245" s="75" cm="1">
        <f t="array" ref="FD245">_xll.DCEPropSectBox(EY245, EZ245, FA245, 1, 1, "Ix")/10000</f>
        <v>11.065422437231085</v>
      </c>
      <c r="FE245" s="75" cm="1">
        <f t="array" ref="FE245">_xll.DCEPropSectBox(EY245, EZ245, FA245, 1, 1, "Iy")/10000</f>
        <v>11.065422437231085</v>
      </c>
      <c r="FF245" s="75">
        <f t="shared" si="28"/>
        <v>4.426168974892434</v>
      </c>
      <c r="FG245" s="75">
        <f t="shared" si="29"/>
        <v>4.426168974892434</v>
      </c>
      <c r="FJ245" s="3"/>
      <c r="FK245" s="77"/>
      <c r="FL245" s="3"/>
      <c r="FM245" s="3"/>
      <c r="FN245" s="3"/>
      <c r="FO245" s="3"/>
      <c r="FP245" s="3"/>
      <c r="FQ245" s="3"/>
      <c r="FR245" s="3"/>
      <c r="FS245" s="3"/>
    </row>
    <row r="246" spans="153:175" ht="14.4">
      <c r="EW246" s="3" t="e">
        <f>Cal!#REF!</f>
        <v>#REF!</v>
      </c>
      <c r="EX246" s="77" t="s">
        <v>482</v>
      </c>
      <c r="EY246" s="3">
        <v>50</v>
      </c>
      <c r="EZ246" s="3">
        <v>50</v>
      </c>
      <c r="FA246" s="3" t="s">
        <v>694</v>
      </c>
      <c r="FB246" s="75" cm="1">
        <f t="array" ref="FB246">_xll.DCEPropSectBox(EY246, EZ246, FA246, 1, 1, "Area")/100</f>
        <v>3.031674315795696</v>
      </c>
      <c r="FC246" s="75">
        <f t="shared" si="30"/>
        <v>2.3798643378996216</v>
      </c>
      <c r="FD246" s="75" cm="1">
        <f t="array" ref="FD246">_xll.DCEPropSectBox(EY246, EZ246, FA246, 1, 1, "Ix")/10000</f>
        <v>11.705041263159609</v>
      </c>
      <c r="FE246" s="75" cm="1">
        <f t="array" ref="FE246">_xll.DCEPropSectBox(EY246, EZ246, FA246, 1, 1, "Iy")/10000</f>
        <v>11.705041263159609</v>
      </c>
      <c r="FF246" s="75">
        <f t="shared" si="28"/>
        <v>4.6820165052638441</v>
      </c>
      <c r="FG246" s="75">
        <f t="shared" si="29"/>
        <v>4.6820165052638441</v>
      </c>
      <c r="FJ246" s="3"/>
      <c r="FK246" s="77"/>
      <c r="FL246" s="3"/>
      <c r="FM246" s="3"/>
      <c r="FN246" s="3"/>
      <c r="FO246" s="3"/>
      <c r="FP246" s="3"/>
      <c r="FQ246" s="3"/>
      <c r="FR246" s="3"/>
      <c r="FS246" s="3"/>
    </row>
    <row r="247" spans="153:175" ht="14.4">
      <c r="EW247" s="3" t="e">
        <f>Cal!#REF!</f>
        <v>#REF!</v>
      </c>
      <c r="EX247" s="77" t="s">
        <v>483</v>
      </c>
      <c r="EY247" s="3">
        <v>50</v>
      </c>
      <c r="EZ247" s="3">
        <v>50</v>
      </c>
      <c r="FA247" s="3" t="s">
        <v>695</v>
      </c>
      <c r="FB247" s="75" cm="1">
        <f t="array" ref="FB247">_xll.DCEPropSectBox(EY247, EZ247, FA247, 1, 1, "Area")/100</f>
        <v>3.2099760830662354</v>
      </c>
      <c r="FC247" s="75">
        <f t="shared" si="30"/>
        <v>2.5198312252069948</v>
      </c>
      <c r="FD247" s="75" cm="1">
        <f t="array" ref="FD247">_xll.DCEPropSectBox(EY247, EZ247, FA247, 1, 1, "Ix")/10000</f>
        <v>12.33291679915459</v>
      </c>
      <c r="FE247" s="75" cm="1">
        <f t="array" ref="FE247">_xll.DCEPropSectBox(EY247, EZ247, FA247, 1, 1, "Iy")/10000</f>
        <v>12.33291679915459</v>
      </c>
      <c r="FF247" s="75">
        <f t="shared" si="28"/>
        <v>4.9331667196618358</v>
      </c>
      <c r="FG247" s="75">
        <f t="shared" si="29"/>
        <v>4.9331667196618358</v>
      </c>
      <c r="FJ247" s="3"/>
      <c r="FK247" s="77"/>
      <c r="FL247" s="3"/>
      <c r="FM247" s="3"/>
      <c r="FN247" s="3"/>
      <c r="FO247" s="3"/>
      <c r="FP247" s="3"/>
      <c r="FQ247" s="3"/>
      <c r="FR247" s="3"/>
      <c r="FS247" s="3"/>
    </row>
    <row r="248" spans="153:175" ht="14.4">
      <c r="EW248" s="3" t="e">
        <f>Cal!#REF!</f>
        <v>#REF!</v>
      </c>
      <c r="EX248" s="77" t="s">
        <v>484</v>
      </c>
      <c r="EY248" s="3">
        <v>50</v>
      </c>
      <c r="EZ248" s="3">
        <v>50</v>
      </c>
      <c r="FA248" s="3" t="s">
        <v>696</v>
      </c>
      <c r="FB248" s="75" cm="1">
        <f t="array" ref="FB248">_xll.DCEPropSectBox(EY248, EZ248, FA248, 1, 1, "Area")/100</f>
        <v>3.3869628059289285</v>
      </c>
      <c r="FC248" s="75">
        <f t="shared" si="30"/>
        <v>2.6587658026542091</v>
      </c>
      <c r="FD248" s="75" cm="1">
        <f t="array" ref="FD248">_xll.DCEPropSectBox(EY248, EZ248, FA248, 1, 1, "Ix")/10000</f>
        <v>12.949138859672242</v>
      </c>
      <c r="FE248" s="75" cm="1">
        <f t="array" ref="FE248">_xll.DCEPropSectBox(EY248, EZ248, FA248, 1, 1, "Iy")/10000</f>
        <v>12.949138859672242</v>
      </c>
      <c r="FF248" s="75">
        <f t="shared" si="28"/>
        <v>5.1796555438688969</v>
      </c>
      <c r="FG248" s="75">
        <f t="shared" si="29"/>
        <v>5.1796555438688969</v>
      </c>
      <c r="FJ248" s="3"/>
      <c r="FK248" s="77"/>
      <c r="FL248" s="3"/>
      <c r="FM248" s="3"/>
      <c r="FN248" s="3"/>
      <c r="FO248" s="3"/>
      <c r="FP248" s="3"/>
      <c r="FQ248" s="3"/>
      <c r="FR248" s="3"/>
      <c r="FS248" s="3"/>
    </row>
    <row r="249" spans="153:175" ht="14.4">
      <c r="EW249" s="3" t="e">
        <f>Cal!#REF!</f>
        <v>#REF!</v>
      </c>
      <c r="EX249" s="77" t="s">
        <v>485</v>
      </c>
      <c r="EY249" s="3">
        <v>50</v>
      </c>
      <c r="EZ249" s="3">
        <v>50</v>
      </c>
      <c r="FA249" s="3" t="s">
        <v>697</v>
      </c>
      <c r="FB249" s="75" cm="1">
        <f t="array" ref="FB249">_xll.DCEPropSectBox(EY249, EZ249, FA249, 1, 1, "Area")/100</f>
        <v>3.5626344843837745</v>
      </c>
      <c r="FC249" s="75">
        <f t="shared" si="30"/>
        <v>2.796668070241263</v>
      </c>
      <c r="FD249" s="75" cm="1">
        <f t="array" ref="FD249">_xll.DCEPropSectBox(EY249, EZ249, FA249, 1, 1, "Ix")/10000</f>
        <v>13.553796974388918</v>
      </c>
      <c r="FE249" s="75" cm="1">
        <f t="array" ref="FE249">_xll.DCEPropSectBox(EY249, EZ249, FA249, 1, 1, "Iy")/10000</f>
        <v>13.553796974388918</v>
      </c>
      <c r="FF249" s="75">
        <f t="shared" si="28"/>
        <v>5.4215187897555674</v>
      </c>
      <c r="FG249" s="75">
        <f t="shared" si="29"/>
        <v>5.4215187897555674</v>
      </c>
      <c r="FJ249" s="3"/>
      <c r="FK249" s="77"/>
      <c r="FL249" s="3"/>
      <c r="FM249" s="3"/>
      <c r="FN249" s="3"/>
      <c r="FO249" s="3"/>
      <c r="FP249" s="3"/>
      <c r="FQ249" s="3"/>
      <c r="FR249" s="3"/>
      <c r="FS249" s="3"/>
    </row>
    <row r="250" spans="153:175" ht="14.4">
      <c r="EW250" s="3" t="e">
        <f>Cal!#REF!</f>
        <v>#REF!</v>
      </c>
      <c r="EX250" s="77" t="s">
        <v>486</v>
      </c>
      <c r="EY250" s="3">
        <v>50</v>
      </c>
      <c r="EZ250" s="3">
        <v>50</v>
      </c>
      <c r="FA250" s="3" t="s">
        <v>698</v>
      </c>
      <c r="FB250" s="75" cm="1">
        <f t="array" ref="FB250">_xll.DCEPropSectBox(EY250, EZ250, FA250, 1, 1, "Area")/100</f>
        <v>3.7369911184307751</v>
      </c>
      <c r="FC250" s="75">
        <f t="shared" si="30"/>
        <v>2.9335380279681584</v>
      </c>
      <c r="FD250" s="75" cm="1">
        <f t="array" ref="FD250">_xll.DCEPropSectBox(EY250, EZ250, FA250, 1, 1, "Ix")/10000</f>
        <v>14.146980388201259</v>
      </c>
      <c r="FE250" s="75" cm="1">
        <f t="array" ref="FE250">_xll.DCEPropSectBox(EY250, EZ250, FA250, 1, 1, "Iy")/10000</f>
        <v>14.146980388201259</v>
      </c>
      <c r="FF250" s="75">
        <f t="shared" si="28"/>
        <v>5.6587921552805032</v>
      </c>
      <c r="FG250" s="75">
        <f t="shared" si="29"/>
        <v>5.6587921552805032</v>
      </c>
      <c r="FJ250" s="3"/>
      <c r="FK250" s="77"/>
      <c r="FL250" s="3"/>
      <c r="FM250" s="3"/>
      <c r="FN250" s="3"/>
      <c r="FO250" s="3"/>
      <c r="FP250" s="3"/>
      <c r="FQ250" s="3"/>
      <c r="FR250" s="3"/>
      <c r="FS250" s="3"/>
    </row>
    <row r="251" spans="153:175" ht="14.4">
      <c r="EW251" s="3" t="e">
        <f>Cal!#REF!</f>
        <v>#REF!</v>
      </c>
      <c r="EX251" s="77" t="s">
        <v>487</v>
      </c>
      <c r="EY251" s="3">
        <v>50</v>
      </c>
      <c r="EZ251" s="3">
        <v>50</v>
      </c>
      <c r="FA251" s="3" t="s">
        <v>699</v>
      </c>
      <c r="FB251" s="75" cm="1">
        <f t="array" ref="FB251">_xll.DCEPropSectBox(EY251, EZ251, FA251, 1, 1, "Area")/100</f>
        <v>3.91003270806993</v>
      </c>
      <c r="FC251" s="75">
        <f t="shared" si="30"/>
        <v>3.0693756758348951</v>
      </c>
      <c r="FD251" s="75" cm="1">
        <f t="array" ref="FD251">_xll.DCEPropSectBox(EY251, EZ251, FA251, 1, 1, "Ix")/10000</f>
        <v>14.728778061226107</v>
      </c>
      <c r="FE251" s="75" cm="1">
        <f t="array" ref="FE251">_xll.DCEPropSectBox(EY251, EZ251, FA251, 1, 1, "Iy")/10000</f>
        <v>14.728778061226107</v>
      </c>
      <c r="FF251" s="75">
        <f t="shared" si="28"/>
        <v>5.8915112244904426</v>
      </c>
      <c r="FG251" s="75">
        <f t="shared" si="29"/>
        <v>5.8915112244904426</v>
      </c>
      <c r="FJ251" s="3"/>
      <c r="FK251" s="77"/>
      <c r="FL251" s="3"/>
      <c r="FM251" s="3"/>
      <c r="FN251" s="3"/>
      <c r="FO251" s="3"/>
      <c r="FP251" s="3"/>
      <c r="FQ251" s="3"/>
      <c r="FR251" s="3"/>
      <c r="FS251" s="3"/>
    </row>
    <row r="252" spans="153:175" ht="14.4">
      <c r="EW252" s="3" t="e">
        <f>Cal!#REF!</f>
        <v>#REF!</v>
      </c>
      <c r="EX252" s="77" t="s">
        <v>488</v>
      </c>
      <c r="EY252" s="3">
        <v>50</v>
      </c>
      <c r="EZ252" s="3">
        <v>50</v>
      </c>
      <c r="FA252" s="3" t="s">
        <v>700</v>
      </c>
      <c r="FB252" s="75" cm="1">
        <f t="array" ref="FB252">_xll.DCEPropSectBox(EY252, EZ252, FA252, 1, 1, "Area")/100</f>
        <v>4.0817592533012377</v>
      </c>
      <c r="FC252" s="75">
        <f t="shared" si="30"/>
        <v>3.2041810138414717</v>
      </c>
      <c r="FD252" s="75" cm="1">
        <f t="array" ref="FD252">_xll.DCEPropSectBox(EY252, EZ252, FA252, 1, 1, "Ix")/10000</f>
        <v>15.29927866880052</v>
      </c>
      <c r="FE252" s="75" cm="1">
        <f t="array" ref="FE252">_xll.DCEPropSectBox(EY252, EZ252, FA252, 1, 1, "Iy")/10000</f>
        <v>15.29927866880052</v>
      </c>
      <c r="FF252" s="75">
        <f t="shared" si="28"/>
        <v>6.119711467520208</v>
      </c>
      <c r="FG252" s="75">
        <f t="shared" si="29"/>
        <v>6.119711467520208</v>
      </c>
      <c r="FJ252" s="3"/>
      <c r="FK252" s="77"/>
      <c r="FL252" s="3"/>
      <c r="FM252" s="3"/>
      <c r="FN252" s="3"/>
      <c r="FO252" s="3"/>
      <c r="FP252" s="3"/>
      <c r="FQ252" s="3"/>
      <c r="FR252" s="3"/>
      <c r="FS252" s="3"/>
    </row>
    <row r="253" spans="153:175" ht="14.4">
      <c r="EW253" s="3" t="e">
        <f>Cal!#REF!</f>
        <v>#REF!</v>
      </c>
      <c r="EX253" s="77" t="s">
        <v>489</v>
      </c>
      <c r="EY253" s="3">
        <v>50</v>
      </c>
      <c r="EZ253" s="3">
        <v>50</v>
      </c>
      <c r="FA253" s="3" t="s">
        <v>701</v>
      </c>
      <c r="FB253" s="75" cm="1">
        <f t="array" ref="FB253">_xll.DCEPropSectBox(EY253, EZ253, FA253, 1, 1, "Area")/100</f>
        <v>4.2521707541247</v>
      </c>
      <c r="FC253" s="75">
        <f t="shared" si="30"/>
        <v>3.3379540419878899</v>
      </c>
      <c r="FD253" s="75" cm="1">
        <f t="array" ref="FD253">_xll.DCEPropSectBox(EY253, EZ253, FA253, 1, 1, "Ix")/10000</f>
        <v>15.858570601481846</v>
      </c>
      <c r="FE253" s="75" cm="1">
        <f t="array" ref="FE253">_xll.DCEPropSectBox(EY253, EZ253, FA253, 1, 1, "Iy")/10000</f>
        <v>15.858570601481846</v>
      </c>
      <c r="FF253" s="75">
        <f t="shared" si="28"/>
        <v>6.343428240592738</v>
      </c>
      <c r="FG253" s="75">
        <f t="shared" si="29"/>
        <v>6.343428240592738</v>
      </c>
      <c r="FJ253" s="3"/>
      <c r="FK253" s="77"/>
      <c r="FL253" s="3"/>
      <c r="FM253" s="3"/>
      <c r="FN253" s="3"/>
      <c r="FO253" s="3"/>
      <c r="FP253" s="3"/>
      <c r="FQ253" s="3"/>
      <c r="FR253" s="3"/>
      <c r="FS253" s="3"/>
    </row>
    <row r="254" spans="153:175" ht="14.4">
      <c r="EW254" s="3" t="e">
        <f>Cal!#REF!</f>
        <v>#REF!</v>
      </c>
      <c r="EX254" s="77" t="s">
        <v>490</v>
      </c>
      <c r="EY254" s="3">
        <v>50</v>
      </c>
      <c r="EZ254" s="3">
        <v>50</v>
      </c>
      <c r="FA254" s="3" t="s">
        <v>702</v>
      </c>
      <c r="FB254" s="75" cm="1">
        <f t="array" ref="FB254">_xll.DCEPropSectBox(EY254, EZ254, FA254, 1, 1, "Area")/100</f>
        <v>4.4212672105403161</v>
      </c>
      <c r="FC254" s="75">
        <f t="shared" si="30"/>
        <v>3.4706947602741485</v>
      </c>
      <c r="FD254" s="75" cm="1">
        <f t="array" ref="FD254">_xll.DCEPropSectBox(EY254, EZ254, FA254, 1, 1, "Ix")/10000</f>
        <v>16.406741965047598</v>
      </c>
      <c r="FE254" s="75" cm="1">
        <f t="array" ref="FE254">_xll.DCEPropSectBox(EY254, EZ254, FA254, 1, 1, "Iy")/10000</f>
        <v>16.406741965047598</v>
      </c>
      <c r="FF254" s="75">
        <f t="shared" si="28"/>
        <v>6.5626967860190391</v>
      </c>
      <c r="FG254" s="75">
        <f t="shared" si="29"/>
        <v>6.5626967860190391</v>
      </c>
      <c r="FJ254" s="3"/>
      <c r="FK254" s="77"/>
      <c r="FL254" s="3"/>
      <c r="FM254" s="3"/>
      <c r="FN254" s="3"/>
      <c r="FO254" s="3"/>
      <c r="FP254" s="3"/>
      <c r="FQ254" s="3"/>
      <c r="FR254" s="3"/>
      <c r="FS254" s="3"/>
    </row>
    <row r="255" spans="153:175" ht="14.4">
      <c r="EW255" s="3" t="e">
        <f>Cal!#REF!</f>
        <v>#REF!</v>
      </c>
      <c r="EX255" s="77" t="s">
        <v>491</v>
      </c>
      <c r="EY255" s="3">
        <v>50</v>
      </c>
      <c r="EZ255" s="3">
        <v>50</v>
      </c>
      <c r="FA255" s="3" t="s">
        <v>703</v>
      </c>
      <c r="FB255" s="75" cm="1">
        <f t="array" ref="FB255">_xll.DCEPropSectBox(EY255, EZ255, FA255, 1, 1, "Area")/100</f>
        <v>4.589048622548086</v>
      </c>
      <c r="FC255" s="75">
        <f t="shared" si="30"/>
        <v>3.6024031687002478</v>
      </c>
      <c r="FD255" s="75" cm="1">
        <f t="array" ref="FD255">_xll.DCEPropSectBox(EY255, EZ255, FA255, 1, 1, "Ix")/10000</f>
        <v>16.943880580495581</v>
      </c>
      <c r="FE255" s="75" cm="1">
        <f t="array" ref="FE255">_xll.DCEPropSectBox(EY255, EZ255, FA255, 1, 1, "Iy")/10000</f>
        <v>16.943880580495581</v>
      </c>
      <c r="FF255" s="75">
        <f t="shared" si="28"/>
        <v>6.7775522321982322</v>
      </c>
      <c r="FG255" s="75">
        <f t="shared" si="29"/>
        <v>6.7775522321982322</v>
      </c>
      <c r="FJ255" s="3"/>
      <c r="FK255" s="77"/>
      <c r="FL255" s="3"/>
      <c r="FM255" s="3"/>
      <c r="FN255" s="3"/>
      <c r="FO255" s="3"/>
      <c r="FP255" s="3"/>
      <c r="FQ255" s="3"/>
      <c r="FR255" s="3"/>
      <c r="FS255" s="3"/>
    </row>
    <row r="256" spans="153:175" ht="14.4">
      <c r="EW256" s="3" t="e">
        <f>Cal!#REF!</f>
        <v>#REF!</v>
      </c>
      <c r="EX256" s="77" t="s">
        <v>492</v>
      </c>
      <c r="EY256" s="3">
        <v>50</v>
      </c>
      <c r="EZ256" s="3">
        <v>50</v>
      </c>
      <c r="FA256" s="3" t="s">
        <v>704</v>
      </c>
      <c r="FB256" s="75" cm="1">
        <f t="array" ref="FB256">_xll.DCEPropSectBox(EY256, EZ256, FA256, 1, 1, "Area")/100</f>
        <v>4.9206663133400879</v>
      </c>
      <c r="FC256" s="75">
        <f t="shared" si="30"/>
        <v>3.8627230559719692</v>
      </c>
      <c r="FD256" s="75" cm="1">
        <f t="array" ref="FD256">_xll.DCEPropSectBox(EY256, EZ256, FA256, 1, 1, "Ix")/10000</f>
        <v>17.985409427130396</v>
      </c>
      <c r="FE256" s="75" cm="1">
        <f t="array" ref="FE256">_xll.DCEPropSectBox(EY256, EZ256, FA256, 1, 1, "Iy")/10000</f>
        <v>17.985409427130396</v>
      </c>
      <c r="FF256" s="75">
        <f t="shared" si="28"/>
        <v>7.1941637708521586</v>
      </c>
      <c r="FG256" s="75">
        <f t="shared" si="29"/>
        <v>7.1941637708521586</v>
      </c>
      <c r="FJ256" s="3"/>
      <c r="FK256" s="77"/>
      <c r="FL256" s="3"/>
      <c r="FM256" s="3"/>
      <c r="FN256" s="3"/>
      <c r="FO256" s="3"/>
      <c r="FP256" s="3"/>
      <c r="FQ256" s="3"/>
      <c r="FR256" s="3"/>
      <c r="FS256" s="3"/>
    </row>
    <row r="257" spans="153:175" ht="14.4">
      <c r="EW257" s="3" t="e">
        <f>Cal!#REF!</f>
        <v>#REF!</v>
      </c>
      <c r="EX257" s="77" t="s">
        <v>493</v>
      </c>
      <c r="EY257" s="3">
        <v>50</v>
      </c>
      <c r="EZ257" s="3">
        <v>50</v>
      </c>
      <c r="FA257" s="3" t="s">
        <v>705</v>
      </c>
      <c r="FB257" s="75" cm="1">
        <f t="array" ref="FB257">_xll.DCEPropSectBox(EY257, EZ257, FA257, 1, 1, "Area")/100</f>
        <v>5.0845025921243199</v>
      </c>
      <c r="FC257" s="75">
        <f t="shared" si="30"/>
        <v>3.9913345348175913</v>
      </c>
      <c r="FD257" s="75" cm="1">
        <f t="array" ref="FD257">_xll.DCEPropSectBox(EY257, EZ257, FA257, 1, 1, "Ix")/10000</f>
        <v>18.489973876413945</v>
      </c>
      <c r="FE257" s="75" cm="1">
        <f t="array" ref="FE257">_xll.DCEPropSectBox(EY257, EZ257, FA257, 1, 1, "Iy")/10000</f>
        <v>18.489973876413945</v>
      </c>
      <c r="FF257" s="75">
        <f t="shared" si="28"/>
        <v>7.3959895505655782</v>
      </c>
      <c r="FG257" s="75">
        <f t="shared" si="29"/>
        <v>7.3959895505655782</v>
      </c>
      <c r="FJ257" s="3"/>
      <c r="FK257" s="77"/>
      <c r="FL257" s="3"/>
      <c r="FM257" s="3"/>
      <c r="FN257" s="3"/>
      <c r="FO257" s="3"/>
      <c r="FP257" s="3"/>
      <c r="FQ257" s="3"/>
      <c r="FR257" s="3"/>
      <c r="FS257" s="3"/>
    </row>
    <row r="258" spans="153:175" ht="14.4">
      <c r="EW258" s="3" t="e">
        <f>Cal!#REF!</f>
        <v>#REF!</v>
      </c>
      <c r="EX258" s="77" t="s">
        <v>494</v>
      </c>
      <c r="EY258" s="3">
        <v>50</v>
      </c>
      <c r="EZ258" s="3">
        <v>50</v>
      </c>
      <c r="FA258" s="3" t="s">
        <v>706</v>
      </c>
      <c r="FB258" s="75" cm="1">
        <f t="array" ref="FB258">_xll.DCEPropSectBox(EY258, EZ258, FA258, 1, 1, "Area")/100</f>
        <v>5.2470238265007048</v>
      </c>
      <c r="FC258" s="75">
        <f t="shared" si="30"/>
        <v>4.1189137038030532</v>
      </c>
      <c r="FD258" s="75" cm="1">
        <f t="array" ref="FD258">_xll.DCEPropSectBox(EY258, EZ258, FA258, 1, 1, "Ix")/10000</f>
        <v>18.983854013773076</v>
      </c>
      <c r="FE258" s="75" cm="1">
        <f t="array" ref="FE258">_xll.DCEPropSectBox(EY258, EZ258, FA258, 1, 1, "Iy")/10000</f>
        <v>18.983854013773076</v>
      </c>
      <c r="FF258" s="75">
        <f t="shared" si="28"/>
        <v>7.5935416055092304</v>
      </c>
      <c r="FG258" s="75">
        <f t="shared" si="29"/>
        <v>7.5935416055092304</v>
      </c>
      <c r="FJ258" s="3"/>
      <c r="FK258" s="77"/>
      <c r="FL258" s="3"/>
      <c r="FM258" s="3"/>
      <c r="FN258" s="3"/>
      <c r="FO258" s="3"/>
      <c r="FP258" s="3"/>
      <c r="FQ258" s="3"/>
      <c r="FR258" s="3"/>
      <c r="FS258" s="3"/>
    </row>
    <row r="259" spans="153:175" ht="14.4">
      <c r="EW259" s="3" t="e">
        <f>Cal!#REF!</f>
        <v>#REF!</v>
      </c>
      <c r="EX259" s="77" t="s">
        <v>495</v>
      </c>
      <c r="EY259" s="3">
        <v>50</v>
      </c>
      <c r="EZ259" s="3">
        <v>50</v>
      </c>
      <c r="FA259" s="3" t="s">
        <v>707</v>
      </c>
      <c r="FB259" s="75" cm="1">
        <f t="array" ref="FB259">_xll.DCEPropSectBox(EY259, EZ259, FA259, 1, 1, "Area")/100</f>
        <v>5.4082300164692443</v>
      </c>
      <c r="FC259" s="75">
        <f t="shared" si="30"/>
        <v>4.2454605629283568</v>
      </c>
      <c r="FD259" s="75" cm="1">
        <f t="array" ref="FD259">_xll.DCEPropSectBox(EY259, EZ259, FA259, 1, 1, "Ix")/10000</f>
        <v>19.467136236306761</v>
      </c>
      <c r="FE259" s="75" cm="1">
        <f t="array" ref="FE259">_xll.DCEPropSectBox(EY259, EZ259, FA259, 1, 1, "Iy")/10000</f>
        <v>19.467136236306761</v>
      </c>
      <c r="FF259" s="75">
        <f t="shared" si="28"/>
        <v>7.7868544945227045</v>
      </c>
      <c r="FG259" s="75">
        <f t="shared" si="29"/>
        <v>7.7868544945227045</v>
      </c>
      <c r="FJ259" s="3"/>
      <c r="FK259" s="77"/>
      <c r="FL259" s="3"/>
      <c r="FM259" s="3"/>
      <c r="FN259" s="3"/>
      <c r="FO259" s="3"/>
      <c r="FP259" s="3"/>
      <c r="FQ259" s="3"/>
      <c r="FR259" s="3"/>
      <c r="FS259" s="3"/>
    </row>
    <row r="260" spans="153:175" ht="14.4">
      <c r="EW260" s="3" t="e">
        <f>Cal!#REF!</f>
        <v>#REF!</v>
      </c>
      <c r="EX260" s="77" t="s">
        <v>496</v>
      </c>
      <c r="EY260" s="3">
        <v>50</v>
      </c>
      <c r="EZ260" s="3">
        <v>50</v>
      </c>
      <c r="FA260" s="3" t="s">
        <v>708</v>
      </c>
      <c r="FB260" s="75" cm="1">
        <f t="array" ref="FB260">_xll.DCEPropSectBox(EY260, EZ260, FA260, 1, 1, "Area")/100</f>
        <v>5.5681211620299367</v>
      </c>
      <c r="FC260" s="75">
        <f t="shared" si="30"/>
        <v>4.3709751121935003</v>
      </c>
      <c r="FD260" s="75" cm="1">
        <f t="array" ref="FD260">_xll.DCEPropSectBox(EY260, EZ260, FA260, 1, 1, "Ix")/10000</f>
        <v>19.939906656334131</v>
      </c>
      <c r="FE260" s="75" cm="1">
        <f t="array" ref="FE260">_xll.DCEPropSectBox(EY260, EZ260, FA260, 1, 1, "Iy")/10000</f>
        <v>19.939906656334131</v>
      </c>
      <c r="FF260" s="75">
        <f t="shared" si="28"/>
        <v>7.9759626625336519</v>
      </c>
      <c r="FG260" s="75">
        <f t="shared" si="29"/>
        <v>7.9759626625336519</v>
      </c>
      <c r="FJ260" s="3"/>
      <c r="FK260" s="77"/>
      <c r="FL260" s="3"/>
      <c r="FM260" s="3"/>
      <c r="FN260" s="3"/>
      <c r="FO260" s="3"/>
      <c r="FP260" s="3"/>
      <c r="FQ260" s="3"/>
      <c r="FR260" s="3"/>
      <c r="FS260" s="3"/>
    </row>
    <row r="261" spans="153:175" ht="14.4">
      <c r="EW261" s="3" t="e">
        <f>Cal!#REF!</f>
        <v>#REF!</v>
      </c>
      <c r="EX261" s="77" t="s">
        <v>497</v>
      </c>
      <c r="EY261" s="3">
        <v>50</v>
      </c>
      <c r="EZ261" s="3">
        <v>50</v>
      </c>
      <c r="FA261" s="3" t="s">
        <v>709</v>
      </c>
      <c r="FB261" s="75" cm="1">
        <f t="array" ref="FB261">_xll.DCEPropSectBox(EY261, EZ261, FA261, 1, 1, "Area")/100</f>
        <v>5.7266972631827846</v>
      </c>
      <c r="FC261" s="75">
        <f t="shared" si="30"/>
        <v>4.4954573515984855</v>
      </c>
      <c r="FD261" s="75" cm="1">
        <f t="array" ref="FD261">_xll.DCEPropSectBox(EY261, EZ261, FA261, 1, 1, "Ix")/10000</f>
        <v>20.402251101394548</v>
      </c>
      <c r="FE261" s="75" cm="1">
        <f t="array" ref="FE261">_xll.DCEPropSectBox(EY261, EZ261, FA261, 1, 1, "Iy")/10000</f>
        <v>20.402251101394548</v>
      </c>
      <c r="FF261" s="75">
        <f t="shared" si="28"/>
        <v>8.1609004405578194</v>
      </c>
      <c r="FG261" s="75">
        <f t="shared" si="29"/>
        <v>8.1609004405578194</v>
      </c>
      <c r="FJ261" s="3"/>
      <c r="FK261" s="77"/>
      <c r="FL261" s="3"/>
      <c r="FM261" s="3"/>
      <c r="FN261" s="3"/>
      <c r="FO261" s="3"/>
      <c r="FP261" s="3"/>
      <c r="FQ261" s="3"/>
      <c r="FR261" s="3"/>
      <c r="FS261" s="3"/>
    </row>
    <row r="262" spans="153:175" ht="14.4">
      <c r="EW262" s="3" t="e">
        <f>Cal!#REF!</f>
        <v>#REF!</v>
      </c>
      <c r="EX262" s="77" t="s">
        <v>498</v>
      </c>
      <c r="EY262" s="3">
        <v>50</v>
      </c>
      <c r="EZ262" s="3">
        <v>50</v>
      </c>
      <c r="FA262" s="3" t="s">
        <v>710</v>
      </c>
      <c r="FB262" s="75" cm="1">
        <f t="array" ref="FB262">_xll.DCEPropSectBox(EY262, EZ262, FA262, 1, 1, "Area")/100</f>
        <v>5.8839583199277863</v>
      </c>
      <c r="FC262" s="75">
        <f t="shared" si="30"/>
        <v>4.6189072811433123</v>
      </c>
      <c r="FD262" s="75" cm="1">
        <f t="array" ref="FD262">_xll.DCEPropSectBox(EY262, EZ262, FA262, 1, 1, "Ix")/10000</f>
        <v>20.854255114247682</v>
      </c>
      <c r="FE262" s="75" cm="1">
        <f t="array" ref="FE262">_xll.DCEPropSectBox(EY262, EZ262, FA262, 1, 1, "Iy")/10000</f>
        <v>20.854255114247682</v>
      </c>
      <c r="FF262" s="75">
        <f t="shared" ref="FF262:FF325" si="31">FD262/(EZ262/20)</f>
        <v>8.3417020456990727</v>
      </c>
      <c r="FG262" s="75">
        <f t="shared" ref="FG262:FG325" si="32">FE262/(EY262/20)</f>
        <v>8.3417020456990727</v>
      </c>
      <c r="FJ262" s="3"/>
      <c r="FK262" s="77"/>
      <c r="FL262" s="3"/>
      <c r="FM262" s="3"/>
      <c r="FN262" s="3"/>
      <c r="FO262" s="3"/>
      <c r="FP262" s="3"/>
      <c r="FQ262" s="3"/>
      <c r="FR262" s="3"/>
      <c r="FS262" s="3"/>
    </row>
    <row r="263" spans="153:175" ht="14.4">
      <c r="EW263" s="3" t="e">
        <f>Cal!#REF!</f>
        <v>#REF!</v>
      </c>
      <c r="EX263" s="77" t="s">
        <v>499</v>
      </c>
      <c r="EY263" s="3">
        <v>50</v>
      </c>
      <c r="EZ263" s="3">
        <v>50</v>
      </c>
      <c r="FA263" s="3" t="s">
        <v>711</v>
      </c>
      <c r="FB263" s="75" cm="1">
        <f t="array" ref="FB263">_xll.DCEPropSectBox(EY263, EZ263, FA263, 1, 1, "Area")/100</f>
        <v>6.0399043322649399</v>
      </c>
      <c r="FC263" s="75">
        <f t="shared" ref="FC263:FC326" si="33">7850*(FB263/10000)</f>
        <v>4.7413249008279772</v>
      </c>
      <c r="FD263" s="75" cm="1">
        <f t="array" ref="FD263">_xll.DCEPropSectBox(EY263, EZ263, FA263, 1, 1, "Ix")/10000</f>
        <v>21.296003952873331</v>
      </c>
      <c r="FE263" s="75" cm="1">
        <f t="array" ref="FE263">_xll.DCEPropSectBox(EY263, EZ263, FA263, 1, 1, "Iy")/10000</f>
        <v>21.296003952873331</v>
      </c>
      <c r="FF263" s="75">
        <f t="shared" si="31"/>
        <v>8.5184015811493321</v>
      </c>
      <c r="FG263" s="75">
        <f t="shared" si="32"/>
        <v>8.5184015811493321</v>
      </c>
      <c r="FJ263" s="3"/>
      <c r="FK263" s="77"/>
      <c r="FL263" s="3"/>
      <c r="FM263" s="3"/>
      <c r="FN263" s="3"/>
      <c r="FO263" s="3"/>
      <c r="FP263" s="3"/>
      <c r="FQ263" s="3"/>
      <c r="FR263" s="3"/>
      <c r="FS263" s="3"/>
    </row>
    <row r="264" spans="153:175" ht="14.4">
      <c r="EW264" s="3" t="e">
        <f>Cal!#REF!</f>
        <v>#REF!</v>
      </c>
      <c r="EX264" s="77" t="s">
        <v>500</v>
      </c>
      <c r="EY264" s="3">
        <v>40</v>
      </c>
      <c r="EZ264" s="3">
        <v>80</v>
      </c>
      <c r="FA264" s="3" t="s">
        <v>689</v>
      </c>
      <c r="FB264" s="75" cm="1">
        <f t="array" ref="FB264">_xll.DCEPropSectBox(EY264, EZ264, FA264, 1, 1, "Area")/100</f>
        <v>2.3342477796076939</v>
      </c>
      <c r="FC264" s="75">
        <f t="shared" si="33"/>
        <v>1.8323845069920397</v>
      </c>
      <c r="FD264" s="75" cm="1">
        <f t="array" ref="FD264">_xll.DCEPropSectBox(EY264, EZ264, FA264, 1, 1, "Ix")/10000</f>
        <v>19.983716034780205</v>
      </c>
      <c r="FE264" s="75" cm="1">
        <f t="array" ref="FE264">_xll.DCEPropSectBox(EY264, EZ264, FA264, 1, 1, "Iy")/10000</f>
        <v>6.8988075698406934</v>
      </c>
      <c r="FF264" s="75">
        <f t="shared" si="31"/>
        <v>4.9959290086950512</v>
      </c>
      <c r="FG264" s="75">
        <f t="shared" si="32"/>
        <v>3.4494037849203467</v>
      </c>
      <c r="FJ264" s="3"/>
      <c r="FK264" s="77"/>
      <c r="FL264" s="3"/>
      <c r="FM264" s="3"/>
      <c r="FN264" s="3"/>
      <c r="FO264" s="3"/>
      <c r="FP264" s="3"/>
      <c r="FQ264" s="3"/>
      <c r="FR264" s="3"/>
      <c r="FS264" s="3"/>
    </row>
    <row r="265" spans="153:175" ht="14.4">
      <c r="EW265" s="3" t="e">
        <f>Cal!#REF!</f>
        <v>#REF!</v>
      </c>
      <c r="EX265" s="77" t="s">
        <v>501</v>
      </c>
      <c r="EY265" s="3">
        <v>40</v>
      </c>
      <c r="EZ265" s="3">
        <v>80</v>
      </c>
      <c r="FA265" s="3" t="s">
        <v>690</v>
      </c>
      <c r="FB265" s="75" cm="1">
        <f t="array" ref="FB265">_xll.DCEPropSectBox(EY265, EZ265, FA265, 1, 1, "Area")/100</f>
        <v>2.5604398133253095</v>
      </c>
      <c r="FC265" s="75">
        <f t="shared" si="33"/>
        <v>2.0099452534603679</v>
      </c>
      <c r="FD265" s="75" cm="1">
        <f t="array" ref="FD265">_xll.DCEPropSectBox(EY265, EZ265, FA265, 1, 1, "Ix")/10000</f>
        <v>21.836326547560624</v>
      </c>
      <c r="FE265" s="75" cm="1">
        <f t="array" ref="FE265">_xll.DCEPropSectBox(EY265, EZ265, FA265, 1, 1, "Iy")/10000</f>
        <v>7.5280411567164629</v>
      </c>
      <c r="FF265" s="75">
        <f t="shared" si="31"/>
        <v>5.459081636890156</v>
      </c>
      <c r="FG265" s="75">
        <f t="shared" si="32"/>
        <v>3.7640205783582315</v>
      </c>
      <c r="FJ265" s="3"/>
      <c r="FK265" s="77"/>
      <c r="FL265" s="3"/>
      <c r="FM265" s="3"/>
      <c r="FN265" s="3"/>
      <c r="FO265" s="3"/>
      <c r="FP265" s="3"/>
      <c r="FQ265" s="3"/>
      <c r="FR265" s="3"/>
      <c r="FS265" s="3"/>
    </row>
    <row r="266" spans="153:175" ht="14.4">
      <c r="EW266" s="3" t="e">
        <f>Cal!#REF!</f>
        <v>#REF!</v>
      </c>
      <c r="EX266" s="77" t="s">
        <v>502</v>
      </c>
      <c r="EY266" s="3">
        <v>40</v>
      </c>
      <c r="EZ266" s="3">
        <v>80</v>
      </c>
      <c r="FA266" s="3" t="s">
        <v>691</v>
      </c>
      <c r="FB266" s="75" cm="1">
        <f t="array" ref="FB266">_xll.DCEPropSectBox(EY266, EZ266, FA266, 1, 1, "Area")/100</f>
        <v>2.7853168026350783</v>
      </c>
      <c r="FC266" s="75">
        <f t="shared" si="33"/>
        <v>2.1864736900685364</v>
      </c>
      <c r="FD266" s="75" cm="1">
        <f t="array" ref="FD266">_xll.DCEPropSectBox(EY266, EZ266, FA266, 1, 1, "Ix")/10000</f>
        <v>23.662966531381151</v>
      </c>
      <c r="FE266" s="75" cm="1">
        <f t="array" ref="FE266">_xll.DCEPropSectBox(EY266, EZ266, FA266, 1, 1, "Iy")/10000</f>
        <v>8.1466050302898534</v>
      </c>
      <c r="FF266" s="75">
        <f t="shared" si="31"/>
        <v>5.9157416328452879</v>
      </c>
      <c r="FG266" s="75">
        <f t="shared" si="32"/>
        <v>4.0733025151449267</v>
      </c>
      <c r="FJ266" s="3"/>
      <c r="FK266" s="77"/>
      <c r="FL266" s="3"/>
      <c r="FM266" s="3"/>
      <c r="FN266" s="3"/>
      <c r="FO266" s="3"/>
      <c r="FP266" s="3"/>
      <c r="FQ266" s="3"/>
      <c r="FR266" s="3"/>
      <c r="FS266" s="3"/>
    </row>
    <row r="267" spans="153:175" ht="14.4">
      <c r="EW267" s="3" t="e">
        <f>Cal!#REF!</f>
        <v>#REF!</v>
      </c>
      <c r="EX267" s="77" t="s">
        <v>503</v>
      </c>
      <c r="EY267" s="3">
        <v>40</v>
      </c>
      <c r="EZ267" s="3">
        <v>80</v>
      </c>
      <c r="FA267" s="3" t="s">
        <v>692</v>
      </c>
      <c r="FB267" s="75" cm="1">
        <f t="array" ref="FB267">_xll.DCEPropSectBox(EY267, EZ267, FA267, 1, 1, "Area")/100</f>
        <v>3.2311256480310795</v>
      </c>
      <c r="FC267" s="75">
        <f t="shared" si="33"/>
        <v>2.5364336337043976</v>
      </c>
      <c r="FD267" s="75" cm="1">
        <f t="array" ref="FD267">_xll.DCEPropSectBox(EY267, EZ267, FA267, 1, 1, "Ix")/10000</f>
        <v>27.238862412756699</v>
      </c>
      <c r="FE267" s="75" cm="1">
        <f t="array" ref="FE267">_xll.DCEPropSectBox(EY267, EZ267, FA267, 1, 1, "Iy")/10000</f>
        <v>9.3520766955119026</v>
      </c>
      <c r="FF267" s="75">
        <f t="shared" si="31"/>
        <v>6.8097156031891748</v>
      </c>
      <c r="FG267" s="75">
        <f t="shared" si="32"/>
        <v>4.6760383477559513</v>
      </c>
      <c r="FJ267" s="3"/>
      <c r="FK267" s="77"/>
      <c r="FL267" s="3"/>
      <c r="FM267" s="3"/>
      <c r="FN267" s="3"/>
      <c r="FO267" s="3"/>
      <c r="FP267" s="3"/>
      <c r="FQ267" s="3"/>
      <c r="FR267" s="3"/>
      <c r="FS267" s="3"/>
    </row>
    <row r="268" spans="153:175" ht="14.4">
      <c r="EW268" s="3" t="e">
        <f>Cal!#REF!</f>
        <v>#REF!</v>
      </c>
      <c r="EX268" s="77" t="s">
        <v>504</v>
      </c>
      <c r="EY268" s="3">
        <v>40</v>
      </c>
      <c r="EZ268" s="3">
        <v>80</v>
      </c>
      <c r="FA268" s="3" t="s">
        <v>693</v>
      </c>
      <c r="FB268" s="75" cm="1">
        <f t="array" ref="FB268">_xll.DCEPropSectBox(EY268, EZ268, FA268, 1, 1, "Area")/100</f>
        <v>3.4520575041173114</v>
      </c>
      <c r="FC268" s="75">
        <f t="shared" si="33"/>
        <v>2.7098651407320893</v>
      </c>
      <c r="FD268" s="75" cm="1">
        <f t="array" ref="FD268">_xll.DCEPropSectBox(EY268, EZ268, FA268, 1, 1, "Ix")/10000</f>
        <v>28.988381348669286</v>
      </c>
      <c r="FE268" s="75" cm="1">
        <f t="array" ref="FE268">_xll.DCEPropSectBox(EY268, EZ268, FA268, 1, 1, "Iy")/10000</f>
        <v>9.9391603042023267</v>
      </c>
      <c r="FF268" s="75">
        <f t="shared" si="31"/>
        <v>7.2470953371673215</v>
      </c>
      <c r="FG268" s="75">
        <f t="shared" si="32"/>
        <v>4.9695801521011633</v>
      </c>
      <c r="FJ268" s="3"/>
      <c r="FK268" s="77"/>
      <c r="FL268" s="3"/>
      <c r="FM268" s="3"/>
      <c r="FN268" s="3"/>
      <c r="FO268" s="3"/>
      <c r="FP268" s="3"/>
      <c r="FQ268" s="3"/>
      <c r="FR268" s="3"/>
      <c r="FS268" s="3"/>
    </row>
    <row r="269" spans="153:175" ht="14.4">
      <c r="EW269" s="3" t="e">
        <f>Cal!#REF!</f>
        <v>#REF!</v>
      </c>
      <c r="EX269" s="77" t="s">
        <v>505</v>
      </c>
      <c r="EY269" s="3">
        <v>40</v>
      </c>
      <c r="EZ269" s="3">
        <v>80</v>
      </c>
      <c r="FA269" s="3" t="s">
        <v>694</v>
      </c>
      <c r="FB269" s="75" cm="1">
        <f t="array" ref="FB269">_xll.DCEPropSectBox(EY269, EZ269, FA269, 1, 1, "Area")/100</f>
        <v>3.6716743157956961</v>
      </c>
      <c r="FC269" s="75">
        <f t="shared" si="33"/>
        <v>2.8822643378996213</v>
      </c>
      <c r="FD269" s="75" cm="1">
        <f t="array" ref="FD269">_xll.DCEPropSectBox(EY269, EZ269, FA269, 1, 1, "Ix")/10000</f>
        <v>30.712455832337128</v>
      </c>
      <c r="FE269" s="75" cm="1">
        <f t="array" ref="FE269">_xll.DCEPropSectBox(EY269, EZ269, FA269, 1, 1, "Iy")/10000</f>
        <v>10.515925833673911</v>
      </c>
      <c r="FF269" s="75">
        <f t="shared" si="31"/>
        <v>7.6781139580842819</v>
      </c>
      <c r="FG269" s="75">
        <f t="shared" si="32"/>
        <v>5.2579629168369557</v>
      </c>
      <c r="FJ269" s="3"/>
      <c r="FK269" s="77"/>
      <c r="FL269" s="3"/>
      <c r="FM269" s="3"/>
      <c r="FN269" s="3"/>
      <c r="FO269" s="3"/>
      <c r="FP269" s="3"/>
      <c r="FQ269" s="3"/>
      <c r="FR269" s="3"/>
      <c r="FS269" s="3"/>
    </row>
    <row r="270" spans="153:175" ht="14.4">
      <c r="EW270" s="3" t="e">
        <f>Cal!#REF!</f>
        <v>#REF!</v>
      </c>
      <c r="EX270" s="77" t="s">
        <v>506</v>
      </c>
      <c r="EY270" s="3">
        <v>40</v>
      </c>
      <c r="EZ270" s="3">
        <v>80</v>
      </c>
      <c r="FA270" s="3" t="s">
        <v>695</v>
      </c>
      <c r="FB270" s="75" cm="1">
        <f t="array" ref="FB270">_xll.DCEPropSectBox(EY270, EZ270, FA270, 1, 1, "Area")/100</f>
        <v>3.8899760830662355</v>
      </c>
      <c r="FC270" s="75">
        <f t="shared" si="33"/>
        <v>3.053631225206995</v>
      </c>
      <c r="FD270" s="75" cm="1">
        <f t="array" ref="FD270">_xll.DCEPropSectBox(EY270, EZ270, FA270, 1, 1, "Ix")/10000</f>
        <v>32.411216670989532</v>
      </c>
      <c r="FE270" s="75" cm="1">
        <f t="array" ref="FE270">_xll.DCEPropSectBox(EY270, EZ270, FA270, 1, 1, "Iy")/10000</f>
        <v>11.082460480498083</v>
      </c>
      <c r="FF270" s="75">
        <f t="shared" si="31"/>
        <v>8.102804167747383</v>
      </c>
      <c r="FG270" s="75">
        <f t="shared" si="32"/>
        <v>5.5412302402490416</v>
      </c>
      <c r="FJ270" s="3"/>
      <c r="FK270" s="77"/>
      <c r="FL270" s="3"/>
      <c r="FM270" s="3"/>
      <c r="FN270" s="3"/>
      <c r="FO270" s="3"/>
      <c r="FP270" s="3"/>
      <c r="FQ270" s="3"/>
      <c r="FR270" s="3"/>
      <c r="FS270" s="3"/>
    </row>
    <row r="271" spans="153:175" ht="14.4">
      <c r="EW271" s="3" t="e">
        <f>Cal!#REF!</f>
        <v>#REF!</v>
      </c>
      <c r="EX271" s="77" t="s">
        <v>507</v>
      </c>
      <c r="EY271" s="3">
        <v>40</v>
      </c>
      <c r="EZ271" s="3">
        <v>80</v>
      </c>
      <c r="FA271" s="3" t="s">
        <v>696</v>
      </c>
      <c r="FB271" s="75" cm="1">
        <f t="array" ref="FB271">_xll.DCEPropSectBox(EY271, EZ271, FA271, 1, 1, "Area")/100</f>
        <v>4.1069628059289283</v>
      </c>
      <c r="FC271" s="75">
        <f t="shared" si="33"/>
        <v>3.2239658026542086</v>
      </c>
      <c r="FD271" s="75" cm="1">
        <f t="array" ref="FD271">_xll.DCEPropSectBox(EY271, EZ271, FA271, 1, 1, "Ix")/10000</f>
        <v>34.084794387076023</v>
      </c>
      <c r="FE271" s="75" cm="1">
        <f t="array" ref="FE271">_xll.DCEPropSectBox(EY271, EZ271, FA271, 1, 1, "Iy")/10000</f>
        <v>11.638851156466568</v>
      </c>
      <c r="FF271" s="75">
        <f t="shared" si="31"/>
        <v>8.5211985967690058</v>
      </c>
      <c r="FG271" s="75">
        <f t="shared" si="32"/>
        <v>5.8194255782332842</v>
      </c>
      <c r="FJ271" s="3"/>
      <c r="FK271" s="77"/>
      <c r="FL271" s="3"/>
      <c r="FM271" s="3"/>
      <c r="FN271" s="3"/>
      <c r="FO271" s="3"/>
      <c r="FP271" s="3"/>
      <c r="FQ271" s="3"/>
      <c r="FR271" s="3"/>
      <c r="FS271" s="3"/>
    </row>
    <row r="272" spans="153:175" ht="14.4">
      <c r="EW272" s="3" t="e">
        <f>Cal!#REF!</f>
        <v>#REF!</v>
      </c>
      <c r="EX272" s="77" t="s">
        <v>508</v>
      </c>
      <c r="EY272" s="3">
        <v>40</v>
      </c>
      <c r="EZ272" s="3">
        <v>80</v>
      </c>
      <c r="FA272" s="3" t="s">
        <v>697</v>
      </c>
      <c r="FB272" s="75" cm="1">
        <f t="array" ref="FB272">_xll.DCEPropSectBox(EY272, EZ272, FA272, 1, 1, "Area")/100</f>
        <v>4.3226344843837747</v>
      </c>
      <c r="FC272" s="75">
        <f t="shared" si="33"/>
        <v>3.393268070241263</v>
      </c>
      <c r="FD272" s="75" cm="1">
        <f t="array" ref="FD272">_xll.DCEPropSectBox(EY272, EZ272, FA272, 1, 1, "Ix")/10000</f>
        <v>35.733319218266537</v>
      </c>
      <c r="FE272" s="75" cm="1">
        <f t="array" ref="FE272">_xll.DCEPropSectBox(EY272, EZ272, FA272, 1, 1, "Iy")/10000</f>
        <v>12.185184488591254</v>
      </c>
      <c r="FF272" s="75">
        <f t="shared" si="31"/>
        <v>8.9333298045666343</v>
      </c>
      <c r="FG272" s="75">
        <f t="shared" si="32"/>
        <v>6.0925922442956271</v>
      </c>
      <c r="FJ272" s="3"/>
      <c r="FK272" s="77"/>
      <c r="FL272" s="3"/>
      <c r="FM272" s="3"/>
      <c r="FN272" s="3"/>
      <c r="FO272" s="3"/>
      <c r="FP272" s="3"/>
      <c r="FQ272" s="3"/>
      <c r="FR272" s="3"/>
      <c r="FS272" s="3"/>
    </row>
    <row r="273" spans="153:175" ht="14.4">
      <c r="EW273" s="3" t="e">
        <f>Cal!#REF!</f>
        <v>#REF!</v>
      </c>
      <c r="EX273" s="77" t="s">
        <v>509</v>
      </c>
      <c r="EY273" s="3">
        <v>40</v>
      </c>
      <c r="EZ273" s="3">
        <v>80</v>
      </c>
      <c r="FA273" s="3" t="s">
        <v>698</v>
      </c>
      <c r="FB273" s="75" cm="1">
        <f t="array" ref="FB273">_xll.DCEPropSectBox(EY273, EZ273, FA273, 1, 1, "Area")/100</f>
        <v>4.536991118430775</v>
      </c>
      <c r="FC273" s="75">
        <f t="shared" si="33"/>
        <v>3.5615380279681585</v>
      </c>
      <c r="FD273" s="75" cm="1">
        <f t="array" ref="FD273">_xll.DCEPropSectBox(EY273, EZ273, FA273, 1, 1, "Ix")/10000</f>
        <v>37.356921117451058</v>
      </c>
      <c r="FE273" s="75" cm="1">
        <f t="array" ref="FE273">_xll.DCEPropSectBox(EY273, EZ273, FA273, 1, 1, "Iy")/10000</f>
        <v>12.721546819104326</v>
      </c>
      <c r="FF273" s="75">
        <f t="shared" si="31"/>
        <v>9.3392302793627646</v>
      </c>
      <c r="FG273" s="75">
        <f t="shared" si="32"/>
        <v>6.3607734095521629</v>
      </c>
      <c r="FJ273" s="3"/>
      <c r="FK273" s="77"/>
      <c r="FL273" s="3"/>
      <c r="FM273" s="3"/>
      <c r="FN273" s="3"/>
      <c r="FO273" s="3"/>
      <c r="FP273" s="3"/>
      <c r="FQ273" s="3"/>
      <c r="FR273" s="3"/>
      <c r="FS273" s="3"/>
    </row>
    <row r="274" spans="153:175" ht="14.4">
      <c r="EW274" s="3" t="e">
        <f>Cal!#REF!</f>
        <v>#REF!</v>
      </c>
      <c r="EX274" s="77" t="s">
        <v>510</v>
      </c>
      <c r="EY274" s="3">
        <v>40</v>
      </c>
      <c r="EZ274" s="3">
        <v>80</v>
      </c>
      <c r="FA274" s="3" t="s">
        <v>699</v>
      </c>
      <c r="FB274" s="75" cm="1">
        <f t="array" ref="FB274">_xll.DCEPropSectBox(EY274, EZ274, FA274, 1, 1, "Area")/100</f>
        <v>4.7500327080699298</v>
      </c>
      <c r="FC274" s="75">
        <f t="shared" si="33"/>
        <v>3.7287756758348949</v>
      </c>
      <c r="FD274" s="75" cm="1">
        <f t="array" ref="FD274">_xll.DCEPropSectBox(EY274, EZ274, FA274, 1, 1, "Ix")/10000</f>
        <v>38.955729752739842</v>
      </c>
      <c r="FE274" s="75" cm="1">
        <f t="array" ref="FE274">_xll.DCEPropSectBox(EY274, EZ274, FA274, 1, 1, "Iy")/10000</f>
        <v>13.248024205458135</v>
      </c>
      <c r="FF274" s="75">
        <f t="shared" si="31"/>
        <v>9.7389324381849605</v>
      </c>
      <c r="FG274" s="75">
        <f t="shared" si="32"/>
        <v>6.6240121027290675</v>
      </c>
      <c r="FJ274" s="3"/>
      <c r="FK274" s="77"/>
      <c r="FL274" s="3"/>
      <c r="FM274" s="3"/>
      <c r="FN274" s="3"/>
      <c r="FO274" s="3"/>
      <c r="FP274" s="3"/>
      <c r="FQ274" s="3"/>
      <c r="FR274" s="3"/>
      <c r="FS274" s="3"/>
    </row>
    <row r="275" spans="153:175" ht="14.4">
      <c r="EW275" s="3" t="e">
        <f>Cal!#REF!</f>
        <v>#REF!</v>
      </c>
      <c r="EX275" s="77" t="s">
        <v>511</v>
      </c>
      <c r="EY275" s="3">
        <v>40</v>
      </c>
      <c r="EZ275" s="3">
        <v>80</v>
      </c>
      <c r="FA275" s="3" t="s">
        <v>700</v>
      </c>
      <c r="FB275" s="75" cm="1">
        <f t="array" ref="FB275">_xll.DCEPropSectBox(EY275, EZ275, FA275, 1, 1, "Area")/100</f>
        <v>4.9617592533012385</v>
      </c>
      <c r="FC275" s="75">
        <f t="shared" si="33"/>
        <v>3.8949810138414724</v>
      </c>
      <c r="FD275" s="75" cm="1">
        <f t="array" ref="FD275">_xll.DCEPropSectBox(EY275, EZ275, FA275, 1, 1, "Ix")/10000</f>
        <v>40.529874507463319</v>
      </c>
      <c r="FE275" s="75" cm="1">
        <f t="array" ref="FE275">_xll.DCEPropSectBox(EY275, EZ275, FA275, 1, 1, "Iy")/10000</f>
        <v>13.764702420325289</v>
      </c>
      <c r="FF275" s="75">
        <f t="shared" si="31"/>
        <v>10.13246862686583</v>
      </c>
      <c r="FG275" s="75">
        <f t="shared" si="32"/>
        <v>6.8823512101626445</v>
      </c>
      <c r="FJ275" s="3"/>
      <c r="FK275" s="77"/>
      <c r="FL275" s="3"/>
      <c r="FM275" s="3"/>
      <c r="FN275" s="3"/>
      <c r="FO275" s="3"/>
      <c r="FP275" s="3"/>
      <c r="FQ275" s="3"/>
      <c r="FR275" s="3"/>
      <c r="FS275" s="3"/>
    </row>
    <row r="276" spans="153:175" ht="14.4">
      <c r="EW276" s="3" t="e">
        <f>Cal!#REF!</f>
        <v>#REF!</v>
      </c>
      <c r="EX276" s="77" t="s">
        <v>512</v>
      </c>
      <c r="EY276" s="3">
        <v>40</v>
      </c>
      <c r="EZ276" s="3">
        <v>80</v>
      </c>
      <c r="FA276" s="3" t="s">
        <v>701</v>
      </c>
      <c r="FB276" s="75" cm="1">
        <f t="array" ref="FB276">_xll.DCEPropSectBox(EY276, EZ276, FA276, 1, 1, "Area")/100</f>
        <v>5.1721707541247008</v>
      </c>
      <c r="FC276" s="75">
        <f t="shared" si="33"/>
        <v>4.0601540419878894</v>
      </c>
      <c r="FD276" s="75" cm="1">
        <f t="array" ref="FD276">_xll.DCEPropSectBox(EY276, EZ276, FA276, 1, 1, "Ix")/10000</f>
        <v>42.079484480172255</v>
      </c>
      <c r="FE276" s="75" cm="1">
        <f t="array" ref="FE276">_xll.DCEPropSectBox(EY276, EZ276, FA276, 1, 1, "Iy")/10000</f>
        <v>14.271666951598638</v>
      </c>
      <c r="FF276" s="75">
        <f t="shared" si="31"/>
        <v>10.519871120043064</v>
      </c>
      <c r="FG276" s="75">
        <f t="shared" si="32"/>
        <v>7.1358334757993189</v>
      </c>
      <c r="FJ276" s="3"/>
      <c r="FK276" s="77"/>
      <c r="FL276" s="3"/>
      <c r="FM276" s="3"/>
      <c r="FN276" s="3"/>
      <c r="FO276" s="3"/>
      <c r="FP276" s="3"/>
      <c r="FQ276" s="3"/>
      <c r="FR276" s="3"/>
      <c r="FS276" s="3"/>
    </row>
    <row r="277" spans="153:175" ht="14.4">
      <c r="EW277" s="3" t="e">
        <f>Cal!#REF!</f>
        <v>#REF!</v>
      </c>
      <c r="EX277" s="77" t="s">
        <v>513</v>
      </c>
      <c r="EY277" s="3">
        <v>40</v>
      </c>
      <c r="EZ277" s="3">
        <v>80</v>
      </c>
      <c r="FA277" s="3" t="s">
        <v>702</v>
      </c>
      <c r="FB277" s="75" cm="1">
        <f t="array" ref="FB277">_xll.DCEPropSectBox(EY277, EZ277, FA277, 1, 1, "Area")/100</f>
        <v>5.381267210540317</v>
      </c>
      <c r="FC277" s="75">
        <f t="shared" si="33"/>
        <v>4.224294760274149</v>
      </c>
      <c r="FD277" s="75" cm="1">
        <f t="array" ref="FD277">_xll.DCEPropSectBox(EY277, EZ277, FA277, 1, 1, "Ix")/10000</f>
        <v>43.604688484637634</v>
      </c>
      <c r="FE277" s="75" cm="1">
        <f t="array" ref="FE277">_xll.DCEPropSectBox(EY277, EZ277, FA277, 1, 1, "Iy")/10000</f>
        <v>14.769003002391244</v>
      </c>
      <c r="FF277" s="75">
        <f t="shared" si="31"/>
        <v>10.901172121159409</v>
      </c>
      <c r="FG277" s="75">
        <f t="shared" si="32"/>
        <v>7.3845015011956221</v>
      </c>
      <c r="FJ277" s="3"/>
      <c r="FK277" s="77"/>
      <c r="FL277" s="3"/>
      <c r="FM277" s="3"/>
      <c r="FN277" s="3"/>
      <c r="FO277" s="3"/>
      <c r="FP277" s="3"/>
      <c r="FQ277" s="3"/>
      <c r="FR277" s="3"/>
      <c r="FS277" s="3"/>
    </row>
    <row r="278" spans="153:175" ht="14.4">
      <c r="EW278" s="3" t="e">
        <f>Cal!#REF!</f>
        <v>#REF!</v>
      </c>
      <c r="EX278" s="77" t="s">
        <v>514</v>
      </c>
      <c r="EY278" s="3">
        <v>40</v>
      </c>
      <c r="EZ278" s="3">
        <v>80</v>
      </c>
      <c r="FA278" s="3" t="s">
        <v>703</v>
      </c>
      <c r="FB278" s="75" cm="1">
        <f t="array" ref="FB278">_xll.DCEPropSectBox(EY278, EZ278, FA278, 1, 1, "Area")/100</f>
        <v>5.5890486225480869</v>
      </c>
      <c r="FC278" s="75">
        <f t="shared" si="33"/>
        <v>4.3874031687002484</v>
      </c>
      <c r="FD278" s="75" cm="1">
        <f t="array" ref="FD278">_xll.DCEPropSectBox(EY278, EZ278, FA278, 1, 1, "Ix")/10000</f>
        <v>45.105615049850634</v>
      </c>
      <c r="FE278" s="75" cm="1">
        <f t="array" ref="FE278">_xll.DCEPropSectBox(EY278, EZ278, FA278, 1, 1, "Iy")/10000</f>
        <v>15.256795491036431</v>
      </c>
      <c r="FF278" s="75">
        <f t="shared" si="31"/>
        <v>11.276403762462659</v>
      </c>
      <c r="FG278" s="75">
        <f t="shared" si="32"/>
        <v>7.6283977455182157</v>
      </c>
      <c r="FJ278" s="3"/>
      <c r="FK278" s="77"/>
      <c r="FL278" s="3"/>
      <c r="FM278" s="3"/>
      <c r="FN278" s="3"/>
      <c r="FO278" s="3"/>
      <c r="FP278" s="3"/>
      <c r="FQ278" s="3"/>
      <c r="FR278" s="3"/>
      <c r="FS278" s="3"/>
    </row>
    <row r="279" spans="153:175" ht="14.4">
      <c r="EW279" s="3" t="e">
        <f>Cal!#REF!</f>
        <v>#REF!</v>
      </c>
      <c r="EX279" s="77" t="s">
        <v>515</v>
      </c>
      <c r="EY279" s="3">
        <v>40</v>
      </c>
      <c r="EZ279" s="3">
        <v>80</v>
      </c>
      <c r="FA279" s="3" t="s">
        <v>704</v>
      </c>
      <c r="FB279" s="75" cm="1">
        <f t="array" ref="FB279">_xll.DCEPropSectBox(EY279, EZ279, FA279, 1, 1, "Area")/100</f>
        <v>6.0006663133400879</v>
      </c>
      <c r="FC279" s="75">
        <f t="shared" si="33"/>
        <v>4.7105230559719695</v>
      </c>
      <c r="FD279" s="75" cm="1">
        <f t="array" ref="FD279">_xll.DCEPropSectBox(EY279, EZ279, FA279, 1, 1, "Ix")/10000</f>
        <v>48.035148554585319</v>
      </c>
      <c r="FE279" s="75" cm="1">
        <f t="array" ref="FE279">_xll.DCEPropSectBox(EY279, EZ279, FA279, 1, 1, "Iy")/10000</f>
        <v>16.204088031318847</v>
      </c>
      <c r="FF279" s="75">
        <f t="shared" si="31"/>
        <v>12.00878713864633</v>
      </c>
      <c r="FG279" s="75">
        <f t="shared" si="32"/>
        <v>8.1020440156594233</v>
      </c>
      <c r="FJ279" s="3"/>
      <c r="FK279" s="77"/>
      <c r="FL279" s="3"/>
      <c r="FM279" s="3"/>
      <c r="FN279" s="3"/>
      <c r="FO279" s="3"/>
      <c r="FP279" s="3"/>
      <c r="FQ279" s="3"/>
      <c r="FR279" s="3"/>
      <c r="FS279" s="3"/>
    </row>
    <row r="280" spans="153:175" ht="14.4">
      <c r="EW280" s="3" t="e">
        <f>Cal!#REF!</f>
        <v>#REF!</v>
      </c>
      <c r="EX280" s="77" t="s">
        <v>516</v>
      </c>
      <c r="EY280" s="3">
        <v>40</v>
      </c>
      <c r="EZ280" s="3">
        <v>80</v>
      </c>
      <c r="FA280" s="3" t="s">
        <v>705</v>
      </c>
      <c r="FB280" s="75" cm="1">
        <f t="array" ref="FB280">_xll.DCEPropSectBox(EY280, EZ280, FA280, 1, 1, "Area")/100</f>
        <v>6.2045025921243191</v>
      </c>
      <c r="FC280" s="75">
        <f t="shared" si="33"/>
        <v>4.8705345348175904</v>
      </c>
      <c r="FD280" s="75" cm="1">
        <f t="array" ref="FD280">_xll.DCEPropSectBox(EY280, EZ280, FA280, 1, 1, "Ix")/10000</f>
        <v>49.464011128190506</v>
      </c>
      <c r="FE280" s="75" cm="1">
        <f t="array" ref="FE280">_xll.DCEPropSectBox(EY280, EZ280, FA280, 1, 1, "Iy")/10000</f>
        <v>16.663756495723845</v>
      </c>
      <c r="FF280" s="75">
        <f t="shared" si="31"/>
        <v>12.366002782047627</v>
      </c>
      <c r="FG280" s="75">
        <f t="shared" si="32"/>
        <v>8.3318782478619227</v>
      </c>
      <c r="FJ280" s="3"/>
      <c r="FK280" s="77"/>
      <c r="FL280" s="3"/>
      <c r="FM280" s="3"/>
      <c r="FN280" s="3"/>
      <c r="FO280" s="3"/>
      <c r="FP280" s="3"/>
      <c r="FQ280" s="3"/>
      <c r="FR280" s="3"/>
      <c r="FS280" s="3"/>
    </row>
    <row r="281" spans="153:175" ht="14.4">
      <c r="EW281" s="3" t="e">
        <f>Cal!#REF!</f>
        <v>#REF!</v>
      </c>
      <c r="EX281" s="77" t="s">
        <v>517</v>
      </c>
      <c r="EY281" s="3">
        <v>40</v>
      </c>
      <c r="EZ281" s="3">
        <v>80</v>
      </c>
      <c r="FA281" s="3" t="s">
        <v>706</v>
      </c>
      <c r="FB281" s="75" cm="1">
        <f t="array" ref="FB281">_xll.DCEPropSectBox(EY281, EZ281, FA281, 1, 1, "Area")/100</f>
        <v>6.4070238265007049</v>
      </c>
      <c r="FC281" s="75">
        <f t="shared" si="33"/>
        <v>5.0295137038030537</v>
      </c>
      <c r="FD281" s="75" cm="1">
        <f t="array" ref="FD281">_xll.DCEPropSectBox(EY281, EZ281, FA281, 1, 1, "Ix")/10000</f>
        <v>50.86910753071038</v>
      </c>
      <c r="FE281" s="75" cm="1">
        <f t="array" ref="FE281">_xll.DCEPropSectBox(EY281, EZ281, FA281, 1, 1, "Iy")/10000</f>
        <v>17.114218223516904</v>
      </c>
      <c r="FF281" s="75">
        <f t="shared" si="31"/>
        <v>12.717276882677595</v>
      </c>
      <c r="FG281" s="75">
        <f t="shared" si="32"/>
        <v>8.5571091117584519</v>
      </c>
      <c r="FJ281" s="3"/>
      <c r="FK281" s="77"/>
      <c r="FL281" s="3"/>
      <c r="FM281" s="3"/>
      <c r="FN281" s="3"/>
      <c r="FO281" s="3"/>
      <c r="FP281" s="3"/>
      <c r="FQ281" s="3"/>
      <c r="FR281" s="3"/>
      <c r="FS281" s="3"/>
    </row>
    <row r="282" spans="153:175" ht="14.4">
      <c r="EW282" s="3" t="e">
        <f>Cal!#REF!</f>
        <v>#REF!</v>
      </c>
      <c r="EX282" s="77" t="s">
        <v>518</v>
      </c>
      <c r="EY282" s="3">
        <v>40</v>
      </c>
      <c r="EZ282" s="3">
        <v>80</v>
      </c>
      <c r="FA282" s="3" t="s">
        <v>707</v>
      </c>
      <c r="FB282" s="75" cm="1">
        <f t="array" ref="FB282">_xll.DCEPropSectBox(EY282, EZ282, FA282, 1, 1, "Area")/100</f>
        <v>6.6082300164692445</v>
      </c>
      <c r="FC282" s="75">
        <f t="shared" si="33"/>
        <v>5.187460562928357</v>
      </c>
      <c r="FD282" s="75" cm="1">
        <f t="array" ref="FD282">_xll.DCEPropSectBox(EY282, EZ282, FA282, 1, 1, "Ix")/10000</f>
        <v>52.250564867237252</v>
      </c>
      <c r="FE282" s="75" cm="1">
        <f t="array" ref="FE282">_xll.DCEPropSectBox(EY282, EZ282, FA282, 1, 1, "Iy")/10000</f>
        <v>17.555556709132514</v>
      </c>
      <c r="FF282" s="75">
        <f t="shared" si="31"/>
        <v>13.062641216809313</v>
      </c>
      <c r="FG282" s="75">
        <f t="shared" si="32"/>
        <v>8.7777783545662569</v>
      </c>
      <c r="FJ282" s="3"/>
      <c r="FK282" s="77"/>
      <c r="FL282" s="3"/>
      <c r="FM282" s="3"/>
      <c r="FN282" s="3"/>
      <c r="FO282" s="3"/>
      <c r="FP282" s="3"/>
      <c r="FQ282" s="3"/>
      <c r="FR282" s="3"/>
      <c r="FS282" s="3"/>
    </row>
    <row r="283" spans="153:175" ht="14.4">
      <c r="EW283" s="3" t="e">
        <f>Cal!#REF!</f>
        <v>#REF!</v>
      </c>
      <c r="EX283" s="77" t="s">
        <v>519</v>
      </c>
      <c r="EY283" s="3">
        <v>40</v>
      </c>
      <c r="EZ283" s="3">
        <v>80</v>
      </c>
      <c r="FA283" s="3" t="s">
        <v>708</v>
      </c>
      <c r="FB283" s="75" cm="1">
        <f t="array" ref="FB283">_xll.DCEPropSectBox(EY283, EZ283, FA283, 1, 1, "Area")/100</f>
        <v>6.8081211620299378</v>
      </c>
      <c r="FC283" s="75">
        <f t="shared" si="33"/>
        <v>5.344375112193501</v>
      </c>
      <c r="FD283" s="75" cm="1">
        <f t="array" ref="FD283">_xll.DCEPropSectBox(EY283, EZ283, FA283, 1, 1, "Ix")/10000</f>
        <v>53.608509958083694</v>
      </c>
      <c r="FE283" s="75" cm="1">
        <f t="array" ref="FE283">_xll.DCEPropSectBox(EY283, EZ283, FA283, 1, 1, "Iy")/10000</f>
        <v>17.987855162225337</v>
      </c>
      <c r="FF283" s="75">
        <f t="shared" si="31"/>
        <v>13.402127489520923</v>
      </c>
      <c r="FG283" s="75">
        <f t="shared" si="32"/>
        <v>8.9939275811126684</v>
      </c>
      <c r="FJ283" s="3"/>
      <c r="FK283" s="77"/>
      <c r="FL283" s="3"/>
      <c r="FM283" s="3"/>
      <c r="FN283" s="3"/>
      <c r="FO283" s="3"/>
      <c r="FP283" s="3"/>
      <c r="FQ283" s="3"/>
      <c r="FR283" s="3"/>
      <c r="FS283" s="3"/>
    </row>
    <row r="284" spans="153:175" ht="14.4">
      <c r="EW284" s="3" t="e">
        <f>Cal!#REF!</f>
        <v>#REF!</v>
      </c>
      <c r="EX284" s="77" t="s">
        <v>520</v>
      </c>
      <c r="EY284" s="3">
        <v>40</v>
      </c>
      <c r="EZ284" s="3">
        <v>80</v>
      </c>
      <c r="FA284" s="3" t="s">
        <v>709</v>
      </c>
      <c r="FB284" s="75" cm="1">
        <f t="array" ref="FB284">_xll.DCEPropSectBox(EY284, EZ284, FA284, 1, 1, "Area")/100</f>
        <v>7.006697263182784</v>
      </c>
      <c r="FC284" s="75">
        <f t="shared" si="33"/>
        <v>5.5002573515984858</v>
      </c>
      <c r="FD284" s="75" cm="1">
        <f t="array" ref="FD284">_xll.DCEPropSectBox(EY284, EZ284, FA284, 1, 1, "Ix")/10000</f>
        <v>54.943069338782458</v>
      </c>
      <c r="FE284" s="75" cm="1">
        <f t="array" ref="FE284">_xll.DCEPropSectBox(EY284, EZ284, FA284, 1, 1, "Iy")/10000</f>
        <v>18.411196507670272</v>
      </c>
      <c r="FF284" s="75">
        <f t="shared" si="31"/>
        <v>13.735767334695614</v>
      </c>
      <c r="FG284" s="75">
        <f t="shared" si="32"/>
        <v>9.2055982538351362</v>
      </c>
      <c r="FJ284" s="3"/>
      <c r="FK284" s="77"/>
      <c r="FL284" s="3"/>
      <c r="FM284" s="3"/>
      <c r="FN284" s="3"/>
      <c r="FO284" s="3"/>
      <c r="FP284" s="3"/>
      <c r="FQ284" s="3"/>
      <c r="FR284" s="3"/>
      <c r="FS284" s="3"/>
    </row>
    <row r="285" spans="153:175" ht="14.4">
      <c r="EW285" s="3" t="e">
        <f>Cal!#REF!</f>
        <v>#REF!</v>
      </c>
      <c r="EX285" s="77" t="s">
        <v>521</v>
      </c>
      <c r="EY285" s="3">
        <v>40</v>
      </c>
      <c r="EZ285" s="3">
        <v>80</v>
      </c>
      <c r="FA285" s="3" t="s">
        <v>711</v>
      </c>
      <c r="FB285" s="75" cm="1">
        <f t="array" ref="FB285">_xll.DCEPropSectBox(EY285, EZ285, FA285, 1, 1, "Area")/100</f>
        <v>7.3999043322649403</v>
      </c>
      <c r="FC285" s="75">
        <f t="shared" si="33"/>
        <v>5.8089249008279777</v>
      </c>
      <c r="FD285" s="75" cm="1">
        <f t="array" ref="FD285">_xll.DCEPropSectBox(EY285, EZ285, FA285, 1, 1, "Ix")/10000</f>
        <v>57.542535687969355</v>
      </c>
      <c r="FE285" s="75" cm="1">
        <f t="array" ref="FE285">_xll.DCEPropSectBox(EY285, EZ285, FA285, 1, 1, "Iy")/10000</f>
        <v>19.231338151217379</v>
      </c>
      <c r="FF285" s="75">
        <f t="shared" si="31"/>
        <v>14.385633921992339</v>
      </c>
      <c r="FG285" s="75">
        <f t="shared" si="32"/>
        <v>9.6156690756086896</v>
      </c>
      <c r="FJ285" s="3"/>
      <c r="FK285" s="77"/>
      <c r="FL285" s="3"/>
      <c r="FM285" s="3"/>
      <c r="FN285" s="3"/>
      <c r="FO285" s="3"/>
      <c r="FP285" s="3"/>
      <c r="FQ285" s="3"/>
      <c r="FR285" s="3"/>
      <c r="FS285" s="3"/>
    </row>
    <row r="286" spans="153:175" ht="14.4">
      <c r="EW286" s="3" t="e">
        <f>Cal!#REF!</f>
        <v>#REF!</v>
      </c>
      <c r="EX286" s="77" t="s">
        <v>522</v>
      </c>
      <c r="EY286" s="3">
        <v>40</v>
      </c>
      <c r="EZ286" s="3">
        <v>80</v>
      </c>
      <c r="FA286" s="3" t="s">
        <v>712</v>
      </c>
      <c r="FB286" s="75" cm="1">
        <f t="array" ref="FB286">_xll.DCEPropSectBox(EY286, EZ286, FA286, 1, 1, "Area")/100</f>
        <v>7.5945353001942486</v>
      </c>
      <c r="FC286" s="75">
        <f t="shared" si="33"/>
        <v>5.9617102106524849</v>
      </c>
      <c r="FD286" s="75" cm="1">
        <f t="array" ref="FD286">_xll.DCEPropSectBox(EY286, EZ286, FA286, 1, 1, "Ix")/10000</f>
        <v>58.807694303624295</v>
      </c>
      <c r="FE286" s="75" cm="1">
        <f t="array" ref="FE286">_xll.DCEPropSectBox(EY286, EZ286, FA286, 1, 1, "Iy")/10000</f>
        <v>19.62830287517053</v>
      </c>
      <c r="FF286" s="75">
        <f t="shared" si="31"/>
        <v>14.701923575906074</v>
      </c>
      <c r="FG286" s="75">
        <f t="shared" si="32"/>
        <v>9.8141514375852648</v>
      </c>
      <c r="FJ286" s="3"/>
      <c r="FK286" s="77"/>
      <c r="FL286" s="3"/>
      <c r="FM286" s="3"/>
      <c r="FN286" s="3"/>
      <c r="FO286" s="3"/>
      <c r="FP286" s="3"/>
      <c r="FQ286" s="3"/>
      <c r="FR286" s="3"/>
      <c r="FS286" s="3"/>
    </row>
    <row r="287" spans="153:175" ht="14.4">
      <c r="EW287" s="3" t="e">
        <f>Cal!#REF!</f>
        <v>#REF!</v>
      </c>
      <c r="EX287" s="77" t="s">
        <v>523</v>
      </c>
      <c r="EY287" s="3">
        <v>60</v>
      </c>
      <c r="EZ287" s="3">
        <v>60</v>
      </c>
      <c r="FA287" s="3" t="s">
        <v>689</v>
      </c>
      <c r="FB287" s="75" cm="1">
        <f t="array" ref="FB287">_xll.DCEPropSectBox(EY287, EZ287, FA287, 1, 1, "Area")/100</f>
        <v>2.3342477796076939</v>
      </c>
      <c r="FC287" s="75">
        <f t="shared" si="33"/>
        <v>1.8323845069920397</v>
      </c>
      <c r="FD287" s="75" cm="1">
        <f t="array" ref="FD287">_xll.DCEPropSectBox(EY287, EZ287, FA287, 1, 1, "Ix")/10000</f>
        <v>13.467014022702744</v>
      </c>
      <c r="FE287" s="75" cm="1">
        <f t="array" ref="FE287">_xll.DCEPropSectBox(EY287, EZ287, FA287, 1, 1, "Iy")/10000</f>
        <v>13.467014022702744</v>
      </c>
      <c r="FF287" s="75">
        <f t="shared" si="31"/>
        <v>4.4890046742342475</v>
      </c>
      <c r="FG287" s="75">
        <f t="shared" si="32"/>
        <v>4.4890046742342475</v>
      </c>
      <c r="FJ287" s="3"/>
      <c r="FK287" s="77"/>
      <c r="FL287" s="3"/>
      <c r="FM287" s="3"/>
      <c r="FN287" s="3"/>
      <c r="FO287" s="3"/>
      <c r="FP287" s="3"/>
      <c r="FQ287" s="3"/>
      <c r="FR287" s="3"/>
      <c r="FS287" s="3"/>
    </row>
    <row r="288" spans="153:175" ht="14.4">
      <c r="EW288" s="3" t="e">
        <f>Cal!#REF!</f>
        <v>#REF!</v>
      </c>
      <c r="EX288" s="77" t="s">
        <v>524</v>
      </c>
      <c r="EY288" s="3">
        <v>60</v>
      </c>
      <c r="EZ288" s="3">
        <v>60</v>
      </c>
      <c r="FA288" s="3" t="s">
        <v>690</v>
      </c>
      <c r="FB288" s="75" cm="1">
        <f t="array" ref="FB288">_xll.DCEPropSectBox(EY288, EZ288, FA288, 1, 1, "Area")/100</f>
        <v>2.5604398133253095</v>
      </c>
      <c r="FC288" s="75">
        <f t="shared" si="33"/>
        <v>2.0099452534603679</v>
      </c>
      <c r="FD288" s="75" cm="1">
        <f t="array" ref="FD288">_xll.DCEPropSectBox(EY288, EZ288, FA288, 1, 1, "Ix")/10000</f>
        <v>14.713344038813212</v>
      </c>
      <c r="FE288" s="75" cm="1">
        <f t="array" ref="FE288">_xll.DCEPropSectBox(EY288, EZ288, FA288, 1, 1, "Iy")/10000</f>
        <v>14.713344038813212</v>
      </c>
      <c r="FF288" s="75">
        <f t="shared" si="31"/>
        <v>4.9044480129377375</v>
      </c>
      <c r="FG288" s="75">
        <f t="shared" si="32"/>
        <v>4.9044480129377375</v>
      </c>
      <c r="FJ288" s="3"/>
      <c r="FK288" s="77"/>
      <c r="FL288" s="3"/>
      <c r="FM288" s="3"/>
      <c r="FN288" s="3"/>
      <c r="FO288" s="3"/>
      <c r="FP288" s="3"/>
      <c r="FQ288" s="3"/>
      <c r="FR288" s="3"/>
      <c r="FS288" s="3"/>
    </row>
    <row r="289" spans="153:175" ht="14.4">
      <c r="EW289" s="3" t="e">
        <f>Cal!#REF!</f>
        <v>#REF!</v>
      </c>
      <c r="EX289" s="77" t="s">
        <v>525</v>
      </c>
      <c r="EY289" s="3">
        <v>60</v>
      </c>
      <c r="EZ289" s="3">
        <v>60</v>
      </c>
      <c r="FA289" s="3" t="s">
        <v>691</v>
      </c>
      <c r="FB289" s="75" cm="1">
        <f t="array" ref="FB289">_xll.DCEPropSectBox(EY289, EZ289, FA289, 1, 1, "Area")/100</f>
        <v>2.7853168026350783</v>
      </c>
      <c r="FC289" s="75">
        <f t="shared" si="33"/>
        <v>2.1864736900685364</v>
      </c>
      <c r="FD289" s="75" cm="1">
        <f t="array" ref="FD289">_xll.DCEPropSectBox(EY289, EZ289, FA289, 1, 1, "Ix")/10000</f>
        <v>15.941868978200393</v>
      </c>
      <c r="FE289" s="75" cm="1">
        <f t="array" ref="FE289">_xll.DCEPropSectBox(EY289, EZ289, FA289, 1, 1, "Iy")/10000</f>
        <v>15.941868978200393</v>
      </c>
      <c r="FF289" s="75">
        <f t="shared" si="31"/>
        <v>5.3139563260667977</v>
      </c>
      <c r="FG289" s="75">
        <f t="shared" si="32"/>
        <v>5.3139563260667977</v>
      </c>
      <c r="FJ289" s="3"/>
      <c r="FK289" s="77"/>
      <c r="FL289" s="3"/>
      <c r="FM289" s="3"/>
      <c r="FN289" s="3"/>
      <c r="FO289" s="3"/>
      <c r="FP289" s="3"/>
      <c r="FQ289" s="3"/>
      <c r="FR289" s="3"/>
      <c r="FS289" s="3"/>
    </row>
    <row r="290" spans="153:175" ht="14.4">
      <c r="EW290" s="3" t="e">
        <f>Cal!#REF!</f>
        <v>#REF!</v>
      </c>
      <c r="EX290" s="77" t="s">
        <v>526</v>
      </c>
      <c r="EY290" s="3">
        <v>60</v>
      </c>
      <c r="EZ290" s="3">
        <v>60</v>
      </c>
      <c r="FA290" s="3" t="s">
        <v>692</v>
      </c>
      <c r="FB290" s="75" cm="1">
        <f t="array" ref="FB290">_xll.DCEPropSectBox(EY290, EZ290, FA290, 1, 1, "Area")/100</f>
        <v>3.2311256480310795</v>
      </c>
      <c r="FC290" s="75">
        <f t="shared" si="33"/>
        <v>2.5364336337043976</v>
      </c>
      <c r="FD290" s="75" cm="1">
        <f t="array" ref="FD290">_xll.DCEPropSectBox(EY290, EZ290, FA290, 1, 1, "Ix")/10000</f>
        <v>18.345943906103216</v>
      </c>
      <c r="FE290" s="75" cm="1">
        <f t="array" ref="FE290">_xll.DCEPropSectBox(EY290, EZ290, FA290, 1, 1, "Iy")/10000</f>
        <v>18.345943906103216</v>
      </c>
      <c r="FF290" s="75">
        <f t="shared" si="31"/>
        <v>6.1153146353677386</v>
      </c>
      <c r="FG290" s="75">
        <f t="shared" si="32"/>
        <v>6.1153146353677386</v>
      </c>
      <c r="FJ290" s="3"/>
      <c r="FK290" s="77"/>
      <c r="FL290" s="3"/>
      <c r="FM290" s="3"/>
      <c r="FN290" s="3"/>
      <c r="FO290" s="3"/>
      <c r="FP290" s="3"/>
      <c r="FQ290" s="3"/>
      <c r="FR290" s="3"/>
      <c r="FS290" s="3"/>
    </row>
    <row r="291" spans="153:175" ht="14.4">
      <c r="EW291" s="3" t="e">
        <f>Cal!#REF!</f>
        <v>#REF!</v>
      </c>
      <c r="EX291" s="77" t="s">
        <v>527</v>
      </c>
      <c r="EY291" s="3">
        <v>60</v>
      </c>
      <c r="EZ291" s="3">
        <v>60</v>
      </c>
      <c r="FA291" s="3" t="s">
        <v>693</v>
      </c>
      <c r="FB291" s="75" cm="1">
        <f t="array" ref="FB291">_xll.DCEPropSectBox(EY291, EZ291, FA291, 1, 1, "Area")/100</f>
        <v>3.4520575041173114</v>
      </c>
      <c r="FC291" s="75">
        <f t="shared" si="33"/>
        <v>2.7098651407320893</v>
      </c>
      <c r="FD291" s="75" cm="1">
        <f t="array" ref="FD291">_xll.DCEPropSectBox(EY291, EZ291, FA291, 1, 1, "Ix")/10000</f>
        <v>19.521713322318497</v>
      </c>
      <c r="FE291" s="75" cm="1">
        <f t="array" ref="FE291">_xll.DCEPropSectBox(EY291, EZ291, FA291, 1, 1, "Iy")/10000</f>
        <v>19.521713322318497</v>
      </c>
      <c r="FF291" s="75">
        <f t="shared" si="31"/>
        <v>6.5072377741061658</v>
      </c>
      <c r="FG291" s="75">
        <f t="shared" si="32"/>
        <v>6.5072377741061658</v>
      </c>
      <c r="FJ291" s="3"/>
      <c r="FK291" s="77"/>
      <c r="FL291" s="3"/>
      <c r="FM291" s="3"/>
      <c r="FN291" s="3"/>
      <c r="FO291" s="3"/>
      <c r="FP291" s="3"/>
      <c r="FQ291" s="3"/>
      <c r="FR291" s="3"/>
      <c r="FS291" s="3"/>
    </row>
    <row r="292" spans="153:175" ht="14.4">
      <c r="EW292" s="3" t="e">
        <f>Cal!#REF!</f>
        <v>#REF!</v>
      </c>
      <c r="EX292" s="77" t="s">
        <v>528</v>
      </c>
      <c r="EY292" s="3">
        <v>60</v>
      </c>
      <c r="EZ292" s="3">
        <v>60</v>
      </c>
      <c r="FA292" s="3" t="s">
        <v>694</v>
      </c>
      <c r="FB292" s="75" cm="1">
        <f t="array" ref="FB292">_xll.DCEPropSectBox(EY292, EZ292, FA292, 1, 1, "Area")/100</f>
        <v>3.6716743157956961</v>
      </c>
      <c r="FC292" s="75">
        <f t="shared" si="33"/>
        <v>2.8822643378996213</v>
      </c>
      <c r="FD292" s="75" cm="1">
        <f t="array" ref="FD292">_xll.DCEPropSectBox(EY292, EZ292, FA292, 1, 1, "Ix")/10000</f>
        <v>20.680116517209818</v>
      </c>
      <c r="FE292" s="75" cm="1">
        <f t="array" ref="FE292">_xll.DCEPropSectBox(EY292, EZ292, FA292, 1, 1, "Iy")/10000</f>
        <v>20.680116517209818</v>
      </c>
      <c r="FF292" s="75">
        <f t="shared" si="31"/>
        <v>6.8933721724032724</v>
      </c>
      <c r="FG292" s="75">
        <f t="shared" si="32"/>
        <v>6.8933721724032724</v>
      </c>
      <c r="FJ292" s="3"/>
      <c r="FK292" s="77"/>
      <c r="FL292" s="3"/>
      <c r="FM292" s="3"/>
      <c r="FN292" s="3"/>
      <c r="FO292" s="3"/>
      <c r="FP292" s="3"/>
      <c r="FQ292" s="3"/>
      <c r="FR292" s="3"/>
      <c r="FS292" s="3"/>
    </row>
    <row r="293" spans="153:175" ht="14.4">
      <c r="EW293" s="3" t="e">
        <f>Cal!#REF!</f>
        <v>#REF!</v>
      </c>
      <c r="EX293" s="77" t="s">
        <v>529</v>
      </c>
      <c r="EY293" s="3">
        <v>60</v>
      </c>
      <c r="EZ293" s="3">
        <v>60</v>
      </c>
      <c r="FA293" s="3" t="s">
        <v>695</v>
      </c>
      <c r="FB293" s="75" cm="1">
        <f t="array" ref="FB293">_xll.DCEPropSectBox(EY293, EZ293, FA293, 1, 1, "Area")/100</f>
        <v>3.8899760830662355</v>
      </c>
      <c r="FC293" s="75">
        <f t="shared" si="33"/>
        <v>3.053631225206995</v>
      </c>
      <c r="FD293" s="75" cm="1">
        <f t="array" ref="FD293">_xll.DCEPropSectBox(EY293, EZ293, FA293, 1, 1, "Ix")/10000</f>
        <v>21.821262492677537</v>
      </c>
      <c r="FE293" s="75" cm="1">
        <f t="array" ref="FE293">_xll.DCEPropSectBox(EY293, EZ293, FA293, 1, 1, "Iy")/10000</f>
        <v>21.821262492677537</v>
      </c>
      <c r="FF293" s="75">
        <f t="shared" si="31"/>
        <v>7.2737541642258456</v>
      </c>
      <c r="FG293" s="75">
        <f t="shared" si="32"/>
        <v>7.2737541642258456</v>
      </c>
      <c r="FJ293" s="3"/>
      <c r="FK293" s="77"/>
      <c r="FL293" s="3"/>
      <c r="FM293" s="3"/>
      <c r="FN293" s="3"/>
      <c r="FO293" s="3"/>
      <c r="FP293" s="3"/>
      <c r="FQ293" s="3"/>
      <c r="FR293" s="3"/>
      <c r="FS293" s="3"/>
    </row>
    <row r="294" spans="153:175" ht="14.4">
      <c r="EW294" s="3" t="e">
        <f>Cal!#REF!</f>
        <v>#REF!</v>
      </c>
      <c r="EX294" s="77" t="s">
        <v>530</v>
      </c>
      <c r="EY294" s="3">
        <v>60</v>
      </c>
      <c r="EZ294" s="3">
        <v>60</v>
      </c>
      <c r="FA294" s="3" t="s">
        <v>696</v>
      </c>
      <c r="FB294" s="75" cm="1">
        <f t="array" ref="FB294">_xll.DCEPropSectBox(EY294, EZ294, FA294, 1, 1, "Area")/100</f>
        <v>4.1069628059289283</v>
      </c>
      <c r="FC294" s="75">
        <f t="shared" si="33"/>
        <v>3.2239658026542086</v>
      </c>
      <c r="FD294" s="75" cm="1">
        <f t="array" ref="FD294">_xll.DCEPropSectBox(EY294, EZ294, FA294, 1, 1, "Ix")/10000</f>
        <v>22.945259965842368</v>
      </c>
      <c r="FE294" s="75" cm="1">
        <f t="array" ref="FE294">_xll.DCEPropSectBox(EY294, EZ294, FA294, 1, 1, "Iy")/10000</f>
        <v>22.945259965842368</v>
      </c>
      <c r="FF294" s="75">
        <f t="shared" si="31"/>
        <v>7.6484199886141226</v>
      </c>
      <c r="FG294" s="75">
        <f t="shared" si="32"/>
        <v>7.6484199886141226</v>
      </c>
      <c r="FJ294" s="3"/>
      <c r="FK294" s="77"/>
      <c r="FL294" s="3"/>
      <c r="FM294" s="3"/>
      <c r="FN294" s="3"/>
      <c r="FO294" s="3"/>
      <c r="FP294" s="3"/>
      <c r="FQ294" s="3"/>
      <c r="FR294" s="3"/>
      <c r="FS294" s="3"/>
    </row>
    <row r="295" spans="153:175" ht="14.4">
      <c r="EW295" s="3" t="e">
        <f>Cal!#REF!</f>
        <v>#REF!</v>
      </c>
      <c r="EX295" s="77" t="s">
        <v>531</v>
      </c>
      <c r="EY295" s="3">
        <v>60</v>
      </c>
      <c r="EZ295" s="3">
        <v>60</v>
      </c>
      <c r="FA295" s="3" t="s">
        <v>697</v>
      </c>
      <c r="FB295" s="75" cm="1">
        <f t="array" ref="FB295">_xll.DCEPropSectBox(EY295, EZ295, FA295, 1, 1, "Area")/100</f>
        <v>4.3226344843837747</v>
      </c>
      <c r="FC295" s="75">
        <f t="shared" si="33"/>
        <v>3.393268070241263</v>
      </c>
      <c r="FD295" s="75" cm="1">
        <f t="array" ref="FD295">_xll.DCEPropSectBox(EY295, EZ295, FA295, 1, 1, "Ix")/10000</f>
        <v>24.05221736904512</v>
      </c>
      <c r="FE295" s="75" cm="1">
        <f t="array" ref="FE295">_xll.DCEPropSectBox(EY295, EZ295, FA295, 1, 1, "Iy")/10000</f>
        <v>24.05221736904512</v>
      </c>
      <c r="FF295" s="75">
        <f t="shared" si="31"/>
        <v>8.0174057896817068</v>
      </c>
      <c r="FG295" s="75">
        <f t="shared" si="32"/>
        <v>8.0174057896817068</v>
      </c>
      <c r="FJ295" s="3"/>
      <c r="FK295" s="77"/>
      <c r="FL295" s="3"/>
      <c r="FM295" s="3"/>
      <c r="FN295" s="3"/>
      <c r="FO295" s="3"/>
      <c r="FP295" s="3"/>
      <c r="FQ295" s="3"/>
      <c r="FR295" s="3"/>
      <c r="FS295" s="3"/>
    </row>
    <row r="296" spans="153:175" ht="14.4">
      <c r="EW296" s="3" t="e">
        <f>Cal!#REF!</f>
        <v>#REF!</v>
      </c>
      <c r="EX296" s="77" t="s">
        <v>532</v>
      </c>
      <c r="EY296" s="3">
        <v>60</v>
      </c>
      <c r="EZ296" s="3">
        <v>60</v>
      </c>
      <c r="FA296" s="3" t="s">
        <v>698</v>
      </c>
      <c r="FB296" s="75" cm="1">
        <f t="array" ref="FB296">_xll.DCEPropSectBox(EY296, EZ296, FA296, 1, 1, "Area")/100</f>
        <v>4.536991118430775</v>
      </c>
      <c r="FC296" s="75">
        <f t="shared" si="33"/>
        <v>3.5615380279681585</v>
      </c>
      <c r="FD296" s="75" cm="1">
        <f t="array" ref="FD296">_xll.DCEPropSectBox(EY296, EZ296, FA296, 1, 1, "Ix")/10000</f>
        <v>25.142242849846905</v>
      </c>
      <c r="FE296" s="75" cm="1">
        <f t="array" ref="FE296">_xll.DCEPropSectBox(EY296, EZ296, FA296, 1, 1, "Iy")/10000</f>
        <v>25.142242849846905</v>
      </c>
      <c r="FF296" s="75">
        <f t="shared" si="31"/>
        <v>8.3807476166156345</v>
      </c>
      <c r="FG296" s="75">
        <f t="shared" si="32"/>
        <v>8.3807476166156345</v>
      </c>
      <c r="FJ296" s="3"/>
      <c r="FK296" s="77"/>
      <c r="FL296" s="3"/>
      <c r="FM296" s="3"/>
      <c r="FN296" s="3"/>
      <c r="FO296" s="3"/>
      <c r="FP296" s="3"/>
      <c r="FQ296" s="3"/>
      <c r="FR296" s="3"/>
      <c r="FS296" s="3"/>
    </row>
    <row r="297" spans="153:175" ht="14.4">
      <c r="EW297" s="3" t="e">
        <f>Cal!#REF!</f>
        <v>#REF!</v>
      </c>
      <c r="EX297" s="77" t="s">
        <v>533</v>
      </c>
      <c r="EY297" s="3">
        <v>60</v>
      </c>
      <c r="EZ297" s="3">
        <v>60</v>
      </c>
      <c r="FA297" s="3" t="s">
        <v>699</v>
      </c>
      <c r="FB297" s="75" cm="1">
        <f t="array" ref="FB297">_xll.DCEPropSectBox(EY297, EZ297, FA297, 1, 1, "Area")/100</f>
        <v>4.7500327080699298</v>
      </c>
      <c r="FC297" s="75">
        <f t="shared" si="33"/>
        <v>3.7287756758348949</v>
      </c>
      <c r="FD297" s="75" cm="1">
        <f t="array" ref="FD297">_xll.DCEPropSectBox(EY297, EZ297, FA297, 1, 1, "Ix")/10000</f>
        <v>26.21544427102905</v>
      </c>
      <c r="FE297" s="75" cm="1">
        <f t="array" ref="FE297">_xll.DCEPropSectBox(EY297, EZ297, FA297, 1, 1, "Iy")/10000</f>
        <v>26.21544427102905</v>
      </c>
      <c r="FF297" s="75">
        <f t="shared" si="31"/>
        <v>8.7384814236763493</v>
      </c>
      <c r="FG297" s="75">
        <f t="shared" si="32"/>
        <v>8.7384814236763493</v>
      </c>
      <c r="FJ297" s="3"/>
      <c r="FK297" s="77"/>
      <c r="FL297" s="3"/>
      <c r="FM297" s="3"/>
      <c r="FN297" s="3"/>
      <c r="FO297" s="3"/>
      <c r="FP297" s="3"/>
      <c r="FQ297" s="3"/>
      <c r="FR297" s="3"/>
      <c r="FS297" s="3"/>
    </row>
    <row r="298" spans="153:175" ht="14.4">
      <c r="EW298" s="3" t="e">
        <f>Cal!#REF!</f>
        <v>#REF!</v>
      </c>
      <c r="EX298" s="77" t="s">
        <v>534</v>
      </c>
      <c r="EY298" s="3">
        <v>60</v>
      </c>
      <c r="EZ298" s="3">
        <v>60</v>
      </c>
      <c r="FA298" s="3" t="s">
        <v>700</v>
      </c>
      <c r="FB298" s="75" cm="1">
        <f t="array" ref="FB298">_xll.DCEPropSectBox(EY298, EZ298, FA298, 1, 1, "Area")/100</f>
        <v>4.9617592533012385</v>
      </c>
      <c r="FC298" s="75">
        <f t="shared" si="33"/>
        <v>3.8949810138414724</v>
      </c>
      <c r="FD298" s="75" cm="1">
        <f t="array" ref="FD298">_xll.DCEPropSectBox(EY298, EZ298, FA298, 1, 1, "Ix")/10000</f>
        <v>27.271929210593044</v>
      </c>
      <c r="FE298" s="75" cm="1">
        <f t="array" ref="FE298">_xll.DCEPropSectBox(EY298, EZ298, FA298, 1, 1, "Iy")/10000</f>
        <v>27.271929210593044</v>
      </c>
      <c r="FF298" s="75">
        <f t="shared" si="31"/>
        <v>9.0906430701976806</v>
      </c>
      <c r="FG298" s="75">
        <f t="shared" si="32"/>
        <v>9.0906430701976806</v>
      </c>
      <c r="FJ298" s="3"/>
      <c r="FK298" s="77"/>
      <c r="FL298" s="3"/>
      <c r="FM298" s="3"/>
      <c r="FN298" s="3"/>
      <c r="FO298" s="3"/>
      <c r="FP298" s="3"/>
      <c r="FQ298" s="3"/>
      <c r="FR298" s="3"/>
      <c r="FS298" s="3"/>
    </row>
    <row r="299" spans="153:175" ht="14.4">
      <c r="EW299" s="3" t="e">
        <f>Cal!#REF!</f>
        <v>#REF!</v>
      </c>
      <c r="EX299" s="77" t="s">
        <v>535</v>
      </c>
      <c r="EY299" s="3">
        <v>60</v>
      </c>
      <c r="EZ299" s="3">
        <v>60</v>
      </c>
      <c r="FA299" s="3" t="s">
        <v>701</v>
      </c>
      <c r="FB299" s="75" cm="1">
        <f t="array" ref="FB299">_xll.DCEPropSectBox(EY299, EZ299, FA299, 1, 1, "Area")/100</f>
        <v>5.1721707541247008</v>
      </c>
      <c r="FC299" s="75">
        <f t="shared" si="33"/>
        <v>4.0601540419878894</v>
      </c>
      <c r="FD299" s="75" cm="1">
        <f t="array" ref="FD299">_xll.DCEPropSectBox(EY299, EZ299, FA299, 1, 1, "Ix")/10000</f>
        <v>28.31180496176075</v>
      </c>
      <c r="FE299" s="75" cm="1">
        <f t="array" ref="FE299">_xll.DCEPropSectBox(EY299, EZ299, FA299, 1, 1, "Iy")/10000</f>
        <v>28.31180496176075</v>
      </c>
      <c r="FF299" s="75">
        <f t="shared" si="31"/>
        <v>9.4372683205869166</v>
      </c>
      <c r="FG299" s="75">
        <f t="shared" si="32"/>
        <v>9.4372683205869166</v>
      </c>
      <c r="FJ299" s="3"/>
      <c r="FK299" s="77"/>
      <c r="FL299" s="3"/>
      <c r="FM299" s="3"/>
      <c r="FN299" s="3"/>
      <c r="FO299" s="3"/>
      <c r="FP299" s="3"/>
      <c r="FQ299" s="3"/>
      <c r="FR299" s="3"/>
      <c r="FS299" s="3"/>
    </row>
    <row r="300" spans="153:175" ht="14.4">
      <c r="EW300" s="3" t="e">
        <f>Cal!#REF!</f>
        <v>#REF!</v>
      </c>
      <c r="EX300" s="77" t="s">
        <v>536</v>
      </c>
      <c r="EY300" s="3">
        <v>60</v>
      </c>
      <c r="EZ300" s="3">
        <v>60</v>
      </c>
      <c r="FA300" s="3" t="s">
        <v>702</v>
      </c>
      <c r="FB300" s="75" cm="1">
        <f t="array" ref="FB300">_xll.DCEPropSectBox(EY300, EZ300, FA300, 1, 1, "Area")/100</f>
        <v>5.381267210540317</v>
      </c>
      <c r="FC300" s="75">
        <f t="shared" si="33"/>
        <v>4.224294760274149</v>
      </c>
      <c r="FD300" s="75" cm="1">
        <f t="array" ref="FD300">_xll.DCEPropSectBox(EY300, EZ300, FA300, 1, 1, "Ix")/10000</f>
        <v>29.335178532974101</v>
      </c>
      <c r="FE300" s="75" cm="1">
        <f t="array" ref="FE300">_xll.DCEPropSectBox(EY300, EZ300, FA300, 1, 1, "Iy")/10000</f>
        <v>29.335178532974101</v>
      </c>
      <c r="FF300" s="75">
        <f t="shared" si="31"/>
        <v>9.778392844324701</v>
      </c>
      <c r="FG300" s="75">
        <f t="shared" si="32"/>
        <v>9.778392844324701</v>
      </c>
      <c r="FJ300" s="3"/>
      <c r="FK300" s="77"/>
      <c r="FL300" s="3"/>
      <c r="FM300" s="3"/>
      <c r="FN300" s="3"/>
      <c r="FO300" s="3"/>
      <c r="FP300" s="3"/>
      <c r="FQ300" s="3"/>
      <c r="FR300" s="3"/>
      <c r="FS300" s="3"/>
    </row>
    <row r="301" spans="153:175" ht="14.4">
      <c r="EW301" s="3" t="e">
        <f>Cal!#REF!</f>
        <v>#REF!</v>
      </c>
      <c r="EX301" s="77" t="s">
        <v>537</v>
      </c>
      <c r="EY301" s="3">
        <v>60</v>
      </c>
      <c r="EZ301" s="3">
        <v>60</v>
      </c>
      <c r="FA301" s="3" t="s">
        <v>703</v>
      </c>
      <c r="FB301" s="75" cm="1">
        <f t="array" ref="FB301">_xll.DCEPropSectBox(EY301, EZ301, FA301, 1, 1, "Area")/100</f>
        <v>5.5890486225480869</v>
      </c>
      <c r="FC301" s="75">
        <f t="shared" si="33"/>
        <v>4.3874031687002484</v>
      </c>
      <c r="FD301" s="75" cm="1">
        <f t="array" ref="FD301">_xll.DCEPropSectBox(EY301, EZ301, FA301, 1, 1, "Ix")/10000</f>
        <v>30.342156647895433</v>
      </c>
      <c r="FE301" s="75" cm="1">
        <f t="array" ref="FE301">_xll.DCEPropSectBox(EY301, EZ301, FA301, 1, 1, "Iy")/10000</f>
        <v>30.342156647895433</v>
      </c>
      <c r="FF301" s="75">
        <f t="shared" si="31"/>
        <v>10.114052215965144</v>
      </c>
      <c r="FG301" s="75">
        <f t="shared" si="32"/>
        <v>10.114052215965144</v>
      </c>
      <c r="FJ301" s="3"/>
      <c r="FK301" s="77"/>
      <c r="FL301" s="3"/>
      <c r="FM301" s="3"/>
      <c r="FN301" s="3"/>
      <c r="FO301" s="3"/>
      <c r="FP301" s="3"/>
      <c r="FQ301" s="3"/>
      <c r="FR301" s="3"/>
      <c r="FS301" s="3"/>
    </row>
    <row r="302" spans="153:175" ht="14.4">
      <c r="EW302" s="3" t="e">
        <f>Cal!#REF!</f>
        <v>#REF!</v>
      </c>
      <c r="EX302" s="77" t="s">
        <v>538</v>
      </c>
      <c r="EY302" s="3">
        <v>60</v>
      </c>
      <c r="EZ302" s="3">
        <v>60</v>
      </c>
      <c r="FA302" s="3" t="s">
        <v>704</v>
      </c>
      <c r="FB302" s="75" cm="1">
        <f t="array" ref="FB302">_xll.DCEPropSectBox(EY302, EZ302, FA302, 1, 1, "Area")/100</f>
        <v>6.0006663133400879</v>
      </c>
      <c r="FC302" s="75">
        <f t="shared" si="33"/>
        <v>4.7105230559719695</v>
      </c>
      <c r="FD302" s="75" cm="1">
        <f t="array" ref="FD302">_xll.DCEPropSectBox(EY302, EZ302, FA302, 1, 1, "Ix")/10000</f>
        <v>32.30735197961198</v>
      </c>
      <c r="FE302" s="75" cm="1">
        <f t="array" ref="FE302">_xll.DCEPropSectBox(EY302, EZ302, FA302, 1, 1, "Iy")/10000</f>
        <v>32.30735197961198</v>
      </c>
      <c r="FF302" s="75">
        <f t="shared" si="31"/>
        <v>10.769117326537327</v>
      </c>
      <c r="FG302" s="75">
        <f t="shared" si="32"/>
        <v>10.769117326537327</v>
      </c>
      <c r="FJ302" s="3"/>
      <c r="FK302" s="77"/>
      <c r="FL302" s="3"/>
      <c r="FM302" s="3"/>
      <c r="FN302" s="3"/>
      <c r="FO302" s="3"/>
      <c r="FP302" s="3"/>
      <c r="FQ302" s="3"/>
      <c r="FR302" s="3"/>
      <c r="FS302" s="3"/>
    </row>
    <row r="303" spans="153:175" ht="14.4">
      <c r="EW303" s="3" t="e">
        <f>Cal!#REF!</f>
        <v>#REF!</v>
      </c>
      <c r="EX303" s="77" t="s">
        <v>539</v>
      </c>
      <c r="EY303" s="3">
        <v>60</v>
      </c>
      <c r="EZ303" s="3">
        <v>60</v>
      </c>
      <c r="FA303" s="3" t="s">
        <v>705</v>
      </c>
      <c r="FB303" s="75" cm="1">
        <f t="array" ref="FB303">_xll.DCEPropSectBox(EY303, EZ303, FA303, 1, 1, "Area")/100</f>
        <v>6.2045025921243191</v>
      </c>
      <c r="FC303" s="75">
        <f t="shared" si="33"/>
        <v>4.8705345348175904</v>
      </c>
      <c r="FD303" s="75" cm="1">
        <f t="array" ref="FD303">_xll.DCEPropSectBox(EY303, EZ303, FA303, 1, 1, "Ix")/10000</f>
        <v>33.265781219832874</v>
      </c>
      <c r="FE303" s="75" cm="1">
        <f t="array" ref="FE303">_xll.DCEPropSectBox(EY303, EZ303, FA303, 1, 1, "Iy")/10000</f>
        <v>33.265781219832874</v>
      </c>
      <c r="FF303" s="75">
        <f t="shared" si="31"/>
        <v>11.088593739944292</v>
      </c>
      <c r="FG303" s="75">
        <f t="shared" si="32"/>
        <v>11.088593739944292</v>
      </c>
      <c r="FJ303" s="3"/>
      <c r="FK303" s="77"/>
      <c r="FL303" s="3"/>
      <c r="FM303" s="3"/>
      <c r="FN303" s="3"/>
      <c r="FO303" s="3"/>
      <c r="FP303" s="3"/>
      <c r="FQ303" s="3"/>
      <c r="FR303" s="3"/>
      <c r="FS303" s="3"/>
    </row>
    <row r="304" spans="153:175" ht="14.4">
      <c r="EW304" s="3" t="e">
        <f>Cal!#REF!</f>
        <v>#REF!</v>
      </c>
      <c r="EX304" s="77" t="s">
        <v>540</v>
      </c>
      <c r="EY304" s="3">
        <v>60</v>
      </c>
      <c r="EZ304" s="3">
        <v>60</v>
      </c>
      <c r="FA304" s="3" t="s">
        <v>706</v>
      </c>
      <c r="FB304" s="75" cm="1">
        <f t="array" ref="FB304">_xll.DCEPropSectBox(EY304, EZ304, FA304, 1, 1, "Area")/100</f>
        <v>6.4070238265007049</v>
      </c>
      <c r="FC304" s="75">
        <f t="shared" si="33"/>
        <v>5.0295137038030537</v>
      </c>
      <c r="FD304" s="75" cm="1">
        <f t="array" ref="FD304">_xll.DCEPropSectBox(EY304, EZ304, FA304, 1, 1, "Ix")/10000</f>
        <v>34.208239050612931</v>
      </c>
      <c r="FE304" s="75" cm="1">
        <f t="array" ref="FE304">_xll.DCEPropSectBox(EY304, EZ304, FA304, 1, 1, "Iy")/10000</f>
        <v>34.208239050612931</v>
      </c>
      <c r="FF304" s="75">
        <f t="shared" si="31"/>
        <v>11.40274635020431</v>
      </c>
      <c r="FG304" s="75">
        <f t="shared" si="32"/>
        <v>11.40274635020431</v>
      </c>
      <c r="FJ304" s="3"/>
      <c r="FK304" s="77"/>
      <c r="FL304" s="3"/>
      <c r="FM304" s="3"/>
      <c r="FN304" s="3"/>
      <c r="FO304" s="3"/>
      <c r="FP304" s="3"/>
      <c r="FQ304" s="3"/>
      <c r="FR304" s="3"/>
      <c r="FS304" s="3"/>
    </row>
    <row r="305" spans="153:175" ht="14.4">
      <c r="EW305" s="3" t="e">
        <f>Cal!#REF!</f>
        <v>#REF!</v>
      </c>
      <c r="EX305" s="77" t="s">
        <v>541</v>
      </c>
      <c r="EY305" s="3">
        <v>60</v>
      </c>
      <c r="EZ305" s="3">
        <v>60</v>
      </c>
      <c r="FA305" s="3" t="s">
        <v>707</v>
      </c>
      <c r="FB305" s="75" cm="1">
        <f t="array" ref="FB305">_xll.DCEPropSectBox(EY305, EZ305, FA305, 1, 1, "Area")/100</f>
        <v>6.6082300164692445</v>
      </c>
      <c r="FC305" s="75">
        <f t="shared" si="33"/>
        <v>5.187460562928357</v>
      </c>
      <c r="FD305" s="75" cm="1">
        <f t="array" ref="FD305">_xll.DCEPropSectBox(EY305, EZ305, FA305, 1, 1, "Ix")/10000</f>
        <v>35.134830771715635</v>
      </c>
      <c r="FE305" s="75" cm="1">
        <f t="array" ref="FE305">_xll.DCEPropSectBox(EY305, EZ305, FA305, 1, 1, "Iy")/10000</f>
        <v>35.134830771715635</v>
      </c>
      <c r="FF305" s="75">
        <f t="shared" si="31"/>
        <v>11.711610257238545</v>
      </c>
      <c r="FG305" s="75">
        <f t="shared" si="32"/>
        <v>11.711610257238545</v>
      </c>
      <c r="FJ305" s="3"/>
      <c r="FK305" s="77"/>
      <c r="FL305" s="3"/>
      <c r="FM305" s="3"/>
      <c r="FN305" s="3"/>
      <c r="FO305" s="3"/>
      <c r="FP305" s="3"/>
      <c r="FQ305" s="3"/>
      <c r="FR305" s="3"/>
      <c r="FS305" s="3"/>
    </row>
    <row r="306" spans="153:175" ht="14.4">
      <c r="EW306" s="3" t="e">
        <f>Cal!#REF!</f>
        <v>#REF!</v>
      </c>
      <c r="EX306" s="77" t="s">
        <v>542</v>
      </c>
      <c r="EY306" s="3">
        <v>60</v>
      </c>
      <c r="EZ306" s="3">
        <v>60</v>
      </c>
      <c r="FA306" s="3" t="s">
        <v>708</v>
      </c>
      <c r="FB306" s="75" cm="1">
        <f t="array" ref="FB306">_xll.DCEPropSectBox(EY306, EZ306, FA306, 1, 1, "Area")/100</f>
        <v>6.8081211620299378</v>
      </c>
      <c r="FC306" s="75">
        <f t="shared" si="33"/>
        <v>5.344375112193501</v>
      </c>
      <c r="FD306" s="75" cm="1">
        <f t="array" ref="FD306">_xll.DCEPropSectBox(EY306, EZ306, FA306, 1, 1, "Ix")/10000</f>
        <v>36.045661398124579</v>
      </c>
      <c r="FE306" s="75" cm="1">
        <f t="array" ref="FE306">_xll.DCEPropSectBox(EY306, EZ306, FA306, 1, 1, "Iy")/10000</f>
        <v>36.045661398124579</v>
      </c>
      <c r="FF306" s="75">
        <f t="shared" si="31"/>
        <v>12.015220466041526</v>
      </c>
      <c r="FG306" s="75">
        <f t="shared" si="32"/>
        <v>12.015220466041526</v>
      </c>
      <c r="FJ306" s="3"/>
      <c r="FK306" s="77"/>
      <c r="FL306" s="3"/>
      <c r="FM306" s="3"/>
      <c r="FN306" s="3"/>
      <c r="FO306" s="3"/>
      <c r="FP306" s="3"/>
      <c r="FQ306" s="3"/>
      <c r="FR306" s="3"/>
      <c r="FS306" s="3"/>
    </row>
    <row r="307" spans="153:175" ht="14.4">
      <c r="EW307" s="3" t="e">
        <f>Cal!#REF!</f>
        <v>#REF!</v>
      </c>
      <c r="EX307" s="77" t="s">
        <v>543</v>
      </c>
      <c r="EY307" s="3">
        <v>60</v>
      </c>
      <c r="EZ307" s="3">
        <v>60</v>
      </c>
      <c r="FA307" s="3" t="s">
        <v>709</v>
      </c>
      <c r="FB307" s="75" cm="1">
        <f t="array" ref="FB307">_xll.DCEPropSectBox(EY307, EZ307, FA307, 1, 1, "Area")/100</f>
        <v>7.006697263182784</v>
      </c>
      <c r="FC307" s="75">
        <f t="shared" si="33"/>
        <v>5.5002573515984858</v>
      </c>
      <c r="FD307" s="75" cm="1">
        <f t="array" ref="FD307">_xll.DCEPropSectBox(EY307, EZ307, FA307, 1, 1, "Ix")/10000</f>
        <v>36.940835660043554</v>
      </c>
      <c r="FE307" s="75" cm="1">
        <f t="array" ref="FE307">_xll.DCEPropSectBox(EY307, EZ307, FA307, 1, 1, "Iy")/10000</f>
        <v>36.940835660043554</v>
      </c>
      <c r="FF307" s="75">
        <f t="shared" si="31"/>
        <v>12.313611886681185</v>
      </c>
      <c r="FG307" s="75">
        <f t="shared" si="32"/>
        <v>12.313611886681185</v>
      </c>
      <c r="FJ307" s="3"/>
      <c r="FK307" s="77"/>
      <c r="FL307" s="3"/>
      <c r="FM307" s="3"/>
      <c r="FN307" s="3"/>
      <c r="FO307" s="3"/>
      <c r="FP307" s="3"/>
      <c r="FQ307" s="3"/>
      <c r="FR307" s="3"/>
      <c r="FS307" s="3"/>
    </row>
    <row r="308" spans="153:175" ht="14.4">
      <c r="EW308" s="3" t="e">
        <f>Cal!#REF!</f>
        <v>#REF!</v>
      </c>
      <c r="EX308" s="77" t="s">
        <v>544</v>
      </c>
      <c r="EY308" s="3">
        <v>60</v>
      </c>
      <c r="EZ308" s="3">
        <v>60</v>
      </c>
      <c r="FA308" s="3" t="s">
        <v>711</v>
      </c>
      <c r="FB308" s="75" cm="1">
        <f t="array" ref="FB308">_xll.DCEPropSectBox(EY308, EZ308, FA308, 1, 1, "Area")/100</f>
        <v>7.3999043322649403</v>
      </c>
      <c r="FC308" s="75">
        <f t="shared" si="33"/>
        <v>5.8089249008279777</v>
      </c>
      <c r="FD308" s="75" cm="1">
        <f t="array" ref="FD308">_xll.DCEPropSectBox(EY308, EZ308, FA308, 1, 1, "Ix")/10000</f>
        <v>38.684632587328416</v>
      </c>
      <c r="FE308" s="75" cm="1">
        <f t="array" ref="FE308">_xll.DCEPropSectBox(EY308, EZ308, FA308, 1, 1, "Iy")/10000</f>
        <v>38.684632587328416</v>
      </c>
      <c r="FF308" s="75">
        <f t="shared" si="31"/>
        <v>12.894877529109472</v>
      </c>
      <c r="FG308" s="75">
        <f t="shared" si="32"/>
        <v>12.894877529109472</v>
      </c>
      <c r="FJ308" s="3"/>
      <c r="FK308" s="77"/>
      <c r="FL308" s="3"/>
      <c r="FM308" s="3"/>
      <c r="FN308" s="3"/>
      <c r="FO308" s="3"/>
      <c r="FP308" s="3"/>
      <c r="FQ308" s="3"/>
      <c r="FR308" s="3"/>
      <c r="FS308" s="3"/>
    </row>
    <row r="309" spans="153:175" ht="14.4">
      <c r="EW309" s="3" t="e">
        <f>Cal!#REF!</f>
        <v>#REF!</v>
      </c>
      <c r="EX309" s="77" t="s">
        <v>545</v>
      </c>
      <c r="EY309" s="3">
        <v>60</v>
      </c>
      <c r="EZ309" s="3">
        <v>60</v>
      </c>
      <c r="FA309" s="3" t="s">
        <v>712</v>
      </c>
      <c r="FB309" s="75" cm="1">
        <f t="array" ref="FB309">_xll.DCEPropSectBox(EY309, EZ309, FA309, 1, 1, "Area")/100</f>
        <v>7.5945353001942486</v>
      </c>
      <c r="FC309" s="75">
        <f t="shared" si="33"/>
        <v>5.9617102106524849</v>
      </c>
      <c r="FD309" s="75" cm="1">
        <f t="array" ref="FD309">_xll.DCEPropSectBox(EY309, EZ309, FA309, 1, 1, "Ix")/10000</f>
        <v>39.533463289203148</v>
      </c>
      <c r="FE309" s="75" cm="1">
        <f t="array" ref="FE309">_xll.DCEPropSectBox(EY309, EZ309, FA309, 1, 1, "Iy")/10000</f>
        <v>39.533463289203148</v>
      </c>
      <c r="FF309" s="75">
        <f t="shared" si="31"/>
        <v>13.177821096401049</v>
      </c>
      <c r="FG309" s="75">
        <f t="shared" si="32"/>
        <v>13.177821096401049</v>
      </c>
      <c r="FJ309" s="3"/>
      <c r="FK309" s="77"/>
      <c r="FL309" s="3"/>
      <c r="FM309" s="3"/>
      <c r="FN309" s="3"/>
      <c r="FO309" s="3"/>
      <c r="FP309" s="3"/>
      <c r="FQ309" s="3"/>
      <c r="FR309" s="3"/>
      <c r="FS309" s="3"/>
    </row>
    <row r="310" spans="153:175" ht="14.4">
      <c r="EW310" s="3" t="e">
        <f>Cal!#REF!</f>
        <v>#REF!</v>
      </c>
      <c r="EX310" s="77" t="s">
        <v>546</v>
      </c>
      <c r="EY310" s="3">
        <v>40</v>
      </c>
      <c r="EZ310" s="3">
        <v>100</v>
      </c>
      <c r="FA310" s="3" t="s">
        <v>692</v>
      </c>
      <c r="FB310" s="75" cm="1">
        <f t="array" ref="FB310">_xll.DCEPropSectBox(EY310, EZ310, FA310, 1, 1, "Area")/100</f>
        <v>3.7911256480310795</v>
      </c>
      <c r="FC310" s="75">
        <f t="shared" si="33"/>
        <v>2.9760336337043976</v>
      </c>
      <c r="FD310" s="75" cm="1">
        <f t="array" ref="FD310">_xll.DCEPropSectBox(EY310, EZ310, FA310, 1, 1, "Ix")/10000</f>
        <v>47.402490882138999</v>
      </c>
      <c r="FE310" s="75" cm="1">
        <f t="array" ref="FE310">_xll.DCEPropSectBox(EY310, EZ310, FA310, 1, 1, "Iy")/10000</f>
        <v>11.438935362178569</v>
      </c>
      <c r="FF310" s="75">
        <f t="shared" si="31"/>
        <v>9.4804981764277994</v>
      </c>
      <c r="FG310" s="75">
        <f t="shared" si="32"/>
        <v>5.7194676810892844</v>
      </c>
      <c r="FJ310" s="3"/>
      <c r="FK310" s="77"/>
      <c r="FL310" s="3"/>
      <c r="FM310" s="3"/>
      <c r="FN310" s="3"/>
      <c r="FO310" s="3"/>
      <c r="FP310" s="3"/>
      <c r="FQ310" s="3"/>
      <c r="FR310" s="3"/>
      <c r="FS310" s="3"/>
    </row>
    <row r="311" spans="153:175" ht="14.4">
      <c r="EW311" s="3" t="e">
        <f>Cal!#REF!</f>
        <v>#REF!</v>
      </c>
      <c r="EX311" s="77" t="s">
        <v>547</v>
      </c>
      <c r="EY311" s="3">
        <v>40</v>
      </c>
      <c r="EZ311" s="3">
        <v>100</v>
      </c>
      <c r="FA311" s="3" t="s">
        <v>693</v>
      </c>
      <c r="FB311" s="75" cm="1">
        <f t="array" ref="FB311">_xll.DCEPropSectBox(EY311, EZ311, FA311, 1, 1, "Area")/100</f>
        <v>4.052057504117311</v>
      </c>
      <c r="FC311" s="75">
        <f t="shared" si="33"/>
        <v>3.1808651407320889</v>
      </c>
      <c r="FD311" s="75" cm="1">
        <f t="array" ref="FD311">_xll.DCEPropSectBox(EY311, EZ311, FA311, 1, 1, "Ix")/10000</f>
        <v>50.493664383254703</v>
      </c>
      <c r="FE311" s="75" cm="1">
        <f t="array" ref="FE311">_xll.DCEPropSectBox(EY311, EZ311, FA311, 1, 1, "Iy")/10000</f>
        <v>12.163660304202333</v>
      </c>
      <c r="FF311" s="75">
        <f t="shared" si="31"/>
        <v>10.09873287665094</v>
      </c>
      <c r="FG311" s="75">
        <f t="shared" si="32"/>
        <v>6.0818301521011664</v>
      </c>
      <c r="FJ311" s="3"/>
      <c r="FK311" s="77"/>
      <c r="FL311" s="3"/>
      <c r="FM311" s="3"/>
      <c r="FN311" s="3"/>
      <c r="FO311" s="3"/>
      <c r="FP311" s="3"/>
      <c r="FQ311" s="3"/>
      <c r="FR311" s="3"/>
      <c r="FS311" s="3"/>
    </row>
    <row r="312" spans="153:175" ht="14.4">
      <c r="EW312" s="3" t="e">
        <f>Cal!#REF!</f>
        <v>#REF!</v>
      </c>
      <c r="EX312" s="77" t="s">
        <v>548</v>
      </c>
      <c r="EY312" s="3">
        <v>40</v>
      </c>
      <c r="EZ312" s="3">
        <v>100</v>
      </c>
      <c r="FA312" s="3" t="s">
        <v>694</v>
      </c>
      <c r="FB312" s="75" cm="1">
        <f t="array" ref="FB312">_xll.DCEPropSectBox(EY312, EZ312, FA312, 1, 1, "Area")/100</f>
        <v>4.3116743157956963</v>
      </c>
      <c r="FC312" s="75">
        <f t="shared" si="33"/>
        <v>3.384664337899622</v>
      </c>
      <c r="FD312" s="75" cm="1">
        <f t="array" ref="FD312">_xll.DCEPropSectBox(EY312, EZ312, FA312, 1, 1, "Ix")/10000</f>
        <v>53.546405112389174</v>
      </c>
      <c r="FE312" s="75" cm="1">
        <f t="array" ref="FE312">_xll.DCEPropSectBox(EY312, EZ312, FA312, 1, 1, "Iy")/10000</f>
        <v>12.876587167007246</v>
      </c>
      <c r="FF312" s="75">
        <f t="shared" si="31"/>
        <v>10.709281022477835</v>
      </c>
      <c r="FG312" s="75">
        <f t="shared" si="32"/>
        <v>6.438293583503623</v>
      </c>
      <c r="FJ312" s="3"/>
      <c r="FK312" s="77"/>
      <c r="FL312" s="3"/>
      <c r="FM312" s="3"/>
      <c r="FN312" s="3"/>
      <c r="FO312" s="3"/>
      <c r="FP312" s="3"/>
      <c r="FQ312" s="3"/>
      <c r="FR312" s="3"/>
      <c r="FS312" s="3"/>
    </row>
    <row r="313" spans="153:175" ht="14.4">
      <c r="EW313" s="3" t="e">
        <f>Cal!#REF!</f>
        <v>#REF!</v>
      </c>
      <c r="EX313" s="77" t="s">
        <v>549</v>
      </c>
      <c r="EY313" s="3">
        <v>40</v>
      </c>
      <c r="EZ313" s="3">
        <v>100</v>
      </c>
      <c r="FA313" s="3" t="s">
        <v>695</v>
      </c>
      <c r="FB313" s="75" cm="1">
        <f t="array" ref="FB313">_xll.DCEPropSectBox(EY313, EZ313, FA313, 1, 1, "Area")/100</f>
        <v>4.5699760830662344</v>
      </c>
      <c r="FC313" s="75">
        <f t="shared" si="33"/>
        <v>3.587431225206994</v>
      </c>
      <c r="FD313" s="75" cm="1">
        <f t="array" ref="FD313">_xll.DCEPropSectBox(EY313, EZ313, FA313, 1, 1, "Ix")/10000</f>
        <v>56.560873682100592</v>
      </c>
      <c r="FE313" s="75" cm="1">
        <f t="array" ref="FE313">_xll.DCEPropSectBox(EY313, EZ313, FA313, 1, 1, "Iy")/10000</f>
        <v>13.577811147164754</v>
      </c>
      <c r="FF313" s="75">
        <f t="shared" si="31"/>
        <v>11.312174736420118</v>
      </c>
      <c r="FG313" s="75">
        <f t="shared" si="32"/>
        <v>6.7889055735823769</v>
      </c>
      <c r="FJ313" s="3"/>
      <c r="FK313" s="77"/>
      <c r="FL313" s="3"/>
      <c r="FM313" s="3"/>
      <c r="FN313" s="3"/>
      <c r="FO313" s="3"/>
      <c r="FP313" s="3"/>
      <c r="FQ313" s="3"/>
      <c r="FR313" s="3"/>
      <c r="FS313" s="3"/>
    </row>
    <row r="314" spans="153:175" ht="14.4">
      <c r="EW314" s="3" t="e">
        <f>Cal!#REF!</f>
        <v>#REF!</v>
      </c>
      <c r="EX314" s="77" t="s">
        <v>550</v>
      </c>
      <c r="EY314" s="3">
        <v>40</v>
      </c>
      <c r="EZ314" s="3">
        <v>100</v>
      </c>
      <c r="FA314" s="3" t="s">
        <v>696</v>
      </c>
      <c r="FB314" s="75" cm="1">
        <f t="array" ref="FB314">_xll.DCEPropSectBox(EY314, EZ314, FA314, 1, 1, "Area")/100</f>
        <v>4.826962805928928</v>
      </c>
      <c r="FC314" s="75">
        <f t="shared" si="33"/>
        <v>3.7891658026542085</v>
      </c>
      <c r="FD314" s="75" cm="1">
        <f t="array" ref="FD314">_xll.DCEPropSectBox(EY314, EZ314, FA314, 1, 1, "Ix")/10000</f>
        <v>59.537230420167582</v>
      </c>
      <c r="FE314" s="75" cm="1">
        <f t="array" ref="FE314">_xll.DCEPropSectBox(EY314, EZ314, FA314, 1, 1, "Iy")/10000</f>
        <v>14.267427156466574</v>
      </c>
      <c r="FF314" s="75">
        <f t="shared" si="31"/>
        <v>11.907446084033516</v>
      </c>
      <c r="FG314" s="75">
        <f t="shared" si="32"/>
        <v>7.1337135782332872</v>
      </c>
      <c r="FJ314" s="3"/>
      <c r="FK314" s="77"/>
      <c r="FL314" s="3"/>
      <c r="FM314" s="3"/>
      <c r="FN314" s="3"/>
      <c r="FO314" s="3"/>
      <c r="FP314" s="3"/>
      <c r="FQ314" s="3"/>
      <c r="FR314" s="3"/>
      <c r="FS314" s="3"/>
    </row>
    <row r="315" spans="153:175" ht="14.4">
      <c r="EW315" s="3" t="e">
        <f>Cal!#REF!</f>
        <v>#REF!</v>
      </c>
      <c r="EX315" s="77" t="s">
        <v>551</v>
      </c>
      <c r="EY315" s="3">
        <v>40</v>
      </c>
      <c r="EZ315" s="3">
        <v>100</v>
      </c>
      <c r="FA315" s="3" t="s">
        <v>697</v>
      </c>
      <c r="FB315" s="75" cm="1">
        <f t="array" ref="FB315">_xll.DCEPropSectBox(EY315, EZ315, FA315, 1, 1, "Area")/100</f>
        <v>5.0826344843837736</v>
      </c>
      <c r="FC315" s="75">
        <f t="shared" si="33"/>
        <v>3.9898680702412626</v>
      </c>
      <c r="FD315" s="75" cm="1">
        <f t="array" ref="FD315">_xll.DCEPropSectBox(EY315, EZ315, FA315, 1, 1, "Ix")/10000</f>
        <v>62.475635369588865</v>
      </c>
      <c r="FE315" s="75" cm="1">
        <f t="array" ref="FE315">_xll.DCEPropSectBox(EY315, EZ315, FA315, 1, 1, "Iy")/10000</f>
        <v>14.945529821924591</v>
      </c>
      <c r="FF315" s="75">
        <f t="shared" si="31"/>
        <v>12.495127073917773</v>
      </c>
      <c r="FG315" s="75">
        <f t="shared" si="32"/>
        <v>7.4727649109622956</v>
      </c>
      <c r="FJ315" s="3"/>
      <c r="FK315" s="77"/>
      <c r="FL315" s="3"/>
      <c r="FM315" s="3"/>
      <c r="FN315" s="3"/>
      <c r="FO315" s="3"/>
      <c r="FP315" s="3"/>
      <c r="FQ315" s="3"/>
      <c r="FR315" s="3"/>
      <c r="FS315" s="3"/>
    </row>
    <row r="316" spans="153:175" ht="14.4">
      <c r="EW316" s="3" t="e">
        <f>Cal!#REF!</f>
        <v>#REF!</v>
      </c>
      <c r="EX316" s="77" t="s">
        <v>552</v>
      </c>
      <c r="EY316" s="3">
        <v>40</v>
      </c>
      <c r="EZ316" s="3">
        <v>100</v>
      </c>
      <c r="FA316" s="3" t="s">
        <v>698</v>
      </c>
      <c r="FB316" s="75" cm="1">
        <f t="array" ref="FB316">_xll.DCEPropSectBox(EY316, EZ316, FA316, 1, 1, "Area")/100</f>
        <v>5.3369911184307748</v>
      </c>
      <c r="FC316" s="75">
        <f t="shared" si="33"/>
        <v>4.1895380279681582</v>
      </c>
      <c r="FD316" s="75" cm="1">
        <f t="array" ref="FD316">_xll.DCEPropSectBox(EY316, EZ316, FA316, 1, 1, "Ix")/10000</f>
        <v>65.376248288583412</v>
      </c>
      <c r="FE316" s="75" cm="1">
        <f t="array" ref="FE316">_xll.DCEPropSectBox(EY316, EZ316, FA316, 1, 1, "Iy")/10000</f>
        <v>15.612213485770992</v>
      </c>
      <c r="FF316" s="75">
        <f t="shared" si="31"/>
        <v>13.075249657716682</v>
      </c>
      <c r="FG316" s="75">
        <f t="shared" si="32"/>
        <v>7.806106742885496</v>
      </c>
      <c r="FJ316" s="3"/>
      <c r="FK316" s="77"/>
      <c r="FL316" s="3"/>
      <c r="FM316" s="3"/>
      <c r="FN316" s="3"/>
      <c r="FO316" s="3"/>
      <c r="FP316" s="3"/>
      <c r="FQ316" s="3"/>
      <c r="FR316" s="3"/>
      <c r="FS316" s="3"/>
    </row>
    <row r="317" spans="153:175" ht="14.4">
      <c r="EW317" s="3" t="e">
        <f>Cal!#REF!</f>
        <v>#REF!</v>
      </c>
      <c r="EX317" s="77" t="s">
        <v>553</v>
      </c>
      <c r="EY317" s="3">
        <v>40</v>
      </c>
      <c r="EZ317" s="3">
        <v>100</v>
      </c>
      <c r="FA317" s="3" t="s">
        <v>699</v>
      </c>
      <c r="FB317" s="75" cm="1">
        <f t="array" ref="FB317">_xll.DCEPropSectBox(EY317, EZ317, FA317, 1, 1, "Area")/100</f>
        <v>5.5900327080699306</v>
      </c>
      <c r="FC317" s="75">
        <f t="shared" si="33"/>
        <v>4.3881756758348951</v>
      </c>
      <c r="FD317" s="75" cm="1">
        <f t="array" ref="FD317">_xll.DCEPropSectBox(EY317, EZ317, FA317, 1, 1, "Ix")/10000</f>
        <v>68.239228650590505</v>
      </c>
      <c r="FE317" s="75" cm="1">
        <f t="array" ref="FE317">_xll.DCEPropSectBox(EY317, EZ317, FA317, 1, 1, "Iy")/10000</f>
        <v>16.267572205458141</v>
      </c>
      <c r="FF317" s="75">
        <f t="shared" si="31"/>
        <v>13.647845730118101</v>
      </c>
      <c r="FG317" s="75">
        <f t="shared" si="32"/>
        <v>8.1337861027290703</v>
      </c>
      <c r="FJ317" s="3"/>
      <c r="FK317" s="77"/>
      <c r="FL317" s="3"/>
      <c r="FM317" s="3"/>
      <c r="FN317" s="3"/>
      <c r="FO317" s="3"/>
      <c r="FP317" s="3"/>
      <c r="FQ317" s="3"/>
      <c r="FR317" s="3"/>
      <c r="FS317" s="3"/>
    </row>
    <row r="318" spans="153:175" ht="14.4">
      <c r="EW318" s="3" t="e">
        <f>Cal!#REF!</f>
        <v>#REF!</v>
      </c>
      <c r="EX318" s="77" t="s">
        <v>554</v>
      </c>
      <c r="EY318" s="3">
        <v>40</v>
      </c>
      <c r="EZ318" s="3">
        <v>100</v>
      </c>
      <c r="FA318" s="3" t="s">
        <v>700</v>
      </c>
      <c r="FB318" s="75" cm="1">
        <f t="array" ref="FB318">_xll.DCEPropSectBox(EY318, EZ318, FA318, 1, 1, "Area")/100</f>
        <v>5.8417592533012375</v>
      </c>
      <c r="FC318" s="75">
        <f t="shared" si="33"/>
        <v>4.5857810138414719</v>
      </c>
      <c r="FD318" s="75" cm="1">
        <f t="array" ref="FD318">_xll.DCEPropSectBox(EY318, EZ318, FA318, 1, 1, "Ix")/10000</f>
        <v>71.06473564426939</v>
      </c>
      <c r="FE318" s="75" cm="1">
        <f t="array" ref="FE318">_xll.DCEPropSectBox(EY318, EZ318, FA318, 1, 1, "Iy")/10000</f>
        <v>16.91169975365862</v>
      </c>
      <c r="FF318" s="75">
        <f t="shared" si="31"/>
        <v>14.212947128853878</v>
      </c>
      <c r="FG318" s="75">
        <f t="shared" si="32"/>
        <v>8.4558498768293102</v>
      </c>
      <c r="FJ318" s="3"/>
      <c r="FK318" s="77"/>
      <c r="FL318" s="3"/>
      <c r="FM318" s="3"/>
      <c r="FN318" s="3"/>
      <c r="FO318" s="3"/>
      <c r="FP318" s="3"/>
      <c r="FQ318" s="3"/>
      <c r="FR318" s="3"/>
      <c r="FS318" s="3"/>
    </row>
    <row r="319" spans="153:175" ht="14.4">
      <c r="EW319" s="3" t="e">
        <f>Cal!#REF!</f>
        <v>#REF!</v>
      </c>
      <c r="EX319" s="77" t="s">
        <v>555</v>
      </c>
      <c r="EY319" s="3">
        <v>40</v>
      </c>
      <c r="EZ319" s="3">
        <v>100</v>
      </c>
      <c r="FA319" s="3" t="s">
        <v>701</v>
      </c>
      <c r="FB319" s="75" cm="1">
        <f t="array" ref="FB319">_xll.DCEPropSectBox(EY319, EZ319, FA319, 1, 1, "Area")/100</f>
        <v>6.0921707541247008</v>
      </c>
      <c r="FC319" s="75">
        <f t="shared" si="33"/>
        <v>4.7823540419878903</v>
      </c>
      <c r="FD319" s="75" cm="1">
        <f t="array" ref="FD319">_xll.DCEPropSectBox(EY319, EZ319, FA319, 1, 1, "Ix")/10000</f>
        <v>73.852928173499834</v>
      </c>
      <c r="FE319" s="75" cm="1">
        <f t="array" ref="FE319">_xll.DCEPropSectBox(EY319, EZ319, FA319, 1, 1, "Iy")/10000</f>
        <v>17.544689618265306</v>
      </c>
      <c r="FF319" s="75">
        <f t="shared" si="31"/>
        <v>14.770585634699966</v>
      </c>
      <c r="FG319" s="75">
        <f t="shared" si="32"/>
        <v>8.7723448091326528</v>
      </c>
      <c r="FJ319" s="3"/>
      <c r="FK319" s="77"/>
      <c r="FL319" s="3"/>
      <c r="FM319" s="3"/>
      <c r="FN319" s="3"/>
      <c r="FO319" s="3"/>
      <c r="FP319" s="3"/>
      <c r="FQ319" s="3"/>
      <c r="FR319" s="3"/>
      <c r="FS319" s="3"/>
    </row>
    <row r="320" spans="153:175" ht="14.4">
      <c r="EW320" s="3" t="e">
        <f>Cal!#REF!</f>
        <v>#REF!</v>
      </c>
      <c r="EX320" s="77" t="s">
        <v>556</v>
      </c>
      <c r="EY320" s="3">
        <v>40</v>
      </c>
      <c r="EZ320" s="3">
        <v>100</v>
      </c>
      <c r="FA320" s="3" t="s">
        <v>702</v>
      </c>
      <c r="FB320" s="75" cm="1">
        <f t="array" ref="FB320">_xll.DCEPropSectBox(EY320, EZ320, FA320, 1, 1, "Area")/100</f>
        <v>6.3412672105403161</v>
      </c>
      <c r="FC320" s="75">
        <f t="shared" si="33"/>
        <v>4.9778947602741486</v>
      </c>
      <c r="FD320" s="75" cm="1">
        <f t="array" ref="FD320">_xll.DCEPropSectBox(EY320, EZ320, FA320, 1, 1, "Ix")/10000</f>
        <v>76.603964857381769</v>
      </c>
      <c r="FE320" s="75" cm="1">
        <f t="array" ref="FE320">_xll.DCEPropSectBox(EY320, EZ320, FA320, 1, 1, "Iy")/10000</f>
        <v>18.166635002391239</v>
      </c>
      <c r="FF320" s="75">
        <f t="shared" si="31"/>
        <v>15.320792971476354</v>
      </c>
      <c r="FG320" s="75">
        <f t="shared" si="32"/>
        <v>9.0833175011956193</v>
      </c>
      <c r="FJ320" s="3"/>
      <c r="FK320" s="77"/>
      <c r="FL320" s="3"/>
      <c r="FM320" s="3"/>
      <c r="FN320" s="3"/>
      <c r="FO320" s="3"/>
      <c r="FP320" s="3"/>
      <c r="FQ320" s="3"/>
      <c r="FR320" s="3"/>
      <c r="FS320" s="3"/>
    </row>
    <row r="321" spans="153:175" ht="14.4">
      <c r="EW321" s="3" t="e">
        <f>Cal!#REF!</f>
        <v>#REF!</v>
      </c>
      <c r="EX321" s="77" t="s">
        <v>557</v>
      </c>
      <c r="EY321" s="3">
        <v>40</v>
      </c>
      <c r="EZ321" s="3">
        <v>100</v>
      </c>
      <c r="FA321" s="3" t="s">
        <v>703</v>
      </c>
      <c r="FB321" s="75" cm="1">
        <f t="array" ref="FB321">_xll.DCEPropSectBox(EY321, EZ321, FA321, 1, 1, "Area")/100</f>
        <v>6.5890486225480869</v>
      </c>
      <c r="FC321" s="75">
        <f t="shared" si="33"/>
        <v>5.1724031687002476</v>
      </c>
      <c r="FD321" s="75" cm="1">
        <f t="array" ref="FD321">_xll.DCEPropSectBox(EY321, EZ321, FA321, 1, 1, "Ix")/10000</f>
        <v>79.318004030235315</v>
      </c>
      <c r="FE321" s="75" cm="1">
        <f t="array" ref="FE321">_xll.DCEPropSectBox(EY321, EZ321, FA321, 1, 1, "Iy")/10000</f>
        <v>18.777628824369771</v>
      </c>
      <c r="FF321" s="75">
        <f t="shared" si="31"/>
        <v>15.863600806047064</v>
      </c>
      <c r="FG321" s="75">
        <f t="shared" si="32"/>
        <v>9.3888144121848853</v>
      </c>
      <c r="FJ321" s="3"/>
      <c r="FK321" s="77"/>
      <c r="FL321" s="3"/>
      <c r="FM321" s="3"/>
      <c r="FN321" s="3"/>
      <c r="FO321" s="3"/>
      <c r="FP321" s="3"/>
      <c r="FQ321" s="3"/>
      <c r="FR321" s="3"/>
      <c r="FS321" s="3"/>
    </row>
    <row r="322" spans="153:175" ht="14.4">
      <c r="EW322" s="3" t="e">
        <f>Cal!#REF!</f>
        <v>#REF!</v>
      </c>
      <c r="EX322" s="77" t="s">
        <v>558</v>
      </c>
      <c r="EY322" s="3">
        <v>40</v>
      </c>
      <c r="EZ322" s="3">
        <v>100</v>
      </c>
      <c r="FA322" s="3" t="s">
        <v>704</v>
      </c>
      <c r="FB322" s="75" cm="1">
        <f t="array" ref="FB322">_xll.DCEPropSectBox(EY322, EZ322, FA322, 1, 1, "Area")/100</f>
        <v>7.080666313340088</v>
      </c>
      <c r="FC322" s="75">
        <f t="shared" si="33"/>
        <v>5.558323055971969</v>
      </c>
      <c r="FD322" s="75" cm="1">
        <f t="array" ref="FD322">_xll.DCEPropSectBox(EY322, EZ322, FA322, 1, 1, "Ix")/10000</f>
        <v>84.635721756238851</v>
      </c>
      <c r="FE322" s="75" cm="1">
        <f t="array" ref="FE322">_xll.DCEPropSectBox(EY322, EZ322, FA322, 1, 1, "Iy")/10000</f>
        <v>19.967132031318851</v>
      </c>
      <c r="FF322" s="75">
        <f t="shared" si="31"/>
        <v>16.927144351247769</v>
      </c>
      <c r="FG322" s="75">
        <f t="shared" si="32"/>
        <v>9.9835660156594255</v>
      </c>
      <c r="FJ322" s="3"/>
      <c r="FK322" s="77"/>
      <c r="FL322" s="3"/>
      <c r="FM322" s="3"/>
      <c r="FN322" s="3"/>
      <c r="FO322" s="3"/>
      <c r="FP322" s="3"/>
      <c r="FQ322" s="3"/>
      <c r="FR322" s="3"/>
      <c r="FS322" s="3"/>
    </row>
    <row r="323" spans="153:175" ht="14.4">
      <c r="EW323" s="3" t="e">
        <f>Cal!#REF!</f>
        <v>#REF!</v>
      </c>
      <c r="EX323" s="77" t="s">
        <v>559</v>
      </c>
      <c r="EY323" s="3">
        <v>40</v>
      </c>
      <c r="EZ323" s="3">
        <v>100</v>
      </c>
      <c r="FA323" s="3" t="s">
        <v>705</v>
      </c>
      <c r="FB323" s="75" cm="1">
        <f t="array" ref="FB323">_xll.DCEPropSectBox(EY323, EZ323, FA323, 1, 1, "Area")/100</f>
        <v>7.3245025921243192</v>
      </c>
      <c r="FC323" s="75">
        <f t="shared" si="33"/>
        <v>5.7497345348175912</v>
      </c>
      <c r="FD323" s="75" cm="1">
        <f t="array" ref="FD323">_xll.DCEPropSectBox(EY323, EZ323, FA323, 1, 1, "Ix")/10000</f>
        <v>87.239715554130129</v>
      </c>
      <c r="FE323" s="75" cm="1">
        <f t="array" ref="FE323">_xll.DCEPropSectBox(EY323, EZ323, FA323, 1, 1, "Iy")/10000</f>
        <v>20.545825829057176</v>
      </c>
      <c r="FF323" s="75">
        <f t="shared" si="31"/>
        <v>17.447943110826024</v>
      </c>
      <c r="FG323" s="75">
        <f t="shared" si="32"/>
        <v>10.272912914528588</v>
      </c>
      <c r="FJ323" s="3"/>
      <c r="FK323" s="77"/>
      <c r="FL323" s="3"/>
      <c r="FM323" s="3"/>
      <c r="FN323" s="3"/>
      <c r="FO323" s="3"/>
      <c r="FP323" s="3"/>
      <c r="FQ323" s="3"/>
      <c r="FR323" s="3"/>
      <c r="FS323" s="3"/>
    </row>
    <row r="324" spans="153:175" ht="14.4">
      <c r="EW324" s="3" t="e">
        <f>Cal!#REF!</f>
        <v>#REF!</v>
      </c>
      <c r="EX324" s="77" t="s">
        <v>560</v>
      </c>
      <c r="EY324" s="3">
        <v>40</v>
      </c>
      <c r="EZ324" s="3">
        <v>100</v>
      </c>
      <c r="FA324" s="3" t="s">
        <v>706</v>
      </c>
      <c r="FB324" s="75" cm="1">
        <f t="array" ref="FB324">_xll.DCEPropSectBox(EY324, EZ324, FA324, 1, 1, "Area")/100</f>
        <v>7.5670238265007042</v>
      </c>
      <c r="FC324" s="75">
        <f t="shared" si="33"/>
        <v>5.9401137038030525</v>
      </c>
      <c r="FD324" s="75" cm="1">
        <f t="array" ref="FD324">_xll.DCEPropSectBox(EY324, EZ324, FA324, 1, 1, "Ix")/10000</f>
        <v>89.80734233047589</v>
      </c>
      <c r="FE324" s="75" cm="1">
        <f t="array" ref="FE324">_xll.DCEPropSectBox(EY324, EZ324, FA324, 1, 1, "Iy")/10000</f>
        <v>21.11393689018357</v>
      </c>
      <c r="FF324" s="75">
        <f t="shared" si="31"/>
        <v>17.961468466095177</v>
      </c>
      <c r="FG324" s="75">
        <f t="shared" si="32"/>
        <v>10.556968445091785</v>
      </c>
      <c r="FJ324" s="3"/>
      <c r="FK324" s="77"/>
      <c r="FL324" s="3"/>
      <c r="FM324" s="3"/>
      <c r="FN324" s="3"/>
      <c r="FO324" s="3"/>
      <c r="FP324" s="3"/>
      <c r="FQ324" s="3"/>
      <c r="FR324" s="3"/>
      <c r="FS324" s="3"/>
    </row>
    <row r="325" spans="153:175" ht="14.4">
      <c r="EW325" s="3" t="e">
        <f>Cal!#REF!</f>
        <v>#REF!</v>
      </c>
      <c r="EX325" s="77" t="s">
        <v>561</v>
      </c>
      <c r="EY325" s="3">
        <v>40</v>
      </c>
      <c r="EZ325" s="3">
        <v>100</v>
      </c>
      <c r="FA325" s="3" t="s">
        <v>707</v>
      </c>
      <c r="FB325" s="75" cm="1">
        <f t="array" ref="FB325">_xll.DCEPropSectBox(EY325, EZ325, FA325, 1, 1, "Area")/100</f>
        <v>7.8082300164692446</v>
      </c>
      <c r="FC325" s="75">
        <f t="shared" si="33"/>
        <v>6.1294605629283572</v>
      </c>
      <c r="FD325" s="75" cm="1">
        <f t="array" ref="FD325">_xll.DCEPropSectBox(EY325, EZ325, FA325, 1, 1, "Ix")/10000</f>
        <v>92.338758995697361</v>
      </c>
      <c r="FE325" s="75" cm="1">
        <f t="array" ref="FE325">_xll.DCEPropSectBox(EY325, EZ325, FA325, 1, 1, "Iy")/10000</f>
        <v>21.671556709132517</v>
      </c>
      <c r="FF325" s="75">
        <f t="shared" si="31"/>
        <v>18.467751799139471</v>
      </c>
      <c r="FG325" s="75">
        <f t="shared" si="32"/>
        <v>10.835778354566258</v>
      </c>
      <c r="FJ325" s="3"/>
      <c r="FK325" s="77"/>
      <c r="FL325" s="3"/>
      <c r="FM325" s="3"/>
      <c r="FN325" s="3"/>
      <c r="FO325" s="3"/>
      <c r="FP325" s="3"/>
      <c r="FQ325" s="3"/>
      <c r="FR325" s="3"/>
      <c r="FS325" s="3"/>
    </row>
    <row r="326" spans="153:175" ht="14.4">
      <c r="EW326" s="3" t="e">
        <f>Cal!#REF!</f>
        <v>#REF!</v>
      </c>
      <c r="EX326" s="77" t="s">
        <v>562</v>
      </c>
      <c r="EY326" s="3">
        <v>40</v>
      </c>
      <c r="EZ326" s="3">
        <v>100</v>
      </c>
      <c r="FA326" s="3" t="s">
        <v>708</v>
      </c>
      <c r="FB326" s="75" cm="1">
        <f t="array" ref="FB326">_xll.DCEPropSectBox(EY326, EZ326, FA326, 1, 1, "Area")/100</f>
        <v>8.048121162029938</v>
      </c>
      <c r="FC326" s="75">
        <f t="shared" si="33"/>
        <v>6.3177751121935009</v>
      </c>
      <c r="FD326" s="75" cm="1">
        <f t="array" ref="FD326">_xll.DCEPropSectBox(EY326, EZ326, FA326, 1, 1, "Ix")/10000</f>
        <v>94.83412217543605</v>
      </c>
      <c r="FE326" s="75" cm="1">
        <f t="array" ref="FE326">_xll.DCEPropSectBox(EY326, EZ326, FA326, 1, 1, "Iy")/10000</f>
        <v>22.218776495558675</v>
      </c>
      <c r="FF326" s="75">
        <f t="shared" ref="FF326:FF389" si="34">FD326/(EZ326/20)</f>
        <v>18.966824435087211</v>
      </c>
      <c r="FG326" s="75">
        <f t="shared" ref="FG326:FG389" si="35">FE326/(EY326/20)</f>
        <v>11.109388247779338</v>
      </c>
      <c r="FJ326" s="3"/>
      <c r="FK326" s="77"/>
      <c r="FL326" s="3"/>
      <c r="FM326" s="3"/>
      <c r="FN326" s="3"/>
      <c r="FO326" s="3"/>
      <c r="FP326" s="3"/>
      <c r="FQ326" s="3"/>
      <c r="FR326" s="3"/>
      <c r="FS326" s="3"/>
    </row>
    <row r="327" spans="153:175" ht="14.4">
      <c r="EW327" s="3" t="e">
        <f>Cal!#REF!</f>
        <v>#REF!</v>
      </c>
      <c r="EX327" s="77" t="s">
        <v>563</v>
      </c>
      <c r="EY327" s="3">
        <v>40</v>
      </c>
      <c r="EZ327" s="3">
        <v>100</v>
      </c>
      <c r="FA327" s="3" t="s">
        <v>709</v>
      </c>
      <c r="FB327" s="75" cm="1">
        <f t="array" ref="FB327">_xll.DCEPropSectBox(EY327, EZ327, FA327, 1, 1, "Area")/100</f>
        <v>8.2866972631827842</v>
      </c>
      <c r="FC327" s="75">
        <f t="shared" ref="FC327:FC390" si="36">7850*(FB327/10000)</f>
        <v>6.5050573515984853</v>
      </c>
      <c r="FD327" s="75" cm="1">
        <f t="array" ref="FD327">_xll.DCEPropSectBox(EY327, EZ327, FA327, 1, 1, "Ix")/10000</f>
        <v>97.293588210553565</v>
      </c>
      <c r="FE327" s="75" cm="1">
        <f t="array" ref="FE327">_xll.DCEPropSectBox(EY327, EZ327, FA327, 1, 1, "Iy")/10000</f>
        <v>22.755687174336945</v>
      </c>
      <c r="FF327" s="75">
        <f t="shared" si="34"/>
        <v>19.458717642110713</v>
      </c>
      <c r="FG327" s="75">
        <f t="shared" si="35"/>
        <v>11.377843587168472</v>
      </c>
      <c r="FJ327" s="3"/>
      <c r="FK327" s="77"/>
      <c r="FL327" s="3"/>
      <c r="FM327" s="3"/>
      <c r="FN327" s="3"/>
      <c r="FO327" s="3"/>
      <c r="FP327" s="3"/>
      <c r="FQ327" s="3"/>
      <c r="FR327" s="3"/>
      <c r="FS327" s="3"/>
    </row>
    <row r="328" spans="153:175" ht="14.4">
      <c r="EW328" s="3" t="e">
        <f>Cal!#REF!</f>
        <v>#REF!</v>
      </c>
      <c r="EX328" s="77" t="s">
        <v>564</v>
      </c>
      <c r="EY328" s="3">
        <v>40</v>
      </c>
      <c r="EZ328" s="3">
        <v>100</v>
      </c>
      <c r="FA328" s="3" t="s">
        <v>711</v>
      </c>
      <c r="FB328" s="75" cm="1">
        <f t="array" ref="FB328">_xll.DCEPropSectBox(EY328, EZ328, FA328, 1, 1, "Area")/100</f>
        <v>8.7599043322649397</v>
      </c>
      <c r="FC328" s="75">
        <f t="shared" si="36"/>
        <v>6.8765249008279774</v>
      </c>
      <c r="FD328" s="75" cm="1">
        <f t="array" ref="FD328">_xll.DCEPropSectBox(EY328, EZ328, FA328, 1, 1, "Ix")/10000</f>
        <v>102.10545278647348</v>
      </c>
      <c r="FE328" s="75" cm="1">
        <f t="array" ref="FE328">_xll.DCEPropSectBox(EY328, EZ328, FA328, 1, 1, "Iy")/10000</f>
        <v>23.798943484550712</v>
      </c>
      <c r="FF328" s="75">
        <f t="shared" si="34"/>
        <v>20.421090557294697</v>
      </c>
      <c r="FG328" s="75">
        <f t="shared" si="35"/>
        <v>11.899471742275356</v>
      </c>
      <c r="FJ328" s="3"/>
      <c r="FK328" s="77"/>
      <c r="FL328" s="3"/>
      <c r="FM328" s="3"/>
      <c r="FN328" s="3"/>
      <c r="FO328" s="3"/>
      <c r="FP328" s="3"/>
      <c r="FQ328" s="3"/>
      <c r="FR328" s="3"/>
      <c r="FS328" s="3"/>
    </row>
    <row r="329" spans="153:175" ht="14.4">
      <c r="EW329" s="3" t="e">
        <f>Cal!#REF!</f>
        <v>#REF!</v>
      </c>
      <c r="EX329" s="77" t="s">
        <v>565</v>
      </c>
      <c r="EY329" s="3">
        <v>40</v>
      </c>
      <c r="EZ329" s="3">
        <v>100</v>
      </c>
      <c r="FA329" s="3" t="s">
        <v>712</v>
      </c>
      <c r="FB329" s="75" cm="1">
        <f t="array" ref="FB329">_xll.DCEPropSectBox(EY329, EZ329, FA329, 1, 1, "Area")/100</f>
        <v>8.994535300194249</v>
      </c>
      <c r="FC329" s="75">
        <f t="shared" si="36"/>
        <v>7.0607102106524851</v>
      </c>
      <c r="FD329" s="75" cm="1">
        <f t="array" ref="FD329">_xll.DCEPropSectBox(EY329, EZ329, FA329, 1, 1, "Ix")/10000</f>
        <v>104.4581625851006</v>
      </c>
      <c r="FE329" s="75" cm="1">
        <f t="array" ref="FE329">_xll.DCEPropSectBox(EY329, EZ329, FA329, 1, 1, "Iy")/10000</f>
        <v>24.305469541837198</v>
      </c>
      <c r="FF329" s="75">
        <f t="shared" si="34"/>
        <v>20.89163251702012</v>
      </c>
      <c r="FG329" s="75">
        <f t="shared" si="35"/>
        <v>12.152734770918599</v>
      </c>
      <c r="FJ329" s="3"/>
      <c r="FK329" s="77"/>
      <c r="FL329" s="3"/>
      <c r="FM329" s="3"/>
      <c r="FN329" s="3"/>
      <c r="FO329" s="3"/>
      <c r="FP329" s="3"/>
      <c r="FQ329" s="3"/>
      <c r="FR329" s="3"/>
      <c r="FS329" s="3"/>
    </row>
    <row r="330" spans="153:175" ht="14.4">
      <c r="EW330" s="3" t="e">
        <f>Cal!#REF!</f>
        <v>#REF!</v>
      </c>
      <c r="EX330" s="77" t="s">
        <v>566</v>
      </c>
      <c r="EY330" s="3">
        <v>40</v>
      </c>
      <c r="EZ330" s="3">
        <v>100</v>
      </c>
      <c r="FA330" s="3" t="s">
        <v>713</v>
      </c>
      <c r="FB330" s="75" cm="1">
        <f t="array" ref="FB330">_xll.DCEPropSectBox(EY330, EZ330, FA330, 1, 1, "Area")/100</f>
        <v>9.4598521028293288</v>
      </c>
      <c r="FC330" s="75">
        <f t="shared" si="36"/>
        <v>7.4259839007210227</v>
      </c>
      <c r="FD330" s="75" cm="1">
        <f t="array" ref="FD330">_xll.DCEPropSectBox(EY330, EZ330, FA330, 1, 1, "Ix")/10000</f>
        <v>109.05791321240224</v>
      </c>
      <c r="FE330" s="75" cm="1">
        <f t="array" ref="FE330">_xll.DCEPropSectBox(EY330, EZ330, FA330, 1, 1, "Iy")/10000</f>
        <v>25.28876638954851</v>
      </c>
      <c r="FF330" s="75">
        <f t="shared" si="34"/>
        <v>21.811582642480449</v>
      </c>
      <c r="FG330" s="75">
        <f t="shared" si="35"/>
        <v>12.644383194774255</v>
      </c>
      <c r="FJ330" s="3"/>
      <c r="FK330" s="77"/>
      <c r="FL330" s="3"/>
      <c r="FM330" s="3"/>
      <c r="FN330" s="3"/>
      <c r="FO330" s="3"/>
      <c r="FP330" s="3"/>
      <c r="FQ330" s="3"/>
      <c r="FR330" s="3"/>
      <c r="FS330" s="3"/>
    </row>
    <row r="331" spans="153:175" ht="14.4">
      <c r="EW331" s="3" t="e">
        <f>Cal!#REF!</f>
        <v>#REF!</v>
      </c>
      <c r="EX331" s="77" t="s">
        <v>567</v>
      </c>
      <c r="EY331" s="3">
        <v>40</v>
      </c>
      <c r="EZ331" s="3">
        <v>100</v>
      </c>
      <c r="FA331" s="3" t="s">
        <v>714</v>
      </c>
      <c r="FB331" s="75" cm="1">
        <f t="array" ref="FB331">_xll.DCEPropSectBox(EY331, EZ331, FA331, 1, 1, "Area")/100</f>
        <v>9.6905379375350975</v>
      </c>
      <c r="FC331" s="75">
        <f t="shared" si="36"/>
        <v>7.6070722809650517</v>
      </c>
      <c r="FD331" s="75" cm="1">
        <f t="array" ref="FD331">_xll.DCEPropSectBox(EY331, EZ331, FA331, 1, 1, "Ix")/10000</f>
        <v>111.30526359022274</v>
      </c>
      <c r="FE331" s="75" cm="1">
        <f t="array" ref="FE331">_xll.DCEPropSectBox(EY331, EZ331, FA331, 1, 1, "Iy")/10000</f>
        <v>25.765715897145721</v>
      </c>
      <c r="FF331" s="75">
        <f t="shared" si="34"/>
        <v>22.261052718044546</v>
      </c>
      <c r="FG331" s="75">
        <f t="shared" si="35"/>
        <v>12.882857948572861</v>
      </c>
      <c r="FJ331" s="3"/>
      <c r="FK331" s="77"/>
      <c r="FL331" s="3"/>
      <c r="FM331" s="3"/>
      <c r="FN331" s="3"/>
      <c r="FO331" s="3"/>
      <c r="FP331" s="3"/>
      <c r="FQ331" s="3"/>
      <c r="FR331" s="3"/>
      <c r="FS331" s="3"/>
    </row>
    <row r="332" spans="153:175" ht="14.4">
      <c r="EW332" s="3" t="e">
        <f>Cal!#REF!</f>
        <v>#REF!</v>
      </c>
      <c r="EX332" s="77" t="s">
        <v>568</v>
      </c>
      <c r="EY332" s="3">
        <v>40</v>
      </c>
      <c r="EZ332" s="3">
        <v>100</v>
      </c>
      <c r="FA332" s="3" t="s">
        <v>715</v>
      </c>
      <c r="FB332" s="75" cm="1">
        <f t="array" ref="FB332">_xll.DCEPropSectBox(EY332, EZ332, FA332, 1, 1, "Area")/100</f>
        <v>9.9199087278330218</v>
      </c>
      <c r="FC332" s="75">
        <f t="shared" si="36"/>
        <v>7.7871283513489216</v>
      </c>
      <c r="FD332" s="75" cm="1">
        <f t="array" ref="FD332">_xll.DCEPropSectBox(EY332, EZ332, FA332, 1, 1, "Ix")/10000</f>
        <v>113.51780323562082</v>
      </c>
      <c r="FE332" s="75" cm="1">
        <f t="array" ref="FE332">_xll.DCEPropSectBox(EY332, EZ332, FA332, 1, 1, "Iy")/10000</f>
        <v>26.232984797385924</v>
      </c>
      <c r="FF332" s="75">
        <f t="shared" si="34"/>
        <v>22.703560647124164</v>
      </c>
      <c r="FG332" s="75">
        <f t="shared" si="35"/>
        <v>13.116492398692962</v>
      </c>
      <c r="FJ332" s="3"/>
      <c r="FK332" s="77"/>
      <c r="FL332" s="3"/>
      <c r="FM332" s="3"/>
      <c r="FN332" s="3"/>
      <c r="FO332" s="3"/>
      <c r="FP332" s="3"/>
      <c r="FQ332" s="3"/>
      <c r="FR332" s="3"/>
      <c r="FS332" s="3"/>
    </row>
    <row r="333" spans="153:175" ht="14.4">
      <c r="EW333" s="3" t="e">
        <f>Cal!#REF!</f>
        <v>#REF!</v>
      </c>
      <c r="EX333" s="77" t="s">
        <v>569</v>
      </c>
      <c r="EY333" s="3">
        <v>40</v>
      </c>
      <c r="EZ333" s="3">
        <v>100</v>
      </c>
      <c r="FA333" s="3" t="s">
        <v>716</v>
      </c>
      <c r="FB333" s="75" cm="1">
        <f t="array" ref="FB333">_xll.DCEPropSectBox(EY333, EZ333, FA333, 1, 1, "Area")/100</f>
        <v>10.1479644737231</v>
      </c>
      <c r="FC333" s="75">
        <f t="shared" si="36"/>
        <v>7.9661521118726339</v>
      </c>
      <c r="FD333" s="75" cm="1">
        <f t="array" ref="FD333">_xll.DCEPropSectBox(EY333, EZ333, FA333, 1, 1, "Ix")/10000</f>
        <v>115.69568621122013</v>
      </c>
      <c r="FE333" s="75" cm="1">
        <f t="array" ref="FE333">_xll.DCEPropSectBox(EY333, EZ333, FA333, 1, 1, "Iy")/10000</f>
        <v>26.690661736905888</v>
      </c>
      <c r="FF333" s="75">
        <f t="shared" si="34"/>
        <v>23.139137242244026</v>
      </c>
      <c r="FG333" s="75">
        <f t="shared" si="35"/>
        <v>13.345330868452944</v>
      </c>
      <c r="FJ333" s="3"/>
      <c r="FK333" s="77"/>
      <c r="FL333" s="3"/>
      <c r="FM333" s="3"/>
      <c r="FN333" s="3"/>
      <c r="FO333" s="3"/>
      <c r="FP333" s="3"/>
      <c r="FQ333" s="3"/>
      <c r="FR333" s="3"/>
      <c r="FS333" s="3"/>
    </row>
    <row r="334" spans="153:175" ht="14.4">
      <c r="EW334" s="3" t="e">
        <f>Cal!#REF!</f>
        <v>#REF!</v>
      </c>
      <c r="EX334" s="77" t="s">
        <v>570</v>
      </c>
      <c r="EY334" s="3">
        <v>50</v>
      </c>
      <c r="EZ334" s="3">
        <v>100</v>
      </c>
      <c r="FA334" s="3" t="s">
        <v>692</v>
      </c>
      <c r="FB334" s="75" cm="1">
        <f t="array" ref="FB334">_xll.DCEPropSectBox(EY334, EZ334, FA334, 1, 1, "Area")/100</f>
        <v>4.0711256480310798</v>
      </c>
      <c r="FC334" s="75">
        <f t="shared" si="36"/>
        <v>3.1958336337043978</v>
      </c>
      <c r="FD334" s="75" cm="1">
        <f t="array" ref="FD334">_xll.DCEPropSectBox(EY334, EZ334, FA334, 1, 1, "Ix")/10000</f>
        <v>54.208320215472348</v>
      </c>
      <c r="FE334" s="75" cm="1">
        <f t="array" ref="FE334">_xll.DCEPropSectBox(EY334, EZ334, FA334, 1, 1, "Iy")/10000</f>
        <v>18.683116888799777</v>
      </c>
      <c r="FF334" s="75">
        <f t="shared" si="34"/>
        <v>10.84166404309447</v>
      </c>
      <c r="FG334" s="75">
        <f t="shared" si="35"/>
        <v>7.4732467555199111</v>
      </c>
      <c r="FJ334" s="3"/>
      <c r="FK334" s="77"/>
      <c r="FL334" s="3"/>
      <c r="FM334" s="3"/>
      <c r="FN334" s="3"/>
      <c r="FO334" s="3"/>
      <c r="FP334" s="3"/>
      <c r="FQ334" s="3"/>
      <c r="FR334" s="3"/>
      <c r="FS334" s="3"/>
    </row>
    <row r="335" spans="153:175" ht="14.4">
      <c r="EW335" s="3" t="e">
        <f>Cal!#REF!</f>
        <v>#REF!</v>
      </c>
      <c r="EX335" s="77" t="s">
        <v>571</v>
      </c>
      <c r="EY335" s="3">
        <v>50</v>
      </c>
      <c r="EZ335" s="3">
        <v>100</v>
      </c>
      <c r="FA335" s="3" t="s">
        <v>693</v>
      </c>
      <c r="FB335" s="75" cm="1">
        <f t="array" ref="FB335">_xll.DCEPropSectBox(EY335, EZ335, FA335, 1, 1, "Area")/100</f>
        <v>4.3520575041173108</v>
      </c>
      <c r="FC335" s="75">
        <f t="shared" si="36"/>
        <v>3.416365140732089</v>
      </c>
      <c r="FD335" s="75" cm="1">
        <f t="array" ref="FD335">_xll.DCEPropSectBox(EY335, EZ335, FA335, 1, 1, "Ix")/10000</f>
        <v>57.770914383254699</v>
      </c>
      <c r="FE335" s="75" cm="1">
        <f t="array" ref="FE335">_xll.DCEPropSectBox(EY335, EZ335, FA335, 1, 1, "Iy")/10000</f>
        <v>19.889172437231085</v>
      </c>
      <c r="FF335" s="75">
        <f t="shared" si="34"/>
        <v>11.554182876650939</v>
      </c>
      <c r="FG335" s="75">
        <f t="shared" si="35"/>
        <v>7.9556689748924345</v>
      </c>
      <c r="FJ335" s="3"/>
      <c r="FK335" s="77"/>
      <c r="FL335" s="3"/>
      <c r="FM335" s="3"/>
      <c r="FN335" s="3"/>
      <c r="FO335" s="3"/>
      <c r="FP335" s="3"/>
      <c r="FQ335" s="3"/>
      <c r="FR335" s="3"/>
      <c r="FS335" s="3"/>
    </row>
    <row r="336" spans="153:175" ht="14.4">
      <c r="EW336" s="3" t="e">
        <f>Cal!#REF!</f>
        <v>#REF!</v>
      </c>
      <c r="EX336" s="77" t="s">
        <v>572</v>
      </c>
      <c r="EY336" s="3">
        <v>50</v>
      </c>
      <c r="EZ336" s="3">
        <v>100</v>
      </c>
      <c r="FA336" s="3" t="s">
        <v>694</v>
      </c>
      <c r="FB336" s="75" cm="1">
        <f t="array" ref="FB336">_xll.DCEPropSectBox(EY336, EZ336, FA336, 1, 1, "Area")/100</f>
        <v>4.6316743157956966</v>
      </c>
      <c r="FC336" s="75">
        <f t="shared" si="36"/>
        <v>3.6358643378996218</v>
      </c>
      <c r="FD336" s="75" cm="1">
        <f t="array" ref="FD336">_xll.DCEPropSectBox(EY336, EZ336, FA336, 1, 1, "Ix")/10000</f>
        <v>61.293135779055788</v>
      </c>
      <c r="FE336" s="75" cm="1">
        <f t="array" ref="FE336">_xll.DCEPropSectBox(EY336, EZ336, FA336, 1, 1, "Iy")/10000</f>
        <v>21.078694596492944</v>
      </c>
      <c r="FF336" s="75">
        <f t="shared" si="34"/>
        <v>12.258627155811158</v>
      </c>
      <c r="FG336" s="75">
        <f t="shared" si="35"/>
        <v>8.4314778385971785</v>
      </c>
      <c r="FJ336" s="3"/>
      <c r="FK336" s="77"/>
      <c r="FL336" s="3"/>
      <c r="FM336" s="3"/>
      <c r="FN336" s="3"/>
      <c r="FO336" s="3"/>
      <c r="FP336" s="3"/>
      <c r="FQ336" s="3"/>
      <c r="FR336" s="3"/>
      <c r="FS336" s="3"/>
    </row>
    <row r="337" spans="153:175" ht="14.4">
      <c r="EW337" s="3" t="e">
        <f>Cal!#REF!</f>
        <v>#REF!</v>
      </c>
      <c r="EX337" s="77" t="s">
        <v>573</v>
      </c>
      <c r="EY337" s="3">
        <v>50</v>
      </c>
      <c r="EZ337" s="3">
        <v>100</v>
      </c>
      <c r="FA337" s="3" t="s">
        <v>695</v>
      </c>
      <c r="FB337" s="75" cm="1">
        <f t="array" ref="FB337">_xll.DCEPropSectBox(EY337, EZ337, FA337, 1, 1, "Area")/100</f>
        <v>4.9099760830662351</v>
      </c>
      <c r="FC337" s="75">
        <f t="shared" si="36"/>
        <v>3.8543312252069941</v>
      </c>
      <c r="FD337" s="75" cm="1">
        <f t="array" ref="FD337">_xll.DCEPropSectBox(EY337, EZ337, FA337, 1, 1, "Ix")/10000</f>
        <v>64.775149015433882</v>
      </c>
      <c r="FE337" s="75" cm="1">
        <f t="array" ref="FE337">_xll.DCEPropSectBox(EY337, EZ337, FA337, 1, 1, "Iy")/10000</f>
        <v>22.251793465821251</v>
      </c>
      <c r="FF337" s="75">
        <f t="shared" si="34"/>
        <v>12.955029803086777</v>
      </c>
      <c r="FG337" s="75">
        <f t="shared" si="35"/>
        <v>8.9007173863285001</v>
      </c>
      <c r="FJ337" s="3"/>
      <c r="FK337" s="77"/>
      <c r="FL337" s="3"/>
      <c r="FM337" s="3"/>
      <c r="FN337" s="3"/>
      <c r="FO337" s="3"/>
      <c r="FP337" s="3"/>
      <c r="FQ337" s="3"/>
      <c r="FR337" s="3"/>
      <c r="FS337" s="3"/>
    </row>
    <row r="338" spans="153:175" ht="14.4">
      <c r="EW338" s="3" t="e">
        <f>Cal!#REF!</f>
        <v>#REF!</v>
      </c>
      <c r="EX338" s="77" t="s">
        <v>574</v>
      </c>
      <c r="EY338" s="3">
        <v>50</v>
      </c>
      <c r="EZ338" s="3">
        <v>100</v>
      </c>
      <c r="FA338" s="3" t="s">
        <v>696</v>
      </c>
      <c r="FB338" s="75" cm="1">
        <f t="array" ref="FB338">_xll.DCEPropSectBox(EY338, EZ338, FA338, 1, 1, "Area")/100</f>
        <v>5.1869628059289292</v>
      </c>
      <c r="FC338" s="75">
        <f t="shared" si="36"/>
        <v>4.071765802654209</v>
      </c>
      <c r="FD338" s="75" cm="1">
        <f t="array" ref="FD338">_xll.DCEPropSectBox(EY338, EZ338, FA338, 1, 1, "Ix")/10000</f>
        <v>68.217118420167523</v>
      </c>
      <c r="FE338" s="75" cm="1">
        <f t="array" ref="FE338">_xll.DCEPropSectBox(EY338, EZ338, FA338, 1, 1, "Iy")/10000</f>
        <v>23.408578859672232</v>
      </c>
      <c r="FF338" s="75">
        <f t="shared" si="34"/>
        <v>13.643423684033504</v>
      </c>
      <c r="FG338" s="75">
        <f t="shared" si="35"/>
        <v>9.3634315438688933</v>
      </c>
      <c r="FJ338" s="3"/>
      <c r="FK338" s="77"/>
      <c r="FL338" s="3"/>
      <c r="FM338" s="3"/>
      <c r="FN338" s="3"/>
      <c r="FO338" s="3"/>
      <c r="FP338" s="3"/>
      <c r="FQ338" s="3"/>
      <c r="FR338" s="3"/>
      <c r="FS338" s="3"/>
    </row>
    <row r="339" spans="153:175" ht="14.4">
      <c r="EW339" s="3" t="e">
        <f>Cal!#REF!</f>
        <v>#REF!</v>
      </c>
      <c r="EX339" s="77" t="s">
        <v>575</v>
      </c>
      <c r="EY339" s="3">
        <v>50</v>
      </c>
      <c r="EZ339" s="3">
        <v>100</v>
      </c>
      <c r="FA339" s="3" t="s">
        <v>697</v>
      </c>
      <c r="FB339" s="75" cm="1">
        <f t="array" ref="FB339">_xll.DCEPropSectBox(EY339, EZ339, FA339, 1, 1, "Area")/100</f>
        <v>5.4626344843837735</v>
      </c>
      <c r="FC339" s="75">
        <f t="shared" si="36"/>
        <v>4.2881680702412623</v>
      </c>
      <c r="FD339" s="75" cm="1">
        <f t="array" ref="FD339">_xll.DCEPropSectBox(EY339, EZ339, FA339, 1, 1, "Ix")/10000</f>
        <v>71.619208036255472</v>
      </c>
      <c r="FE339" s="75" cm="1">
        <f t="array" ref="FE339">_xll.DCEPropSectBox(EY339, EZ339, FA339, 1, 1, "Iy")/10000</f>
        <v>24.549160307722246</v>
      </c>
      <c r="FF339" s="75">
        <f t="shared" si="34"/>
        <v>14.323841607251094</v>
      </c>
      <c r="FG339" s="75">
        <f t="shared" si="35"/>
        <v>9.8196641230888986</v>
      </c>
      <c r="FJ339" s="3"/>
      <c r="FK339" s="77"/>
      <c r="FL339" s="3"/>
      <c r="FM339" s="3"/>
      <c r="FN339" s="3"/>
      <c r="FO339" s="3"/>
      <c r="FP339" s="3"/>
      <c r="FQ339" s="3"/>
      <c r="FR339" s="3"/>
      <c r="FS339" s="3"/>
    </row>
    <row r="340" spans="153:175" ht="14.4">
      <c r="EW340" s="3" t="e">
        <f>Cal!#REF!</f>
        <v>#REF!</v>
      </c>
      <c r="EX340" s="77" t="s">
        <v>576</v>
      </c>
      <c r="EY340" s="3">
        <v>50</v>
      </c>
      <c r="EZ340" s="3">
        <v>100</v>
      </c>
      <c r="FA340" s="3" t="s">
        <v>698</v>
      </c>
      <c r="FB340" s="75" cm="1">
        <f t="array" ref="FB340">_xll.DCEPropSectBox(EY340, EZ340, FA340, 1, 1, "Area")/100</f>
        <v>5.7369911184307751</v>
      </c>
      <c r="FC340" s="75">
        <f t="shared" si="36"/>
        <v>4.5035380279681592</v>
      </c>
      <c r="FD340" s="75" cm="1">
        <f t="array" ref="FD340">_xll.DCEPropSectBox(EY340, EZ340, FA340, 1, 1, "Ix")/10000</f>
        <v>74.981581621916717</v>
      </c>
      <c r="FE340" s="75" cm="1">
        <f t="array" ref="FE340">_xll.DCEPropSectBox(EY340, EZ340, FA340, 1, 1, "Iy")/10000</f>
        <v>25.673647054867921</v>
      </c>
      <c r="FF340" s="75">
        <f t="shared" si="34"/>
        <v>14.996316324383343</v>
      </c>
      <c r="FG340" s="75">
        <f t="shared" si="35"/>
        <v>10.269458821947168</v>
      </c>
      <c r="FJ340" s="3"/>
      <c r="FK340" s="77"/>
      <c r="FL340" s="3"/>
      <c r="FM340" s="3"/>
      <c r="FN340" s="3"/>
      <c r="FO340" s="3"/>
      <c r="FP340" s="3"/>
      <c r="FQ340" s="3"/>
      <c r="FR340" s="3"/>
      <c r="FS340" s="3"/>
    </row>
    <row r="341" spans="153:175" ht="14.4">
      <c r="EW341" s="3" t="e">
        <f>Cal!#REF!</f>
        <v>#REF!</v>
      </c>
      <c r="EX341" s="77" t="s">
        <v>577</v>
      </c>
      <c r="EY341" s="3">
        <v>50</v>
      </c>
      <c r="EZ341" s="3">
        <v>100</v>
      </c>
      <c r="FA341" s="3" t="s">
        <v>699</v>
      </c>
      <c r="FB341" s="75" cm="1">
        <f t="array" ref="FB341">_xll.DCEPropSectBox(EY341, EZ341, FA341, 1, 1, "Area")/100</f>
        <v>6.0100327080699314</v>
      </c>
      <c r="FC341" s="75">
        <f t="shared" si="36"/>
        <v>4.7178756758348968</v>
      </c>
      <c r="FD341" s="75" cm="1">
        <f t="array" ref="FD341">_xll.DCEPropSectBox(EY341, EZ341, FA341, 1, 1, "Ix")/10000</f>
        <v>78.30440265059049</v>
      </c>
      <c r="FE341" s="75" cm="1">
        <f t="array" ref="FE341">_xll.DCEPropSectBox(EY341, EZ341, FA341, 1, 1, "Iy")/10000</f>
        <v>26.782148061226099</v>
      </c>
      <c r="FF341" s="75">
        <f t="shared" si="34"/>
        <v>15.660880530118098</v>
      </c>
      <c r="FG341" s="75">
        <f t="shared" si="35"/>
        <v>10.71285922449044</v>
      </c>
      <c r="FJ341" s="3"/>
      <c r="FK341" s="77"/>
      <c r="FL341" s="3"/>
      <c r="FM341" s="3"/>
      <c r="FN341" s="3"/>
      <c r="FO341" s="3"/>
      <c r="FP341" s="3"/>
      <c r="FQ341" s="3"/>
      <c r="FR341" s="3"/>
      <c r="FS341" s="3"/>
    </row>
    <row r="342" spans="153:175" ht="14.4">
      <c r="EW342" s="3" t="e">
        <f>Cal!#REF!</f>
        <v>#REF!</v>
      </c>
      <c r="EX342" s="77" t="s">
        <v>578</v>
      </c>
      <c r="EY342" s="3">
        <v>50</v>
      </c>
      <c r="EZ342" s="3">
        <v>100</v>
      </c>
      <c r="FA342" s="3" t="s">
        <v>700</v>
      </c>
      <c r="FB342" s="75" cm="1">
        <f t="array" ref="FB342">_xll.DCEPropSectBox(EY342, EZ342, FA342, 1, 1, "Area")/100</f>
        <v>6.281759253301237</v>
      </c>
      <c r="FC342" s="75">
        <f t="shared" si="36"/>
        <v>4.9311810138414716</v>
      </c>
      <c r="FD342" s="75" cm="1">
        <f t="array" ref="FD342">_xll.DCEPropSectBox(EY342, EZ342, FA342, 1, 1, "Ix")/10000</f>
        <v>81.587834310936017</v>
      </c>
      <c r="FE342" s="75" cm="1">
        <f t="array" ref="FE342">_xll.DCEPropSectBox(EY342, EZ342, FA342, 1, 1, "Iy")/10000</f>
        <v>27.874772002133859</v>
      </c>
      <c r="FF342" s="75">
        <f t="shared" si="34"/>
        <v>16.317566862187203</v>
      </c>
      <c r="FG342" s="75">
        <f t="shared" si="35"/>
        <v>11.149908800853543</v>
      </c>
      <c r="FJ342" s="3"/>
      <c r="FK342" s="77"/>
      <c r="FL342" s="3"/>
      <c r="FM342" s="3"/>
      <c r="FN342" s="3"/>
      <c r="FO342" s="3"/>
      <c r="FP342" s="3"/>
      <c r="FQ342" s="3"/>
      <c r="FR342" s="3"/>
      <c r="FS342" s="3"/>
    </row>
    <row r="343" spans="153:175" ht="14.4">
      <c r="EW343" s="3" t="e">
        <f>Cal!#REF!</f>
        <v>#REF!</v>
      </c>
      <c r="EX343" s="77" t="s">
        <v>579</v>
      </c>
      <c r="EY343" s="3">
        <v>50</v>
      </c>
      <c r="EZ343" s="3">
        <v>100</v>
      </c>
      <c r="FA343" s="3" t="s">
        <v>701</v>
      </c>
      <c r="FB343" s="75" cm="1">
        <f t="array" ref="FB343">_xll.DCEPropSectBox(EY343, EZ343, FA343, 1, 1, "Area")/100</f>
        <v>6.5521707541246998</v>
      </c>
      <c r="FC343" s="75">
        <f t="shared" si="36"/>
        <v>5.1434540419878898</v>
      </c>
      <c r="FD343" s="75" cm="1">
        <f t="array" ref="FD343">_xll.DCEPropSectBox(EY343, EZ343, FA343, 1, 1, "Ix")/10000</f>
        <v>84.832039506833112</v>
      </c>
      <c r="FE343" s="75" cm="1">
        <f t="array" ref="FE343">_xll.DCEPropSectBox(EY343, EZ343, FA343, 1, 1, "Iy")/10000</f>
        <v>28.951627268148506</v>
      </c>
      <c r="FF343" s="75">
        <f t="shared" si="34"/>
        <v>16.966407901366622</v>
      </c>
      <c r="FG343" s="75">
        <f t="shared" si="35"/>
        <v>11.580650907259402</v>
      </c>
      <c r="FJ343" s="3"/>
      <c r="FK343" s="77"/>
      <c r="FL343" s="3"/>
      <c r="FM343" s="3"/>
      <c r="FN343" s="3"/>
      <c r="FO343" s="3"/>
      <c r="FP343" s="3"/>
      <c r="FQ343" s="3"/>
      <c r="FR343" s="3"/>
      <c r="FS343" s="3"/>
    </row>
    <row r="344" spans="153:175" ht="14.4">
      <c r="EW344" s="3" t="e">
        <f>Cal!#REF!</f>
        <v>#REF!</v>
      </c>
      <c r="EX344" s="77" t="s">
        <v>580</v>
      </c>
      <c r="EY344" s="3">
        <v>50</v>
      </c>
      <c r="EZ344" s="3">
        <v>100</v>
      </c>
      <c r="FA344" s="3" t="s">
        <v>702</v>
      </c>
      <c r="FB344" s="75" cm="1">
        <f t="array" ref="FB344">_xll.DCEPropSectBox(EY344, EZ344, FA344, 1, 1, "Area")/100</f>
        <v>6.8212672105403156</v>
      </c>
      <c r="FC344" s="75">
        <f t="shared" si="36"/>
        <v>5.3546947602741479</v>
      </c>
      <c r="FD344" s="75" cm="1">
        <f t="array" ref="FD344">_xll.DCEPropSectBox(EY344, EZ344, FA344, 1, 1, "Ix")/10000</f>
        <v>88.037180857381742</v>
      </c>
      <c r="FE344" s="75" cm="1">
        <f t="array" ref="FE344">_xll.DCEPropSectBox(EY344, EZ344, FA344, 1, 1, "Iy")/10000</f>
        <v>30.0128219650476</v>
      </c>
      <c r="FF344" s="75">
        <f t="shared" si="34"/>
        <v>17.607436171476348</v>
      </c>
      <c r="FG344" s="75">
        <f t="shared" si="35"/>
        <v>12.005128786019039</v>
      </c>
      <c r="FJ344" s="3"/>
      <c r="FK344" s="77"/>
      <c r="FL344" s="3"/>
      <c r="FM344" s="3"/>
      <c r="FN344" s="3"/>
      <c r="FO344" s="3"/>
      <c r="FP344" s="3"/>
      <c r="FQ344" s="3"/>
      <c r="FR344" s="3"/>
      <c r="FS344" s="3"/>
    </row>
    <row r="345" spans="153:175" ht="14.4">
      <c r="EW345" s="3" t="e">
        <f>Cal!#REF!</f>
        <v>#REF!</v>
      </c>
      <c r="EX345" s="77" t="s">
        <v>581</v>
      </c>
      <c r="EY345" s="3">
        <v>50</v>
      </c>
      <c r="EZ345" s="3">
        <v>100</v>
      </c>
      <c r="FA345" s="3" t="s">
        <v>703</v>
      </c>
      <c r="FB345" s="75" cm="1">
        <f t="array" ref="FB345">_xll.DCEPropSectBox(EY345, EZ345, FA345, 1, 1, "Area")/100</f>
        <v>7.0890486225480869</v>
      </c>
      <c r="FC345" s="75">
        <f t="shared" si="36"/>
        <v>5.5649031687002477</v>
      </c>
      <c r="FD345" s="75" cm="1">
        <f t="array" ref="FD345">_xll.DCEPropSectBox(EY345, EZ345, FA345, 1, 1, "Ix")/10000</f>
        <v>91.203420696901972</v>
      </c>
      <c r="FE345" s="75" cm="1">
        <f t="array" ref="FE345">_xll.DCEPropSectBox(EY345, EZ345, FA345, 1, 1, "Iy")/10000</f>
        <v>31.058463913828909</v>
      </c>
      <c r="FF345" s="75">
        <f t="shared" si="34"/>
        <v>18.240684139380395</v>
      </c>
      <c r="FG345" s="75">
        <f t="shared" si="35"/>
        <v>12.423385565531564</v>
      </c>
      <c r="FJ345" s="3"/>
      <c r="FK345" s="77"/>
      <c r="FL345" s="3"/>
      <c r="FM345" s="3"/>
      <c r="FN345" s="3"/>
      <c r="FO345" s="3"/>
      <c r="FP345" s="3"/>
      <c r="FQ345" s="3"/>
      <c r="FR345" s="3"/>
      <c r="FS345" s="3"/>
    </row>
    <row r="346" spans="153:175" ht="14.4">
      <c r="EW346" s="3" t="e">
        <f>Cal!#REF!</f>
        <v>#REF!</v>
      </c>
      <c r="EX346" s="77" t="s">
        <v>582</v>
      </c>
      <c r="EY346" s="3">
        <v>50</v>
      </c>
      <c r="EZ346" s="3">
        <v>100</v>
      </c>
      <c r="FA346" s="3" t="s">
        <v>704</v>
      </c>
      <c r="FB346" s="75" cm="1">
        <f t="array" ref="FB346">_xll.DCEPropSectBox(EY346, EZ346, FA346, 1, 1, "Area")/100</f>
        <v>7.620666313340088</v>
      </c>
      <c r="FC346" s="75">
        <f t="shared" si="36"/>
        <v>5.9822230559719687</v>
      </c>
      <c r="FD346" s="75" cm="1">
        <f t="array" ref="FD346">_xll.DCEPropSectBox(EY346, EZ346, FA346, 1, 1, "Ix")/10000</f>
        <v>97.419843756238819</v>
      </c>
      <c r="FE346" s="75" cm="1">
        <f t="array" ref="FE346">_xll.DCEPropSectBox(EY346, EZ346, FA346, 1, 1, "Iy")/10000</f>
        <v>33.103519427130394</v>
      </c>
      <c r="FF346" s="75">
        <f t="shared" si="34"/>
        <v>19.483968751247765</v>
      </c>
      <c r="FG346" s="75">
        <f t="shared" si="35"/>
        <v>13.241407770852158</v>
      </c>
      <c r="FJ346" s="3"/>
      <c r="FK346" s="77"/>
      <c r="FL346" s="3"/>
      <c r="FM346" s="3"/>
      <c r="FN346" s="3"/>
      <c r="FO346" s="3"/>
      <c r="FP346" s="3"/>
      <c r="FQ346" s="3"/>
      <c r="FR346" s="3"/>
      <c r="FS346" s="3"/>
    </row>
    <row r="347" spans="153:175" ht="14.4">
      <c r="EW347" s="3" t="e">
        <f>Cal!#REF!</f>
        <v>#REF!</v>
      </c>
      <c r="EX347" s="77" t="s">
        <v>583</v>
      </c>
      <c r="EY347" s="3">
        <v>50</v>
      </c>
      <c r="EZ347" s="3">
        <v>100</v>
      </c>
      <c r="FA347" s="3" t="s">
        <v>705</v>
      </c>
      <c r="FB347" s="75" cm="1">
        <f t="array" ref="FB347">_xll.DCEPropSectBox(EY347, EZ347, FA347, 1, 1, "Area")/100</f>
        <v>7.8845025921243188</v>
      </c>
      <c r="FC347" s="75">
        <f t="shared" si="36"/>
        <v>6.1893345348175908</v>
      </c>
      <c r="FD347" s="75" cm="1">
        <f t="array" ref="FD347">_xll.DCEPropSectBox(EY347, EZ347, FA347, 1, 1, "Ix")/10000</f>
        <v>100.47035022079675</v>
      </c>
      <c r="FE347" s="75" cm="1">
        <f t="array" ref="FE347">_xll.DCEPropSectBox(EY347, EZ347, FA347, 1, 1, "Iy")/10000</f>
        <v>34.103147209747263</v>
      </c>
      <c r="FF347" s="75">
        <f t="shared" si="34"/>
        <v>20.094070044159348</v>
      </c>
      <c r="FG347" s="75">
        <f t="shared" si="35"/>
        <v>13.641258883898905</v>
      </c>
      <c r="FJ347" s="3"/>
      <c r="FK347" s="77"/>
      <c r="FL347" s="3"/>
      <c r="FM347" s="3"/>
      <c r="FN347" s="3"/>
      <c r="FO347" s="3"/>
      <c r="FP347" s="3"/>
      <c r="FQ347" s="3"/>
      <c r="FR347" s="3"/>
      <c r="FS347" s="3"/>
    </row>
    <row r="348" spans="153:175" ht="14.4">
      <c r="EW348" s="3" t="e">
        <f>Cal!#REF!</f>
        <v>#REF!</v>
      </c>
      <c r="EX348" s="77" t="s">
        <v>584</v>
      </c>
      <c r="EY348" s="3">
        <v>50</v>
      </c>
      <c r="EZ348" s="3">
        <v>100</v>
      </c>
      <c r="FA348" s="3" t="s">
        <v>706</v>
      </c>
      <c r="FB348" s="75" cm="1">
        <f t="array" ref="FB348">_xll.DCEPropSectBox(EY348, EZ348, FA348, 1, 1, "Area")/100</f>
        <v>8.1470238265007033</v>
      </c>
      <c r="FC348" s="75">
        <f t="shared" si="36"/>
        <v>6.3954137038030519</v>
      </c>
      <c r="FD348" s="75" cm="1">
        <f t="array" ref="FD348">_xll.DCEPropSectBox(EY348, EZ348, FA348, 1, 1, "Ix")/10000</f>
        <v>103.48260166380922</v>
      </c>
      <c r="FE348" s="75" cm="1">
        <f t="array" ref="FE348">_xll.DCEPropSectBox(EY348, EZ348, FA348, 1, 1, "Iy")/10000</f>
        <v>35.087650680439729</v>
      </c>
      <c r="FF348" s="75">
        <f t="shared" si="34"/>
        <v>20.696520332761843</v>
      </c>
      <c r="FG348" s="75">
        <f t="shared" si="35"/>
        <v>14.035060272175892</v>
      </c>
      <c r="FJ348" s="3"/>
      <c r="FK348" s="77"/>
      <c r="FL348" s="3"/>
      <c r="FM348" s="3"/>
      <c r="FN348" s="3"/>
      <c r="FO348" s="3"/>
      <c r="FP348" s="3"/>
      <c r="FQ348" s="3"/>
      <c r="FR348" s="3"/>
      <c r="FS348" s="3"/>
    </row>
    <row r="349" spans="153:175" ht="14.4">
      <c r="EW349" s="3" t="e">
        <f>Cal!#REF!</f>
        <v>#REF!</v>
      </c>
      <c r="EX349" s="77" t="s">
        <v>585</v>
      </c>
      <c r="EY349" s="3">
        <v>50</v>
      </c>
      <c r="EZ349" s="3">
        <v>100</v>
      </c>
      <c r="FA349" s="3" t="s">
        <v>707</v>
      </c>
      <c r="FB349" s="75" cm="1">
        <f t="array" ref="FB349">_xll.DCEPropSectBox(EY349, EZ349, FA349, 1, 1, "Area")/100</f>
        <v>8.4082300164692452</v>
      </c>
      <c r="FC349" s="75">
        <f t="shared" si="36"/>
        <v>6.6004605629283581</v>
      </c>
      <c r="FD349" s="75" cm="1">
        <f t="array" ref="FD349">_xll.DCEPropSectBox(EY349, EZ349, FA349, 1, 1, "Ix")/10000</f>
        <v>106.45675899569734</v>
      </c>
      <c r="FE349" s="75" cm="1">
        <f t="array" ref="FE349">_xll.DCEPropSectBox(EY349, EZ349, FA349, 1, 1, "Iy")/10000</f>
        <v>36.057136236306761</v>
      </c>
      <c r="FF349" s="75">
        <f t="shared" si="34"/>
        <v>21.29135179913947</v>
      </c>
      <c r="FG349" s="75">
        <f t="shared" si="35"/>
        <v>14.422854494522705</v>
      </c>
      <c r="FJ349" s="3"/>
      <c r="FK349" s="77"/>
      <c r="FL349" s="3"/>
      <c r="FM349" s="3"/>
      <c r="FN349" s="3"/>
      <c r="FO349" s="3"/>
      <c r="FP349" s="3"/>
      <c r="FQ349" s="3"/>
      <c r="FR349" s="3"/>
      <c r="FS349" s="3"/>
    </row>
    <row r="350" spans="153:175" ht="14.4">
      <c r="EW350" s="3" t="e">
        <f>Cal!#REF!</f>
        <v>#REF!</v>
      </c>
      <c r="EX350" s="77" t="s">
        <v>586</v>
      </c>
      <c r="EY350" s="3">
        <v>50</v>
      </c>
      <c r="EZ350" s="3">
        <v>100</v>
      </c>
      <c r="FA350" s="3" t="s">
        <v>708</v>
      </c>
      <c r="FB350" s="75" cm="1">
        <f t="array" ref="FB350">_xll.DCEPropSectBox(EY350, EZ350, FA350, 1, 1, "Area")/100</f>
        <v>8.668121162029939</v>
      </c>
      <c r="FC350" s="75">
        <f t="shared" si="36"/>
        <v>6.8044751121935017</v>
      </c>
      <c r="FD350" s="75" cm="1">
        <f t="array" ref="FD350">_xll.DCEPropSectBox(EY350, EZ350, FA350, 1, 1, "Ix")/10000</f>
        <v>109.3929828421027</v>
      </c>
      <c r="FE350" s="75" cm="1">
        <f t="array" ref="FE350">_xll.DCEPropSectBox(EY350, EZ350, FA350, 1, 1, "Iy")/10000</f>
        <v>37.011709989667473</v>
      </c>
      <c r="FF350" s="75">
        <f t="shared" si="34"/>
        <v>21.878596568420541</v>
      </c>
      <c r="FG350" s="75">
        <f t="shared" si="35"/>
        <v>14.80468399586699</v>
      </c>
      <c r="FJ350" s="3"/>
      <c r="FK350" s="77"/>
      <c r="FL350" s="3"/>
      <c r="FM350" s="3"/>
      <c r="FN350" s="3"/>
      <c r="FO350" s="3"/>
      <c r="FP350" s="3"/>
      <c r="FQ350" s="3"/>
      <c r="FR350" s="3"/>
      <c r="FS350" s="3"/>
    </row>
    <row r="351" spans="153:175" ht="14.4">
      <c r="EW351" s="3" t="e">
        <f>Cal!#REF!</f>
        <v>#REF!</v>
      </c>
      <c r="EX351" s="77" t="s">
        <v>587</v>
      </c>
      <c r="EY351" s="3">
        <v>50</v>
      </c>
      <c r="EZ351" s="3">
        <v>100</v>
      </c>
      <c r="FA351" s="3" t="s">
        <v>709</v>
      </c>
      <c r="FB351" s="75" cm="1">
        <f t="array" ref="FB351">_xll.DCEPropSectBox(EY351, EZ351, FA351, 1, 1, "Area")/100</f>
        <v>8.9266972631827848</v>
      </c>
      <c r="FC351" s="75">
        <f t="shared" si="36"/>
        <v>7.0074573515984859</v>
      </c>
      <c r="FD351" s="75" cm="1">
        <f t="array" ref="FD351">_xll.DCEPropSectBox(EY351, EZ351, FA351, 1, 1, "Ix")/10000</f>
        <v>112.29143354388694</v>
      </c>
      <c r="FE351" s="75" cm="1">
        <f t="array" ref="FE351">_xll.DCEPropSectBox(EY351, EZ351, FA351, 1, 1, "Iy")/10000</f>
        <v>37.951477768061217</v>
      </c>
      <c r="FF351" s="75">
        <f t="shared" si="34"/>
        <v>22.458286708777386</v>
      </c>
      <c r="FG351" s="75">
        <f t="shared" si="35"/>
        <v>15.180591107224487</v>
      </c>
      <c r="FJ351" s="3"/>
      <c r="FK351" s="77"/>
      <c r="FL351" s="3"/>
      <c r="FM351" s="3"/>
      <c r="FN351" s="3"/>
      <c r="FO351" s="3"/>
      <c r="FP351" s="3"/>
      <c r="FQ351" s="3"/>
      <c r="FR351" s="3"/>
      <c r="FS351" s="3"/>
    </row>
    <row r="352" spans="153:175" ht="14.4">
      <c r="EW352" s="3" t="e">
        <f>Cal!#REF!</f>
        <v>#REF!</v>
      </c>
      <c r="EX352" s="77" t="s">
        <v>588</v>
      </c>
      <c r="EY352" s="3">
        <v>50</v>
      </c>
      <c r="EZ352" s="3">
        <v>100</v>
      </c>
      <c r="FA352" s="3" t="s">
        <v>711</v>
      </c>
      <c r="FB352" s="75" cm="1">
        <f t="array" ref="FB352">_xll.DCEPropSectBox(EY352, EZ352, FA352, 1, 1, "Area")/100</f>
        <v>9.4399043322649394</v>
      </c>
      <c r="FC352" s="75">
        <f t="shared" si="36"/>
        <v>7.4103249008279777</v>
      </c>
      <c r="FD352" s="75" cm="1">
        <f t="array" ref="FD352">_xll.DCEPropSectBox(EY352, EZ352, FA352, 1, 1, "Ix")/10000</f>
        <v>117.97565545314008</v>
      </c>
      <c r="FE352" s="75" cm="1">
        <f t="array" ref="FE352">_xll.DCEPropSectBox(EY352, EZ352, FA352, 1, 1, "Iy")/10000</f>
        <v>39.787017286206648</v>
      </c>
      <c r="FF352" s="75">
        <f t="shared" si="34"/>
        <v>23.595131090628016</v>
      </c>
      <c r="FG352" s="75">
        <f t="shared" si="35"/>
        <v>15.914806914482659</v>
      </c>
      <c r="FJ352" s="3"/>
      <c r="FK352" s="77"/>
      <c r="FL352" s="3"/>
      <c r="FM352" s="3"/>
      <c r="FN352" s="3"/>
      <c r="FO352" s="3"/>
      <c r="FP352" s="3"/>
      <c r="FQ352" s="3"/>
      <c r="FR352" s="3"/>
      <c r="FS352" s="3"/>
    </row>
    <row r="353" spans="153:175" ht="14.4">
      <c r="EW353" s="3" t="e">
        <f>Cal!#REF!</f>
        <v>#REF!</v>
      </c>
      <c r="EX353" s="77" t="s">
        <v>589</v>
      </c>
      <c r="EY353" s="3">
        <v>50</v>
      </c>
      <c r="EZ353" s="3">
        <v>100</v>
      </c>
      <c r="FA353" s="3" t="s">
        <v>712</v>
      </c>
      <c r="FB353" s="75" cm="1">
        <f t="array" ref="FB353">_xll.DCEPropSectBox(EY353, EZ353, FA353, 1, 1, "Area")/100</f>
        <v>9.6945353001942483</v>
      </c>
      <c r="FC353" s="75">
        <f t="shared" si="36"/>
        <v>7.6102102106524852</v>
      </c>
      <c r="FD353" s="75" cm="1">
        <f t="array" ref="FD353">_xll.DCEPropSectBox(EY353, EZ353, FA353, 1, 1, "Ix")/10000</f>
        <v>120.76174591843387</v>
      </c>
      <c r="FE353" s="75" cm="1">
        <f t="array" ref="FE353">_xll.DCEPropSectBox(EY353, EZ353, FA353, 1, 1, "Iy")/10000</f>
        <v>40.68299925713827</v>
      </c>
      <c r="FF353" s="75">
        <f t="shared" si="34"/>
        <v>24.152349183686773</v>
      </c>
      <c r="FG353" s="75">
        <f t="shared" si="35"/>
        <v>16.273199702855308</v>
      </c>
      <c r="FJ353" s="3"/>
      <c r="FK353" s="77"/>
      <c r="FL353" s="3"/>
      <c r="FM353" s="3"/>
      <c r="FN353" s="3"/>
      <c r="FO353" s="3"/>
      <c r="FP353" s="3"/>
      <c r="FQ353" s="3"/>
      <c r="FR353" s="3"/>
      <c r="FS353" s="3"/>
    </row>
    <row r="354" spans="153:175" ht="14.4">
      <c r="EW354" s="3" t="e">
        <f>Cal!#REF!</f>
        <v>#REF!</v>
      </c>
      <c r="EX354" s="77" t="s">
        <v>590</v>
      </c>
      <c r="EY354" s="3">
        <v>50</v>
      </c>
      <c r="EZ354" s="3">
        <v>100</v>
      </c>
      <c r="FA354" s="3" t="s">
        <v>713</v>
      </c>
      <c r="FB354" s="75" cm="1">
        <f t="array" ref="FB354">_xll.DCEPropSectBox(EY354, EZ354, FA354, 1, 1, "Area")/100</f>
        <v>10.199852102829329</v>
      </c>
      <c r="FC354" s="75">
        <f t="shared" si="36"/>
        <v>8.0068839007210233</v>
      </c>
      <c r="FD354" s="75" cm="1">
        <f t="array" ref="FD354">_xll.DCEPropSectBox(EY354, EZ354, FA354, 1, 1, "Ix")/10000</f>
        <v>126.22268187906889</v>
      </c>
      <c r="FE354" s="75" cm="1">
        <f t="array" ref="FE354">_xll.DCEPropSectBox(EY354, EZ354, FA354, 1, 1, "Iy")/10000</f>
        <v>42.431911064820781</v>
      </c>
      <c r="FF354" s="75">
        <f t="shared" si="34"/>
        <v>25.244536375813777</v>
      </c>
      <c r="FG354" s="75">
        <f t="shared" si="35"/>
        <v>16.972764425928311</v>
      </c>
      <c r="FJ354" s="3"/>
      <c r="FK354" s="77"/>
      <c r="FL354" s="3"/>
      <c r="FM354" s="3"/>
      <c r="FN354" s="3"/>
      <c r="FO354" s="3"/>
      <c r="FP354" s="3"/>
      <c r="FQ354" s="3"/>
      <c r="FR354" s="3"/>
      <c r="FS354" s="3"/>
    </row>
    <row r="355" spans="153:175" ht="14.4">
      <c r="EW355" s="3" t="e">
        <f>Cal!#REF!</f>
        <v>#REF!</v>
      </c>
      <c r="EX355" s="77" t="s">
        <v>591</v>
      </c>
      <c r="EY355" s="3">
        <v>50</v>
      </c>
      <c r="EZ355" s="3">
        <v>100</v>
      </c>
      <c r="FA355" s="3" t="s">
        <v>714</v>
      </c>
      <c r="FB355" s="75" cm="1">
        <f t="array" ref="FB355">_xll.DCEPropSectBox(EY355, EZ355, FA355, 1, 1, "Area")/100</f>
        <v>10.450537937535097</v>
      </c>
      <c r="FC355" s="75">
        <f t="shared" si="36"/>
        <v>8.2036722809650513</v>
      </c>
      <c r="FD355" s="75" cm="1">
        <f t="array" ref="FD355">_xll.DCEPropSectBox(EY355, EZ355, FA355, 1, 1, "Ix")/10000</f>
        <v>128.89784492355605</v>
      </c>
      <c r="FE355" s="75" cm="1">
        <f t="array" ref="FE355">_xll.DCEPropSectBox(EY355, EZ355, FA355, 1, 1, "Iy")/10000</f>
        <v>43.285049424073016</v>
      </c>
      <c r="FF355" s="75">
        <f t="shared" si="34"/>
        <v>25.779568984711211</v>
      </c>
      <c r="FG355" s="75">
        <f t="shared" si="35"/>
        <v>17.314019769629205</v>
      </c>
      <c r="FJ355" s="3"/>
      <c r="FK355" s="77"/>
      <c r="FL355" s="3"/>
      <c r="FM355" s="3"/>
      <c r="FN355" s="3"/>
      <c r="FO355" s="3"/>
      <c r="FP355" s="3"/>
      <c r="FQ355" s="3"/>
      <c r="FR355" s="3"/>
      <c r="FS355" s="3"/>
    </row>
    <row r="356" spans="153:175" ht="14.4">
      <c r="EW356" s="3" t="e">
        <f>Cal!#REF!</f>
        <v>#REF!</v>
      </c>
      <c r="EX356" s="77" t="s">
        <v>592</v>
      </c>
      <c r="EY356" s="3">
        <v>50</v>
      </c>
      <c r="EZ356" s="3">
        <v>100</v>
      </c>
      <c r="FA356" s="3" t="s">
        <v>715</v>
      </c>
      <c r="FB356" s="75" cm="1">
        <f t="array" ref="FB356">_xll.DCEPropSectBox(EY356, EZ356, FA356, 1, 1, "Area")/100</f>
        <v>10.699908727833021</v>
      </c>
      <c r="FC356" s="75">
        <f t="shared" si="36"/>
        <v>8.3994283513489219</v>
      </c>
      <c r="FD356" s="75" cm="1">
        <f t="array" ref="FD356">_xll.DCEPropSectBox(EY356, EZ356, FA356, 1, 1, "Ix")/10000</f>
        <v>131.5363492356208</v>
      </c>
      <c r="FE356" s="75" cm="1">
        <f t="array" ref="FE356">_xll.DCEPropSectBox(EY356, EZ356, FA356, 1, 1, "Iy")/10000</f>
        <v>44.12411462730045</v>
      </c>
      <c r="FF356" s="75">
        <f t="shared" si="34"/>
        <v>26.307269847124161</v>
      </c>
      <c r="FG356" s="75">
        <f t="shared" si="35"/>
        <v>17.64964585092018</v>
      </c>
      <c r="FJ356" s="3"/>
      <c r="FK356" s="77"/>
      <c r="FL356" s="3"/>
      <c r="FM356" s="3"/>
      <c r="FN356" s="3"/>
      <c r="FO356" s="3"/>
      <c r="FP356" s="3"/>
      <c r="FQ356" s="3"/>
      <c r="FR356" s="3"/>
      <c r="FS356" s="3"/>
    </row>
    <row r="357" spans="153:175" ht="14.4">
      <c r="EW357" s="3" t="e">
        <f>Cal!#REF!</f>
        <v>#REF!</v>
      </c>
      <c r="EX357" s="77" t="s">
        <v>593</v>
      </c>
      <c r="EY357" s="3">
        <v>50</v>
      </c>
      <c r="EZ357" s="3">
        <v>100</v>
      </c>
      <c r="FA357" s="3" t="s">
        <v>716</v>
      </c>
      <c r="FB357" s="75" cm="1">
        <f t="array" ref="FB357">_xll.DCEPropSectBox(EY357, EZ357, FA357, 1, 1, "Area")/100</f>
        <v>10.947964473723101</v>
      </c>
      <c r="FC357" s="75">
        <f t="shared" si="36"/>
        <v>8.5941521118726349</v>
      </c>
      <c r="FD357" s="75" cm="1">
        <f t="array" ref="FD357">_xll.DCEPropSectBox(EY357, EZ357, FA357, 1, 1, "Ix")/10000</f>
        <v>134.13835287788675</v>
      </c>
      <c r="FE357" s="75" cm="1">
        <f t="array" ref="FE357">_xll.DCEPropSectBox(EY357, EZ357, FA357, 1, 1, "Iy")/10000</f>
        <v>44.949210223804378</v>
      </c>
      <c r="FF357" s="75">
        <f t="shared" si="34"/>
        <v>26.827670575577351</v>
      </c>
      <c r="FG357" s="75">
        <f t="shared" si="35"/>
        <v>17.979684089521751</v>
      </c>
      <c r="FJ357" s="3"/>
      <c r="FK357" s="77"/>
      <c r="FL357" s="3"/>
      <c r="FM357" s="3"/>
      <c r="FN357" s="3"/>
      <c r="FO357" s="3"/>
      <c r="FP357" s="3"/>
      <c r="FQ357" s="3"/>
      <c r="FR357" s="3"/>
      <c r="FS357" s="3"/>
    </row>
    <row r="358" spans="153:175" ht="14.4">
      <c r="EW358" s="3" t="e">
        <f>Cal!#REF!</f>
        <v>#REF!</v>
      </c>
      <c r="EX358" s="77" t="s">
        <v>594</v>
      </c>
      <c r="EY358" s="3">
        <v>60</v>
      </c>
      <c r="EZ358" s="3">
        <v>120</v>
      </c>
      <c r="FA358" s="3" t="s">
        <v>692</v>
      </c>
      <c r="FB358" s="75" cm="1">
        <f t="array" ref="FB358">_xll.DCEPropSectBox(EY358, EZ358, FA358, 1, 1, "Area")/100</f>
        <v>4.9111256480310788</v>
      </c>
      <c r="FC358" s="75">
        <f t="shared" si="36"/>
        <v>3.8552336337043966</v>
      </c>
      <c r="FD358" s="75" cm="1">
        <f t="array" ref="FD358">_xll.DCEPropSectBox(EY358, EZ358, FA358, 1, 1, "Ix")/10000</f>
        <v>94.841629314250127</v>
      </c>
      <c r="FE358" s="75" cm="1">
        <f t="array" ref="FE358">_xll.DCEPropSectBox(EY358, EZ358, FA358, 1, 1, "Iy")/10000</f>
        <v>32.771319906103201</v>
      </c>
      <c r="FF358" s="75">
        <f t="shared" si="34"/>
        <v>15.806938219041688</v>
      </c>
      <c r="FG358" s="75">
        <f t="shared" si="35"/>
        <v>10.9237733020344</v>
      </c>
      <c r="FJ358" s="3"/>
      <c r="FK358" s="77"/>
      <c r="FL358" s="3"/>
      <c r="FM358" s="3"/>
      <c r="FN358" s="3"/>
      <c r="FO358" s="3"/>
      <c r="FP358" s="3"/>
      <c r="FQ358" s="3"/>
      <c r="FR358" s="3"/>
      <c r="FS358" s="3"/>
    </row>
    <row r="359" spans="153:175" ht="14.4">
      <c r="EW359" s="3" t="e">
        <f>Cal!#REF!</f>
        <v>#REF!</v>
      </c>
      <c r="EX359" s="77" t="s">
        <v>595</v>
      </c>
      <c r="EY359" s="3">
        <v>60</v>
      </c>
      <c r="EZ359" s="3">
        <v>120</v>
      </c>
      <c r="FA359" s="3" t="s">
        <v>693</v>
      </c>
      <c r="FB359" s="75" cm="1">
        <f t="array" ref="FB359">_xll.DCEPropSectBox(EY359, EZ359, FA359, 1, 1, "Area")/100</f>
        <v>5.2520575041173103</v>
      </c>
      <c r="FC359" s="75">
        <f t="shared" si="36"/>
        <v>4.1228651407320891</v>
      </c>
      <c r="FD359" s="75" cm="1">
        <f t="array" ref="FD359">_xll.DCEPropSectBox(EY359, EZ359, FA359, 1, 1, "Ix")/10000</f>
        <v>101.16756242607474</v>
      </c>
      <c r="FE359" s="75" cm="1">
        <f t="array" ref="FE359">_xll.DCEPropSectBox(EY359, EZ359, FA359, 1, 1, "Iy")/10000</f>
        <v>34.925213322318498</v>
      </c>
      <c r="FF359" s="75">
        <f t="shared" si="34"/>
        <v>16.861260404345789</v>
      </c>
      <c r="FG359" s="75">
        <f t="shared" si="35"/>
        <v>11.641737774106167</v>
      </c>
      <c r="FJ359" s="3"/>
      <c r="FK359" s="77"/>
      <c r="FL359" s="3"/>
      <c r="FM359" s="3"/>
      <c r="FN359" s="3"/>
      <c r="FO359" s="3"/>
      <c r="FP359" s="3"/>
      <c r="FQ359" s="3"/>
      <c r="FR359" s="3"/>
      <c r="FS359" s="3"/>
    </row>
    <row r="360" spans="153:175" ht="14.4">
      <c r="EW360" s="3" t="e">
        <f>Cal!#REF!</f>
        <v>#REF!</v>
      </c>
      <c r="EX360" s="77" t="s">
        <v>596</v>
      </c>
      <c r="EY360" s="3">
        <v>60</v>
      </c>
      <c r="EZ360" s="3">
        <v>120</v>
      </c>
      <c r="FA360" s="3" t="s">
        <v>694</v>
      </c>
      <c r="FB360" s="75" cm="1">
        <f t="array" ref="FB360">_xll.DCEPropSectBox(EY360, EZ360, FA360, 1, 1, "Area")/100</f>
        <v>5.5916743157956965</v>
      </c>
      <c r="FC360" s="75">
        <f t="shared" si="36"/>
        <v>4.3894643378996223</v>
      </c>
      <c r="FD360" s="75" cm="1">
        <f t="array" ref="FD360">_xll.DCEPropSectBox(EY360, EZ360, FA360, 1, 1, "Ix")/10000</f>
        <v>107.43476435736581</v>
      </c>
      <c r="FE360" s="75" cm="1">
        <f t="array" ref="FE360">_xll.DCEPropSectBox(EY360, EZ360, FA360, 1, 1, "Iy")/10000</f>
        <v>37.054900517209816</v>
      </c>
      <c r="FF360" s="75">
        <f t="shared" si="34"/>
        <v>17.905794059560968</v>
      </c>
      <c r="FG360" s="75">
        <f t="shared" si="35"/>
        <v>12.351633505736606</v>
      </c>
      <c r="FJ360" s="3"/>
      <c r="FK360" s="77"/>
      <c r="FL360" s="3"/>
      <c r="FM360" s="3"/>
      <c r="FN360" s="3"/>
      <c r="FO360" s="3"/>
      <c r="FP360" s="3"/>
      <c r="FQ360" s="3"/>
      <c r="FR360" s="3"/>
      <c r="FS360" s="3"/>
    </row>
    <row r="361" spans="153:175" ht="14.4">
      <c r="EW361" s="3" t="e">
        <f>Cal!#REF!</f>
        <v>#REF!</v>
      </c>
      <c r="EX361" s="77" t="s">
        <v>597</v>
      </c>
      <c r="EY361" s="3">
        <v>60</v>
      </c>
      <c r="EZ361" s="3">
        <v>120</v>
      </c>
      <c r="FA361" s="3" t="s">
        <v>695</v>
      </c>
      <c r="FB361" s="75" cm="1">
        <f t="array" ref="FB361">_xll.DCEPropSectBox(EY361, EZ361, FA361, 1, 1, "Area")/100</f>
        <v>5.9299760830662338</v>
      </c>
      <c r="FC361" s="75">
        <f t="shared" si="36"/>
        <v>4.6550312252069928</v>
      </c>
      <c r="FD361" s="75" cm="1">
        <f t="array" ref="FD361">_xll.DCEPropSectBox(EY361, EZ361, FA361, 1, 1, "Ix")/10000</f>
        <v>113.64343352601091</v>
      </c>
      <c r="FE361" s="75" cm="1">
        <f t="array" ref="FE361">_xll.DCEPropSectBox(EY361, EZ361, FA361, 1, 1, "Iy")/10000</f>
        <v>39.160514492677557</v>
      </c>
      <c r="FF361" s="75">
        <f t="shared" si="34"/>
        <v>18.940572254335152</v>
      </c>
      <c r="FG361" s="75">
        <f t="shared" si="35"/>
        <v>13.053504830892519</v>
      </c>
      <c r="FJ361" s="3"/>
      <c r="FK361" s="77"/>
      <c r="FL361" s="3"/>
      <c r="FM361" s="3"/>
      <c r="FN361" s="3"/>
      <c r="FO361" s="3"/>
      <c r="FP361" s="3"/>
      <c r="FQ361" s="3"/>
      <c r="FR361" s="3"/>
      <c r="FS361" s="3"/>
    </row>
    <row r="362" spans="153:175" ht="14.4">
      <c r="EW362" s="3" t="e">
        <f>Cal!#REF!</f>
        <v>#REF!</v>
      </c>
      <c r="EX362" s="77" t="s">
        <v>598</v>
      </c>
      <c r="EY362" s="3">
        <v>60</v>
      </c>
      <c r="EZ362" s="3">
        <v>120</v>
      </c>
      <c r="FA362" s="3" t="s">
        <v>696</v>
      </c>
      <c r="FB362" s="75" cm="1">
        <f t="array" ref="FB362">_xll.DCEPropSectBox(EY362, EZ362, FA362, 1, 1, "Area")/100</f>
        <v>6.2669628059289293</v>
      </c>
      <c r="FC362" s="75">
        <f t="shared" si="36"/>
        <v>4.9195658026542093</v>
      </c>
      <c r="FD362" s="75" cm="1">
        <f t="array" ref="FD362">_xll.DCEPropSectBox(EY362, EZ362, FA362, 1, 1, "Ix")/10000</f>
        <v>119.79376806511688</v>
      </c>
      <c r="FE362" s="75" cm="1">
        <f t="array" ref="FE362">_xll.DCEPropSectBox(EY362, EZ362, FA362, 1, 1, "Iy")/10000</f>
        <v>41.242187965842362</v>
      </c>
      <c r="FF362" s="75">
        <f t="shared" si="34"/>
        <v>19.965628010852814</v>
      </c>
      <c r="FG362" s="75">
        <f t="shared" si="35"/>
        <v>13.747395988614121</v>
      </c>
      <c r="FJ362" s="3"/>
      <c r="FK362" s="77"/>
      <c r="FL362" s="3"/>
      <c r="FM362" s="3"/>
      <c r="FN362" s="3"/>
      <c r="FO362" s="3"/>
      <c r="FP362" s="3"/>
      <c r="FQ362" s="3"/>
      <c r="FR362" s="3"/>
      <c r="FS362" s="3"/>
    </row>
    <row r="363" spans="153:175" ht="14.4">
      <c r="EW363" s="3" t="e">
        <f>Cal!#REF!</f>
        <v>#REF!</v>
      </c>
      <c r="EX363" s="77" t="s">
        <v>599</v>
      </c>
      <c r="EY363" s="3">
        <v>60</v>
      </c>
      <c r="EZ363" s="3">
        <v>120</v>
      </c>
      <c r="FA363" s="3" t="s">
        <v>697</v>
      </c>
      <c r="FB363" s="75" cm="1">
        <f t="array" ref="FB363">_xll.DCEPropSectBox(EY363, EZ363, FA363, 1, 1, "Area")/100</f>
        <v>6.6026344843837741</v>
      </c>
      <c r="FC363" s="75">
        <f t="shared" si="36"/>
        <v>5.1830680702412621</v>
      </c>
      <c r="FD363" s="75" cm="1">
        <f t="array" ref="FD363">_xll.DCEPropSectBox(EY363, EZ363, FA363, 1, 1, "Ix")/10000</f>
        <v>125.88596582301194</v>
      </c>
      <c r="FE363" s="75" cm="1">
        <f t="array" ref="FE363">_xll.DCEPropSectBox(EY363, EZ363, FA363, 1, 1, "Iy")/10000</f>
        <v>43.300053369045081</v>
      </c>
      <c r="FF363" s="75">
        <f t="shared" si="34"/>
        <v>20.980994303835324</v>
      </c>
      <c r="FG363" s="75">
        <f t="shared" si="35"/>
        <v>14.433351123015028</v>
      </c>
      <c r="FJ363" s="3"/>
      <c r="FK363" s="77"/>
      <c r="FL363" s="3"/>
      <c r="FM363" s="3"/>
      <c r="FN363" s="3"/>
      <c r="FO363" s="3"/>
      <c r="FP363" s="3"/>
      <c r="FQ363" s="3"/>
      <c r="FR363" s="3"/>
      <c r="FS363" s="3"/>
    </row>
    <row r="364" spans="153:175" ht="14.4">
      <c r="EW364" s="3" t="e">
        <f>Cal!#REF!</f>
        <v>#REF!</v>
      </c>
      <c r="EX364" s="77" t="s">
        <v>600</v>
      </c>
      <c r="EY364" s="3">
        <v>60</v>
      </c>
      <c r="EZ364" s="3">
        <v>120</v>
      </c>
      <c r="FA364" s="3" t="s">
        <v>698</v>
      </c>
      <c r="FB364" s="75" cm="1">
        <f t="array" ref="FB364">_xll.DCEPropSectBox(EY364, EZ364, FA364, 1, 1, "Area")/100</f>
        <v>6.9369911184307753</v>
      </c>
      <c r="FC364" s="75">
        <f t="shared" si="36"/>
        <v>5.4455380279681584</v>
      </c>
      <c r="FD364" s="75" cm="1">
        <f t="array" ref="FD364">_xll.DCEPropSectBox(EY364, EZ364, FA364, 1, 1, "Ix")/10000</f>
        <v>131.92022436324399</v>
      </c>
      <c r="FE364" s="75" cm="1">
        <f t="array" ref="FE364">_xll.DCEPropSectBox(EY364, EZ364, FA364, 1, 1, "Iy")/10000</f>
        <v>45.334242849846916</v>
      </c>
      <c r="FF364" s="75">
        <f t="shared" si="34"/>
        <v>21.986704060540664</v>
      </c>
      <c r="FG364" s="75">
        <f t="shared" si="35"/>
        <v>15.111414283282306</v>
      </c>
      <c r="FJ364" s="3"/>
      <c r="FK364" s="77"/>
      <c r="FL364" s="3"/>
      <c r="FM364" s="3"/>
      <c r="FN364" s="3"/>
      <c r="FO364" s="3"/>
      <c r="FP364" s="3"/>
      <c r="FQ364" s="3"/>
      <c r="FR364" s="3"/>
      <c r="FS364" s="3"/>
    </row>
    <row r="365" spans="153:175" ht="14.4">
      <c r="EW365" s="3" t="e">
        <f>Cal!#REF!</f>
        <v>#REF!</v>
      </c>
      <c r="EX365" s="77" t="s">
        <v>601</v>
      </c>
      <c r="EY365" s="3">
        <v>60</v>
      </c>
      <c r="EZ365" s="3">
        <v>120</v>
      </c>
      <c r="FA365" s="3" t="s">
        <v>699</v>
      </c>
      <c r="FB365" s="75" cm="1">
        <f t="array" ref="FB365">_xll.DCEPropSectBox(EY365, EZ365, FA365, 1, 1, "Area")/100</f>
        <v>7.2700327080699312</v>
      </c>
      <c r="FC365" s="75">
        <f t="shared" si="36"/>
        <v>5.7069756758348955</v>
      </c>
      <c r="FD365" s="75" cm="1">
        <f t="array" ref="FD365">_xll.DCEPropSectBox(EY365, EZ365, FA365, 1, 1, "Ix")/10000</f>
        <v>137.896740964581</v>
      </c>
      <c r="FE365" s="75" cm="1">
        <f t="array" ref="FE365">_xll.DCEPropSectBox(EY365, EZ365, FA365, 1, 1, "Iy")/10000</f>
        <v>47.344888271029056</v>
      </c>
      <c r="FF365" s="75">
        <f t="shared" si="34"/>
        <v>22.9827901607635</v>
      </c>
      <c r="FG365" s="75">
        <f t="shared" si="35"/>
        <v>15.781629423676351</v>
      </c>
      <c r="FJ365" s="3"/>
      <c r="FK365" s="77"/>
      <c r="FL365" s="3"/>
      <c r="FM365" s="3"/>
      <c r="FN365" s="3"/>
      <c r="FO365" s="3"/>
      <c r="FP365" s="3"/>
      <c r="FQ365" s="3"/>
      <c r="FR365" s="3"/>
      <c r="FS365" s="3"/>
    </row>
    <row r="366" spans="153:175" ht="14.4">
      <c r="EW366" s="3" t="e">
        <f>Cal!#REF!</f>
        <v>#REF!</v>
      </c>
      <c r="EX366" s="77" t="s">
        <v>602</v>
      </c>
      <c r="EY366" s="3">
        <v>60</v>
      </c>
      <c r="EZ366" s="3">
        <v>120</v>
      </c>
      <c r="FA366" s="3" t="s">
        <v>700</v>
      </c>
      <c r="FB366" s="75" cm="1">
        <f t="array" ref="FB366">_xll.DCEPropSectBox(EY366, EZ366, FA366, 1, 1, "Area")/100</f>
        <v>7.6017592533012373</v>
      </c>
      <c r="FC366" s="75">
        <f t="shared" si="36"/>
        <v>5.9673810138414707</v>
      </c>
      <c r="FD366" s="75" cm="1">
        <f t="array" ref="FD366">_xll.DCEPropSectBox(EY366, EZ366, FA366, 1, 1, "Ix")/10000</f>
        <v>143.81571262101127</v>
      </c>
      <c r="FE366" s="75" cm="1">
        <f t="array" ref="FE366">_xll.DCEPropSectBox(EY366, EZ366, FA366, 1, 1, "Iy")/10000</f>
        <v>49.332121210593051</v>
      </c>
      <c r="FF366" s="75">
        <f t="shared" si="34"/>
        <v>23.969285436835211</v>
      </c>
      <c r="FG366" s="75">
        <f t="shared" si="35"/>
        <v>16.444040403531016</v>
      </c>
      <c r="FJ366" s="3"/>
      <c r="FK366" s="77"/>
      <c r="FL366" s="3"/>
      <c r="FM366" s="3"/>
      <c r="FN366" s="3"/>
      <c r="FO366" s="3"/>
      <c r="FP366" s="3"/>
      <c r="FQ366" s="3"/>
      <c r="FR366" s="3"/>
      <c r="FS366" s="3"/>
    </row>
    <row r="367" spans="153:175" ht="14.4">
      <c r="EW367" s="3" t="e">
        <f>Cal!#REF!</f>
        <v>#REF!</v>
      </c>
      <c r="EX367" s="77" t="s">
        <v>603</v>
      </c>
      <c r="EY367" s="3">
        <v>60</v>
      </c>
      <c r="EZ367" s="3">
        <v>120</v>
      </c>
      <c r="FA367" s="3" t="s">
        <v>701</v>
      </c>
      <c r="FB367" s="75" cm="1">
        <f t="array" ref="FB367">_xll.DCEPropSectBox(EY367, EZ367, FA367, 1, 1, "Area")/100</f>
        <v>7.9321707541246997</v>
      </c>
      <c r="FC367" s="75">
        <f t="shared" si="36"/>
        <v>6.2267540419878893</v>
      </c>
      <c r="FD367" s="75" cm="1">
        <f t="array" ref="FD367">_xll.DCEPropSectBox(EY367, EZ367, FA367, 1, 1, "Ix")/10000</f>
        <v>149.67733604174342</v>
      </c>
      <c r="FE367" s="75" cm="1">
        <f t="array" ref="FE367">_xll.DCEPropSectBox(EY367, EZ367, FA367, 1, 1, "Iy")/10000</f>
        <v>51.296072961760757</v>
      </c>
      <c r="FF367" s="75">
        <f t="shared" si="34"/>
        <v>24.946222673623904</v>
      </c>
      <c r="FG367" s="75">
        <f t="shared" si="35"/>
        <v>17.098690987253587</v>
      </c>
      <c r="FJ367" s="3"/>
      <c r="FK367" s="77"/>
      <c r="FL367" s="3"/>
      <c r="FM367" s="3"/>
      <c r="FN367" s="3"/>
      <c r="FO367" s="3"/>
      <c r="FP367" s="3"/>
      <c r="FQ367" s="3"/>
      <c r="FR367" s="3"/>
      <c r="FS367" s="3"/>
    </row>
    <row r="368" spans="153:175" ht="14.4">
      <c r="EW368" s="3" t="e">
        <f>Cal!#REF!</f>
        <v>#REF!</v>
      </c>
      <c r="EX368" s="77" t="s">
        <v>604</v>
      </c>
      <c r="EY368" s="3">
        <v>60</v>
      </c>
      <c r="EZ368" s="3">
        <v>120</v>
      </c>
      <c r="FA368" s="3" t="s">
        <v>702</v>
      </c>
      <c r="FB368" s="75" cm="1">
        <f t="array" ref="FB368">_xll.DCEPropSectBox(EY368, EZ368, FA368, 1, 1, "Area")/100</f>
        <v>8.261267210540316</v>
      </c>
      <c r="FC368" s="75">
        <f t="shared" si="36"/>
        <v>6.4850947602741487</v>
      </c>
      <c r="FD368" s="75" cm="1">
        <f t="array" ref="FD368">_xll.DCEPropSectBox(EY368, EZ368, FA368, 1, 1, "Ix")/10000</f>
        <v>155.48180765120642</v>
      </c>
      <c r="FE368" s="75" cm="1">
        <f t="array" ref="FE368">_xll.DCEPropSectBox(EY368, EZ368, FA368, 1, 1, "Iy")/10000</f>
        <v>53.236874532974106</v>
      </c>
      <c r="FF368" s="75">
        <f t="shared" si="34"/>
        <v>25.913634608534405</v>
      </c>
      <c r="FG368" s="75">
        <f t="shared" si="35"/>
        <v>17.745624844324702</v>
      </c>
      <c r="FJ368" s="3"/>
      <c r="FK368" s="77"/>
      <c r="FL368" s="3"/>
      <c r="FM368" s="3"/>
      <c r="FN368" s="3"/>
      <c r="FO368" s="3"/>
      <c r="FP368" s="3"/>
      <c r="FQ368" s="3"/>
      <c r="FR368" s="3"/>
      <c r="FS368" s="3"/>
    </row>
    <row r="369" spans="153:175" ht="14.4">
      <c r="EW369" s="3" t="e">
        <f>Cal!#REF!</f>
        <v>#REF!</v>
      </c>
      <c r="EX369" s="77" t="s">
        <v>605</v>
      </c>
      <c r="EY369" s="3">
        <v>60</v>
      </c>
      <c r="EZ369" s="3">
        <v>120</v>
      </c>
      <c r="FA369" s="3" t="s">
        <v>703</v>
      </c>
      <c r="FB369" s="75" cm="1">
        <f t="array" ref="FB369">_xll.DCEPropSectBox(EY369, EZ369, FA369, 1, 1, "Area")/100</f>
        <v>8.589048622548086</v>
      </c>
      <c r="FC369" s="75">
        <f t="shared" si="36"/>
        <v>6.7424031687002479</v>
      </c>
      <c r="FD369" s="75" cm="1">
        <f t="array" ref="FD369">_xll.DCEPropSectBox(EY369, EZ369, FA369, 1, 1, "Ix")/10000</f>
        <v>161.22932358904953</v>
      </c>
      <c r="FE369" s="75" cm="1">
        <f t="array" ref="FE369">_xll.DCEPropSectBox(EY369, EZ369, FA369, 1, 1, "Iy")/10000</f>
        <v>55.15465664789545</v>
      </c>
      <c r="FF369" s="75">
        <f t="shared" si="34"/>
        <v>26.871553931508256</v>
      </c>
      <c r="FG369" s="75">
        <f t="shared" si="35"/>
        <v>18.384885549298485</v>
      </c>
      <c r="FJ369" s="3"/>
      <c r="FK369" s="77"/>
      <c r="FL369" s="3"/>
      <c r="FM369" s="3"/>
      <c r="FN369" s="3"/>
      <c r="FO369" s="3"/>
      <c r="FP369" s="3"/>
      <c r="FQ369" s="3"/>
      <c r="FR369" s="3"/>
      <c r="FS369" s="3"/>
    </row>
    <row r="370" spans="153:175" ht="14.4">
      <c r="EW370" s="3" t="e">
        <f>Cal!#REF!</f>
        <v>#REF!</v>
      </c>
      <c r="EX370" s="77" t="s">
        <v>606</v>
      </c>
      <c r="EY370" s="3">
        <v>60</v>
      </c>
      <c r="EZ370" s="3">
        <v>120</v>
      </c>
      <c r="FA370" s="3" t="s">
        <v>704</v>
      </c>
      <c r="FB370" s="75" cm="1">
        <f t="array" ref="FB370">_xll.DCEPropSectBox(EY370, EZ370, FA370, 1, 1, "Area")/100</f>
        <v>9.2406663133400873</v>
      </c>
      <c r="FC370" s="75">
        <f t="shared" si="36"/>
        <v>7.2539230559719678</v>
      </c>
      <c r="FD370" s="75" cm="1">
        <f t="array" ref="FD370">_xll.DCEPropSectBox(EY370, EZ370, FA370, 1, 1, "Ix")/10000</f>
        <v>172.55427158457255</v>
      </c>
      <c r="FE370" s="75" cm="1">
        <f t="array" ref="FE370">_xll.DCEPropSectBox(EY370, EZ370, FA370, 1, 1, "Iy")/10000</f>
        <v>58.921683979611998</v>
      </c>
      <c r="FF370" s="75">
        <f t="shared" si="34"/>
        <v>28.759045264095423</v>
      </c>
      <c r="FG370" s="75">
        <f t="shared" si="35"/>
        <v>19.640561326537334</v>
      </c>
      <c r="FJ370" s="3"/>
      <c r="FK370" s="77"/>
      <c r="FL370" s="3"/>
      <c r="FM370" s="3"/>
      <c r="FN370" s="3"/>
      <c r="FO370" s="3"/>
      <c r="FP370" s="3"/>
      <c r="FQ370" s="3"/>
      <c r="FR370" s="3"/>
      <c r="FS370" s="3"/>
    </row>
    <row r="371" spans="153:175" ht="14.4">
      <c r="EW371" s="3" t="e">
        <f>Cal!#REF!</f>
        <v>#REF!</v>
      </c>
      <c r="EX371" s="77" t="s">
        <v>607</v>
      </c>
      <c r="EY371" s="3">
        <v>60</v>
      </c>
      <c r="EZ371" s="3">
        <v>120</v>
      </c>
      <c r="FA371" s="3" t="s">
        <v>705</v>
      </c>
      <c r="FB371" s="75" cm="1">
        <f t="array" ref="FB371">_xll.DCEPropSectBox(EY371, EZ371, FA371, 1, 1, "Area")/100</f>
        <v>9.5645025921243185</v>
      </c>
      <c r="FC371" s="75">
        <f t="shared" si="36"/>
        <v>7.5081345348175903</v>
      </c>
      <c r="FD371" s="75" cm="1">
        <f t="array" ref="FD371">_xll.DCEPropSectBox(EY371, EZ371, FA371, 1, 1, "Ix")/10000</f>
        <v>178.13209449765171</v>
      </c>
      <c r="FE371" s="75" cm="1">
        <f t="array" ref="FE371">_xll.DCEPropSectBox(EY371, EZ371, FA371, 1, 1, "Iy")/10000</f>
        <v>60.771189219832877</v>
      </c>
      <c r="FF371" s="75">
        <f t="shared" si="34"/>
        <v>29.688682416275284</v>
      </c>
      <c r="FG371" s="75">
        <f t="shared" si="35"/>
        <v>20.257063073277624</v>
      </c>
      <c r="FJ371" s="3"/>
      <c r="FK371" s="77"/>
      <c r="FL371" s="3"/>
      <c r="FM371" s="3"/>
      <c r="FN371" s="3"/>
      <c r="FO371" s="3"/>
      <c r="FP371" s="3"/>
      <c r="FQ371" s="3"/>
      <c r="FR371" s="3"/>
      <c r="FS371" s="3"/>
    </row>
    <row r="372" spans="153:175" ht="14.4">
      <c r="EW372" s="3" t="e">
        <f>Cal!#REF!</f>
        <v>#REF!</v>
      </c>
      <c r="EX372" s="77" t="s">
        <v>608</v>
      </c>
      <c r="EY372" s="3">
        <v>60</v>
      </c>
      <c r="EZ372" s="3">
        <v>120</v>
      </c>
      <c r="FA372" s="3" t="s">
        <v>706</v>
      </c>
      <c r="FB372" s="75" cm="1">
        <f t="array" ref="FB372">_xll.DCEPropSectBox(EY372, EZ372, FA372, 1, 1, "Area")/100</f>
        <v>9.8870238265007035</v>
      </c>
      <c r="FC372" s="75">
        <f t="shared" si="36"/>
        <v>7.7613137038030526</v>
      </c>
      <c r="FD372" s="75" cm="1">
        <f t="array" ref="FD372">_xll.DCEPropSectBox(EY372, EZ372, FA372, 1, 1, "Ix")/10000</f>
        <v>183.65374344990946</v>
      </c>
      <c r="FE372" s="75" cm="1">
        <f t="array" ref="FE372">_xll.DCEPropSectBox(EY372, EZ372, FA372, 1, 1, "Iy")/10000</f>
        <v>62.598195050612929</v>
      </c>
      <c r="FF372" s="75">
        <f t="shared" si="34"/>
        <v>30.608957241651577</v>
      </c>
      <c r="FG372" s="75">
        <f t="shared" si="35"/>
        <v>20.866065016870976</v>
      </c>
      <c r="FJ372" s="3"/>
      <c r="FK372" s="77"/>
      <c r="FL372" s="3"/>
      <c r="FM372" s="3"/>
      <c r="FN372" s="3"/>
      <c r="FO372" s="3"/>
      <c r="FP372" s="3"/>
      <c r="FQ372" s="3"/>
      <c r="FR372" s="3"/>
      <c r="FS372" s="3"/>
    </row>
    <row r="373" spans="153:175" ht="14.4">
      <c r="EW373" s="3" t="e">
        <f>Cal!#REF!</f>
        <v>#REF!</v>
      </c>
      <c r="EX373" s="77" t="s">
        <v>609</v>
      </c>
      <c r="EY373" s="3">
        <v>60</v>
      </c>
      <c r="EZ373" s="3">
        <v>120</v>
      </c>
      <c r="FA373" s="3" t="s">
        <v>707</v>
      </c>
      <c r="FB373" s="75" cm="1">
        <f t="array" ref="FB373">_xll.DCEPropSectBox(EY373, EZ373, FA373, 1, 1, "Area")/100</f>
        <v>10.208230016469244</v>
      </c>
      <c r="FC373" s="75">
        <f t="shared" si="36"/>
        <v>8.0134605629283566</v>
      </c>
      <c r="FD373" s="75" cm="1">
        <f t="array" ref="FD373">_xll.DCEPropSectBox(EY373, EZ373, FA373, 1, 1, "Ix")/10000</f>
        <v>189.11941315709595</v>
      </c>
      <c r="FE373" s="75" cm="1">
        <f t="array" ref="FE373">_xll.DCEPropSectBox(EY373, EZ373, FA373, 1, 1, "Iy")/10000</f>
        <v>64.402830771715642</v>
      </c>
      <c r="FF373" s="75">
        <f t="shared" si="34"/>
        <v>31.519902192849326</v>
      </c>
      <c r="FG373" s="75">
        <f t="shared" si="35"/>
        <v>21.467610257238547</v>
      </c>
      <c r="FJ373" s="3"/>
      <c r="FK373" s="77"/>
      <c r="FL373" s="3"/>
      <c r="FM373" s="3"/>
      <c r="FN373" s="3"/>
      <c r="FO373" s="3"/>
      <c r="FP373" s="3"/>
      <c r="FQ373" s="3"/>
      <c r="FR373" s="3"/>
      <c r="FS373" s="3"/>
    </row>
    <row r="374" spans="153:175" ht="14.4">
      <c r="EW374" s="3" t="e">
        <f>Cal!#REF!</f>
        <v>#REF!</v>
      </c>
      <c r="EX374" s="77" t="s">
        <v>610</v>
      </c>
      <c r="EY374" s="3">
        <v>60</v>
      </c>
      <c r="EZ374" s="3">
        <v>120</v>
      </c>
      <c r="FA374" s="3" t="s">
        <v>708</v>
      </c>
      <c r="FB374" s="75" cm="1">
        <f t="array" ref="FB374">_xll.DCEPropSectBox(EY374, EZ374, FA374, 1, 1, "Area")/100</f>
        <v>10.528121162029938</v>
      </c>
      <c r="FC374" s="75">
        <f t="shared" si="36"/>
        <v>8.2645751121935014</v>
      </c>
      <c r="FD374" s="75" cm="1">
        <f t="array" ref="FD374">_xll.DCEPropSectBox(EY374, EZ374, FA374, 1, 1, "Ix")/10000</f>
        <v>194.52929805018158</v>
      </c>
      <c r="FE374" s="75" cm="1">
        <f t="array" ref="FE374">_xll.DCEPropSectBox(EY374, EZ374, FA374, 1, 1, "Iy")/10000</f>
        <v>66.185225398124558</v>
      </c>
      <c r="FF374" s="75">
        <f t="shared" si="34"/>
        <v>32.421549675030263</v>
      </c>
      <c r="FG374" s="75">
        <f t="shared" si="35"/>
        <v>22.061741799374854</v>
      </c>
      <c r="FJ374" s="3"/>
      <c r="FK374" s="77"/>
      <c r="FL374" s="3"/>
      <c r="FM374" s="3"/>
      <c r="FN374" s="3"/>
      <c r="FO374" s="3"/>
      <c r="FP374" s="3"/>
      <c r="FQ374" s="3"/>
      <c r="FR374" s="3"/>
      <c r="FS374" s="3"/>
    </row>
    <row r="375" spans="153:175" ht="14.4">
      <c r="EW375" s="3" t="e">
        <f>Cal!#REF!</f>
        <v>#REF!</v>
      </c>
      <c r="EX375" s="77" t="s">
        <v>611</v>
      </c>
      <c r="EY375" s="3">
        <v>60</v>
      </c>
      <c r="EZ375" s="3">
        <v>120</v>
      </c>
      <c r="FA375" s="3" t="s">
        <v>709</v>
      </c>
      <c r="FB375" s="75" cm="1">
        <f t="array" ref="FB375">_xll.DCEPropSectBox(EY375, EZ375, FA375, 1, 1, "Area")/100</f>
        <v>10.846697263182785</v>
      </c>
      <c r="FC375" s="75">
        <f t="shared" si="36"/>
        <v>8.5146573515984851</v>
      </c>
      <c r="FD375" s="75" cm="1">
        <f t="array" ref="FD375">_xll.DCEPropSectBox(EY375, EZ375, FA375, 1, 1, "Ix")/10000</f>
        <v>199.88359227535693</v>
      </c>
      <c r="FE375" s="75" cm="1">
        <f t="array" ref="FE375">_xll.DCEPropSectBox(EY375, EZ375, FA375, 1, 1, "Iy")/10000</f>
        <v>67.94550766004356</v>
      </c>
      <c r="FF375" s="75">
        <f t="shared" si="34"/>
        <v>33.31393204589282</v>
      </c>
      <c r="FG375" s="75">
        <f t="shared" si="35"/>
        <v>22.648502553347853</v>
      </c>
      <c r="FJ375" s="3"/>
      <c r="FK375" s="77"/>
      <c r="FL375" s="3"/>
      <c r="FM375" s="3"/>
      <c r="FN375" s="3"/>
      <c r="FO375" s="3"/>
      <c r="FP375" s="3"/>
      <c r="FQ375" s="3"/>
      <c r="FR375" s="3"/>
      <c r="FS375" s="3"/>
    </row>
    <row r="376" spans="153:175" ht="14.4">
      <c r="EW376" s="3" t="e">
        <f>Cal!#REF!</f>
        <v>#REF!</v>
      </c>
      <c r="EX376" s="77" t="s">
        <v>612</v>
      </c>
      <c r="EY376" s="3">
        <v>60</v>
      </c>
      <c r="EZ376" s="3">
        <v>120</v>
      </c>
      <c r="FA376" s="3" t="s">
        <v>711</v>
      </c>
      <c r="FB376" s="75" cm="1">
        <f t="array" ref="FB376">_xll.DCEPropSectBox(EY376, EZ376, FA376, 1, 1, "Area")/100</f>
        <v>11.479904332264942</v>
      </c>
      <c r="FC376" s="75">
        <f t="shared" si="36"/>
        <v>9.0117249008279785</v>
      </c>
      <c r="FD376" s="75" cm="1">
        <f t="array" ref="FD376">_xll.DCEPropSectBox(EY376, EZ376, FA376, 1, 1, "Ix")/10000</f>
        <v>210.4261838828408</v>
      </c>
      <c r="FE376" s="75" cm="1">
        <f t="array" ref="FE376">_xll.DCEPropSectBox(EY376, EZ376, FA376, 1, 1, "Iy")/10000</f>
        <v>71.400248587328406</v>
      </c>
      <c r="FF376" s="75">
        <f t="shared" si="34"/>
        <v>35.071030647140134</v>
      </c>
      <c r="FG376" s="75">
        <f t="shared" si="35"/>
        <v>23.800082862442803</v>
      </c>
      <c r="FJ376" s="3"/>
      <c r="FK376" s="77"/>
      <c r="FL376" s="3"/>
      <c r="FM376" s="3"/>
      <c r="FN376" s="3"/>
      <c r="FO376" s="3"/>
      <c r="FP376" s="3"/>
      <c r="FQ376" s="3"/>
      <c r="FR376" s="3"/>
      <c r="FS376" s="3"/>
    </row>
    <row r="377" spans="153:175" ht="14.4">
      <c r="EW377" s="3" t="e">
        <f>Cal!#REF!</f>
        <v>#REF!</v>
      </c>
      <c r="EX377" s="77" t="s">
        <v>613</v>
      </c>
      <c r="EY377" s="3">
        <v>60</v>
      </c>
      <c r="EZ377" s="3">
        <v>120</v>
      </c>
      <c r="FA377" s="3" t="s">
        <v>712</v>
      </c>
      <c r="FB377" s="75" cm="1">
        <f t="array" ref="FB377">_xll.DCEPropSectBox(EY377, EZ377, FA377, 1, 1, "Area")/100</f>
        <v>11.79453530019425</v>
      </c>
      <c r="FC377" s="75">
        <f t="shared" si="36"/>
        <v>9.2587102106524863</v>
      </c>
      <c r="FD377" s="75" cm="1">
        <f t="array" ref="FD377">_xll.DCEPropSectBox(EY377, EZ377, FA377, 1, 1, "Ix")/10000</f>
        <v>215.61486813363206</v>
      </c>
      <c r="FE377" s="75" cm="1">
        <f t="array" ref="FE377">_xll.DCEPropSectBox(EY377, EZ377, FA377, 1, 1, "Iy")/10000</f>
        <v>73.09496328920315</v>
      </c>
      <c r="FF377" s="75">
        <f t="shared" si="34"/>
        <v>35.935811355605345</v>
      </c>
      <c r="FG377" s="75">
        <f t="shared" si="35"/>
        <v>24.364987763067717</v>
      </c>
      <c r="FJ377" s="3"/>
      <c r="FK377" s="77"/>
      <c r="FL377" s="3"/>
      <c r="FM377" s="3"/>
      <c r="FN377" s="3"/>
      <c r="FO377" s="3"/>
      <c r="FP377" s="3"/>
      <c r="FQ377" s="3"/>
      <c r="FR377" s="3"/>
      <c r="FS377" s="3"/>
    </row>
    <row r="378" spans="153:175" ht="14.4">
      <c r="EW378" s="3" t="e">
        <f>Cal!#REF!</f>
        <v>#REF!</v>
      </c>
      <c r="EX378" s="77" t="s">
        <v>614</v>
      </c>
      <c r="EY378" s="3">
        <v>60</v>
      </c>
      <c r="EZ378" s="3">
        <v>120</v>
      </c>
      <c r="FA378" s="3" t="s">
        <v>713</v>
      </c>
      <c r="FB378" s="75" cm="1">
        <f t="array" ref="FB378">_xll.DCEPropSectBox(EY378, EZ378, FA378, 1, 1, "Area")/100</f>
        <v>12.419852102829328</v>
      </c>
      <c r="FC378" s="75">
        <f t="shared" si="36"/>
        <v>9.7495839007210225</v>
      </c>
      <c r="FD378" s="75" cm="1">
        <f t="array" ref="FD378">_xll.DCEPropSectBox(EY378, EZ378, FA378, 1, 1, "Ix")/10000</f>
        <v>225.82797856467081</v>
      </c>
      <c r="FE378" s="75" cm="1">
        <f t="array" ref="FE378">_xll.DCEPropSectBox(EY378, EZ378, FA378, 1, 1, "Iy")/10000</f>
        <v>76.41971912484108</v>
      </c>
      <c r="FF378" s="75">
        <f t="shared" si="34"/>
        <v>37.637996427445138</v>
      </c>
      <c r="FG378" s="75">
        <f t="shared" si="35"/>
        <v>25.47323970828036</v>
      </c>
      <c r="FJ378" s="3"/>
      <c r="FK378" s="77"/>
      <c r="FL378" s="3"/>
      <c r="FM378" s="3"/>
      <c r="FN378" s="3"/>
      <c r="FO378" s="3"/>
      <c r="FP378" s="3"/>
      <c r="FQ378" s="3"/>
      <c r="FR378" s="3"/>
      <c r="FS378" s="3"/>
    </row>
    <row r="379" spans="153:175" ht="14.4">
      <c r="EW379" s="3" t="e">
        <f>Cal!#REF!</f>
        <v>#REF!</v>
      </c>
      <c r="EX379" s="77" t="s">
        <v>615</v>
      </c>
      <c r="EY379" s="3">
        <v>60</v>
      </c>
      <c r="EZ379" s="3">
        <v>120</v>
      </c>
      <c r="FA379" s="3" t="s">
        <v>714</v>
      </c>
      <c r="FB379" s="75" cm="1">
        <f t="array" ref="FB379">_xll.DCEPropSectBox(EY379, EZ379, FA379, 1, 1, "Area")/100</f>
        <v>12.730537937535098</v>
      </c>
      <c r="FC379" s="75">
        <f t="shared" si="36"/>
        <v>9.9934722809650527</v>
      </c>
      <c r="FD379" s="75" cm="1">
        <f t="array" ref="FD379">_xll.DCEPropSectBox(EY379, EZ379, FA379, 1, 1, "Ix")/10000</f>
        <v>230.85278990472202</v>
      </c>
      <c r="FE379" s="75" cm="1">
        <f t="array" ref="FE379">_xll.DCEPropSectBox(EY379, EZ379, FA379, 1, 1, "Iy")/10000</f>
        <v>78.050014586434543</v>
      </c>
      <c r="FF379" s="75">
        <f t="shared" si="34"/>
        <v>38.475464984120336</v>
      </c>
      <c r="FG379" s="75">
        <f t="shared" si="35"/>
        <v>26.016671528811514</v>
      </c>
      <c r="FJ379" s="3"/>
      <c r="FK379" s="77"/>
      <c r="FL379" s="3"/>
      <c r="FM379" s="3"/>
      <c r="FN379" s="3"/>
      <c r="FO379" s="3"/>
      <c r="FP379" s="3"/>
      <c r="FQ379" s="3"/>
      <c r="FR379" s="3"/>
      <c r="FS379" s="3"/>
    </row>
    <row r="380" spans="153:175" ht="14.4">
      <c r="EW380" s="3" t="e">
        <f>Cal!#REF!</f>
        <v>#REF!</v>
      </c>
      <c r="EX380" s="77" t="s">
        <v>616</v>
      </c>
      <c r="EY380" s="3">
        <v>60</v>
      </c>
      <c r="EZ380" s="3">
        <v>120</v>
      </c>
      <c r="FA380" s="3" t="s">
        <v>715</v>
      </c>
      <c r="FB380" s="75" cm="1">
        <f t="array" ref="FB380">_xll.DCEPropSectBox(EY380, EZ380, FA380, 1, 1, "Area")/100</f>
        <v>13.039908727833021</v>
      </c>
      <c r="FC380" s="75">
        <f t="shared" si="36"/>
        <v>10.236328351348922</v>
      </c>
      <c r="FD380" s="75" cm="1">
        <f t="array" ref="FD380">_xll.DCEPropSectBox(EY380, EZ380, FA380, 1, 1, "Ix")/10000</f>
        <v>235.82336162636463</v>
      </c>
      <c r="FE380" s="75" cm="1">
        <f t="array" ref="FE380">_xll.DCEPropSectBox(EY380, EZ380, FA380, 1, 1, "Iy")/10000</f>
        <v>79.659090821131514</v>
      </c>
      <c r="FF380" s="75">
        <f t="shared" si="34"/>
        <v>39.303893604394105</v>
      </c>
      <c r="FG380" s="75">
        <f t="shared" si="35"/>
        <v>26.553030273710505</v>
      </c>
      <c r="FJ380" s="3"/>
      <c r="FK380" s="77"/>
      <c r="FL380" s="3"/>
      <c r="FM380" s="3"/>
      <c r="FN380" s="3"/>
      <c r="FO380" s="3"/>
      <c r="FP380" s="3"/>
      <c r="FQ380" s="3"/>
      <c r="FR380" s="3"/>
      <c r="FS380" s="3"/>
    </row>
    <row r="381" spans="153:175" ht="14.4">
      <c r="EW381" s="3" t="e">
        <f>Cal!#REF!</f>
        <v>#REF!</v>
      </c>
      <c r="EX381" s="77" t="s">
        <v>617</v>
      </c>
      <c r="EY381" s="3">
        <v>60</v>
      </c>
      <c r="EZ381" s="3">
        <v>120</v>
      </c>
      <c r="FA381" s="3" t="s">
        <v>716</v>
      </c>
      <c r="FB381" s="75" cm="1">
        <f t="array" ref="FB381">_xll.DCEPropSectBox(EY381, EZ381, FA381, 1, 1, "Area")/100</f>
        <v>13.347964473723101</v>
      </c>
      <c r="FC381" s="75">
        <f t="shared" si="36"/>
        <v>10.478152111872634</v>
      </c>
      <c r="FD381" s="75" cm="1">
        <f t="array" ref="FD381">_xll.DCEPropSectBox(EY381, EZ381, FA381, 1, 1, "Ix")/10000</f>
        <v>240.7398855975506</v>
      </c>
      <c r="FE381" s="75" cm="1">
        <f t="array" ref="FE381">_xll.DCEPropSectBox(EY381, EZ381, FA381, 1, 1, "Iy")/10000</f>
        <v>81.247074280897763</v>
      </c>
      <c r="FF381" s="75">
        <f t="shared" si="34"/>
        <v>40.123314266258433</v>
      </c>
      <c r="FG381" s="75">
        <f t="shared" si="35"/>
        <v>27.082358093632589</v>
      </c>
      <c r="FJ381" s="3"/>
      <c r="FK381" s="77"/>
      <c r="FL381" s="3"/>
      <c r="FM381" s="3"/>
      <c r="FN381" s="3"/>
      <c r="FO381" s="3"/>
      <c r="FP381" s="3"/>
      <c r="FQ381" s="3"/>
      <c r="FR381" s="3"/>
      <c r="FS381" s="3"/>
    </row>
    <row r="382" spans="153:175" ht="14.4">
      <c r="EW382" s="3" t="e">
        <f>Cal!#REF!</f>
        <v>#REF!</v>
      </c>
      <c r="EX382" s="77" t="s">
        <v>618</v>
      </c>
      <c r="EY382" s="3">
        <v>100</v>
      </c>
      <c r="EZ382" s="3">
        <v>100</v>
      </c>
      <c r="FA382" s="3" t="s">
        <v>696</v>
      </c>
      <c r="FB382" s="75" cm="1">
        <f t="array" ref="FB382">_xll.DCEPropSectBox(EY382, EZ382, FA382, 1, 1, "Area")/100</f>
        <v>6.986962805928929</v>
      </c>
      <c r="FC382" s="75">
        <f t="shared" si="36"/>
        <v>5.4847658026542092</v>
      </c>
      <c r="FD382" s="75" cm="1">
        <f t="array" ref="FD382">_xll.DCEPropSectBox(EY382, EZ382, FA382, 1, 1, "Ix")/10000</f>
        <v>111.61655842016742</v>
      </c>
      <c r="FE382" s="75" cm="1">
        <f t="array" ref="FE382">_xll.DCEPropSectBox(EY382, EZ382, FA382, 1, 1, "Iy")/10000</f>
        <v>111.61655842016742</v>
      </c>
      <c r="FF382" s="75">
        <f t="shared" si="34"/>
        <v>22.323311684033484</v>
      </c>
      <c r="FG382" s="75">
        <f t="shared" si="35"/>
        <v>22.323311684033484</v>
      </c>
      <c r="FJ382" s="3"/>
      <c r="FK382" s="77"/>
      <c r="FL382" s="3"/>
      <c r="FM382" s="3"/>
      <c r="FN382" s="3"/>
      <c r="FO382" s="3"/>
      <c r="FP382" s="3"/>
      <c r="FQ382" s="3"/>
      <c r="FR382" s="3"/>
      <c r="FS382" s="3"/>
    </row>
    <row r="383" spans="153:175" ht="14.4">
      <c r="EW383" s="3" t="e">
        <f>Cal!#REF!</f>
        <v>#REF!</v>
      </c>
      <c r="EX383" s="77" t="s">
        <v>619</v>
      </c>
      <c r="EY383" s="3">
        <v>100</v>
      </c>
      <c r="EZ383" s="3">
        <v>100</v>
      </c>
      <c r="FA383" s="3" t="s">
        <v>697</v>
      </c>
      <c r="FB383" s="75" cm="1">
        <f t="array" ref="FB383">_xll.DCEPropSectBox(EY383, EZ383, FA383, 1, 1, "Area")/100</f>
        <v>7.3626344843837739</v>
      </c>
      <c r="FC383" s="75">
        <f t="shared" si="36"/>
        <v>5.7796680702412626</v>
      </c>
      <c r="FD383" s="75" cm="1">
        <f t="array" ref="FD383">_xll.DCEPropSectBox(EY383, EZ383, FA383, 1, 1, "Ix")/10000</f>
        <v>117.3370713695887</v>
      </c>
      <c r="FE383" s="75" cm="1">
        <f t="array" ref="FE383">_xll.DCEPropSectBox(EY383, EZ383, FA383, 1, 1, "Iy")/10000</f>
        <v>117.3370713695887</v>
      </c>
      <c r="FF383" s="75">
        <f t="shared" si="34"/>
        <v>23.46741427391774</v>
      </c>
      <c r="FG383" s="75">
        <f t="shared" si="35"/>
        <v>23.46741427391774</v>
      </c>
      <c r="FJ383" s="3"/>
      <c r="FK383" s="77"/>
      <c r="FL383" s="3"/>
      <c r="FM383" s="3"/>
      <c r="FN383" s="3"/>
      <c r="FO383" s="3"/>
      <c r="FP383" s="3"/>
      <c r="FQ383" s="3"/>
      <c r="FR383" s="3"/>
      <c r="FS383" s="3"/>
    </row>
    <row r="384" spans="153:175" ht="14.4">
      <c r="EW384" s="3" t="e">
        <f>Cal!#REF!</f>
        <v>#REF!</v>
      </c>
      <c r="EX384" s="77" t="s">
        <v>620</v>
      </c>
      <c r="EY384" s="3">
        <v>100</v>
      </c>
      <c r="EZ384" s="3">
        <v>100</v>
      </c>
      <c r="FA384" s="3" t="s">
        <v>698</v>
      </c>
      <c r="FB384" s="75" cm="1">
        <f t="array" ref="FB384">_xll.DCEPropSectBox(EY384, EZ384, FA384, 1, 1, "Area")/100</f>
        <v>7.7369911184307751</v>
      </c>
      <c r="FC384" s="75">
        <f t="shared" si="36"/>
        <v>6.0735380279681586</v>
      </c>
      <c r="FD384" s="75" cm="1">
        <f t="array" ref="FD384">_xll.DCEPropSectBox(EY384, EZ384, FA384, 1, 1, "Ix")/10000</f>
        <v>123.00824828858339</v>
      </c>
      <c r="FE384" s="75" cm="1">
        <f t="array" ref="FE384">_xll.DCEPropSectBox(EY384, EZ384, FA384, 1, 1, "Iy")/10000</f>
        <v>123.00824828858339</v>
      </c>
      <c r="FF384" s="75">
        <f t="shared" si="34"/>
        <v>24.601649657716678</v>
      </c>
      <c r="FG384" s="75">
        <f t="shared" si="35"/>
        <v>24.601649657716678</v>
      </c>
      <c r="FJ384" s="3"/>
      <c r="FK384" s="77"/>
      <c r="FL384" s="3"/>
      <c r="FM384" s="3"/>
      <c r="FN384" s="3"/>
      <c r="FO384" s="3"/>
      <c r="FP384" s="3"/>
      <c r="FQ384" s="3"/>
      <c r="FR384" s="3"/>
      <c r="FS384" s="3"/>
    </row>
    <row r="385" spans="153:175" ht="14.4">
      <c r="EW385" s="3" t="e">
        <f>Cal!#REF!</f>
        <v>#REF!</v>
      </c>
      <c r="EX385" s="77" t="s">
        <v>621</v>
      </c>
      <c r="EY385" s="3">
        <v>100</v>
      </c>
      <c r="EZ385" s="3">
        <v>100</v>
      </c>
      <c r="FA385" s="3" t="s">
        <v>699</v>
      </c>
      <c r="FB385" s="75" cm="1">
        <f t="array" ref="FB385">_xll.DCEPropSectBox(EY385, EZ385, FA385, 1, 1, "Area")/100</f>
        <v>8.1100327080699302</v>
      </c>
      <c r="FC385" s="75">
        <f t="shared" si="36"/>
        <v>6.3663756758348953</v>
      </c>
      <c r="FD385" s="75" cm="1">
        <f t="array" ref="FD385">_xll.DCEPropSectBox(EY385, EZ385, FA385, 1, 1, "Ix")/10000</f>
        <v>128.63027265059046</v>
      </c>
      <c r="FE385" s="75" cm="1">
        <f t="array" ref="FE385">_xll.DCEPropSectBox(EY385, EZ385, FA385, 1, 1, "Iy")/10000</f>
        <v>128.63027265059046</v>
      </c>
      <c r="FF385" s="75">
        <f t="shared" si="34"/>
        <v>25.726054530118091</v>
      </c>
      <c r="FG385" s="75">
        <f t="shared" si="35"/>
        <v>25.726054530118091</v>
      </c>
      <c r="FJ385" s="3"/>
      <c r="FK385" s="77"/>
      <c r="FL385" s="3"/>
      <c r="FM385" s="3"/>
      <c r="FN385" s="3"/>
      <c r="FO385" s="3"/>
      <c r="FP385" s="3"/>
      <c r="FQ385" s="3"/>
      <c r="FR385" s="3"/>
      <c r="FS385" s="3"/>
    </row>
    <row r="386" spans="153:175" ht="14.4">
      <c r="EW386" s="3" t="e">
        <f>Cal!#REF!</f>
        <v>#REF!</v>
      </c>
      <c r="EX386" s="77" t="s">
        <v>622</v>
      </c>
      <c r="EY386" s="3">
        <v>100</v>
      </c>
      <c r="EZ386" s="3">
        <v>100</v>
      </c>
      <c r="FA386" s="3" t="s">
        <v>700</v>
      </c>
      <c r="FB386" s="75" cm="1">
        <f t="array" ref="FB386">_xll.DCEPropSectBox(EY386, EZ386, FA386, 1, 1, "Area")/100</f>
        <v>8.481759253301238</v>
      </c>
      <c r="FC386" s="75">
        <f t="shared" si="36"/>
        <v>6.6581810138414719</v>
      </c>
      <c r="FD386" s="75" cm="1">
        <f t="array" ref="FD386">_xll.DCEPropSectBox(EY386, EZ386, FA386, 1, 1, "Ix")/10000</f>
        <v>134.20332764426942</v>
      </c>
      <c r="FE386" s="75" cm="1">
        <f t="array" ref="FE386">_xll.DCEPropSectBox(EY386, EZ386, FA386, 1, 1, "Iy")/10000</f>
        <v>134.20332764426942</v>
      </c>
      <c r="FF386" s="75">
        <f t="shared" si="34"/>
        <v>26.840665528853883</v>
      </c>
      <c r="FG386" s="75">
        <f t="shared" si="35"/>
        <v>26.840665528853883</v>
      </c>
      <c r="FJ386" s="3"/>
      <c r="FK386" s="77"/>
      <c r="FL386" s="3"/>
      <c r="FM386" s="3"/>
      <c r="FN386" s="3"/>
      <c r="FO386" s="3"/>
      <c r="FP386" s="3"/>
      <c r="FQ386" s="3"/>
      <c r="FR386" s="3"/>
      <c r="FS386" s="3"/>
    </row>
    <row r="387" spans="153:175" ht="14.4">
      <c r="EW387" s="3" t="e">
        <f>Cal!#REF!</f>
        <v>#REF!</v>
      </c>
      <c r="EX387" s="77" t="s">
        <v>623</v>
      </c>
      <c r="EY387" s="3">
        <v>100</v>
      </c>
      <c r="EZ387" s="3">
        <v>100</v>
      </c>
      <c r="FA387" s="3" t="s">
        <v>701</v>
      </c>
      <c r="FB387" s="75" cm="1">
        <f t="array" ref="FB387">_xll.DCEPropSectBox(EY387, EZ387, FA387, 1, 1, "Area")/100</f>
        <v>8.8521707541246997</v>
      </c>
      <c r="FC387" s="75">
        <f t="shared" si="36"/>
        <v>6.9489540419878892</v>
      </c>
      <c r="FD387" s="75" cm="1">
        <f t="array" ref="FD387">_xll.DCEPropSectBox(EY387, EZ387, FA387, 1, 1, "Ix")/10000</f>
        <v>139.72759617349976</v>
      </c>
      <c r="FE387" s="75" cm="1">
        <f t="array" ref="FE387">_xll.DCEPropSectBox(EY387, EZ387, FA387, 1, 1, "Iy")/10000</f>
        <v>139.72759617349976</v>
      </c>
      <c r="FF387" s="75">
        <f t="shared" si="34"/>
        <v>27.945519234699951</v>
      </c>
      <c r="FG387" s="75">
        <f t="shared" si="35"/>
        <v>27.945519234699951</v>
      </c>
      <c r="FJ387" s="3"/>
      <c r="FK387" s="77"/>
      <c r="FL387" s="3"/>
      <c r="FM387" s="3"/>
      <c r="FN387" s="3"/>
      <c r="FO387" s="3"/>
      <c r="FP387" s="3"/>
      <c r="FQ387" s="3"/>
      <c r="FR387" s="3"/>
      <c r="FS387" s="3"/>
    </row>
    <row r="388" spans="153:175" ht="14.4">
      <c r="EW388" s="3" t="e">
        <f>Cal!#REF!</f>
        <v>#REF!</v>
      </c>
      <c r="EX388" s="77" t="s">
        <v>624</v>
      </c>
      <c r="EY388" s="3">
        <v>100</v>
      </c>
      <c r="EZ388" s="3">
        <v>100</v>
      </c>
      <c r="FA388" s="3" t="s">
        <v>702</v>
      </c>
      <c r="FB388" s="75" cm="1">
        <f t="array" ref="FB388">_xll.DCEPropSectBox(EY388, EZ388, FA388, 1, 1, "Area")/100</f>
        <v>9.2212672105403151</v>
      </c>
      <c r="FC388" s="75">
        <f t="shared" si="36"/>
        <v>7.2386947602741474</v>
      </c>
      <c r="FD388" s="75" cm="1">
        <f t="array" ref="FD388">_xll.DCEPropSectBox(EY388, EZ388, FA388, 1, 1, "Ix")/10000</f>
        <v>145.20326085738171</v>
      </c>
      <c r="FE388" s="75" cm="1">
        <f t="array" ref="FE388">_xll.DCEPropSectBox(EY388, EZ388, FA388, 1, 1, "Iy")/10000</f>
        <v>145.20326085738171</v>
      </c>
      <c r="FF388" s="75">
        <f t="shared" si="34"/>
        <v>29.040652171476342</v>
      </c>
      <c r="FG388" s="75">
        <f t="shared" si="35"/>
        <v>29.040652171476342</v>
      </c>
      <c r="FJ388" s="3"/>
      <c r="FK388" s="77"/>
      <c r="FL388" s="3"/>
      <c r="FM388" s="3"/>
      <c r="FN388" s="3"/>
      <c r="FO388" s="3"/>
      <c r="FP388" s="3"/>
      <c r="FQ388" s="3"/>
      <c r="FR388" s="3"/>
      <c r="FS388" s="3"/>
    </row>
    <row r="389" spans="153:175" ht="14.4">
      <c r="EW389" s="3" t="e">
        <f>Cal!#REF!</f>
        <v>#REF!</v>
      </c>
      <c r="EX389" s="77" t="s">
        <v>625</v>
      </c>
      <c r="EY389" s="3">
        <v>100</v>
      </c>
      <c r="EZ389" s="3">
        <v>100</v>
      </c>
      <c r="FA389" s="3" t="s">
        <v>703</v>
      </c>
      <c r="FB389" s="75" cm="1">
        <f t="array" ref="FB389">_xll.DCEPropSectBox(EY389, EZ389, FA389, 1, 1, "Area")/100</f>
        <v>9.589048622548086</v>
      </c>
      <c r="FC389" s="75">
        <f t="shared" si="36"/>
        <v>7.5274031687002472</v>
      </c>
      <c r="FD389" s="75" cm="1">
        <f t="array" ref="FD389">_xll.DCEPropSectBox(EY389, EZ389, FA389, 1, 1, "Ix")/10000</f>
        <v>150.6305040302353</v>
      </c>
      <c r="FE389" s="75" cm="1">
        <f t="array" ref="FE389">_xll.DCEPropSectBox(EY389, EZ389, FA389, 1, 1, "Iy")/10000</f>
        <v>150.6305040302353</v>
      </c>
      <c r="FF389" s="75">
        <f t="shared" si="34"/>
        <v>30.126100806047059</v>
      </c>
      <c r="FG389" s="75">
        <f t="shared" si="35"/>
        <v>30.126100806047059</v>
      </c>
      <c r="FJ389" s="3"/>
      <c r="FK389" s="77"/>
      <c r="FL389" s="3"/>
      <c r="FM389" s="3"/>
      <c r="FN389" s="3"/>
      <c r="FO389" s="3"/>
      <c r="FP389" s="3"/>
      <c r="FQ389" s="3"/>
      <c r="FR389" s="3"/>
      <c r="FS389" s="3"/>
    </row>
    <row r="390" spans="153:175" ht="14.4">
      <c r="EW390" s="3" t="e">
        <f>Cal!#REF!</f>
        <v>#REF!</v>
      </c>
      <c r="EX390" s="77" t="s">
        <v>626</v>
      </c>
      <c r="EY390" s="3">
        <v>100</v>
      </c>
      <c r="EZ390" s="3">
        <v>100</v>
      </c>
      <c r="FA390" s="3" t="s">
        <v>704</v>
      </c>
      <c r="FB390" s="75" cm="1">
        <f t="array" ref="FB390">_xll.DCEPropSectBox(EY390, EZ390, FA390, 1, 1, "Area")/100</f>
        <v>10.320666313340089</v>
      </c>
      <c r="FC390" s="75">
        <f t="shared" si="36"/>
        <v>8.10172305597197</v>
      </c>
      <c r="FD390" s="75" cm="1">
        <f t="array" ref="FD390">_xll.DCEPropSectBox(EY390, EZ390, FA390, 1, 1, "Ix")/10000</f>
        <v>161.34045375623893</v>
      </c>
      <c r="FE390" s="75" cm="1">
        <f t="array" ref="FE390">_xll.DCEPropSectBox(EY390, EZ390, FA390, 1, 1, "Iy")/10000</f>
        <v>161.34045375623893</v>
      </c>
      <c r="FF390" s="75">
        <f t="shared" ref="FF390:FF447" si="37">FD390/(EZ390/20)</f>
        <v>32.268090751247783</v>
      </c>
      <c r="FG390" s="75">
        <f t="shared" ref="FG390:FG447" si="38">FE390/(EY390/20)</f>
        <v>32.268090751247783</v>
      </c>
      <c r="FJ390" s="3"/>
      <c r="FK390" s="77"/>
      <c r="FL390" s="3"/>
      <c r="FM390" s="3"/>
      <c r="FN390" s="3"/>
      <c r="FO390" s="3"/>
      <c r="FP390" s="3"/>
      <c r="FQ390" s="3"/>
      <c r="FR390" s="3"/>
      <c r="FS390" s="3"/>
    </row>
    <row r="391" spans="153:175" ht="14.4">
      <c r="EW391" s="3" t="e">
        <f>Cal!#REF!</f>
        <v>#REF!</v>
      </c>
      <c r="EX391" s="77" t="s">
        <v>627</v>
      </c>
      <c r="EY391" s="3">
        <v>100</v>
      </c>
      <c r="EZ391" s="3">
        <v>100</v>
      </c>
      <c r="FA391" s="3" t="s">
        <v>705</v>
      </c>
      <c r="FB391" s="75" cm="1">
        <f t="array" ref="FB391">_xll.DCEPropSectBox(EY391, EZ391, FA391, 1, 1, "Area")/100</f>
        <v>10.684502592124318</v>
      </c>
      <c r="FC391" s="75">
        <f t="shared" ref="FC391:FC447" si="39">7850*(FB391/10000)</f>
        <v>8.3873345348175885</v>
      </c>
      <c r="FD391" s="75" cm="1">
        <f t="array" ref="FD391">_xll.DCEPropSectBox(EY391, EZ391, FA391, 1, 1, "Ix")/10000</f>
        <v>166.62352355412992</v>
      </c>
      <c r="FE391" s="75" cm="1">
        <f t="array" ref="FE391">_xll.DCEPropSectBox(EY391, EZ391, FA391, 1, 1, "Iy")/10000</f>
        <v>166.62352355412992</v>
      </c>
      <c r="FF391" s="75">
        <f t="shared" si="37"/>
        <v>33.324704710825984</v>
      </c>
      <c r="FG391" s="75">
        <f t="shared" si="38"/>
        <v>33.324704710825984</v>
      </c>
      <c r="FJ391" s="3"/>
      <c r="FK391" s="77"/>
      <c r="FL391" s="3"/>
      <c r="FM391" s="3"/>
      <c r="FN391" s="3"/>
      <c r="FO391" s="3"/>
      <c r="FP391" s="3"/>
      <c r="FQ391" s="3"/>
      <c r="FR391" s="3"/>
      <c r="FS391" s="3"/>
    </row>
    <row r="392" spans="153:175" ht="14.4">
      <c r="EW392" s="3" t="e">
        <f>Cal!#REF!</f>
        <v>#REF!</v>
      </c>
      <c r="EX392" s="77" t="s">
        <v>628</v>
      </c>
      <c r="EY392" s="3">
        <v>100</v>
      </c>
      <c r="EZ392" s="3">
        <v>100</v>
      </c>
      <c r="FA392" s="3" t="s">
        <v>706</v>
      </c>
      <c r="FB392" s="75" cm="1">
        <f t="array" ref="FB392">_xll.DCEPropSectBox(EY392, EZ392, FA392, 1, 1, "Area")/100</f>
        <v>11.047023826500704</v>
      </c>
      <c r="FC392" s="75">
        <f t="shared" si="39"/>
        <v>8.6719137038030532</v>
      </c>
      <c r="FD392" s="75" cm="1">
        <f t="array" ref="FD392">_xll.DCEPropSectBox(EY392, EZ392, FA392, 1, 1, "Ix")/10000</f>
        <v>171.85889833047591</v>
      </c>
      <c r="FE392" s="75" cm="1">
        <f t="array" ref="FE392">_xll.DCEPropSectBox(EY392, EZ392, FA392, 1, 1, "Iy")/10000</f>
        <v>171.85889833047591</v>
      </c>
      <c r="FF392" s="75">
        <f t="shared" si="37"/>
        <v>34.371779666095179</v>
      </c>
      <c r="FG392" s="75">
        <f t="shared" si="38"/>
        <v>34.371779666095179</v>
      </c>
      <c r="FJ392" s="3"/>
      <c r="FK392" s="77"/>
      <c r="FL392" s="3"/>
      <c r="FM392" s="3"/>
      <c r="FN392" s="3"/>
      <c r="FO392" s="3"/>
      <c r="FP392" s="3"/>
      <c r="FQ392" s="3"/>
      <c r="FR392" s="3"/>
      <c r="FS392" s="3"/>
    </row>
    <row r="393" spans="153:175" ht="14.4">
      <c r="EW393" s="3" t="e">
        <f>Cal!#REF!</f>
        <v>#REF!</v>
      </c>
      <c r="EX393" s="77" t="s">
        <v>629</v>
      </c>
      <c r="EY393" s="3">
        <v>100</v>
      </c>
      <c r="EZ393" s="3">
        <v>100</v>
      </c>
      <c r="FA393" s="3" t="s">
        <v>707</v>
      </c>
      <c r="FB393" s="75" cm="1">
        <f t="array" ref="FB393">_xll.DCEPropSectBox(EY393, EZ393, FA393, 1, 1, "Area")/100</f>
        <v>11.408230016469245</v>
      </c>
      <c r="FC393" s="75">
        <f t="shared" si="39"/>
        <v>8.9554605629283586</v>
      </c>
      <c r="FD393" s="75" cm="1">
        <f t="array" ref="FD393">_xll.DCEPropSectBox(EY393, EZ393, FA393, 1, 1, "Ix")/10000</f>
        <v>177.04675899569736</v>
      </c>
      <c r="FE393" s="75" cm="1">
        <f t="array" ref="FE393">_xll.DCEPropSectBox(EY393, EZ393, FA393, 1, 1, "Iy")/10000</f>
        <v>177.04675899569736</v>
      </c>
      <c r="FF393" s="75">
        <f t="shared" si="37"/>
        <v>35.409351799139472</v>
      </c>
      <c r="FG393" s="75">
        <f t="shared" si="38"/>
        <v>35.409351799139472</v>
      </c>
      <c r="FJ393" s="3"/>
      <c r="FK393" s="77"/>
      <c r="FL393" s="3"/>
      <c r="FM393" s="3"/>
      <c r="FN393" s="3"/>
      <c r="FO393" s="3"/>
      <c r="FP393" s="3"/>
      <c r="FQ393" s="3"/>
      <c r="FR393" s="3"/>
      <c r="FS393" s="3"/>
    </row>
    <row r="394" spans="153:175" ht="14.4">
      <c r="EW394" s="3" t="e">
        <f>Cal!#REF!</f>
        <v>#REF!</v>
      </c>
      <c r="EX394" s="77" t="s">
        <v>630</v>
      </c>
      <c r="EY394" s="3">
        <v>100</v>
      </c>
      <c r="EZ394" s="3">
        <v>100</v>
      </c>
      <c r="FA394" s="3" t="s">
        <v>708</v>
      </c>
      <c r="FB394" s="75" cm="1">
        <f t="array" ref="FB394">_xll.DCEPropSectBox(EY394, EZ394, FA394, 1, 1, "Area")/100</f>
        <v>11.768121162029939</v>
      </c>
      <c r="FC394" s="75">
        <f t="shared" si="39"/>
        <v>9.2379751121935012</v>
      </c>
      <c r="FD394" s="75" cm="1">
        <f t="array" ref="FD394">_xll.DCEPropSectBox(EY394, EZ394, FA394, 1, 1, "Ix")/10000</f>
        <v>182.18728617543596</v>
      </c>
      <c r="FE394" s="75" cm="1">
        <f t="array" ref="FE394">_xll.DCEPropSectBox(EY394, EZ394, FA394, 1, 1, "Iy")/10000</f>
        <v>182.18728617543596</v>
      </c>
      <c r="FF394" s="75">
        <f t="shared" si="37"/>
        <v>36.437457235087194</v>
      </c>
      <c r="FG394" s="75">
        <f t="shared" si="38"/>
        <v>36.437457235087194</v>
      </c>
      <c r="FJ394" s="3"/>
      <c r="FK394" s="77"/>
      <c r="FL394" s="3"/>
      <c r="FM394" s="3"/>
      <c r="FN394" s="3"/>
      <c r="FO394" s="3"/>
      <c r="FP394" s="3"/>
      <c r="FQ394" s="3"/>
      <c r="FR394" s="3"/>
      <c r="FS394" s="3"/>
    </row>
    <row r="395" spans="153:175" ht="14.4">
      <c r="EW395" s="3" t="e">
        <f>Cal!#REF!</f>
        <v>#REF!</v>
      </c>
      <c r="EX395" s="77" t="s">
        <v>631</v>
      </c>
      <c r="EY395" s="3">
        <v>100</v>
      </c>
      <c r="EZ395" s="3">
        <v>100</v>
      </c>
      <c r="FA395" s="3" t="s">
        <v>709</v>
      </c>
      <c r="FB395" s="75" cm="1">
        <f t="array" ref="FB395">_xll.DCEPropSectBox(EY395, EZ395, FA395, 1, 1, "Area")/100</f>
        <v>12.126697263182784</v>
      </c>
      <c r="FC395" s="75">
        <f t="shared" si="39"/>
        <v>9.5194573515984864</v>
      </c>
      <c r="FD395" s="75" cm="1">
        <f t="array" ref="FD395">_xll.DCEPropSectBox(EY395, EZ395, FA395, 1, 1, "Ix")/10000</f>
        <v>187.28066021055375</v>
      </c>
      <c r="FE395" s="75" cm="1">
        <f t="array" ref="FE395">_xll.DCEPropSectBox(EY395, EZ395, FA395, 1, 1, "Iy")/10000</f>
        <v>187.28066021055375</v>
      </c>
      <c r="FF395" s="75">
        <f t="shared" si="37"/>
        <v>37.456132042110752</v>
      </c>
      <c r="FG395" s="75">
        <f t="shared" si="38"/>
        <v>37.456132042110752</v>
      </c>
      <c r="FJ395" s="3"/>
      <c r="FK395" s="77"/>
      <c r="FL395" s="3"/>
      <c r="FM395" s="3"/>
      <c r="FN395" s="3"/>
      <c r="FO395" s="3"/>
      <c r="FP395" s="3"/>
      <c r="FQ395" s="3"/>
      <c r="FR395" s="3"/>
      <c r="FS395" s="3"/>
    </row>
    <row r="396" spans="153:175" ht="14.4">
      <c r="EW396" s="3" t="e">
        <f>Cal!#REF!</f>
        <v>#REF!</v>
      </c>
      <c r="EX396" s="77" t="s">
        <v>632</v>
      </c>
      <c r="EY396" s="3">
        <v>100</v>
      </c>
      <c r="EZ396" s="3">
        <v>100</v>
      </c>
      <c r="FA396" s="3" t="s">
        <v>711</v>
      </c>
      <c r="FB396" s="75" cm="1">
        <f t="array" ref="FB396">_xll.DCEPropSectBox(EY396, EZ396, FA396, 1, 1, "Area")/100</f>
        <v>12.839904332264942</v>
      </c>
      <c r="FC396" s="75">
        <f t="shared" si="39"/>
        <v>10.079324900827979</v>
      </c>
      <c r="FD396" s="75" cm="1">
        <f t="array" ref="FD396">_xll.DCEPropSectBox(EY396, EZ396, FA396, 1, 1, "Ix")/10000</f>
        <v>197.32666878647345</v>
      </c>
      <c r="FE396" s="75" cm="1">
        <f t="array" ref="FE396">_xll.DCEPropSectBox(EY396, EZ396, FA396, 1, 1, "Iy")/10000</f>
        <v>197.32666878647345</v>
      </c>
      <c r="FF396" s="75">
        <f t="shared" si="37"/>
        <v>39.465333757294687</v>
      </c>
      <c r="FG396" s="75">
        <f t="shared" si="38"/>
        <v>39.465333757294687</v>
      </c>
      <c r="FJ396" s="3"/>
      <c r="FK396" s="77"/>
      <c r="FL396" s="3"/>
      <c r="FM396" s="3"/>
      <c r="FN396" s="3"/>
      <c r="FO396" s="3"/>
      <c r="FP396" s="3"/>
      <c r="FQ396" s="3"/>
      <c r="FR396" s="3"/>
      <c r="FS396" s="3"/>
    </row>
    <row r="397" spans="153:175" ht="14.4">
      <c r="EW397" s="3" t="e">
        <f>Cal!#REF!</f>
        <v>#REF!</v>
      </c>
      <c r="EX397" s="77" t="s">
        <v>633</v>
      </c>
      <c r="EY397" s="3">
        <v>100</v>
      </c>
      <c r="EZ397" s="3">
        <v>100</v>
      </c>
      <c r="FA397" s="3" t="s">
        <v>712</v>
      </c>
      <c r="FB397" s="75" cm="1">
        <f t="array" ref="FB397">_xll.DCEPropSectBox(EY397, EZ397, FA397, 1, 1, "Area")/100</f>
        <v>13.19453530019425</v>
      </c>
      <c r="FC397" s="75">
        <f t="shared" si="39"/>
        <v>10.357710210652487</v>
      </c>
      <c r="FD397" s="75" cm="1">
        <f t="array" ref="FD397">_xll.DCEPropSectBox(EY397, EZ397, FA397, 1, 1, "Ix")/10000</f>
        <v>202.27966258510054</v>
      </c>
      <c r="FE397" s="75" cm="1">
        <f t="array" ref="FE397">_xll.DCEPropSectBox(EY397, EZ397, FA397, 1, 1, "Iy")/10000</f>
        <v>202.27966258510054</v>
      </c>
      <c r="FF397" s="75">
        <f t="shared" si="37"/>
        <v>40.455932517020109</v>
      </c>
      <c r="FG397" s="75">
        <f t="shared" si="38"/>
        <v>40.455932517020109</v>
      </c>
      <c r="FJ397" s="3"/>
      <c r="FK397" s="77"/>
      <c r="FL397" s="3"/>
      <c r="FM397" s="3"/>
      <c r="FN397" s="3"/>
      <c r="FO397" s="3"/>
      <c r="FP397" s="3"/>
      <c r="FQ397" s="3"/>
      <c r="FR397" s="3"/>
      <c r="FS397" s="3"/>
    </row>
    <row r="398" spans="153:175" ht="14.4">
      <c r="EW398" s="3" t="e">
        <f>Cal!#REF!</f>
        <v>#REF!</v>
      </c>
      <c r="EX398" s="77" t="s">
        <v>634</v>
      </c>
      <c r="EY398" s="3">
        <v>100</v>
      </c>
      <c r="EZ398" s="3">
        <v>100</v>
      </c>
      <c r="FA398" s="3" t="s">
        <v>713</v>
      </c>
      <c r="FB398" s="75" cm="1">
        <f t="array" ref="FB398">_xll.DCEPropSectBox(EY398, EZ398, FA398, 1, 1, "Area")/100</f>
        <v>13.899852102829326</v>
      </c>
      <c r="FC398" s="75">
        <f t="shared" si="39"/>
        <v>10.91138390072102</v>
      </c>
      <c r="FD398" s="75" cm="1">
        <f t="array" ref="FD398">_xll.DCEPropSectBox(EY398, EZ398, FA398, 1, 1, "Ix")/10000</f>
        <v>212.04652521240237</v>
      </c>
      <c r="FE398" s="75" cm="1">
        <f t="array" ref="FE398">_xll.DCEPropSectBox(EY398, EZ398, FA398, 1, 1, "Iy")/10000</f>
        <v>212.04652521240237</v>
      </c>
      <c r="FF398" s="75">
        <f t="shared" si="37"/>
        <v>42.409305042480476</v>
      </c>
      <c r="FG398" s="75">
        <f t="shared" si="38"/>
        <v>42.409305042480476</v>
      </c>
      <c r="FJ398" s="3"/>
      <c r="FK398" s="77"/>
      <c r="FL398" s="3"/>
      <c r="FM398" s="3"/>
      <c r="FN398" s="3"/>
      <c r="FO398" s="3"/>
      <c r="FP398" s="3"/>
      <c r="FQ398" s="3"/>
      <c r="FR398" s="3"/>
      <c r="FS398" s="3"/>
    </row>
    <row r="399" spans="153:175" ht="14.4">
      <c r="EW399" s="3" t="e">
        <f>Cal!#REF!</f>
        <v>#REF!</v>
      </c>
      <c r="EX399" s="77" t="s">
        <v>635</v>
      </c>
      <c r="EY399" s="3">
        <v>100</v>
      </c>
      <c r="EZ399" s="3">
        <v>100</v>
      </c>
      <c r="FA399" s="3" t="s">
        <v>714</v>
      </c>
      <c r="FB399" s="75" cm="1">
        <f t="array" ref="FB399">_xll.DCEPropSectBox(EY399, EZ399, FA399, 1, 1, "Area")/100</f>
        <v>14.250537937535098</v>
      </c>
      <c r="FC399" s="75">
        <f t="shared" si="39"/>
        <v>11.186672280965052</v>
      </c>
      <c r="FD399" s="75" cm="1">
        <f t="array" ref="FD399">_xll.DCEPropSectBox(EY399, EZ399, FA399, 1, 1, "Ix")/10000</f>
        <v>216.86075159022269</v>
      </c>
      <c r="FE399" s="75" cm="1">
        <f t="array" ref="FE399">_xll.DCEPropSectBox(EY399, EZ399, FA399, 1, 1, "Iy")/10000</f>
        <v>216.86075159022269</v>
      </c>
      <c r="FF399" s="75">
        <f t="shared" si="37"/>
        <v>43.37215031804454</v>
      </c>
      <c r="FG399" s="75">
        <f t="shared" si="38"/>
        <v>43.37215031804454</v>
      </c>
      <c r="FJ399" s="3"/>
      <c r="FK399" s="77"/>
      <c r="FL399" s="3"/>
      <c r="FM399" s="3"/>
      <c r="FN399" s="3"/>
      <c r="FO399" s="3"/>
      <c r="FP399" s="3"/>
      <c r="FQ399" s="3"/>
      <c r="FR399" s="3"/>
      <c r="FS399" s="3"/>
    </row>
    <row r="400" spans="153:175" ht="14.4">
      <c r="EW400" s="3" t="e">
        <f>Cal!#REF!</f>
        <v>#REF!</v>
      </c>
      <c r="EX400" s="77" t="s">
        <v>636</v>
      </c>
      <c r="EY400" s="3">
        <v>100</v>
      </c>
      <c r="EZ400" s="3">
        <v>100</v>
      </c>
      <c r="FA400" s="3" t="s">
        <v>715</v>
      </c>
      <c r="FB400" s="75" cm="1">
        <f t="array" ref="FB400">_xll.DCEPropSectBox(EY400, EZ400, FA400, 1, 1, "Area")/100</f>
        <v>14.599908727833022</v>
      </c>
      <c r="FC400" s="75">
        <f t="shared" si="39"/>
        <v>11.460928351348922</v>
      </c>
      <c r="FD400" s="75" cm="1">
        <f t="array" ref="FD400">_xll.DCEPropSectBox(EY400, EZ400, FA400, 1, 1, "Ix")/10000</f>
        <v>221.62907923562074</v>
      </c>
      <c r="FE400" s="75" cm="1">
        <f t="array" ref="FE400">_xll.DCEPropSectBox(EY400, EZ400, FA400, 1, 1, "Iy")/10000</f>
        <v>221.62907923562074</v>
      </c>
      <c r="FF400" s="75">
        <f t="shared" si="37"/>
        <v>44.325815847124147</v>
      </c>
      <c r="FG400" s="75">
        <f t="shared" si="38"/>
        <v>44.325815847124147</v>
      </c>
      <c r="FJ400" s="3"/>
      <c r="FK400" s="77"/>
      <c r="FL400" s="3"/>
      <c r="FM400" s="3"/>
      <c r="FN400" s="3"/>
      <c r="FO400" s="3"/>
      <c r="FP400" s="3"/>
      <c r="FQ400" s="3"/>
      <c r="FR400" s="3"/>
      <c r="FS400" s="3"/>
    </row>
    <row r="401" spans="153:175" ht="14.4">
      <c r="EW401" s="3" t="e">
        <f>Cal!#REF!</f>
        <v>#REF!</v>
      </c>
      <c r="EX401" s="77" t="s">
        <v>637</v>
      </c>
      <c r="EY401" s="3">
        <v>100</v>
      </c>
      <c r="EZ401" s="3">
        <v>100</v>
      </c>
      <c r="FA401" s="3" t="s">
        <v>716</v>
      </c>
      <c r="FB401" s="75" cm="1">
        <f t="array" ref="FB401">_xll.DCEPropSectBox(EY401, EZ401, FA401, 1, 1, "Area")/100</f>
        <v>14.947964473723101</v>
      </c>
      <c r="FC401" s="75">
        <f t="shared" si="39"/>
        <v>11.734152111872634</v>
      </c>
      <c r="FD401" s="75" cm="1">
        <f t="array" ref="FD401">_xll.DCEPropSectBox(EY401, EZ401, FA401, 1, 1, "Ix")/10000</f>
        <v>226.35168621122014</v>
      </c>
      <c r="FE401" s="75" cm="1">
        <f t="array" ref="FE401">_xll.DCEPropSectBox(EY401, EZ401, FA401, 1, 1, "Iy")/10000</f>
        <v>226.35168621122014</v>
      </c>
      <c r="FF401" s="75">
        <f t="shared" si="37"/>
        <v>45.270337242244025</v>
      </c>
      <c r="FG401" s="75">
        <f t="shared" si="38"/>
        <v>45.270337242244025</v>
      </c>
      <c r="FJ401" s="3"/>
      <c r="FK401" s="77"/>
      <c r="FL401" s="3"/>
      <c r="FM401" s="3"/>
      <c r="FN401" s="3"/>
      <c r="FO401" s="3"/>
      <c r="FP401" s="3"/>
      <c r="FQ401" s="3"/>
      <c r="FR401" s="3"/>
      <c r="FS401" s="3"/>
    </row>
    <row r="402" spans="153:175" ht="14.4">
      <c r="EW402" s="3" t="e">
        <f>Cal!#REF!</f>
        <v>#REF!</v>
      </c>
      <c r="EX402" s="77" t="s">
        <v>638</v>
      </c>
      <c r="EY402" s="3">
        <v>100</v>
      </c>
      <c r="EZ402" s="3">
        <v>100</v>
      </c>
      <c r="FA402" s="3" t="s">
        <v>717</v>
      </c>
      <c r="FB402" s="75" cm="1">
        <f t="array" ref="FB402">_xll.DCEPropSectBox(EY402, EZ402, FA402, 1, 1, "Area")/100</f>
        <v>16.668517537055799</v>
      </c>
      <c r="FC402" s="75">
        <f t="shared" si="39"/>
        <v>13.084786266588802</v>
      </c>
      <c r="FD402" s="75" cm="1">
        <f t="array" ref="FD402">_xll.DCEPropSectBox(EY402, EZ402, FA402, 1, 1, "Ix")/10000</f>
        <v>249.2851232994752</v>
      </c>
      <c r="FE402" s="75" cm="1">
        <f t="array" ref="FE402">_xll.DCEPropSectBox(EY402, EZ402, FA402, 1, 1, "Iy")/10000</f>
        <v>249.2851232994752</v>
      </c>
      <c r="FF402" s="75">
        <f t="shared" si="37"/>
        <v>49.857024659895039</v>
      </c>
      <c r="FG402" s="75">
        <f t="shared" si="38"/>
        <v>49.857024659895039</v>
      </c>
      <c r="FJ402" s="3"/>
      <c r="FK402" s="77"/>
      <c r="FL402" s="3"/>
      <c r="FM402" s="3"/>
      <c r="FN402" s="3"/>
      <c r="FO402" s="3"/>
      <c r="FP402" s="3"/>
      <c r="FQ402" s="3"/>
      <c r="FR402" s="3"/>
      <c r="FS402" s="3"/>
    </row>
    <row r="403" spans="153:175" ht="14.4">
      <c r="EW403" s="3" t="e">
        <f>Cal!#REF!</f>
        <v>#REF!</v>
      </c>
      <c r="EX403" s="77" t="s">
        <v>639</v>
      </c>
      <c r="EY403" s="3">
        <v>100</v>
      </c>
      <c r="EZ403" s="3">
        <v>100</v>
      </c>
      <c r="FA403" s="3" t="s">
        <v>718</v>
      </c>
      <c r="FB403" s="75" cm="1">
        <f t="array" ref="FB403">_xll.DCEPropSectBox(EY403, EZ403, FA403, 1, 1, "Area")/100</f>
        <v>18.356194490192344</v>
      </c>
      <c r="FC403" s="75">
        <f t="shared" si="39"/>
        <v>14.409612674800991</v>
      </c>
      <c r="FD403" s="75" cm="1">
        <f t="array" ref="FD403">_xll.DCEPropSectBox(EY403, EZ403, FA403, 1, 1, "Ix")/10000</f>
        <v>271.10208928792929</v>
      </c>
      <c r="FE403" s="75" cm="1">
        <f t="array" ref="FE403">_xll.DCEPropSectBox(EY403, EZ403, FA403, 1, 1, "Iy")/10000</f>
        <v>271.10208928792929</v>
      </c>
      <c r="FF403" s="75">
        <f t="shared" si="37"/>
        <v>54.220417857585858</v>
      </c>
      <c r="FG403" s="75">
        <f t="shared" si="38"/>
        <v>54.220417857585858</v>
      </c>
      <c r="FJ403" s="3"/>
      <c r="FK403" s="77"/>
      <c r="FL403" s="3"/>
      <c r="FM403" s="3"/>
      <c r="FN403" s="3"/>
      <c r="FO403" s="3"/>
      <c r="FP403" s="3"/>
      <c r="FQ403" s="3"/>
      <c r="FR403" s="3"/>
      <c r="FS403" s="3"/>
    </row>
    <row r="404" spans="153:175" ht="14.4">
      <c r="EW404" s="3" t="e">
        <f>Cal!#REF!</f>
        <v>#REF!</v>
      </c>
      <c r="EX404" s="77" t="s">
        <v>640</v>
      </c>
      <c r="EY404" s="3">
        <v>100</v>
      </c>
      <c r="EZ404" s="3">
        <v>150</v>
      </c>
      <c r="FA404" s="3" t="s">
        <v>696</v>
      </c>
      <c r="FB404" s="75" cm="1">
        <f t="array" ref="FB404">_xll.DCEPropSectBox(EY404, EZ404, FA404, 1, 1, "Area")/100</f>
        <v>8.7869628059289298</v>
      </c>
      <c r="FC404" s="75">
        <f t="shared" si="39"/>
        <v>6.8977658026542104</v>
      </c>
      <c r="FD404" s="75" cm="1">
        <f t="array" ref="FD404">_xll.DCEPropSectBox(EY404, EZ404, FA404, 1, 1, "Ix")/10000</f>
        <v>287.16157305477418</v>
      </c>
      <c r="FE404" s="75" cm="1">
        <f t="array" ref="FE404">_xll.DCEPropSectBox(EY404, EZ404, FA404, 1, 1, "Iy")/10000</f>
        <v>155.01599842016736</v>
      </c>
      <c r="FF404" s="75">
        <f t="shared" si="37"/>
        <v>38.28820974063656</v>
      </c>
      <c r="FG404" s="75">
        <f t="shared" si="38"/>
        <v>31.003199684033472</v>
      </c>
      <c r="FJ404" s="3"/>
      <c r="FK404" s="77"/>
      <c r="FL404" s="3"/>
      <c r="FM404" s="3"/>
      <c r="FN404" s="3"/>
      <c r="FO404" s="3"/>
      <c r="FP404" s="3"/>
      <c r="FQ404" s="3"/>
      <c r="FR404" s="3"/>
      <c r="FS404" s="3"/>
    </row>
    <row r="405" spans="153:175" ht="14.4">
      <c r="EW405" s="3" t="e">
        <f>Cal!#REF!</f>
        <v>#REF!</v>
      </c>
      <c r="EX405" s="77" t="s">
        <v>641</v>
      </c>
      <c r="EY405" s="3">
        <v>100</v>
      </c>
      <c r="EZ405" s="3">
        <v>150</v>
      </c>
      <c r="FA405" s="3" t="s">
        <v>697</v>
      </c>
      <c r="FB405" s="75" cm="1">
        <f t="array" ref="FB405">_xll.DCEPropSectBox(EY405, EZ405, FA405, 1, 1, "Area")/100</f>
        <v>9.2626344843837742</v>
      </c>
      <c r="FC405" s="75">
        <f t="shared" si="39"/>
        <v>7.2711680702412629</v>
      </c>
      <c r="FD405" s="75" cm="1">
        <f t="array" ref="FD405">_xll.DCEPropSectBox(EY405, EZ405, FA405, 1, 1, "Ix")/10000</f>
        <v>302.15791348625351</v>
      </c>
      <c r="FE405" s="75" cm="1">
        <f t="array" ref="FE405">_xll.DCEPropSectBox(EY405, EZ405, FA405, 1, 1, "Iy")/10000</f>
        <v>163.05493470292217</v>
      </c>
      <c r="FF405" s="75">
        <f t="shared" si="37"/>
        <v>40.287721798167134</v>
      </c>
      <c r="FG405" s="75">
        <f t="shared" si="38"/>
        <v>32.610986940584432</v>
      </c>
      <c r="FJ405" s="3"/>
      <c r="FK405" s="77"/>
      <c r="FL405" s="3"/>
      <c r="FM405" s="3"/>
      <c r="FN405" s="3"/>
      <c r="FO405" s="3"/>
      <c r="FP405" s="3"/>
      <c r="FQ405" s="3"/>
      <c r="FR405" s="3"/>
      <c r="FS405" s="3"/>
    </row>
    <row r="406" spans="153:175" ht="14.4">
      <c r="EW406" s="3" t="e">
        <f>Cal!#REF!</f>
        <v>#REF!</v>
      </c>
      <c r="EX406" s="77" t="s">
        <v>642</v>
      </c>
      <c r="EY406" s="3">
        <v>100</v>
      </c>
      <c r="EZ406" s="3">
        <v>150</v>
      </c>
      <c r="FA406" s="3" t="s">
        <v>698</v>
      </c>
      <c r="FB406" s="75" cm="1">
        <f t="array" ref="FB406">_xll.DCEPropSectBox(EY406, EZ406, FA406, 1, 1, "Area")/100</f>
        <v>9.7369911184307743</v>
      </c>
      <c r="FC406" s="75">
        <f t="shared" si="39"/>
        <v>7.643538027968158</v>
      </c>
      <c r="FD406" s="75" cm="1">
        <f t="array" ref="FD406">_xll.DCEPropSectBox(EY406, EZ406, FA406, 1, 1, "Ix")/10000</f>
        <v>317.05523850268361</v>
      </c>
      <c r="FE406" s="75" cm="1">
        <f t="array" ref="FE406">_xll.DCEPropSectBox(EY406, EZ406, FA406, 1, 1, "Iy")/10000</f>
        <v>171.03491495525009</v>
      </c>
      <c r="FF406" s="75">
        <f t="shared" si="37"/>
        <v>42.274031800357811</v>
      </c>
      <c r="FG406" s="75">
        <f t="shared" si="38"/>
        <v>34.206982991050019</v>
      </c>
      <c r="FJ406" s="3"/>
      <c r="FK406" s="77"/>
      <c r="FL406" s="3"/>
      <c r="FM406" s="3"/>
      <c r="FN406" s="3"/>
      <c r="FO406" s="3"/>
      <c r="FP406" s="3"/>
      <c r="FQ406" s="3"/>
      <c r="FR406" s="3"/>
      <c r="FS406" s="3"/>
    </row>
    <row r="407" spans="153:175" ht="14.4">
      <c r="EW407" s="3" t="e">
        <f>Cal!#REF!</f>
        <v>#REF!</v>
      </c>
      <c r="EX407" s="77" t="s">
        <v>643</v>
      </c>
      <c r="EY407" s="3">
        <v>100</v>
      </c>
      <c r="EZ407" s="3">
        <v>150</v>
      </c>
      <c r="FA407" s="3" t="s">
        <v>699</v>
      </c>
      <c r="FB407" s="75" cm="1">
        <f t="array" ref="FB407">_xll.DCEPropSectBox(EY407, EZ407, FA407, 1, 1, "Area")/100</f>
        <v>10.210032708069932</v>
      </c>
      <c r="FC407" s="75">
        <f t="shared" si="39"/>
        <v>8.0148756758348956</v>
      </c>
      <c r="FD407" s="75" cm="1">
        <f t="array" ref="FD407">_xll.DCEPropSectBox(EY407, EZ407, FA407, 1, 1, "Ix")/10000</f>
        <v>331.85380609082824</v>
      </c>
      <c r="FE407" s="75" cm="1">
        <f t="array" ref="FE407">_xll.DCEPropSectBox(EY407, EZ407, FA407, 1, 1, "Iy")/10000</f>
        <v>178.95614265059049</v>
      </c>
      <c r="FF407" s="75">
        <f t="shared" si="37"/>
        <v>44.247174145443765</v>
      </c>
      <c r="FG407" s="75">
        <f t="shared" si="38"/>
        <v>35.791228530118097</v>
      </c>
      <c r="FJ407" s="3"/>
      <c r="FK407" s="77"/>
      <c r="FL407" s="3"/>
      <c r="FM407" s="3"/>
      <c r="FN407" s="3"/>
      <c r="FO407" s="3"/>
      <c r="FP407" s="3"/>
      <c r="FQ407" s="3"/>
      <c r="FR407" s="3"/>
      <c r="FS407" s="3"/>
    </row>
    <row r="408" spans="153:175" ht="14.4">
      <c r="EW408" s="3" t="e">
        <f>Cal!#REF!</f>
        <v>#REF!</v>
      </c>
      <c r="EX408" s="77" t="s">
        <v>644</v>
      </c>
      <c r="EY408" s="3">
        <v>100</v>
      </c>
      <c r="EZ408" s="3">
        <v>150</v>
      </c>
      <c r="FA408" s="3" t="s">
        <v>700</v>
      </c>
      <c r="FB408" s="75" cm="1">
        <f t="array" ref="FB408">_xll.DCEPropSectBox(EY408, EZ408, FA408, 1, 1, "Area")/100</f>
        <v>10.681759253301239</v>
      </c>
      <c r="FC408" s="75">
        <f t="shared" si="39"/>
        <v>8.3851810138414731</v>
      </c>
      <c r="FD408" s="75" cm="1">
        <f t="array" ref="FD408">_xll.DCEPropSectBox(EY408, EZ408, FA408, 1, 1, "Ix")/10000</f>
        <v>346.55387395267059</v>
      </c>
      <c r="FE408" s="75" cm="1">
        <f t="array" ref="FE408">_xll.DCEPropSectBox(EY408, EZ408, FA408, 1, 1, "Iy")/10000</f>
        <v>186.81882097760288</v>
      </c>
      <c r="FF408" s="75">
        <f t="shared" si="37"/>
        <v>46.20718319368941</v>
      </c>
      <c r="FG408" s="75">
        <f t="shared" si="38"/>
        <v>37.363764195520574</v>
      </c>
      <c r="FJ408" s="3"/>
      <c r="FK408" s="77"/>
      <c r="FL408" s="3"/>
      <c r="FM408" s="3"/>
      <c r="FN408" s="3"/>
      <c r="FO408" s="3"/>
      <c r="FP408" s="3"/>
      <c r="FQ408" s="3"/>
      <c r="FR408" s="3"/>
      <c r="FS408" s="3"/>
    </row>
    <row r="409" spans="153:175" ht="14.4">
      <c r="EW409" s="3" t="e">
        <f>Cal!#REF!</f>
        <v>#REF!</v>
      </c>
      <c r="EX409" s="77" t="s">
        <v>645</v>
      </c>
      <c r="EY409" s="3">
        <v>100</v>
      </c>
      <c r="EZ409" s="3">
        <v>150</v>
      </c>
      <c r="FA409" s="3" t="s">
        <v>701</v>
      </c>
      <c r="FB409" s="75" cm="1">
        <f t="array" ref="FB409">_xll.DCEPropSectBox(EY409, EZ409, FA409, 1, 1, "Area")/100</f>
        <v>11.1521707541247</v>
      </c>
      <c r="FC409" s="75">
        <f t="shared" si="39"/>
        <v>8.7544540419878896</v>
      </c>
      <c r="FD409" s="75" cm="1">
        <f t="array" ref="FD409">_xll.DCEPropSectBox(EY409, EZ409, FA409, 1, 1, "Ix")/10000</f>
        <v>361.15569950540953</v>
      </c>
      <c r="FE409" s="75" cm="1">
        <f t="array" ref="FE409">_xll.DCEPropSectBox(EY409, EZ409, FA409, 1, 1, "Iy")/10000</f>
        <v>194.6231528401662</v>
      </c>
      <c r="FF409" s="75">
        <f t="shared" si="37"/>
        <v>48.154093267387935</v>
      </c>
      <c r="FG409" s="75">
        <f t="shared" si="38"/>
        <v>38.924630568033237</v>
      </c>
      <c r="FJ409" s="3"/>
      <c r="FK409" s="77"/>
      <c r="FL409" s="3"/>
      <c r="FM409" s="3"/>
      <c r="FN409" s="3"/>
      <c r="FO409" s="3"/>
      <c r="FP409" s="3"/>
      <c r="FQ409" s="3"/>
      <c r="FR409" s="3"/>
      <c r="FS409" s="3"/>
    </row>
    <row r="410" spans="153:175" ht="14.4">
      <c r="EW410" s="3" t="e">
        <f>Cal!#REF!</f>
        <v>#REF!</v>
      </c>
      <c r="EX410" s="77" t="s">
        <v>646</v>
      </c>
      <c r="EY410" s="3">
        <v>100</v>
      </c>
      <c r="EZ410" s="3">
        <v>150</v>
      </c>
      <c r="FA410" s="3" t="s">
        <v>702</v>
      </c>
      <c r="FB410" s="75" cm="1">
        <f t="array" ref="FB410">_xll.DCEPropSectBox(EY410, EZ410, FA410, 1, 1, "Area")/100</f>
        <v>11.621267210540314</v>
      </c>
      <c r="FC410" s="75">
        <f t="shared" si="39"/>
        <v>9.1226947602741468</v>
      </c>
      <c r="FD410" s="75" cm="1">
        <f t="array" ref="FD410">_xll.DCEPropSectBox(EY410, EZ410, FA410, 1, 1, "Ix")/10000</f>
        <v>375.65953988146998</v>
      </c>
      <c r="FE410" s="75" cm="1">
        <f t="array" ref="FE410">_xll.DCEPropSectBox(EY410, EZ410, FA410, 1, 1, "Iy")/10000</f>
        <v>202.3693408573819</v>
      </c>
      <c r="FF410" s="75">
        <f t="shared" si="37"/>
        <v>50.087938650862661</v>
      </c>
      <c r="FG410" s="75">
        <f t="shared" si="38"/>
        <v>40.473868171476383</v>
      </c>
      <c r="FJ410" s="3"/>
      <c r="FK410" s="77"/>
      <c r="FL410" s="3"/>
      <c r="FM410" s="3"/>
      <c r="FN410" s="3"/>
      <c r="FO410" s="3"/>
      <c r="FP410" s="3"/>
      <c r="FQ410" s="3"/>
      <c r="FR410" s="3"/>
      <c r="FS410" s="3"/>
    </row>
    <row r="411" spans="153:175" ht="14.4">
      <c r="EW411" s="3" t="e">
        <f>Cal!#REF!</f>
        <v>#REF!</v>
      </c>
      <c r="EX411" s="77" t="s">
        <v>647</v>
      </c>
      <c r="EY411" s="3">
        <v>100</v>
      </c>
      <c r="EZ411" s="3">
        <v>150</v>
      </c>
      <c r="FA411" s="3" t="s">
        <v>703</v>
      </c>
      <c r="FB411" s="75" cm="1">
        <f t="array" ref="FB411">_xll.DCEPropSectBox(EY411, EZ411, FA411, 1, 1, "Area")/100</f>
        <v>12.089048622548086</v>
      </c>
      <c r="FC411" s="75">
        <f t="shared" si="39"/>
        <v>9.4899031687002466</v>
      </c>
      <c r="FD411" s="75" cm="1">
        <f t="array" ref="FD411">_xll.DCEPropSectBox(EY411, EZ411, FA411, 1, 1, "Ix")/10000</f>
        <v>390.06565192849263</v>
      </c>
      <c r="FE411" s="75" cm="1">
        <f t="array" ref="FE411">_xll.DCEPropSectBox(EY411, EZ411, FA411, 1, 1, "Iy")/10000</f>
        <v>210.0575873635687</v>
      </c>
      <c r="FF411" s="75">
        <f t="shared" si="37"/>
        <v>52.00875359046568</v>
      </c>
      <c r="FG411" s="75">
        <f t="shared" si="38"/>
        <v>42.011517472713741</v>
      </c>
      <c r="FJ411" s="3"/>
      <c r="FK411" s="77"/>
      <c r="FL411" s="3"/>
      <c r="FM411" s="3"/>
      <c r="FN411" s="3"/>
      <c r="FO411" s="3"/>
      <c r="FP411" s="3"/>
      <c r="FQ411" s="3"/>
      <c r="FR411" s="3"/>
      <c r="FS411" s="3"/>
    </row>
    <row r="412" spans="153:175" ht="14.4">
      <c r="EW412" s="3" t="e">
        <f>Cal!#REF!</f>
        <v>#REF!</v>
      </c>
      <c r="EX412" s="77" t="s">
        <v>648</v>
      </c>
      <c r="EY412" s="3">
        <v>100</v>
      </c>
      <c r="EZ412" s="3">
        <v>150</v>
      </c>
      <c r="FA412" s="3" t="s">
        <v>704</v>
      </c>
      <c r="FB412" s="75" cm="1">
        <f t="array" ref="FB412">_xll.DCEPropSectBox(EY412, EZ412, FA412, 1, 1, "Area")/100</f>
        <v>13.020666313340088</v>
      </c>
      <c r="FC412" s="75">
        <f t="shared" si="39"/>
        <v>10.22122305597197</v>
      </c>
      <c r="FD412" s="75" cm="1">
        <f t="array" ref="FD412">_xll.DCEPropSectBox(EY412, EZ412, FA412, 1, 1, "Ix")/10000</f>
        <v>418.5857170020987</v>
      </c>
      <c r="FE412" s="75" cm="1">
        <f t="array" ref="FE412">_xll.DCEPropSectBox(EY412, EZ412, FA412, 1, 1, "Iy")/10000</f>
        <v>225.26106375623905</v>
      </c>
      <c r="FF412" s="75">
        <f t="shared" si="37"/>
        <v>55.811428933613158</v>
      </c>
      <c r="FG412" s="75">
        <f t="shared" si="38"/>
        <v>45.052212751247808</v>
      </c>
      <c r="FJ412" s="3"/>
      <c r="FK412" s="77"/>
      <c r="FL412" s="3"/>
      <c r="FM412" s="3"/>
      <c r="FN412" s="3"/>
      <c r="FO412" s="3"/>
      <c r="FP412" s="3"/>
      <c r="FQ412" s="3"/>
      <c r="FR412" s="3"/>
      <c r="FS412" s="3"/>
    </row>
    <row r="413" spans="153:175" ht="14.4">
      <c r="EW413" s="3" t="e">
        <f>Cal!#REF!</f>
        <v>#REF!</v>
      </c>
      <c r="EX413" s="77" t="s">
        <v>649</v>
      </c>
      <c r="EY413" s="3">
        <v>100</v>
      </c>
      <c r="EZ413" s="3">
        <v>150</v>
      </c>
      <c r="FA413" s="3" t="s">
        <v>705</v>
      </c>
      <c r="FB413" s="75" cm="1">
        <f t="array" ref="FB413">_xll.DCEPropSectBox(EY413, EZ413, FA413, 1, 1, "Area")/100</f>
        <v>13.484502592124318</v>
      </c>
      <c r="FC413" s="75">
        <f t="shared" si="39"/>
        <v>10.585334534817591</v>
      </c>
      <c r="FD413" s="75" cm="1">
        <f t="array" ref="FD413">_xll.DCEPropSectBox(EY413, EZ413, FA413, 1, 1, "Ix")/10000</f>
        <v>432.7001823000665</v>
      </c>
      <c r="FE413" s="75" cm="1">
        <f t="array" ref="FE413">_xll.DCEPropSectBox(EY413, EZ413, FA413, 1, 1, "Iy")/10000</f>
        <v>232.7766968874632</v>
      </c>
      <c r="FF413" s="75">
        <f t="shared" si="37"/>
        <v>57.69335764000887</v>
      </c>
      <c r="FG413" s="75">
        <f t="shared" si="38"/>
        <v>46.555339377492643</v>
      </c>
      <c r="FJ413" s="3"/>
      <c r="FK413" s="77"/>
      <c r="FL413" s="3"/>
      <c r="FM413" s="3"/>
      <c r="FN413" s="3"/>
      <c r="FO413" s="3"/>
      <c r="FP413" s="3"/>
      <c r="FQ413" s="3"/>
      <c r="FR413" s="3"/>
      <c r="FS413" s="3"/>
    </row>
    <row r="414" spans="153:175" ht="14.4">
      <c r="EW414" s="3" t="e">
        <f>Cal!#REF!</f>
        <v>#REF!</v>
      </c>
      <c r="EX414" s="77" t="s">
        <v>650</v>
      </c>
      <c r="EY414" s="3">
        <v>100</v>
      </c>
      <c r="EZ414" s="3">
        <v>150</v>
      </c>
      <c r="FA414" s="3" t="s">
        <v>706</v>
      </c>
      <c r="FB414" s="75" cm="1">
        <f t="array" ref="FB414">_xll.DCEPropSectBox(EY414, EZ414, FA414, 1, 1, "Area")/100</f>
        <v>13.947023826500704</v>
      </c>
      <c r="FC414" s="75">
        <f t="shared" si="39"/>
        <v>10.948413703803052</v>
      </c>
      <c r="FD414" s="75" cm="1">
        <f t="array" ref="FD414">_xll.DCEPropSectBox(EY414, EZ414, FA414, 1, 1, "Ix")/10000</f>
        <v>446.71794381177125</v>
      </c>
      <c r="FE414" s="75" cm="1">
        <f t="array" ref="FE414">_xll.DCEPropSectBox(EY414, EZ414, FA414, 1, 1, "Iy")/10000</f>
        <v>240.23519499714257</v>
      </c>
      <c r="FF414" s="75">
        <f t="shared" si="37"/>
        <v>59.562392508236165</v>
      </c>
      <c r="FG414" s="75">
        <f t="shared" si="38"/>
        <v>48.047038999428516</v>
      </c>
      <c r="FJ414" s="3"/>
      <c r="FK414" s="77"/>
      <c r="FL414" s="3"/>
      <c r="FM414" s="3"/>
      <c r="FN414" s="3"/>
      <c r="FO414" s="3"/>
      <c r="FP414" s="3"/>
      <c r="FQ414" s="3"/>
      <c r="FR414" s="3"/>
      <c r="FS414" s="3"/>
    </row>
    <row r="415" spans="153:175" ht="14.4">
      <c r="EW415" s="3" t="e">
        <f>Cal!#REF!</f>
        <v>#REF!</v>
      </c>
      <c r="EX415" s="77" t="s">
        <v>651</v>
      </c>
      <c r="EY415" s="3">
        <v>100</v>
      </c>
      <c r="EZ415" s="3">
        <v>150</v>
      </c>
      <c r="FA415" s="3" t="s">
        <v>707</v>
      </c>
      <c r="FB415" s="75" cm="1">
        <f t="array" ref="FB415">_xll.DCEPropSectBox(EY415, EZ415, FA415, 1, 1, "Area")/100</f>
        <v>14.408230016469245</v>
      </c>
      <c r="FC415" s="75">
        <f t="shared" si="39"/>
        <v>11.310460562928357</v>
      </c>
      <c r="FD415" s="75" cm="1">
        <f t="array" ref="FD415">_xll.DCEPropSectBox(EY415, EZ415, FA415, 1, 1, "Ix")/10000</f>
        <v>460.6392569609535</v>
      </c>
      <c r="FE415" s="75" cm="1">
        <f t="array" ref="FE415">_xll.DCEPropSectBox(EY415, EZ415, FA415, 1, 1, "Iy")/10000</f>
        <v>247.63675899569736</v>
      </c>
      <c r="FF415" s="75">
        <f t="shared" si="37"/>
        <v>61.418567594793799</v>
      </c>
      <c r="FG415" s="75">
        <f t="shared" si="38"/>
        <v>49.527351799139474</v>
      </c>
      <c r="FJ415" s="3"/>
      <c r="FK415" s="77"/>
      <c r="FL415" s="3"/>
      <c r="FM415" s="3"/>
      <c r="FN415" s="3"/>
      <c r="FO415" s="3"/>
      <c r="FP415" s="3"/>
      <c r="FQ415" s="3"/>
      <c r="FR415" s="3"/>
      <c r="FS415" s="3"/>
    </row>
    <row r="416" spans="153:175" ht="14.4">
      <c r="EW416" s="3" t="e">
        <f>Cal!#REF!</f>
        <v>#REF!</v>
      </c>
      <c r="EX416" s="77" t="s">
        <v>652</v>
      </c>
      <c r="EY416" s="3">
        <v>100</v>
      </c>
      <c r="EZ416" s="3">
        <v>150</v>
      </c>
      <c r="FA416" s="3" t="s">
        <v>708</v>
      </c>
      <c r="FB416" s="75" cm="1">
        <f t="array" ref="FB416">_xll.DCEPropSectBox(EY416, EZ416, FA416, 1, 1, "Area")/100</f>
        <v>14.868121162029938</v>
      </c>
      <c r="FC416" s="75">
        <f t="shared" si="39"/>
        <v>11.671475112193502</v>
      </c>
      <c r="FD416" s="75" cm="1">
        <f t="array" ref="FD416">_xll.DCEPropSectBox(EY416, EZ416, FA416, 1, 1, "Ix")/10000</f>
        <v>474.46437688657818</v>
      </c>
      <c r="FE416" s="75" cm="1">
        <f t="array" ref="FE416">_xll.DCEPropSectBox(EY416, EZ416, FA416, 1, 1, "Iy")/10000</f>
        <v>254.98158950876925</v>
      </c>
      <c r="FF416" s="75">
        <f t="shared" si="37"/>
        <v>63.261916918210424</v>
      </c>
      <c r="FG416" s="75">
        <f t="shared" si="38"/>
        <v>50.996317901753848</v>
      </c>
      <c r="FJ416" s="3"/>
      <c r="FK416" s="77"/>
      <c r="FL416" s="3"/>
      <c r="FM416" s="3"/>
      <c r="FN416" s="3"/>
      <c r="FO416" s="3"/>
      <c r="FP416" s="3"/>
      <c r="FQ416" s="3"/>
      <c r="FR416" s="3"/>
      <c r="FS416" s="3"/>
    </row>
    <row r="417" spans="153:175" ht="14.4">
      <c r="EW417" s="3" t="e">
        <f>Cal!#REF!</f>
        <v>#REF!</v>
      </c>
      <c r="EX417" s="77" t="s">
        <v>653</v>
      </c>
      <c r="EY417" s="3">
        <v>100</v>
      </c>
      <c r="EZ417" s="3">
        <v>150</v>
      </c>
      <c r="FA417" s="3" t="s">
        <v>709</v>
      </c>
      <c r="FB417" s="75" cm="1">
        <f t="array" ref="FB417">_xll.DCEPropSectBox(EY417, EZ417, FA417, 1, 1, "Area")/100</f>
        <v>15.326697263182785</v>
      </c>
      <c r="FC417" s="75">
        <f t="shared" si="39"/>
        <v>12.031457351598487</v>
      </c>
      <c r="FD417" s="75" cm="1">
        <f t="array" ref="FD417">_xll.DCEPropSectBox(EY417, EZ417, FA417, 1, 1, "Ix")/10000</f>
        <v>488.19355844283092</v>
      </c>
      <c r="FE417" s="75" cm="1">
        <f t="array" ref="FE417">_xll.DCEPropSectBox(EY417, EZ417, FA417, 1, 1, "Iy")/10000</f>
        <v>262.26988687722036</v>
      </c>
      <c r="FF417" s="75">
        <f t="shared" si="37"/>
        <v>65.092474459044126</v>
      </c>
      <c r="FG417" s="75">
        <f t="shared" si="38"/>
        <v>52.453977375444069</v>
      </c>
      <c r="FJ417" s="3"/>
      <c r="FK417" s="77"/>
      <c r="FL417" s="3"/>
      <c r="FM417" s="3"/>
      <c r="FN417" s="3"/>
      <c r="FO417" s="3"/>
      <c r="FP417" s="3"/>
      <c r="FQ417" s="3"/>
      <c r="FR417" s="3"/>
      <c r="FS417" s="3"/>
    </row>
    <row r="418" spans="153:175" ht="14.4">
      <c r="EW418" s="3" t="e">
        <f>Cal!#REF!</f>
        <v>#REF!</v>
      </c>
      <c r="EX418" s="77" t="s">
        <v>654</v>
      </c>
      <c r="EY418" s="3">
        <v>100</v>
      </c>
      <c r="EZ418" s="3">
        <v>150</v>
      </c>
      <c r="FA418" s="3" t="s">
        <v>711</v>
      </c>
      <c r="FB418" s="75" cm="1">
        <f t="array" ref="FB418">_xll.DCEPropSectBox(EY418, EZ418, FA418, 1, 1, "Area")/100</f>
        <v>16.239904332264942</v>
      </c>
      <c r="FC418" s="75">
        <f t="shared" si="39"/>
        <v>12.74832490082798</v>
      </c>
      <c r="FD418" s="75" cm="1">
        <f t="array" ref="FD418">_xll.DCEPropSectBox(EY418, EZ418, FA418, 1, 1, "Ix")/10000</f>
        <v>515.36512444005211</v>
      </c>
      <c r="FE418" s="75" cm="1">
        <f t="array" ref="FE418">_xll.DCEPropSectBox(EY418, EZ418, FA418, 1, 1, "Iy")/10000</f>
        <v>276.67768211980689</v>
      </c>
      <c r="FF418" s="75">
        <f t="shared" si="37"/>
        <v>68.715349925340277</v>
      </c>
      <c r="FG418" s="75">
        <f t="shared" si="38"/>
        <v>55.335536423961379</v>
      </c>
      <c r="FJ418" s="3"/>
      <c r="FK418" s="77"/>
      <c r="FL418" s="3"/>
      <c r="FM418" s="3"/>
      <c r="FN418" s="3"/>
      <c r="FO418" s="3"/>
      <c r="FP418" s="3"/>
      <c r="FQ418" s="3"/>
      <c r="FR418" s="3"/>
      <c r="FS418" s="3"/>
    </row>
    <row r="419" spans="153:175" ht="14.4">
      <c r="EW419" s="3" t="e">
        <f>Cal!#REF!</f>
        <v>#REF!</v>
      </c>
      <c r="EX419" s="77" t="s">
        <v>655</v>
      </c>
      <c r="EY419" s="3">
        <v>100</v>
      </c>
      <c r="EZ419" s="3">
        <v>150</v>
      </c>
      <c r="FA419" s="3" t="s">
        <v>712</v>
      </c>
      <c r="FB419" s="75" cm="1">
        <f t="array" ref="FB419">_xll.DCEPropSectBox(EY419, EZ419, FA419, 1, 1, "Area")/100</f>
        <v>16.69453530019425</v>
      </c>
      <c r="FC419" s="75">
        <f t="shared" si="39"/>
        <v>13.105210210652487</v>
      </c>
      <c r="FD419" s="75" cm="1">
        <f t="array" ref="FD419">_xll.DCEPropSectBox(EY419, EZ419, FA419, 1, 1, "Ix")/10000</f>
        <v>528.80801716549104</v>
      </c>
      <c r="FE419" s="75" cm="1">
        <f t="array" ref="FE419">_xll.DCEPropSectBox(EY419, EZ419, FA419, 1, 1, "Iy")/10000</f>
        <v>283.79757925176722</v>
      </c>
      <c r="FF419" s="75">
        <f t="shared" si="37"/>
        <v>70.507735622065468</v>
      </c>
      <c r="FG419" s="75">
        <f t="shared" si="38"/>
        <v>56.759515850353445</v>
      </c>
      <c r="FJ419" s="3"/>
      <c r="FK419" s="77"/>
      <c r="FL419" s="3"/>
      <c r="FM419" s="3"/>
      <c r="FN419" s="3"/>
      <c r="FO419" s="3"/>
      <c r="FP419" s="3"/>
      <c r="FQ419" s="3"/>
      <c r="FR419" s="3"/>
      <c r="FS419" s="3"/>
    </row>
    <row r="420" spans="153:175" ht="14.4">
      <c r="EW420" s="3" t="e">
        <f>Cal!#REF!</f>
        <v>#REF!</v>
      </c>
      <c r="EX420" s="77" t="s">
        <v>656</v>
      </c>
      <c r="EY420" s="3">
        <v>100</v>
      </c>
      <c r="EZ420" s="3">
        <v>150</v>
      </c>
      <c r="FA420" s="3" t="s">
        <v>713</v>
      </c>
      <c r="FB420" s="75" cm="1">
        <f t="array" ref="FB420">_xll.DCEPropSectBox(EY420, EZ420, FA420, 1, 1, "Area")/100</f>
        <v>17.599852102829328</v>
      </c>
      <c r="FC420" s="75">
        <f t="shared" si="39"/>
        <v>13.815883900721023</v>
      </c>
      <c r="FD420" s="75" cm="1">
        <f t="array" ref="FD420">_xll.DCEPropSectBox(EY420, EZ420, FA420, 1, 1, "Ix")/10000</f>
        <v>555.40929064535055</v>
      </c>
      <c r="FE420" s="75" cm="1">
        <f t="array" ref="FE420">_xll.DCEPropSectBox(EY420, EZ420, FA420, 1, 1, "Iy")/10000</f>
        <v>297.8703685457358</v>
      </c>
      <c r="FF420" s="75">
        <f t="shared" si="37"/>
        <v>74.054572086046747</v>
      </c>
      <c r="FG420" s="75">
        <f t="shared" si="38"/>
        <v>59.574073709147157</v>
      </c>
      <c r="FJ420" s="3"/>
      <c r="FK420" s="77"/>
      <c r="FL420" s="3"/>
      <c r="FM420" s="3"/>
      <c r="FN420" s="3"/>
      <c r="FO420" s="3"/>
      <c r="FP420" s="3"/>
      <c r="FQ420" s="3"/>
      <c r="FR420" s="3"/>
      <c r="FS420" s="3"/>
    </row>
    <row r="421" spans="153:175" ht="14.4">
      <c r="EW421" s="3" t="e">
        <f>Cal!#REF!</f>
        <v>#REF!</v>
      </c>
      <c r="EX421" s="77" t="s">
        <v>657</v>
      </c>
      <c r="EY421" s="3">
        <v>100</v>
      </c>
      <c r="EZ421" s="3">
        <v>150</v>
      </c>
      <c r="FA421" s="3" t="s">
        <v>714</v>
      </c>
      <c r="FB421" s="75" cm="1">
        <f t="array" ref="FB421">_xll.DCEPropSectBox(EY421, EZ421, FA421, 1, 1, "Area")/100</f>
        <v>18.050537937535097</v>
      </c>
      <c r="FC421" s="75">
        <f t="shared" si="39"/>
        <v>14.169672280965052</v>
      </c>
      <c r="FD421" s="75" cm="1">
        <f t="array" ref="FD421">_xll.DCEPropSectBox(EY421, EZ421, FA421, 1, 1, "Ix")/10000</f>
        <v>568.56817797556084</v>
      </c>
      <c r="FE421" s="75" cm="1">
        <f t="array" ref="FE421">_xll.DCEPropSectBox(EY421, EZ421, FA421, 1, 1, "Iy")/10000</f>
        <v>304.8236582568893</v>
      </c>
      <c r="FF421" s="75">
        <f t="shared" si="37"/>
        <v>75.809090396741439</v>
      </c>
      <c r="FG421" s="75">
        <f t="shared" si="38"/>
        <v>60.964731651377861</v>
      </c>
      <c r="FJ421" s="3"/>
      <c r="FK421" s="77"/>
      <c r="FL421" s="3"/>
      <c r="FM421" s="3"/>
      <c r="FN421" s="3"/>
      <c r="FO421" s="3"/>
      <c r="FP421" s="3"/>
      <c r="FQ421" s="3"/>
      <c r="FR421" s="3"/>
      <c r="FS421" s="3"/>
    </row>
    <row r="422" spans="153:175" ht="14.4">
      <c r="EW422" s="3" t="e">
        <f>Cal!#REF!</f>
        <v>#REF!</v>
      </c>
      <c r="EX422" s="77" t="s">
        <v>658</v>
      </c>
      <c r="EY422" s="3">
        <v>100</v>
      </c>
      <c r="EZ422" s="3">
        <v>150</v>
      </c>
      <c r="FA422" s="3" t="s">
        <v>715</v>
      </c>
      <c r="FB422" s="75" cm="1">
        <f t="array" ref="FB422">_xll.DCEPropSectBox(EY422, EZ422, FA422, 1, 1, "Area")/100</f>
        <v>18.49990872783302</v>
      </c>
      <c r="FC422" s="75">
        <f t="shared" si="39"/>
        <v>14.522428351348919</v>
      </c>
      <c r="FD422" s="75" cm="1">
        <f t="array" ref="FD422">_xll.DCEPropSectBox(EY422, EZ422, FA422, 1, 1, "Ix")/10000</f>
        <v>581.63290294185458</v>
      </c>
      <c r="FE422" s="75" cm="1">
        <f t="array" ref="FE422">_xll.DCEPropSectBox(EY422, EZ422, FA422, 1, 1, "Iy")/10000</f>
        <v>311.72180923562081</v>
      </c>
      <c r="FF422" s="75">
        <f t="shared" si="37"/>
        <v>77.551053725580616</v>
      </c>
      <c r="FG422" s="75">
        <f t="shared" si="38"/>
        <v>62.344361847124162</v>
      </c>
      <c r="FJ422" s="3"/>
      <c r="FK422" s="77"/>
      <c r="FL422" s="3"/>
      <c r="FM422" s="3"/>
      <c r="FN422" s="3"/>
      <c r="FO422" s="3"/>
      <c r="FP422" s="3"/>
      <c r="FQ422" s="3"/>
      <c r="FR422" s="3"/>
      <c r="FS422" s="3"/>
    </row>
    <row r="423" spans="153:175" ht="14.4">
      <c r="EW423" s="3" t="e">
        <f>Cal!#REF!</f>
        <v>#REF!</v>
      </c>
      <c r="EX423" s="77" t="s">
        <v>659</v>
      </c>
      <c r="EY423" s="3">
        <v>100</v>
      </c>
      <c r="EZ423" s="3">
        <v>150</v>
      </c>
      <c r="FA423" s="3" t="s">
        <v>716</v>
      </c>
      <c r="FB423" s="75" cm="1">
        <f t="array" ref="FB423">_xll.DCEPropSectBox(EY423, EZ423, FA423, 1, 1, "Area")/100</f>
        <v>18.947964473723101</v>
      </c>
      <c r="FC423" s="75">
        <f t="shared" si="39"/>
        <v>14.874152111872634</v>
      </c>
      <c r="FD423" s="75" cm="1">
        <f t="array" ref="FD423">_xll.DCEPropSectBox(EY423, EZ423, FA423, 1, 1, "Ix")/10000</f>
        <v>594.60371812017445</v>
      </c>
      <c r="FE423" s="75" cm="1">
        <f t="array" ref="FE423">_xll.DCEPropSectBox(EY423, EZ423, FA423, 1, 1, "Iy")/10000</f>
        <v>318.56501954455354</v>
      </c>
      <c r="FF423" s="75">
        <f t="shared" si="37"/>
        <v>79.280495749356589</v>
      </c>
      <c r="FG423" s="75">
        <f t="shared" si="38"/>
        <v>63.713003908910707</v>
      </c>
      <c r="FJ423" s="3"/>
      <c r="FK423" s="77"/>
      <c r="FL423" s="3"/>
      <c r="FM423" s="3"/>
      <c r="FN423" s="3"/>
      <c r="FO423" s="3"/>
      <c r="FP423" s="3"/>
      <c r="FQ423" s="3"/>
      <c r="FR423" s="3"/>
      <c r="FS423" s="3"/>
    </row>
    <row r="424" spans="153:175" ht="14.4">
      <c r="EW424" s="3" t="e">
        <f>Cal!#REF!</f>
        <v>#REF!</v>
      </c>
      <c r="EX424" s="77" t="s">
        <v>660</v>
      </c>
      <c r="EY424" s="3">
        <v>100</v>
      </c>
      <c r="EZ424" s="3">
        <v>150</v>
      </c>
      <c r="FA424" s="3" t="s">
        <v>717</v>
      </c>
      <c r="FB424" s="75" cm="1">
        <f t="array" ref="FB424">_xll.DCEPropSectBox(EY424, EZ424, FA424, 1, 1, "Area")/100</f>
        <v>21.168517537055799</v>
      </c>
      <c r="FC424" s="75">
        <f t="shared" si="39"/>
        <v>16.617286266588803</v>
      </c>
      <c r="FD424" s="75" cm="1">
        <f t="array" ref="FD424">_xll.DCEPropSectBox(EY424, EZ424, FA424, 1, 1, "Ix")/10000</f>
        <v>658.05796741571783</v>
      </c>
      <c r="FE424" s="75" cm="1">
        <f t="array" ref="FE424">_xll.DCEPropSectBox(EY424, EZ424, FA424, 1, 1, "Iy")/10000</f>
        <v>351.96387329947521</v>
      </c>
      <c r="FF424" s="75">
        <f t="shared" si="37"/>
        <v>87.741062322095715</v>
      </c>
      <c r="FG424" s="75">
        <f t="shared" si="38"/>
        <v>70.392774659895039</v>
      </c>
      <c r="FJ424" s="3"/>
      <c r="FK424" s="77"/>
      <c r="FL424" s="3"/>
      <c r="FM424" s="3"/>
      <c r="FN424" s="3"/>
      <c r="FO424" s="3"/>
      <c r="FP424" s="3"/>
      <c r="FQ424" s="3"/>
      <c r="FR424" s="3"/>
      <c r="FS424" s="3"/>
    </row>
    <row r="425" spans="153:175" ht="14.4">
      <c r="EW425" s="3" t="e">
        <f>Cal!#REF!</f>
        <v>#REF!</v>
      </c>
      <c r="EX425" s="77" t="s">
        <v>661</v>
      </c>
      <c r="EY425" s="3">
        <v>100</v>
      </c>
      <c r="EZ425" s="3">
        <v>150</v>
      </c>
      <c r="FA425" s="3" t="s">
        <v>718</v>
      </c>
      <c r="FB425" s="75" cm="1">
        <f t="array" ref="FB425">_xll.DCEPropSectBox(EY425, EZ425, FA425, 1, 1, "Area")/100</f>
        <v>23.356194490192348</v>
      </c>
      <c r="FC425" s="75">
        <f t="shared" si="39"/>
        <v>18.334612674800994</v>
      </c>
      <c r="FD425" s="75" cm="1">
        <f t="array" ref="FD425">_xll.DCEPropSectBox(EY425, EZ425, FA425, 1, 1, "Ix")/10000</f>
        <v>719.20219465547825</v>
      </c>
      <c r="FE425" s="75" cm="1">
        <f t="array" ref="FE425">_xll.DCEPropSectBox(EY425, EZ425, FA425, 1, 1, "Iy")/10000</f>
        <v>384.01875595459597</v>
      </c>
      <c r="FF425" s="75">
        <f t="shared" si="37"/>
        <v>95.893625954063765</v>
      </c>
      <c r="FG425" s="75">
        <f t="shared" si="38"/>
        <v>76.803751190919201</v>
      </c>
      <c r="FJ425" s="3"/>
      <c r="FK425" s="77"/>
      <c r="FL425" s="3"/>
      <c r="FM425" s="3"/>
      <c r="FN425" s="3"/>
      <c r="FO425" s="3"/>
      <c r="FP425" s="3"/>
      <c r="FQ425" s="3"/>
      <c r="FR425" s="3"/>
      <c r="FS425" s="3"/>
    </row>
    <row r="426" spans="153:175" ht="14.4">
      <c r="EW426" s="3" t="e">
        <f>Cal!#REF!</f>
        <v>#REF!</v>
      </c>
      <c r="EX426" s="77" t="s">
        <v>662</v>
      </c>
      <c r="EY426" s="3">
        <v>100</v>
      </c>
      <c r="EZ426" s="3">
        <v>200</v>
      </c>
      <c r="FA426" s="3" t="s">
        <v>696</v>
      </c>
      <c r="FB426" s="75" cm="1">
        <f t="array" ref="FB426">_xll.DCEPropSectBox(EY426, EZ426, FA426, 1, 1, "Area")/100</f>
        <v>10.586962805928927</v>
      </c>
      <c r="FC426" s="75">
        <f t="shared" si="39"/>
        <v>8.3107658026542079</v>
      </c>
      <c r="FD426" s="75" cm="1">
        <f t="array" ref="FD426">_xll.DCEPropSectBox(EY426, EZ426, FA426, 1, 1, "Ix")/10000</f>
        <v>572.54362276349184</v>
      </c>
      <c r="FE426" s="75" cm="1">
        <f t="array" ref="FE426">_xll.DCEPropSectBox(EY426, EZ426, FA426, 1, 1, "Iy")/10000</f>
        <v>198.41543842016722</v>
      </c>
      <c r="FF426" s="75">
        <f t="shared" si="37"/>
        <v>57.254362276349184</v>
      </c>
      <c r="FG426" s="75">
        <f t="shared" si="38"/>
        <v>39.683087684033445</v>
      </c>
      <c r="FJ426" s="3"/>
      <c r="FK426" s="77"/>
      <c r="FL426" s="3"/>
      <c r="FM426" s="3"/>
      <c r="FN426" s="3"/>
      <c r="FO426" s="3"/>
      <c r="FP426" s="3"/>
      <c r="FQ426" s="3"/>
      <c r="FR426" s="3"/>
      <c r="FS426" s="3"/>
    </row>
    <row r="427" spans="153:175" ht="14.4">
      <c r="EW427" s="3" t="e">
        <f>Cal!#REF!</f>
        <v>#REF!</v>
      </c>
      <c r="EX427" s="77" t="s">
        <v>663</v>
      </c>
      <c r="EY427" s="3">
        <v>100</v>
      </c>
      <c r="EZ427" s="3">
        <v>200</v>
      </c>
      <c r="FA427" s="3" t="s">
        <v>697</v>
      </c>
      <c r="FB427" s="75" cm="1">
        <f t="array" ref="FB427">_xll.DCEPropSectBox(EY427, EZ427, FA427, 1, 1, "Area")/100</f>
        <v>11.162634484383775</v>
      </c>
      <c r="FC427" s="75">
        <f t="shared" si="39"/>
        <v>8.7626680702412632</v>
      </c>
      <c r="FD427" s="75" cm="1">
        <f t="array" ref="FD427">_xll.DCEPropSectBox(EY427, EZ427, FA427, 1, 1, "Ix")/10000</f>
        <v>602.76168665771422</v>
      </c>
      <c r="FE427" s="75" cm="1">
        <f t="array" ref="FE427">_xll.DCEPropSectBox(EY427, EZ427, FA427, 1, 1, "Iy")/10000</f>
        <v>208.77279803625547</v>
      </c>
      <c r="FF427" s="75">
        <f t="shared" si="37"/>
        <v>60.276168665771422</v>
      </c>
      <c r="FG427" s="75">
        <f t="shared" si="38"/>
        <v>41.754559607251096</v>
      </c>
      <c r="FJ427" s="3"/>
      <c r="FK427" s="77"/>
      <c r="FL427" s="3"/>
      <c r="FM427" s="3"/>
      <c r="FN427" s="3"/>
      <c r="FO427" s="3"/>
      <c r="FP427" s="3"/>
      <c r="FQ427" s="3"/>
      <c r="FR427" s="3"/>
      <c r="FS427" s="3"/>
    </row>
    <row r="428" spans="153:175" ht="14.4">
      <c r="EW428" s="3" t="e">
        <f>Cal!#REF!</f>
        <v>#REF!</v>
      </c>
      <c r="EX428" s="77" t="s">
        <v>664</v>
      </c>
      <c r="EY428" s="3">
        <v>100</v>
      </c>
      <c r="EZ428" s="3">
        <v>200</v>
      </c>
      <c r="FA428" s="3" t="s">
        <v>698</v>
      </c>
      <c r="FB428" s="75" cm="1">
        <f t="array" ref="FB428">_xll.DCEPropSectBox(EY428, EZ428, FA428, 1, 1, "Area")/100</f>
        <v>11.736991118430776</v>
      </c>
      <c r="FC428" s="75">
        <f t="shared" si="39"/>
        <v>9.2135380279681591</v>
      </c>
      <c r="FD428" s="75" cm="1">
        <f t="array" ref="FD428">_xll.DCEPropSectBox(EY428, EZ428, FA428, 1, 1, "Ix")/10000</f>
        <v>632.81461769716827</v>
      </c>
      <c r="FE428" s="75" cm="1">
        <f t="array" ref="FE428">_xll.DCEPropSectBox(EY428, EZ428, FA428, 1, 1, "Iy")/10000</f>
        <v>219.06158162191667</v>
      </c>
      <c r="FF428" s="75">
        <f t="shared" si="37"/>
        <v>63.281461769716827</v>
      </c>
      <c r="FG428" s="75">
        <f t="shared" si="38"/>
        <v>43.812316324383332</v>
      </c>
      <c r="FJ428" s="3"/>
      <c r="FK428" s="77"/>
      <c r="FL428" s="3"/>
      <c r="FM428" s="3"/>
      <c r="FN428" s="3"/>
      <c r="FO428" s="3"/>
      <c r="FP428" s="3"/>
      <c r="FQ428" s="3"/>
      <c r="FR428" s="3"/>
      <c r="FS428" s="3"/>
    </row>
    <row r="429" spans="153:175" ht="14.4">
      <c r="EW429" s="3" t="e">
        <f>Cal!#REF!</f>
        <v>#REF!</v>
      </c>
      <c r="EX429" s="77" t="s">
        <v>665</v>
      </c>
      <c r="EY429" s="3">
        <v>100</v>
      </c>
      <c r="EZ429" s="3">
        <v>200</v>
      </c>
      <c r="FA429" s="3" t="s">
        <v>699</v>
      </c>
      <c r="FB429" s="75" cm="1">
        <f t="array" ref="FB429">_xll.DCEPropSectBox(EY429, EZ429, FA429, 1, 1, "Area")/100</f>
        <v>12.310032708069929</v>
      </c>
      <c r="FC429" s="75">
        <f t="shared" si="39"/>
        <v>9.6633756758348941</v>
      </c>
      <c r="FD429" s="75" cm="1">
        <f t="array" ref="FD429">_xll.DCEPropSectBox(EY429, EZ429, FA429, 1, 1, "Ix")/10000</f>
        <v>662.70274838194052</v>
      </c>
      <c r="FE429" s="75" cm="1">
        <f t="array" ref="FE429">_xll.DCEPropSectBox(EY429, EZ429, FA429, 1, 1, "Iy")/10000</f>
        <v>229.28201265059059</v>
      </c>
      <c r="FF429" s="75">
        <f t="shared" si="37"/>
        <v>66.270274838194055</v>
      </c>
      <c r="FG429" s="75">
        <f t="shared" si="38"/>
        <v>45.856402530118118</v>
      </c>
      <c r="FJ429" s="3"/>
      <c r="FK429" s="77"/>
      <c r="FL429" s="3"/>
      <c r="FM429" s="3"/>
      <c r="FN429" s="3"/>
      <c r="FO429" s="3"/>
      <c r="FP429" s="3"/>
      <c r="FQ429" s="3"/>
      <c r="FR429" s="3"/>
      <c r="FS429" s="3"/>
    </row>
    <row r="430" spans="153:175" ht="14.4">
      <c r="EW430" s="3" t="e">
        <f>Cal!#REF!</f>
        <v>#REF!</v>
      </c>
      <c r="EX430" s="77" t="s">
        <v>666</v>
      </c>
      <c r="EY430" s="3">
        <v>100</v>
      </c>
      <c r="EZ430" s="3">
        <v>200</v>
      </c>
      <c r="FA430" s="3" t="s">
        <v>700</v>
      </c>
      <c r="FB430" s="75" cm="1">
        <f t="array" ref="FB430">_xll.DCEPropSectBox(EY430, EZ430, FA430, 1, 1, "Area")/100</f>
        <v>12.881759253301238</v>
      </c>
      <c r="FC430" s="75">
        <f t="shared" si="39"/>
        <v>10.112181013841472</v>
      </c>
      <c r="FD430" s="75" cm="1">
        <f t="array" ref="FD430">_xll.DCEPropSectBox(EY430, EZ430, FA430, 1, 1, "Ix")/10000</f>
        <v>692.42641092733732</v>
      </c>
      <c r="FE430" s="75" cm="1">
        <f t="array" ref="FE430">_xll.DCEPropSectBox(EY430, EZ430, FA430, 1, 1, "Iy")/10000</f>
        <v>239.43431431093626</v>
      </c>
      <c r="FF430" s="75">
        <f t="shared" si="37"/>
        <v>69.242641092733734</v>
      </c>
      <c r="FG430" s="75">
        <f t="shared" si="38"/>
        <v>47.88686286218725</v>
      </c>
      <c r="FJ430" s="3"/>
      <c r="FK430" s="77"/>
      <c r="FL430" s="3"/>
      <c r="FM430" s="3"/>
      <c r="FN430" s="3"/>
      <c r="FO430" s="3"/>
      <c r="FP430" s="3"/>
      <c r="FQ430" s="3"/>
      <c r="FR430" s="3"/>
      <c r="FS430" s="3"/>
    </row>
    <row r="431" spans="153:175" ht="14.4">
      <c r="EW431" s="3" t="e">
        <f>Cal!#REF!</f>
        <v>#REF!</v>
      </c>
      <c r="EX431" s="77" t="s">
        <v>667</v>
      </c>
      <c r="EY431" s="3">
        <v>100</v>
      </c>
      <c r="EZ431" s="3">
        <v>200</v>
      </c>
      <c r="FA431" s="3" t="s">
        <v>701</v>
      </c>
      <c r="FB431" s="75" cm="1">
        <f t="array" ref="FB431">_xll.DCEPropSectBox(EY431, EZ431, FA431, 1, 1, "Area")/100</f>
        <v>13.452170754124698</v>
      </c>
      <c r="FC431" s="75">
        <f t="shared" si="39"/>
        <v>10.559954041987888</v>
      </c>
      <c r="FD431" s="75" cm="1">
        <f t="array" ref="FD431">_xll.DCEPropSectBox(EY431, EZ431, FA431, 1, 1, "Ix")/10000</f>
        <v>721.98593726387719</v>
      </c>
      <c r="FE431" s="75" cm="1">
        <f t="array" ref="FE431">_xll.DCEPropSectBox(EY431, EZ431, FA431, 1, 1, "Iy")/10000</f>
        <v>249.51870950683303</v>
      </c>
      <c r="FF431" s="75">
        <f t="shared" si="37"/>
        <v>72.198593726387713</v>
      </c>
      <c r="FG431" s="75">
        <f t="shared" si="38"/>
        <v>49.903741901366608</v>
      </c>
      <c r="FJ431" s="3"/>
      <c r="FK431" s="77"/>
      <c r="FL431" s="3"/>
      <c r="FM431" s="3"/>
      <c r="FN431" s="3"/>
      <c r="FO431" s="3"/>
      <c r="FP431" s="3"/>
      <c r="FQ431" s="3"/>
      <c r="FR431" s="3"/>
      <c r="FS431" s="3"/>
    </row>
    <row r="432" spans="153:175" ht="14.4">
      <c r="EW432" s="3" t="e">
        <f>Cal!#REF!</f>
        <v>#REF!</v>
      </c>
      <c r="EX432" s="77" t="s">
        <v>668</v>
      </c>
      <c r="EY432" s="3">
        <v>100</v>
      </c>
      <c r="EZ432" s="3">
        <v>200</v>
      </c>
      <c r="FA432" s="3" t="s">
        <v>702</v>
      </c>
      <c r="FB432" s="75" cm="1">
        <f t="array" ref="FB432">_xll.DCEPropSectBox(EY432, EZ432, FA432, 1, 1, "Area")/100</f>
        <v>14.021267210540314</v>
      </c>
      <c r="FC432" s="75">
        <f t="shared" si="39"/>
        <v>11.006694760274147</v>
      </c>
      <c r="FD432" s="75" cm="1">
        <f t="array" ref="FD432">_xll.DCEPropSectBox(EY432, EZ432, FA432, 1, 1, "Ix")/10000</f>
        <v>751.38165903731226</v>
      </c>
      <c r="FE432" s="75" cm="1">
        <f t="array" ref="FE432">_xll.DCEPropSectBox(EY432, EZ432, FA432, 1, 1, "Iy")/10000</f>
        <v>259.53542085738178</v>
      </c>
      <c r="FF432" s="75">
        <f t="shared" si="37"/>
        <v>75.13816590373122</v>
      </c>
      <c r="FG432" s="75">
        <f t="shared" si="38"/>
        <v>51.907084171476356</v>
      </c>
      <c r="FJ432" s="3"/>
      <c r="FK432" s="77"/>
      <c r="FL432" s="3"/>
      <c r="FM432" s="3"/>
      <c r="FN432" s="3"/>
      <c r="FO432" s="3"/>
      <c r="FP432" s="3"/>
      <c r="FQ432" s="3"/>
      <c r="FR432" s="3"/>
      <c r="FS432" s="3"/>
    </row>
    <row r="433" spans="153:175" ht="14.4">
      <c r="EW433" s="3" t="e">
        <f>Cal!#REF!</f>
        <v>#REF!</v>
      </c>
      <c r="EX433" s="77" t="s">
        <v>669</v>
      </c>
      <c r="EY433" s="3">
        <v>100</v>
      </c>
      <c r="EZ433" s="3">
        <v>200</v>
      </c>
      <c r="FA433" s="3" t="s">
        <v>703</v>
      </c>
      <c r="FB433" s="75" cm="1">
        <f t="array" ref="FB433">_xll.DCEPropSectBox(EY433, EZ433, FA433, 1, 1, "Area")/100</f>
        <v>14.589048622548086</v>
      </c>
      <c r="FC433" s="75">
        <f t="shared" si="39"/>
        <v>11.452403168700247</v>
      </c>
      <c r="FD433" s="75" cm="1">
        <f t="array" ref="FD433">_xll.DCEPropSectBox(EY433, EZ433, FA433, 1, 1, "Ix")/10000</f>
        <v>780.61390760860104</v>
      </c>
      <c r="FE433" s="75" cm="1">
        <f t="array" ref="FE433">_xll.DCEPropSectBox(EY433, EZ433, FA433, 1, 1, "Iy")/10000</f>
        <v>269.48467069690196</v>
      </c>
      <c r="FF433" s="75">
        <f t="shared" si="37"/>
        <v>78.061390760860107</v>
      </c>
      <c r="FG433" s="75">
        <f t="shared" si="38"/>
        <v>53.896934139380392</v>
      </c>
      <c r="FJ433" s="3"/>
      <c r="FK433" s="77"/>
      <c r="FL433" s="3"/>
      <c r="FM433" s="3"/>
      <c r="FN433" s="3"/>
      <c r="FO433" s="3"/>
      <c r="FP433" s="3"/>
      <c r="FQ433" s="3"/>
      <c r="FR433" s="3"/>
      <c r="FS433" s="3"/>
    </row>
    <row r="434" spans="153:175" ht="14.4">
      <c r="EW434" s="3" t="e">
        <f>Cal!#REF!</f>
        <v>#REF!</v>
      </c>
      <c r="EX434" s="77" t="s">
        <v>670</v>
      </c>
      <c r="EY434" s="3">
        <v>100</v>
      </c>
      <c r="EZ434" s="3">
        <v>200</v>
      </c>
      <c r="FA434" s="3" t="s">
        <v>704</v>
      </c>
      <c r="FB434" s="75" cm="1">
        <f t="array" ref="FB434">_xll.DCEPropSectBox(EY434, EZ434, FA434, 1, 1, "Area")/100</f>
        <v>15.720666313340089</v>
      </c>
      <c r="FC434" s="75">
        <f t="shared" si="39"/>
        <v>12.340723055971971</v>
      </c>
      <c r="FD434" s="75" cm="1">
        <f t="array" ref="FD434">_xll.DCEPropSectBox(EY434, EZ434, FA434, 1, 1, "Ix")/10000</f>
        <v>838.58930916471002</v>
      </c>
      <c r="FE434" s="75" cm="1">
        <f t="array" ref="FE434">_xll.DCEPropSectBox(EY434, EZ434, FA434, 1, 1, "Iy")/10000</f>
        <v>289.18167375623898</v>
      </c>
      <c r="FF434" s="75">
        <f t="shared" si="37"/>
        <v>83.858930916470996</v>
      </c>
      <c r="FG434" s="75">
        <f t="shared" si="38"/>
        <v>57.836334751247797</v>
      </c>
      <c r="FJ434" s="3"/>
      <c r="FK434" s="77"/>
      <c r="FL434" s="3"/>
      <c r="FM434" s="3"/>
      <c r="FN434" s="3"/>
      <c r="FO434" s="3"/>
      <c r="FP434" s="3"/>
      <c r="FQ434" s="3"/>
      <c r="FR434" s="3"/>
      <c r="FS434" s="3"/>
    </row>
    <row r="435" spans="153:175" ht="14.4">
      <c r="EW435" s="3" t="e">
        <f>Cal!#REF!</f>
        <v>#REF!</v>
      </c>
      <c r="EX435" s="77" t="s">
        <v>671</v>
      </c>
      <c r="EY435" s="3">
        <v>100</v>
      </c>
      <c r="EZ435" s="3">
        <v>200</v>
      </c>
      <c r="FA435" s="3" t="s">
        <v>705</v>
      </c>
      <c r="FB435" s="75" cm="1">
        <f t="array" ref="FB435">_xll.DCEPropSectBox(EY435, EZ435, FA435, 1, 1, "Area")/100</f>
        <v>16.284502592124319</v>
      </c>
      <c r="FC435" s="75">
        <f t="shared" si="39"/>
        <v>12.783334534817591</v>
      </c>
      <c r="FD435" s="75" cm="1">
        <f t="array" ref="FD435">_xll.DCEPropSectBox(EY435, EZ435, FA435, 1, 1, "Ix")/10000</f>
        <v>867.33312344755757</v>
      </c>
      <c r="FE435" s="75" cm="1">
        <f t="array" ref="FE435">_xll.DCEPropSectBox(EY435, EZ435, FA435, 1, 1, "Iy")/10000</f>
        <v>298.92987022079643</v>
      </c>
      <c r="FF435" s="75">
        <f t="shared" si="37"/>
        <v>86.73331234475576</v>
      </c>
      <c r="FG435" s="75">
        <f t="shared" si="38"/>
        <v>59.785974044159289</v>
      </c>
      <c r="FJ435" s="3"/>
      <c r="FK435" s="77"/>
      <c r="FL435" s="3"/>
      <c r="FM435" s="3"/>
      <c r="FN435" s="3"/>
      <c r="FO435" s="3"/>
      <c r="FP435" s="3"/>
      <c r="FQ435" s="3"/>
      <c r="FR435" s="3"/>
      <c r="FS435" s="3"/>
    </row>
    <row r="436" spans="153:175" ht="14.4">
      <c r="EW436" s="3" t="e">
        <f>Cal!#REF!</f>
        <v>#REF!</v>
      </c>
      <c r="EX436" s="77" t="s">
        <v>672</v>
      </c>
      <c r="EY436" s="3">
        <v>100</v>
      </c>
      <c r="EZ436" s="3">
        <v>200</v>
      </c>
      <c r="FA436" s="3" t="s">
        <v>706</v>
      </c>
      <c r="FB436" s="75" cm="1">
        <f t="array" ref="FB436">_xll.DCEPropSectBox(EY436, EZ436, FA436, 1, 1, "Area")/100</f>
        <v>16.847023826500703</v>
      </c>
      <c r="FC436" s="75">
        <f t="shared" si="39"/>
        <v>13.22491370380305</v>
      </c>
      <c r="FD436" s="75" cm="1">
        <f t="array" ref="FD436">_xll.DCEPropSectBox(EY436, EZ436, FA436, 1, 1, "Ix")/10000</f>
        <v>895.9147871243257</v>
      </c>
      <c r="FE436" s="75" cm="1">
        <f t="array" ref="FE436">_xll.DCEPropSectBox(EY436, EZ436, FA436, 1, 1, "Iy")/10000</f>
        <v>308.61149166380926</v>
      </c>
      <c r="FF436" s="75">
        <f t="shared" si="37"/>
        <v>89.591478712432576</v>
      </c>
      <c r="FG436" s="75">
        <f t="shared" si="38"/>
        <v>61.722298332761852</v>
      </c>
      <c r="FJ436" s="3"/>
      <c r="FK436" s="77"/>
      <c r="FL436" s="3"/>
      <c r="FM436" s="3"/>
      <c r="FN436" s="3"/>
      <c r="FO436" s="3"/>
      <c r="FP436" s="3"/>
      <c r="FQ436" s="3"/>
      <c r="FR436" s="3"/>
      <c r="FS436" s="3"/>
    </row>
    <row r="437" spans="153:175" ht="14.4">
      <c r="EW437" s="3" t="e">
        <f>Cal!#REF!</f>
        <v>#REF!</v>
      </c>
      <c r="EX437" s="77" t="s">
        <v>673</v>
      </c>
      <c r="EY437" s="3">
        <v>100</v>
      </c>
      <c r="EZ437" s="3">
        <v>200</v>
      </c>
      <c r="FA437" s="3" t="s">
        <v>707</v>
      </c>
      <c r="FB437" s="75" cm="1">
        <f t="array" ref="FB437">_xll.DCEPropSectBox(EY437, EZ437, FA437, 1, 1, "Area")/100</f>
        <v>17.408230016469243</v>
      </c>
      <c r="FC437" s="75">
        <f t="shared" si="39"/>
        <v>13.665460562928356</v>
      </c>
      <c r="FD437" s="75" cm="1">
        <f t="array" ref="FD437">_xll.DCEPropSectBox(EY437, EZ437, FA437, 1, 1, "Ix")/10000</f>
        <v>924.33463013207518</v>
      </c>
      <c r="FE437" s="75" cm="1">
        <f t="array" ref="FE437">_xll.DCEPropSectBox(EY437, EZ437, FA437, 1, 1, "Iy")/10000</f>
        <v>318.22675899569737</v>
      </c>
      <c r="FF437" s="75">
        <f t="shared" si="37"/>
        <v>92.433463013207515</v>
      </c>
      <c r="FG437" s="75">
        <f t="shared" si="38"/>
        <v>63.645351799139476</v>
      </c>
      <c r="FJ437" s="3"/>
      <c r="FK437" s="77"/>
      <c r="FL437" s="3"/>
      <c r="FM437" s="3"/>
      <c r="FN437" s="3"/>
      <c r="FO437" s="3"/>
      <c r="FP437" s="3"/>
      <c r="FQ437" s="3"/>
      <c r="FR437" s="3"/>
      <c r="FS437" s="3"/>
    </row>
    <row r="438" spans="153:175" ht="14.4">
      <c r="EW438" s="3" t="e">
        <f>Cal!#REF!</f>
        <v>#REF!</v>
      </c>
      <c r="EX438" s="77" t="s">
        <v>674</v>
      </c>
      <c r="EY438" s="3">
        <v>100</v>
      </c>
      <c r="EZ438" s="3">
        <v>200</v>
      </c>
      <c r="FA438" s="3" t="s">
        <v>708</v>
      </c>
      <c r="FB438" s="75" cm="1">
        <f t="array" ref="FB438">_xll.DCEPropSectBox(EY438, EZ438, FA438, 1, 1, "Area")/100</f>
        <v>17.968121162029938</v>
      </c>
      <c r="FC438" s="75">
        <f t="shared" si="39"/>
        <v>14.1049751121935</v>
      </c>
      <c r="FD438" s="75" cm="1">
        <f t="array" ref="FD438">_xll.DCEPropSectBox(EY438, EZ438, FA438, 1, 1, "Ix")/10000</f>
        <v>952.59298212309443</v>
      </c>
      <c r="FE438" s="75" cm="1">
        <f t="array" ref="FE438">_xll.DCEPropSectBox(EY438, EZ438, FA438, 1, 1, "Iy")/10000</f>
        <v>327.77589284210256</v>
      </c>
      <c r="FF438" s="75">
        <f t="shared" si="37"/>
        <v>95.259298212309446</v>
      </c>
      <c r="FG438" s="75">
        <f t="shared" si="38"/>
        <v>65.555178568420516</v>
      </c>
      <c r="FJ438" s="3"/>
      <c r="FK438" s="77"/>
      <c r="FL438" s="3"/>
      <c r="FM438" s="3"/>
      <c r="FN438" s="3"/>
      <c r="FO438" s="3"/>
      <c r="FP438" s="3"/>
      <c r="FQ438" s="3"/>
      <c r="FR438" s="3"/>
      <c r="FS438" s="3"/>
    </row>
    <row r="439" spans="153:175" ht="14.4">
      <c r="EW439" s="3" t="e">
        <f>Cal!#REF!</f>
        <v>#REF!</v>
      </c>
      <c r="EX439" s="77" t="s">
        <v>675</v>
      </c>
      <c r="EY439" s="3">
        <v>100</v>
      </c>
      <c r="EZ439" s="3">
        <v>200</v>
      </c>
      <c r="FA439" s="3" t="s">
        <v>709</v>
      </c>
      <c r="FB439" s="75" cm="1">
        <f t="array" ref="FB439">_xll.DCEPropSectBox(EY439, EZ439, FA439, 1, 1, "Area")/100</f>
        <v>18.526697263182786</v>
      </c>
      <c r="FC439" s="75">
        <f t="shared" si="39"/>
        <v>14.543457351598487</v>
      </c>
      <c r="FD439" s="75" cm="1">
        <f t="array" ref="FD439">_xll.DCEPropSectBox(EY439, EZ439, FA439, 1, 1, "Ix")/10000</f>
        <v>980.69017246489261</v>
      </c>
      <c r="FE439" s="75" cm="1">
        <f t="array" ref="FE439">_xll.DCEPropSectBox(EY439, EZ439, FA439, 1, 1, "Iy")/10000</f>
        <v>337.25911354388711</v>
      </c>
      <c r="FF439" s="75">
        <f t="shared" si="37"/>
        <v>98.069017246489267</v>
      </c>
      <c r="FG439" s="75">
        <f t="shared" si="38"/>
        <v>67.451822708777428</v>
      </c>
      <c r="FJ439" s="3"/>
      <c r="FK439" s="77"/>
      <c r="FL439" s="3"/>
      <c r="FM439" s="3"/>
      <c r="FN439" s="3"/>
      <c r="FO439" s="3"/>
      <c r="FP439" s="3"/>
      <c r="FQ439" s="3"/>
      <c r="FR439" s="3"/>
      <c r="FS439" s="3"/>
    </row>
    <row r="440" spans="153:175" ht="14.4">
      <c r="EW440" s="3" t="e">
        <f>Cal!#REF!</f>
        <v>#REF!</v>
      </c>
      <c r="EX440" s="77" t="s">
        <v>676</v>
      </c>
      <c r="EY440" s="3">
        <v>100</v>
      </c>
      <c r="EZ440" s="3">
        <v>200</v>
      </c>
      <c r="FA440" s="3" t="s">
        <v>711</v>
      </c>
      <c r="FB440" s="75" cm="1">
        <f t="array" ref="FB440">_xll.DCEPropSectBox(EY440, EZ440, FA440, 1, 1, "Area")/100</f>
        <v>19.63990433226494</v>
      </c>
      <c r="FC440" s="75">
        <f t="shared" si="39"/>
        <v>15.417324900827976</v>
      </c>
      <c r="FD440" s="75" cm="1">
        <f t="array" ref="FD440">_xll.DCEPropSectBox(EY440, EZ440, FA440, 1, 1, "Ix")/10000</f>
        <v>1036.4023842469421</v>
      </c>
      <c r="FE440" s="75" cm="1">
        <f t="array" ref="FE440">_xll.DCEPropSectBox(EY440, EZ440, FA440, 1, 1, "Iy")/10000</f>
        <v>356.02869545314002</v>
      </c>
      <c r="FF440" s="75">
        <f t="shared" si="37"/>
        <v>103.64023842469422</v>
      </c>
      <c r="FG440" s="75">
        <f t="shared" si="38"/>
        <v>71.205739090628001</v>
      </c>
      <c r="FJ440" s="3"/>
      <c r="FK440" s="77"/>
      <c r="FL440" s="3"/>
      <c r="FM440" s="3"/>
      <c r="FN440" s="3"/>
      <c r="FO440" s="3"/>
      <c r="FP440" s="3"/>
      <c r="FQ440" s="3"/>
      <c r="FR440" s="3"/>
      <c r="FS440" s="3"/>
    </row>
    <row r="441" spans="153:175" ht="14.4">
      <c r="EW441" s="3" t="e">
        <f>Cal!#REF!</f>
        <v>#REF!</v>
      </c>
      <c r="EX441" s="77" t="s">
        <v>677</v>
      </c>
      <c r="EY441" s="3">
        <v>100</v>
      </c>
      <c r="EZ441" s="3">
        <v>200</v>
      </c>
      <c r="FA441" s="3" t="s">
        <v>712</v>
      </c>
      <c r="FB441" s="75" cm="1">
        <f t="array" ref="FB441">_xll.DCEPropSectBox(EY441, EZ441, FA441, 1, 1, "Area")/100</f>
        <v>20.19453530019425</v>
      </c>
      <c r="FC441" s="75">
        <f t="shared" si="39"/>
        <v>15.852710210652488</v>
      </c>
      <c r="FD441" s="75" cm="1">
        <f t="array" ref="FD441">_xll.DCEPropSectBox(EY441, EZ441, FA441, 1, 1, "Ix")/10000</f>
        <v>1064.0180629983095</v>
      </c>
      <c r="FE441" s="75" cm="1">
        <f t="array" ref="FE441">_xll.DCEPropSectBox(EY441, EZ441, FA441, 1, 1, "Iy")/10000</f>
        <v>365.31549591843384</v>
      </c>
      <c r="FF441" s="75">
        <f t="shared" si="37"/>
        <v>106.40180629983095</v>
      </c>
      <c r="FG441" s="75">
        <f t="shared" si="38"/>
        <v>73.063099183686774</v>
      </c>
      <c r="FJ441" s="3"/>
      <c r="FK441" s="77"/>
      <c r="FL441" s="3"/>
      <c r="FM441" s="3"/>
      <c r="FN441" s="3"/>
      <c r="FO441" s="3"/>
      <c r="FP441" s="3"/>
      <c r="FQ441" s="3"/>
      <c r="FR441" s="3"/>
      <c r="FS441" s="3"/>
    </row>
    <row r="442" spans="153:175" ht="14.4">
      <c r="EW442" s="3" t="e">
        <f>Cal!#REF!</f>
        <v>#REF!</v>
      </c>
      <c r="EX442" s="77" t="s">
        <v>678</v>
      </c>
      <c r="EY442" s="3">
        <v>100</v>
      </c>
      <c r="EZ442" s="3">
        <v>200</v>
      </c>
      <c r="FA442" s="3" t="s">
        <v>713</v>
      </c>
      <c r="FB442" s="75" cm="1">
        <f t="array" ref="FB442">_xll.DCEPropSectBox(EY442, EZ442, FA442, 1, 1, "Area")/100</f>
        <v>21.29985210282933</v>
      </c>
      <c r="FC442" s="75">
        <f t="shared" si="39"/>
        <v>16.720383900721025</v>
      </c>
      <c r="FD442" s="75" cm="1">
        <f t="array" ref="FD442">_xll.DCEPropSectBox(EY442, EZ442, FA442, 1, 1, "Ix")/10000</f>
        <v>1118.7702073636647</v>
      </c>
      <c r="FE442" s="75" cm="1">
        <f t="array" ref="FE442">_xll.DCEPropSectBox(EY442, EZ442, FA442, 1, 1, "Iy")/10000</f>
        <v>383.69421187906914</v>
      </c>
      <c r="FF442" s="75">
        <f t="shared" si="37"/>
        <v>111.87702073636646</v>
      </c>
      <c r="FG442" s="75">
        <f t="shared" si="38"/>
        <v>76.738842375813832</v>
      </c>
      <c r="FJ442" s="3"/>
      <c r="FK442" s="77"/>
      <c r="FL442" s="3"/>
      <c r="FM442" s="3"/>
      <c r="FN442" s="3"/>
      <c r="FO442" s="3"/>
      <c r="FP442" s="3"/>
      <c r="FQ442" s="3"/>
      <c r="FR442" s="3"/>
      <c r="FS442" s="3"/>
    </row>
    <row r="443" spans="153:175" ht="14.4">
      <c r="EW443" s="3" t="e">
        <f>Cal!#REF!</f>
        <v>#REF!</v>
      </c>
      <c r="EX443" s="77" t="s">
        <v>679</v>
      </c>
      <c r="EY443" s="3">
        <v>100</v>
      </c>
      <c r="EZ443" s="3">
        <v>200</v>
      </c>
      <c r="FA443" s="3" t="s">
        <v>714</v>
      </c>
      <c r="FB443" s="75" cm="1">
        <f t="array" ref="FB443">_xll.DCEPropSectBox(EY443, EZ443, FA443, 1, 1, "Area")/100</f>
        <v>21.850537937535094</v>
      </c>
      <c r="FC443" s="75">
        <f t="shared" si="39"/>
        <v>17.152672280965049</v>
      </c>
      <c r="FD443" s="75" cm="1">
        <f t="array" ref="FD443">_xll.DCEPropSectBox(EY443, EZ443, FA443, 1, 1, "Ix")/10000</f>
        <v>1145.9073285800876</v>
      </c>
      <c r="FE443" s="75" cm="1">
        <f t="array" ref="FE443">_xll.DCEPropSectBox(EY443, EZ443, FA443, 1, 1, "Iy")/10000</f>
        <v>392.78656492355594</v>
      </c>
      <c r="FF443" s="75">
        <f t="shared" si="37"/>
        <v>114.59073285800875</v>
      </c>
      <c r="FG443" s="75">
        <f t="shared" si="38"/>
        <v>78.557312984711189</v>
      </c>
      <c r="FJ443" s="3"/>
      <c r="FK443" s="77"/>
      <c r="FL443" s="3"/>
      <c r="FM443" s="3"/>
      <c r="FN443" s="3"/>
      <c r="FO443" s="3"/>
      <c r="FP443" s="3"/>
      <c r="FQ443" s="3"/>
      <c r="FR443" s="3"/>
      <c r="FS443" s="3"/>
    </row>
    <row r="444" spans="153:175" ht="14.4">
      <c r="EW444" s="3" t="e">
        <f>Cal!#REF!</f>
        <v>#REF!</v>
      </c>
      <c r="EX444" s="77" t="s">
        <v>680</v>
      </c>
      <c r="EY444" s="3">
        <v>100</v>
      </c>
      <c r="EZ444" s="3">
        <v>200</v>
      </c>
      <c r="FA444" s="3" t="s">
        <v>715</v>
      </c>
      <c r="FB444" s="75" cm="1">
        <f t="array" ref="FB444">_xll.DCEPropSectBox(EY444, EZ444, FA444, 1, 1, "Area")/100</f>
        <v>22.399908727833022</v>
      </c>
      <c r="FC444" s="75">
        <f t="shared" si="39"/>
        <v>17.58392835134892</v>
      </c>
      <c r="FD444" s="75" cm="1">
        <f t="array" ref="FD444">_xll.DCEPropSectBox(EY444, EZ444, FA444, 1, 1, "Ix")/10000</f>
        <v>1172.8855857460007</v>
      </c>
      <c r="FE444" s="75" cm="1">
        <f t="array" ref="FE444">_xll.DCEPropSectBox(EY444, EZ444, FA444, 1, 1, "Iy")/10000</f>
        <v>401.81453923562071</v>
      </c>
      <c r="FF444" s="75">
        <f t="shared" si="37"/>
        <v>117.28855857460007</v>
      </c>
      <c r="FG444" s="75">
        <f t="shared" si="38"/>
        <v>80.362907847124148</v>
      </c>
      <c r="FJ444" s="3"/>
      <c r="FK444" s="77"/>
      <c r="FL444" s="3"/>
      <c r="FM444" s="3"/>
      <c r="FN444" s="3"/>
      <c r="FO444" s="3"/>
      <c r="FP444" s="3"/>
      <c r="FQ444" s="3"/>
      <c r="FR444" s="3"/>
      <c r="FS444" s="3"/>
    </row>
    <row r="445" spans="153:175" ht="14.4">
      <c r="EW445" s="3" t="e">
        <f>Cal!#REF!</f>
        <v>#REF!</v>
      </c>
      <c r="EX445" s="77" t="s">
        <v>681</v>
      </c>
      <c r="EY445" s="3">
        <v>100</v>
      </c>
      <c r="EZ445" s="3">
        <v>200</v>
      </c>
      <c r="FA445" s="3" t="s">
        <v>716</v>
      </c>
      <c r="FB445" s="75" cm="1">
        <f t="array" ref="FB445">_xll.DCEPropSectBox(EY445, EZ445, FA445, 1, 1, "Area")/100</f>
        <v>22.947964473723101</v>
      </c>
      <c r="FC445" s="75">
        <f t="shared" si="39"/>
        <v>18.014152111872637</v>
      </c>
      <c r="FD445" s="75" cm="1">
        <f t="array" ref="FD445">_xll.DCEPropSectBox(EY445, EZ445, FA445, 1, 1, "Ix")/10000</f>
        <v>1199.7053059506675</v>
      </c>
      <c r="FE445" s="75" cm="1">
        <f t="array" ref="FE445">_xll.DCEPropSectBox(EY445, EZ445, FA445, 1, 1, "Iy")/10000</f>
        <v>410.77835287788673</v>
      </c>
      <c r="FF445" s="75">
        <f t="shared" si="37"/>
        <v>119.97053059506675</v>
      </c>
      <c r="FG445" s="75">
        <f t="shared" si="38"/>
        <v>82.155670575577346</v>
      </c>
      <c r="FJ445" s="3"/>
      <c r="FK445" s="77"/>
      <c r="FL445" s="3"/>
      <c r="FM445" s="3"/>
      <c r="FN445" s="3"/>
      <c r="FO445" s="3"/>
      <c r="FP445" s="3"/>
      <c r="FQ445" s="3"/>
      <c r="FR445" s="3"/>
      <c r="FS445" s="3"/>
    </row>
    <row r="446" spans="153:175" ht="14.4">
      <c r="EW446" s="3" t="e">
        <f>Cal!#REF!</f>
        <v>#REF!</v>
      </c>
      <c r="EX446" s="77" t="s">
        <v>682</v>
      </c>
      <c r="EY446" s="3">
        <v>100</v>
      </c>
      <c r="EZ446" s="3">
        <v>200</v>
      </c>
      <c r="FA446" s="3" t="s">
        <v>717</v>
      </c>
      <c r="FB446" s="75" cm="1">
        <f t="array" ref="FB446">_xll.DCEPropSectBox(EY446, EZ446, FA446, 1, 1, "Area")/100</f>
        <v>25.668517537055799</v>
      </c>
      <c r="FC446" s="75">
        <f t="shared" si="39"/>
        <v>20.149786266588801</v>
      </c>
      <c r="FD446" s="75" cm="1">
        <f t="array" ref="FD446">_xll.DCEPropSectBox(EY446, EZ446, FA446, 1, 1, "Ix")/10000</f>
        <v>1331.437280745158</v>
      </c>
      <c r="FE446" s="75" cm="1">
        <f t="array" ref="FE446">_xll.DCEPropSectBox(EY446, EZ446, FA446, 1, 1, "Iy")/10000</f>
        <v>454.64262329947519</v>
      </c>
      <c r="FF446" s="75">
        <f t="shared" si="37"/>
        <v>133.14372807451579</v>
      </c>
      <c r="FG446" s="75">
        <f t="shared" si="38"/>
        <v>90.928524659895032</v>
      </c>
      <c r="FJ446" s="3"/>
      <c r="FK446" s="77"/>
      <c r="FL446" s="3"/>
      <c r="FM446" s="3"/>
      <c r="FN446" s="3"/>
      <c r="FO446" s="3"/>
      <c r="FP446" s="3"/>
      <c r="FQ446" s="3"/>
      <c r="FR446" s="3"/>
      <c r="FS446" s="3"/>
    </row>
    <row r="447" spans="153:175" ht="14.4">
      <c r="EW447" s="3" t="e">
        <f>Cal!#REF!</f>
        <v>#REF!</v>
      </c>
      <c r="EX447" s="77" t="s">
        <v>683</v>
      </c>
      <c r="EY447" s="3">
        <v>100</v>
      </c>
      <c r="EZ447" s="3">
        <v>200</v>
      </c>
      <c r="FA447" s="3" t="s">
        <v>718</v>
      </c>
      <c r="FB447" s="75" cm="1">
        <f t="array" ref="FB447">_xll.DCEPropSectBox(EY447, EZ447, FA447, 1, 1, "Area")/100</f>
        <v>28.356194490192348</v>
      </c>
      <c r="FC447" s="75">
        <f t="shared" si="39"/>
        <v>22.259612674800991</v>
      </c>
      <c r="FD447" s="75" cm="1">
        <f t="array" ref="FD447">_xll.DCEPropSectBox(EY447, EZ447, FA447, 1, 1, "Ix")/10000</f>
        <v>1459.2547311504316</v>
      </c>
      <c r="FE447" s="75" cm="1">
        <f t="array" ref="FE447">_xll.DCEPropSectBox(EY447, EZ447, FA447, 1, 1, "Iy")/10000</f>
        <v>496.93542262126255</v>
      </c>
      <c r="FF447" s="75">
        <f t="shared" si="37"/>
        <v>145.92547311504316</v>
      </c>
      <c r="FG447" s="75">
        <f t="shared" si="38"/>
        <v>99.387084524252515</v>
      </c>
      <c r="FJ447" s="3"/>
      <c r="FK447" s="77"/>
      <c r="FL447" s="3"/>
      <c r="FM447" s="3"/>
      <c r="FN447" s="3"/>
      <c r="FO447" s="3"/>
      <c r="FP447" s="3"/>
      <c r="FQ447" s="3"/>
      <c r="FR447" s="3"/>
      <c r="FS447" s="3"/>
    </row>
    <row r="448" spans="153:175">
      <c r="EW448" s="79"/>
      <c r="FJ448" s="79"/>
    </row>
  </sheetData>
  <mergeCells count="45">
    <mergeCell ref="DQ1:DR2"/>
    <mergeCell ref="AV1:AX1"/>
    <mergeCell ref="BP3:BP4"/>
    <mergeCell ref="DL1:DM2"/>
    <mergeCell ref="DN1:DO2"/>
    <mergeCell ref="DH1:DI2"/>
    <mergeCell ref="DK1:DK2"/>
    <mergeCell ref="DB1:DB4"/>
    <mergeCell ref="DA1:DA4"/>
    <mergeCell ref="DJ1:DJ2"/>
    <mergeCell ref="DC1:DG2"/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EK1:EK2"/>
    <mergeCell ref="EL1:EM2"/>
    <mergeCell ref="EN1:EP2"/>
    <mergeCell ref="EQ1:ER2"/>
    <mergeCell ref="EA1:EA4"/>
    <mergeCell ref="EB1:EB4"/>
    <mergeCell ref="EC1:EG2"/>
    <mergeCell ref="EH1:EI2"/>
    <mergeCell ref="EJ1:EJ2"/>
    <mergeCell ref="FD1:FE2"/>
    <mergeCell ref="FF1:FG2"/>
    <mergeCell ref="FJ1:FJ4"/>
    <mergeCell ref="FK1:FK4"/>
    <mergeCell ref="EW1:EW4"/>
    <mergeCell ref="EX1:EX4"/>
    <mergeCell ref="EY1:FA2"/>
    <mergeCell ref="FB1:FB2"/>
    <mergeCell ref="FC1:FC2"/>
    <mergeCell ref="FL1:FM2"/>
    <mergeCell ref="FN1:FN2"/>
    <mergeCell ref="FO1:FO2"/>
    <mergeCell ref="FP1:FQ2"/>
    <mergeCell ref="FR1:FS2"/>
  </mergeCells>
  <conditionalFormatting sqref="EX6:EX447">
    <cfRule type="containsText" dxfId="1" priority="2" operator="containsText" text="Inox">
      <formula>NOT(ISERROR(SEARCH("Inox",EX6)))</formula>
    </cfRule>
  </conditionalFormatting>
  <conditionalFormatting sqref="FK6:FK447">
    <cfRule type="containsText" dxfId="0" priority="1" operator="containsText" text="Inox">
      <formula>NOT(ISERROR(SEARCH("Inox",FK6)))</formula>
    </cfRule>
  </conditionalFormatting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 FR6:FR181" formula="1"/>
    <ignoredError sqref="FA6:FA447" numberStoredAsText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6666"/>
  </sheetPr>
  <dimension ref="B1:L40"/>
  <sheetViews>
    <sheetView showGridLines="0" tabSelected="1" topLeftCell="A11" zoomScale="145" zoomScaleNormal="145" zoomScaleSheetLayoutView="100" workbookViewId="0">
      <selection activeCell="F22" sqref="F22"/>
    </sheetView>
  </sheetViews>
  <sheetFormatPr defaultColWidth="7.33203125" defaultRowHeight="13.8"/>
  <cols>
    <col min="1" max="1" width="2.44140625" style="1" customWidth="1"/>
    <col min="2" max="2" width="11.6640625" style="1" bestFit="1" customWidth="1"/>
    <col min="3" max="7" width="8.6640625" style="1" customWidth="1"/>
    <col min="8" max="9" width="9.33203125" style="1" customWidth="1"/>
    <col min="10" max="10" width="7.6640625" style="1" customWidth="1"/>
    <col min="11" max="11" width="9.33203125" style="1" customWidth="1"/>
    <col min="12" max="16384" width="7.33203125" style="1"/>
  </cols>
  <sheetData>
    <row r="1" spans="2:11" hidden="1"/>
    <row r="2" spans="2:11" hidden="1"/>
    <row r="3" spans="2:11" hidden="1"/>
    <row r="4" spans="2:11" hidden="1"/>
    <row r="5" spans="2:11" hidden="1"/>
    <row r="6" spans="2:11" hidden="1"/>
    <row r="7" spans="2:11" ht="16.5" hidden="1" customHeight="1"/>
    <row r="8" spans="2:11" ht="15.75" hidden="1" customHeight="1"/>
    <row r="9" spans="2:11" ht="21" hidden="1" customHeight="1"/>
    <row r="10" spans="2:11" ht="21.75" hidden="1" customHeight="1"/>
    <row r="11" spans="2:11" ht="20.25" customHeight="1">
      <c r="B11" s="114" t="s">
        <v>895</v>
      </c>
      <c r="C11" s="115"/>
      <c r="D11" s="115"/>
      <c r="E11" s="115"/>
      <c r="F11" s="115"/>
      <c r="G11" s="115"/>
      <c r="H11" s="115"/>
      <c r="I11" s="115"/>
      <c r="J11" s="118" t="str">
        <f>"D"&amp;J15</f>
        <v>D12</v>
      </c>
      <c r="K11" s="119"/>
    </row>
    <row r="12" spans="2:11" ht="12.75" customHeight="1">
      <c r="B12" s="116"/>
      <c r="C12" s="117"/>
      <c r="D12" s="117"/>
      <c r="E12" s="117"/>
      <c r="F12" s="117"/>
      <c r="G12" s="117"/>
      <c r="H12" s="117"/>
      <c r="I12" s="117"/>
      <c r="J12" s="120"/>
      <c r="K12" s="121"/>
    </row>
    <row r="13" spans="2:11" ht="15" customHeight="1">
      <c r="B13" s="122" t="s">
        <v>0</v>
      </c>
      <c r="C13" s="123"/>
      <c r="D13" s="123"/>
      <c r="E13" s="88"/>
      <c r="F13" s="88"/>
      <c r="G13" s="88"/>
      <c r="H13" s="88"/>
      <c r="I13" s="88"/>
      <c r="J13" s="88"/>
      <c r="K13" s="5"/>
    </row>
    <row r="14" spans="2:11">
      <c r="B14" s="6" t="s">
        <v>896</v>
      </c>
      <c r="C14" s="88"/>
      <c r="D14" s="88"/>
      <c r="E14" s="89"/>
      <c r="F14" s="89"/>
      <c r="G14" s="89"/>
      <c r="H14" s="89"/>
      <c r="I14" s="90"/>
      <c r="J14" s="88"/>
      <c r="K14" s="5"/>
    </row>
    <row r="15" spans="2:11" ht="15" customHeight="1">
      <c r="B15" s="7" t="str">
        <f>"- Đường kính ty treo xà gồ:"</f>
        <v>- Đường kính ty treo xà gồ:</v>
      </c>
      <c r="C15" s="88"/>
      <c r="D15" s="88"/>
      <c r="E15" s="89"/>
      <c r="F15" s="89"/>
      <c r="G15" s="89"/>
      <c r="H15" s="89"/>
      <c r="I15" s="91" t="s">
        <v>897</v>
      </c>
      <c r="J15" s="92">
        <v>12</v>
      </c>
      <c r="K15" s="5" t="s">
        <v>1</v>
      </c>
    </row>
    <row r="16" spans="2:11" ht="15" customHeight="1">
      <c r="B16" s="7" t="str">
        <f>"- Chiều dài lớn nhất của ty:"</f>
        <v>- Chiều dài lớn nhất của ty:</v>
      </c>
      <c r="C16" s="88"/>
      <c r="D16" s="88"/>
      <c r="E16" s="89"/>
      <c r="F16" s="89"/>
      <c r="G16" s="89"/>
      <c r="H16" s="89"/>
      <c r="I16" s="91" t="s">
        <v>904</v>
      </c>
      <c r="J16" s="92">
        <v>1.2</v>
      </c>
      <c r="K16" s="5" t="s">
        <v>159</v>
      </c>
    </row>
    <row r="17" spans="2:12">
      <c r="B17" s="6" t="s">
        <v>27</v>
      </c>
      <c r="C17" s="88"/>
      <c r="D17" s="88"/>
      <c r="E17" s="88"/>
      <c r="F17" s="88"/>
      <c r="G17" s="88"/>
      <c r="H17" s="88"/>
      <c r="I17" s="88"/>
      <c r="J17" s="88"/>
      <c r="K17" s="5"/>
    </row>
    <row r="18" spans="2:12" ht="15" customHeight="1">
      <c r="B18" s="9"/>
      <c r="C18" s="3" t="s">
        <v>158</v>
      </c>
      <c r="D18" s="126" t="s">
        <v>920</v>
      </c>
      <c r="E18" s="126"/>
      <c r="F18" s="124" t="s">
        <v>25</v>
      </c>
      <c r="G18" s="124"/>
      <c r="H18" s="113" t="s">
        <v>23</v>
      </c>
      <c r="I18" s="113"/>
      <c r="J18" s="113"/>
      <c r="K18" s="66"/>
    </row>
    <row r="19" spans="2:12" ht="15">
      <c r="B19" s="9"/>
      <c r="C19" s="3" t="s">
        <v>18</v>
      </c>
      <c r="D19" s="3" t="s">
        <v>20</v>
      </c>
      <c r="E19" s="3" t="s">
        <v>35</v>
      </c>
      <c r="F19" s="125" t="s">
        <v>21</v>
      </c>
      <c r="G19" s="125" t="s">
        <v>26</v>
      </c>
      <c r="H19" s="3" t="s">
        <v>22</v>
      </c>
      <c r="I19" s="3" t="s">
        <v>241</v>
      </c>
      <c r="J19" s="3" t="s">
        <v>898</v>
      </c>
      <c r="K19" s="65"/>
    </row>
    <row r="20" spans="2:12" ht="15">
      <c r="B20" s="9"/>
      <c r="C20" s="3" t="s">
        <v>28</v>
      </c>
      <c r="D20" s="3" t="s">
        <v>28</v>
      </c>
      <c r="E20" s="3" t="s">
        <v>28</v>
      </c>
      <c r="F20" s="113"/>
      <c r="G20" s="113"/>
      <c r="H20" s="11" t="s">
        <v>239</v>
      </c>
      <c r="I20" s="11" t="s">
        <v>240</v>
      </c>
      <c r="J20" s="11" t="s">
        <v>899</v>
      </c>
      <c r="K20" s="67"/>
    </row>
    <row r="21" spans="2:12">
      <c r="B21" s="9"/>
      <c r="C21" s="3">
        <v>206000</v>
      </c>
      <c r="D21" s="21">
        <f>VLOOKUP(D18,Data!$A$3:$D$99,3,FALSE)</f>
        <v>240</v>
      </c>
      <c r="E21" s="12">
        <f>D21/F21</f>
        <v>228.57142857142856</v>
      </c>
      <c r="F21" s="4">
        <f>VLOOKUP(D18,Data!$A$3:$E$99,5,FALSE)</f>
        <v>1.05</v>
      </c>
      <c r="G21" s="4">
        <v>0.9</v>
      </c>
      <c r="H21" s="85">
        <f>PI()*J15^2/400</f>
        <v>1.1309733552923256</v>
      </c>
      <c r="I21" s="86">
        <f>PI()*((J15/10)^4/64)</f>
        <v>0.10178760197630929</v>
      </c>
      <c r="J21" s="13">
        <f>SQRT(I21/H21)</f>
        <v>0.3</v>
      </c>
      <c r="K21" s="68"/>
    </row>
    <row r="22" spans="2:12">
      <c r="B22" s="6" t="s">
        <v>900</v>
      </c>
      <c r="C22" s="89"/>
      <c r="D22" s="18"/>
      <c r="E22" s="18"/>
      <c r="F22" s="18"/>
      <c r="G22" s="18"/>
      <c r="H22" s="18"/>
      <c r="I22" s="18"/>
      <c r="J22" s="18"/>
      <c r="K22" s="8"/>
    </row>
    <row r="23" spans="2:12" ht="12.75" customHeight="1">
      <c r="B23" s="7" t="str">
        <f>"- Lực dọc cấu kiện:"</f>
        <v>- Lực dọc cấu kiện:</v>
      </c>
      <c r="C23" s="89"/>
      <c r="D23" s="89"/>
      <c r="E23" s="89"/>
      <c r="F23" s="89"/>
      <c r="G23" s="89"/>
      <c r="H23" s="89"/>
      <c r="I23" s="91" t="s">
        <v>901</v>
      </c>
      <c r="J23" s="92">
        <v>17</v>
      </c>
      <c r="K23" s="5" t="s">
        <v>902</v>
      </c>
      <c r="L23" s="89" t="s">
        <v>911</v>
      </c>
    </row>
    <row r="24" spans="2:12" ht="12.75" customHeight="1">
      <c r="B24" s="7"/>
      <c r="C24" s="89"/>
      <c r="D24" s="89"/>
      <c r="E24" s="93"/>
      <c r="F24" s="93"/>
      <c r="G24" s="93"/>
      <c r="H24" s="93"/>
      <c r="I24" s="93"/>
      <c r="J24" s="18" t="str">
        <f>IF(J23&lt;0,L23,L24)</f>
        <v>N &gt; 0, lực dọc gây kéo</v>
      </c>
      <c r="K24" s="5"/>
      <c r="L24" s="89" t="s">
        <v>910</v>
      </c>
    </row>
    <row r="25" spans="2:12">
      <c r="B25" s="122" t="s">
        <v>24</v>
      </c>
      <c r="C25" s="123"/>
      <c r="D25" s="123"/>
      <c r="E25" s="89"/>
      <c r="F25" s="89"/>
      <c r="G25" s="89"/>
      <c r="H25" s="89"/>
      <c r="I25" s="89"/>
      <c r="J25" s="89"/>
      <c r="K25" s="8"/>
    </row>
    <row r="26" spans="2:12">
      <c r="B26" s="7" t="str">
        <f>"- Hệ số chiều dài tính toán:"</f>
        <v>- Hệ số chiều dài tính toán:</v>
      </c>
      <c r="C26" s="89"/>
      <c r="D26" s="17"/>
      <c r="E26" s="89"/>
      <c r="F26" s="93"/>
      <c r="G26" s="89"/>
      <c r="H26" s="89"/>
      <c r="I26" s="94" t="s">
        <v>903</v>
      </c>
      <c r="J26" s="95">
        <v>1</v>
      </c>
      <c r="K26" s="5" t="s">
        <v>159</v>
      </c>
    </row>
    <row r="27" spans="2:12" ht="15">
      <c r="B27" s="7" t="str">
        <f>"- Chiều dài tính toán:"</f>
        <v>- Chiều dài tính toán:</v>
      </c>
      <c r="C27" s="89"/>
      <c r="D27" s="17"/>
      <c r="E27" s="89"/>
      <c r="F27" s="93"/>
      <c r="G27" s="89"/>
      <c r="H27" s="89"/>
      <c r="I27" s="94" t="s">
        <v>905</v>
      </c>
      <c r="J27" s="95">
        <f>J26*J16</f>
        <v>1.2</v>
      </c>
      <c r="K27" s="5" t="s">
        <v>159</v>
      </c>
    </row>
    <row r="28" spans="2:12">
      <c r="B28" s="7" t="str">
        <f>"- Độ mảnh cấu kiện:"</f>
        <v>- Độ mảnh cấu kiện:</v>
      </c>
      <c r="C28" s="89"/>
      <c r="D28" s="17"/>
      <c r="E28" s="89"/>
      <c r="F28" s="93"/>
      <c r="G28" s="89"/>
      <c r="H28" s="89"/>
      <c r="I28" s="94" t="s">
        <v>906</v>
      </c>
      <c r="J28" s="96">
        <f>J27*100/J21</f>
        <v>400</v>
      </c>
      <c r="K28" s="5" t="s">
        <v>159</v>
      </c>
    </row>
    <row r="29" spans="2:12" ht="15">
      <c r="B29" s="7" t="str">
        <f>"- Độ mảnh quy ước cấu kiện:"</f>
        <v>- Độ mảnh quy ước cấu kiện:</v>
      </c>
      <c r="C29" s="89"/>
      <c r="D29" s="17"/>
      <c r="E29" s="89"/>
      <c r="F29" s="93"/>
      <c r="G29" s="89"/>
      <c r="H29" s="89"/>
      <c r="I29" s="97" t="s">
        <v>912</v>
      </c>
      <c r="J29" s="96">
        <f>J28*SQRT(D21/C21)</f>
        <v>13.653122975725784</v>
      </c>
      <c r="K29" s="5" t="s">
        <v>159</v>
      </c>
    </row>
    <row r="30" spans="2:12">
      <c r="B30" s="6" t="s">
        <v>909</v>
      </c>
      <c r="C30" s="89"/>
      <c r="D30" s="17"/>
      <c r="E30" s="89"/>
      <c r="F30" s="93"/>
      <c r="G30" s="89"/>
      <c r="H30" s="89"/>
      <c r="I30" s="89"/>
      <c r="J30" s="98"/>
      <c r="K30" s="99"/>
    </row>
    <row r="31" spans="2:12" ht="12.75" customHeight="1">
      <c r="B31" s="7" t="str">
        <f>"- Ứng suất pháp của cấu kiện khi có tác dụng của N:"</f>
        <v>- Ứng suất pháp của cấu kiện khi có tác dụng của N:</v>
      </c>
      <c r="C31" s="89"/>
      <c r="D31" s="17"/>
      <c r="E31" s="89"/>
      <c r="F31" s="93"/>
      <c r="G31" s="89"/>
      <c r="H31" s="89"/>
      <c r="I31" s="100" t="s">
        <v>907</v>
      </c>
      <c r="J31" s="101">
        <f>ABS(J23)*10/H21</f>
        <v>150.31300180901226</v>
      </c>
      <c r="K31" s="102" t="s">
        <v>28</v>
      </c>
    </row>
    <row r="32" spans="2:12" ht="15">
      <c r="B32" s="7" t="str">
        <f>"- Ứng suất giới hạn của cấu kiện:"</f>
        <v>- Ứng suất giới hạn của cấu kiện:</v>
      </c>
      <c r="C32" s="89"/>
      <c r="D32" s="17"/>
      <c r="E32" s="89"/>
      <c r="F32" s="93"/>
      <c r="G32" s="89"/>
      <c r="H32" s="89"/>
      <c r="I32" s="103" t="s">
        <v>908</v>
      </c>
      <c r="J32" s="87">
        <f>E21*G21</f>
        <v>205.71428571428569</v>
      </c>
      <c r="K32" s="5" t="s">
        <v>28</v>
      </c>
    </row>
    <row r="33" spans="2:11" ht="14.4">
      <c r="B33" s="7" t="str">
        <f>"- Tỷ số huy động của cấu kiện:"</f>
        <v>- Tỷ số huy động của cấu kiện:</v>
      </c>
      <c r="C33" s="89"/>
      <c r="D33" s="17"/>
      <c r="E33" s="89"/>
      <c r="F33" s="93"/>
      <c r="G33" s="89"/>
      <c r="H33" s="89"/>
      <c r="I33" s="103"/>
      <c r="J33" s="104">
        <f>J31/J32</f>
        <v>0.73068820323825412</v>
      </c>
      <c r="K33" s="15" t="str">
        <f>IF(J33="-","",IF(J33&lt;=1,"OK","Check"))</f>
        <v>OK</v>
      </c>
    </row>
    <row r="34" spans="2:11">
      <c r="B34" s="6" t="s">
        <v>915</v>
      </c>
      <c r="C34" s="89"/>
      <c r="D34" s="17"/>
      <c r="E34" s="89"/>
      <c r="F34" s="93"/>
      <c r="G34" s="89"/>
      <c r="H34" s="89"/>
      <c r="I34" s="89"/>
      <c r="J34" s="98"/>
      <c r="K34" s="99"/>
    </row>
    <row r="35" spans="2:11" ht="14.25" customHeight="1">
      <c r="B35" s="7" t="str">
        <f>"- Hệ số ổn định khi nén đúng tâm:"</f>
        <v>- Hệ số ổn định khi nén đúng tâm:</v>
      </c>
      <c r="C35" s="89"/>
      <c r="D35" s="17"/>
      <c r="E35" s="89"/>
      <c r="F35" s="93"/>
      <c r="G35" s="89"/>
      <c r="H35" s="89"/>
      <c r="I35" s="100" t="s">
        <v>913</v>
      </c>
      <c r="J35" s="105" t="str" cm="1">
        <f t="array" ref="J35">IF(J23&gt;0,"-",_xll.DCETCVN5575FactorPhi7121(J29,"a"))</f>
        <v>-</v>
      </c>
      <c r="K35" s="99"/>
    </row>
    <row r="36" spans="2:11" ht="12.75" customHeight="1">
      <c r="B36" s="7" t="str">
        <f>"- Ứng suất pháp của cấu kiện khi có tác dụng của N:"</f>
        <v>- Ứng suất pháp của cấu kiện khi có tác dụng của N:</v>
      </c>
      <c r="C36" s="89"/>
      <c r="D36" s="17"/>
      <c r="E36" s="89"/>
      <c r="F36" s="93"/>
      <c r="G36" s="89"/>
      <c r="H36" s="89"/>
      <c r="I36" s="100" t="s">
        <v>914</v>
      </c>
      <c r="J36" s="101" t="str">
        <f>IF(J23&gt;0,"-",ABS(J23)*10/(H21*J35))</f>
        <v>-</v>
      </c>
      <c r="K36" s="102" t="s">
        <v>28</v>
      </c>
    </row>
    <row r="37" spans="2:11" ht="15">
      <c r="B37" s="7" t="str">
        <f>"- Ứng suất giới hạn của cấu kiện:"</f>
        <v>- Ứng suất giới hạn của cấu kiện:</v>
      </c>
      <c r="C37" s="89"/>
      <c r="D37" s="17"/>
      <c r="E37" s="89"/>
      <c r="F37" s="93"/>
      <c r="G37" s="89"/>
      <c r="H37" s="89"/>
      <c r="I37" s="103" t="s">
        <v>908</v>
      </c>
      <c r="J37" s="87" t="str">
        <f>IF(J23&gt;0,"-",J32)</f>
        <v>-</v>
      </c>
      <c r="K37" s="5" t="s">
        <v>28</v>
      </c>
    </row>
    <row r="38" spans="2:11" ht="14.4">
      <c r="B38" s="7" t="str">
        <f>"- Tỷ số huy động của cấu kiện:"</f>
        <v>- Tỷ số huy động của cấu kiện:</v>
      </c>
      <c r="C38" s="89"/>
      <c r="D38" s="17"/>
      <c r="E38" s="89"/>
      <c r="F38" s="93"/>
      <c r="G38" s="89"/>
      <c r="H38" s="89"/>
      <c r="I38" s="103"/>
      <c r="J38" s="104" t="str">
        <f>IF(J23&gt;0,"-",J36/J37)</f>
        <v>-</v>
      </c>
      <c r="K38" s="15" t="str">
        <f>IF(J38="-","",IF(J38&lt;=1,"OK","Check"))</f>
        <v/>
      </c>
    </row>
    <row r="39" spans="2:11">
      <c r="B39" s="106" t="s">
        <v>916</v>
      </c>
      <c r="C39" s="10"/>
      <c r="D39" s="10"/>
      <c r="E39" s="107"/>
      <c r="F39" s="108"/>
      <c r="G39" s="109"/>
      <c r="H39" s="110"/>
      <c r="I39" s="10"/>
      <c r="J39" s="111"/>
      <c r="K39" s="112"/>
    </row>
    <row r="40" spans="2:11">
      <c r="F40" s="81"/>
    </row>
  </sheetData>
  <mergeCells count="9">
    <mergeCell ref="H18:J18"/>
    <mergeCell ref="B11:I12"/>
    <mergeCell ref="J11:K12"/>
    <mergeCell ref="B25:D25"/>
    <mergeCell ref="B13:D13"/>
    <mergeCell ref="F18:G18"/>
    <mergeCell ref="F19:F20"/>
    <mergeCell ref="G19:G20"/>
    <mergeCell ref="D18:E18"/>
  </mergeCells>
  <conditionalFormatting sqref="K33">
    <cfRule type="containsText" dxfId="5" priority="3" operator="containsText" text="Check">
      <formula>NOT(ISERROR(SEARCH("Check",K33)))</formula>
    </cfRule>
    <cfRule type="containsText" dxfId="4" priority="4" operator="containsText" text="OK">
      <formula>NOT(ISERROR(SEARCH("OK",K33)))</formula>
    </cfRule>
  </conditionalFormatting>
  <conditionalFormatting sqref="K38">
    <cfRule type="containsText" dxfId="3" priority="1" operator="containsText" text="Check">
      <formula>NOT(ISERROR(SEARCH("Check",K38)))</formula>
    </cfRule>
    <cfRule type="containsText" dxfId="2" priority="2" operator="containsText" text="OK">
      <formula>NOT(ISERROR(SEARCH("OK",K38)))</formula>
    </cfRule>
  </conditionalFormatting>
  <dataValidations count="1">
    <dataValidation type="list" allowBlank="1" showInputMessage="1" showErrorMessage="1" sqref="J15" xr:uid="{4FD6FB6F-D7B1-47D9-95B3-38511E23FFFA}">
      <formula1>"10,12,14,16,18,20,22,25,28,32"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legacy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389FFE-C6D3-4902-85EC-57EC829F90D9}">
          <x14:formula1>
            <xm:f>Data!$A$3:$A$99</xm:f>
          </x14:formula1>
          <xm:sqref>D18:E18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2026-05-04T03:49:34Z</dcterms:modified>
</cp:coreProperties>
</file>