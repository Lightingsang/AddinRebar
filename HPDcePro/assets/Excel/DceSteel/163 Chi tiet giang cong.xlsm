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xr:revisionPtr revIDLastSave="0" documentId="13_ncr:1_{9BA5C3B4-E618-4A20-A453-D34672B0BC6F}" xr6:coauthVersionLast="47" xr6:coauthVersionMax="47" xr10:uidLastSave="{00000000-0000-0000-0000-000000000000}"/>
  <bookViews>
    <workbookView xWindow="-19320" yWindow="-75" windowWidth="19440" windowHeight="14880" xr2:uid="{A44E7AB6-646C-4706-9EDE-05352456F036}"/>
  </bookViews>
  <sheets>
    <sheet name="CTGC" sheetId="1" r:id="rId1"/>
  </sheets>
  <functionGroups builtInGroupCount="19"/>
  <definedNames>
    <definedName name="_xleta.COT" hidden="1" xlm="1">#NAME?</definedName>
    <definedName name="_xleta.OR" hidden="1" xlm="1">#NAME?</definedName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1" l="1"/>
  <c r="D25" i="1"/>
  <c r="D18" i="1"/>
  <c r="F25" i="1" a="1"/>
  <c r="F26" i="1" a="1"/>
  <c r="F19" i="1" a="1"/>
  <c r="F18" i="1" a="1"/>
  <c r="F10" i="1" a="1"/>
  <c r="F9" i="1" a="1"/>
  <c r="F26" i="1" l="1"/>
  <c r="F25" i="1"/>
  <c r="F19" i="1"/>
  <c r="F18" i="1"/>
  <c r="F10" i="1"/>
  <c r="F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<sst xmlns="http://schemas.openxmlformats.org/spreadsheetml/2006/main" count="45" uniqueCount="33">
  <si>
    <t>Tên lệnh trong Autocad</t>
  </si>
  <si>
    <t>CTGC</t>
  </si>
  <si>
    <t>CHI TIẾT GIẰNG CỔNG</t>
  </si>
  <si>
    <t>Cao độ chân cột</t>
  </si>
  <si>
    <t>Chiều cao thông thủy, H</t>
  </si>
  <si>
    <t>Chiều cao, H1</t>
  </si>
  <si>
    <t>Bề rộng cổng (tim cột chính)</t>
  </si>
  <si>
    <t>Thông tin cột khung nhà</t>
  </si>
  <si>
    <t>Chiều dày bản đế</t>
  </si>
  <si>
    <t>Chiều dày lớp vữa</t>
  </si>
  <si>
    <t>Chiều cao bệ bê tông</t>
  </si>
  <si>
    <t>Thông tin cột giằng cổng</t>
  </si>
  <si>
    <t>Kích thước dầm giằng cổng</t>
  </si>
  <si>
    <t>Bu lông liên kết 2 cột</t>
  </si>
  <si>
    <t>Đường kính</t>
  </si>
  <si>
    <t>Khoảng cách lớn nhất</t>
  </si>
  <si>
    <t>Thông tin khác</t>
  </si>
  <si>
    <t>Tên lưới trục bên trái</t>
  </si>
  <si>
    <t>A</t>
  </si>
  <si>
    <t>Tên lưới trục bên phải</t>
  </si>
  <si>
    <t>B</t>
  </si>
  <si>
    <t>Tên cột</t>
  </si>
  <si>
    <t>Bề rộng cánh, Bf</t>
  </si>
  <si>
    <t>Chiều dày bản bụng, tw</t>
  </si>
  <si>
    <t>Chiều dày bản cánh, tf</t>
  </si>
  <si>
    <t>Total</t>
  </si>
  <si>
    <t>Web</t>
  </si>
  <si>
    <t>Chiều cao tổng, H</t>
  </si>
  <si>
    <t>Chiều cao chân tổng, H</t>
  </si>
  <si>
    <t>Chiều cao đỉnh tổng, H</t>
  </si>
  <si>
    <t>200</t>
  </si>
  <si>
    <t>400</t>
  </si>
  <si>
    <t>Tên dầm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</si>
</sst>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1/&quot;0"/>
  </numFmts>
  <fonts count="7" x14ac:knownFonts="1">
    <font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1"/>
      <color rgb="FF0000CC"/>
      <name val="Aptos Narrow"/>
      <family val="2"/>
      <scheme val="minor"/>
    </font>
    <font>
      <sz val="11"/>
      <color rgb="FFC00000"/>
      <name val="Aptos Narrow"/>
      <family val="2"/>
      <scheme val="minor"/>
    </font>
    <font>
      <sz val="11"/>
      <name val="Aptos Narrow"/>
      <family val="2"/>
      <scheme val="minor"/>
    </font>
    <font>
      <i/>
      <sz val="1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left" vertical="center" indent="1"/>
    </xf>
    <xf numFmtId="0" fontId="4" fillId="0" borderId="6" xfId="0" applyFont="1" applyBorder="1" applyAlignment="1">
      <alignment horizontal="left" vertical="center" indent="1"/>
    </xf>
    <xf numFmtId="1" fontId="3" fillId="0" borderId="1" xfId="0" applyNumberFormat="1" applyFont="1" applyBorder="1" applyAlignment="1">
      <alignment horizontal="center" vertical="center"/>
    </xf>
    <xf numFmtId="0" fontId="5" fillId="0" borderId="7" xfId="0" applyFont="1" applyBorder="1" applyAlignment="1">
      <alignment horizontal="left" vertical="center" indent="1"/>
    </xf>
    <xf numFmtId="1" fontId="3" fillId="0" borderId="8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1" fontId="3" fillId="0" borderId="10" xfId="0" applyNumberFormat="1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right" vertical="center"/>
    </xf>
    <xf numFmtId="0" fontId="0" fillId="0" borderId="0" xfId="0" applyAlignment="1">
      <alignment horizontal="left"/>
    </xf>
    <xf numFmtId="0" fontId="6" fillId="0" borderId="10" xfId="0" applyFont="1" applyBorder="1" applyAlignment="1">
      <alignment horizontal="left" vertical="center" indent="2"/>
    </xf>
    <xf numFmtId="0" fontId="6" fillId="0" borderId="14" xfId="0" applyFont="1" applyBorder="1" applyAlignment="1">
      <alignment horizontal="left" vertical="center" indent="2"/>
    </xf>
    <xf numFmtId="0" fontId="6" fillId="0" borderId="16" xfId="0" applyFont="1" applyBorder="1" applyAlignment="1">
      <alignment horizontal="left" vertical="center" indent="2"/>
    </xf>
    <xf numFmtId="0" fontId="4" fillId="0" borderId="5" xfId="0" applyFont="1" applyBorder="1" applyAlignment="1">
      <alignment horizontal="left" vertical="center" indent="1"/>
    </xf>
    <xf numFmtId="0" fontId="4" fillId="0" borderId="6" xfId="0" applyFont="1" applyBorder="1" applyAlignment="1">
      <alignment horizontal="left" vertical="center" indent="1"/>
    </xf>
    <xf numFmtId="0" fontId="4" fillId="0" borderId="7" xfId="0" applyFont="1" applyBorder="1" applyAlignment="1">
      <alignment horizontal="left" vertical="center" indent="1"/>
    </xf>
    <xf numFmtId="0" fontId="6" fillId="0" borderId="11" xfId="0" applyFont="1" applyBorder="1" applyAlignment="1">
      <alignment horizontal="left" vertical="center" indent="2"/>
    </xf>
    <xf numFmtId="0" fontId="6" fillId="0" borderId="12" xfId="0" applyFont="1" applyBorder="1" applyAlignment="1">
      <alignment horizontal="left" vertical="center" indent="2"/>
    </xf>
    <xf numFmtId="0" fontId="6" fillId="0" borderId="13" xfId="0" applyFont="1" applyBorder="1" applyAlignment="1">
      <alignment horizontal="left" vertical="center" indent="2"/>
    </xf>
    <xf numFmtId="0" fontId="6" fillId="0" borderId="9" xfId="0" applyFont="1" applyBorder="1" applyAlignment="1">
      <alignment horizontal="left" vertical="center" indent="2"/>
    </xf>
    <xf numFmtId="0" fontId="0" fillId="0" borderId="1" xfId="0" applyBorder="1" applyAlignment="1">
      <alignment horizont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left" vertical="center" indent="1"/>
    </xf>
    <xf numFmtId="0" fontId="0" fillId="0" borderId="7" xfId="0" applyBorder="1" applyAlignment="1">
      <alignment horizontal="left" vertical="center" indent="1"/>
    </xf>
    <xf numFmtId="0" fontId="6" fillId="0" borderId="8" xfId="0" applyFont="1" applyBorder="1" applyAlignment="1">
      <alignment horizontal="left" vertical="center" indent="2"/>
    </xf>
    <xf numFmtId="0" fontId="6" fillId="0" borderId="5" xfId="0" applyFont="1" applyBorder="1" applyAlignment="1">
      <alignment horizontal="left" vertical="center" indent="3"/>
    </xf>
    <xf numFmtId="0" fontId="6" fillId="0" borderId="6" xfId="0" applyFont="1" applyBorder="1" applyAlignment="1">
      <alignment horizontal="left" vertical="center" indent="3"/>
    </xf>
    <xf numFmtId="0" fontId="6" fillId="0" borderId="7" xfId="0" applyFont="1" applyBorder="1" applyAlignment="1">
      <alignment horizontal="left" vertical="center" indent="3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486103</xdr:colOff>
      <xdr:row>3</xdr:row>
      <xdr:rowOff>32799</xdr:rowOff>
    </xdr:from>
    <xdr:to>
      <xdr:col>13</xdr:col>
      <xdr:colOff>197069</xdr:colOff>
      <xdr:row>18</xdr:row>
      <xdr:rowOff>35968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1C9C9F3-A268-4F9D-9E9B-A672CE869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82206" y="420368"/>
          <a:ext cx="3376449" cy="28606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1261E-2A63-4CAC-B50C-BBD08AAF1190}">
  <sheetPr codeName="Sheet14">
    <tabColor rgb="FF00B050"/>
  </sheetPr>
  <dimension ref="A1:H35"/>
  <sheetViews>
    <sheetView showGridLines="0" tabSelected="1" zoomScale="145" zoomScaleNormal="145" workbookViewId="0">
      <selection activeCell="E13" sqref="E13"/>
    </sheetView>
  </sheetViews>
  <sheetFormatPr defaultRowHeight="15" x14ac:dyDescent="0.25"/>
  <cols>
    <col min="4" max="4" width="9.42578125" bestFit="1" customWidth="1"/>
  </cols>
  <sheetData>
    <row r="1" spans="1:8" x14ac:dyDescent="0.25">
      <c r="A1" s="24" t="s">
        <v>0</v>
      </c>
      <c r="B1" s="24"/>
      <c r="C1" s="24"/>
      <c r="D1" s="1" t="s">
        <v>1</v>
      </c>
    </row>
    <row r="2" spans="1:8" ht="15.75" x14ac:dyDescent="0.25">
      <c r="A2" s="25" t="s">
        <v>2</v>
      </c>
      <c r="B2" s="26"/>
      <c r="C2" s="26"/>
      <c r="D2" s="27"/>
    </row>
    <row r="3" spans="1:8" hidden="1" x14ac:dyDescent="0.25">
      <c r="A3" s="28"/>
      <c r="B3" s="29"/>
      <c r="C3" s="30"/>
      <c r="D3" s="2"/>
    </row>
    <row r="4" spans="1:8" x14ac:dyDescent="0.25">
      <c r="A4" s="17" t="s">
        <v>3</v>
      </c>
      <c r="B4" s="18"/>
      <c r="C4" s="19"/>
      <c r="D4" s="5">
        <v>0</v>
      </c>
    </row>
    <row r="5" spans="1:8" x14ac:dyDescent="0.25">
      <c r="A5" s="3" t="s">
        <v>4</v>
      </c>
      <c r="B5" s="4"/>
      <c r="C5" s="6"/>
      <c r="D5" s="5">
        <v>6000</v>
      </c>
    </row>
    <row r="6" spans="1:8" x14ac:dyDescent="0.25">
      <c r="A6" s="3" t="s">
        <v>5</v>
      </c>
      <c r="B6" s="4"/>
      <c r="C6" s="6"/>
      <c r="D6" s="5">
        <v>400</v>
      </c>
    </row>
    <row r="7" spans="1:8" x14ac:dyDescent="0.25">
      <c r="A7" s="17" t="s">
        <v>6</v>
      </c>
      <c r="B7" s="18"/>
      <c r="C7" s="19"/>
      <c r="D7" s="5">
        <v>8000</v>
      </c>
    </row>
    <row r="8" spans="1:8" x14ac:dyDescent="0.25">
      <c r="A8" s="17" t="s">
        <v>7</v>
      </c>
      <c r="B8" s="18"/>
      <c r="C8" s="18"/>
      <c r="D8" s="19"/>
    </row>
    <row r="9" spans="1:8" x14ac:dyDescent="0.25">
      <c r="A9" s="15" t="s">
        <v>21</v>
      </c>
      <c r="B9" s="16"/>
      <c r="C9" s="10"/>
      <c r="D9" s="7" t="str">
        <f>F10</f>
        <v>I- 300*200*6*8</v>
      </c>
      <c r="E9" t="s">
        <v>26</v>
      </c>
      <c r="F9" s="13" t="str" cm="1">
        <f t="array" ref="F9">NameSect("I- ", "*", D10, D10, D11, D11, D12, D13, D13, "Web")</f>
        <v>I- 284*6+200*8</v>
      </c>
      <c r="G9" s="13"/>
      <c r="H9" s="13"/>
    </row>
    <row r="10" spans="1:8" x14ac:dyDescent="0.25">
      <c r="A10" s="20" t="s">
        <v>27</v>
      </c>
      <c r="B10" s="21"/>
      <c r="C10" s="22"/>
      <c r="D10" s="8">
        <v>300</v>
      </c>
      <c r="E10" t="s">
        <v>25</v>
      </c>
      <c r="F10" t="str" cm="1">
        <f t="array" ref="F10">NameSect("I- ", "*", D10, D10, D11, D11, D12, D13, D13, "Total")</f>
        <v>I- 300*200*6*8</v>
      </c>
    </row>
    <row r="11" spans="1:8" x14ac:dyDescent="0.25">
      <c r="A11" s="23" t="s">
        <v>22</v>
      </c>
      <c r="B11" s="23"/>
      <c r="C11" s="23"/>
      <c r="D11" s="8">
        <v>200</v>
      </c>
    </row>
    <row r="12" spans="1:8" x14ac:dyDescent="0.25">
      <c r="A12" s="20" t="s">
        <v>23</v>
      </c>
      <c r="B12" s="21"/>
      <c r="C12" s="22"/>
      <c r="D12" s="8">
        <v>6</v>
      </c>
    </row>
    <row r="13" spans="1:8" x14ac:dyDescent="0.25">
      <c r="A13" s="14" t="s">
        <v>24</v>
      </c>
      <c r="B13" s="14"/>
      <c r="C13" s="14"/>
      <c r="D13" s="9">
        <v>8</v>
      </c>
    </row>
    <row r="14" spans="1:8" x14ac:dyDescent="0.25">
      <c r="A14" s="31" t="s">
        <v>8</v>
      </c>
      <c r="B14" s="31"/>
      <c r="C14" s="31"/>
      <c r="D14" s="7">
        <v>20</v>
      </c>
    </row>
    <row r="15" spans="1:8" x14ac:dyDescent="0.25">
      <c r="A15" s="23" t="s">
        <v>9</v>
      </c>
      <c r="B15" s="23"/>
      <c r="C15" s="23"/>
      <c r="D15" s="8">
        <v>50</v>
      </c>
    </row>
    <row r="16" spans="1:8" x14ac:dyDescent="0.25">
      <c r="A16" s="14" t="s">
        <v>10</v>
      </c>
      <c r="B16" s="14"/>
      <c r="C16" s="14"/>
      <c r="D16" s="9">
        <v>200</v>
      </c>
    </row>
    <row r="17" spans="1:8" x14ac:dyDescent="0.25">
      <c r="A17" s="17" t="s">
        <v>11</v>
      </c>
      <c r="B17" s="18"/>
      <c r="C17" s="18"/>
      <c r="D17" s="19"/>
    </row>
    <row r="18" spans="1:8" x14ac:dyDescent="0.25">
      <c r="A18" s="15" t="s">
        <v>21</v>
      </c>
      <c r="B18" s="16"/>
      <c r="C18" s="10"/>
      <c r="D18" s="12" t="str">
        <f>F19</f>
        <v>I- (200-400)*164*5*6</v>
      </c>
      <c r="E18" t="s">
        <v>26</v>
      </c>
      <c r="F18" s="13" t="str" cm="1">
        <f t="array" ref="F18">NameSect("I- ", "*", D19, D20, D21, D21, D22, D23, D23, "Web")</f>
        <v>I- (188-388)*5+164*6</v>
      </c>
      <c r="G18" s="13"/>
      <c r="H18" s="13"/>
    </row>
    <row r="19" spans="1:8" x14ac:dyDescent="0.25">
      <c r="A19" s="20" t="s">
        <v>28</v>
      </c>
      <c r="B19" s="21"/>
      <c r="C19" s="22"/>
      <c r="D19" s="11" t="s">
        <v>30</v>
      </c>
      <c r="E19" t="s">
        <v>25</v>
      </c>
      <c r="F19" t="str" cm="1">
        <f t="array" ref="F19">NameSect("I- ", "*", D19, D20, D21, D21, D22, D23, D23, "Total")</f>
        <v>I- (200-400)*164*5*6</v>
      </c>
    </row>
    <row r="20" spans="1:8" x14ac:dyDescent="0.25">
      <c r="A20" s="20" t="s">
        <v>29</v>
      </c>
      <c r="B20" s="21"/>
      <c r="C20" s="22"/>
      <c r="D20" s="11" t="s">
        <v>31</v>
      </c>
    </row>
    <row r="21" spans="1:8" x14ac:dyDescent="0.25">
      <c r="A21" s="23" t="s">
        <v>22</v>
      </c>
      <c r="B21" s="23"/>
      <c r="C21" s="23"/>
      <c r="D21" s="8">
        <v>164</v>
      </c>
    </row>
    <row r="22" spans="1:8" ht="15" customHeight="1" x14ac:dyDescent="0.25">
      <c r="A22" s="20" t="s">
        <v>23</v>
      </c>
      <c r="B22" s="21"/>
      <c r="C22" s="22"/>
      <c r="D22" s="8">
        <v>5</v>
      </c>
    </row>
    <row r="23" spans="1:8" ht="15" customHeight="1" x14ac:dyDescent="0.25">
      <c r="A23" s="14" t="s">
        <v>24</v>
      </c>
      <c r="B23" s="14"/>
      <c r="C23" s="14"/>
      <c r="D23" s="9">
        <v>6</v>
      </c>
    </row>
    <row r="24" spans="1:8" x14ac:dyDescent="0.25">
      <c r="A24" s="17" t="s">
        <v>12</v>
      </c>
      <c r="B24" s="18"/>
      <c r="C24" s="18"/>
      <c r="D24" s="19"/>
    </row>
    <row r="25" spans="1:8" x14ac:dyDescent="0.25">
      <c r="A25" s="15" t="s">
        <v>32</v>
      </c>
      <c r="B25" s="16"/>
      <c r="C25" s="10"/>
      <c r="D25" s="12" t="str">
        <f>F26</f>
        <v>I- 300*200*6*8</v>
      </c>
      <c r="E25" t="s">
        <v>26</v>
      </c>
      <c r="F25" s="13" t="str" cm="1">
        <f t="array" ref="F25">NameSect("I- ", "*", D26, D26, D27, D27, D28, D29, D29, "Web")</f>
        <v>I- 284*6+200*8</v>
      </c>
      <c r="G25" s="13"/>
      <c r="H25" s="13"/>
    </row>
    <row r="26" spans="1:8" ht="15" customHeight="1" x14ac:dyDescent="0.25">
      <c r="A26" s="20" t="s">
        <v>27</v>
      </c>
      <c r="B26" s="21"/>
      <c r="C26" s="22"/>
      <c r="D26" s="8">
        <v>300</v>
      </c>
      <c r="E26" t="s">
        <v>25</v>
      </c>
      <c r="F26" t="str" cm="1">
        <f t="array" ref="F26">NameSect("I- ", "*", D26, D26, D27, D27, D28, D29, D29, "Total")</f>
        <v>I- 300*200*6*8</v>
      </c>
    </row>
    <row r="27" spans="1:8" x14ac:dyDescent="0.25">
      <c r="A27" s="23" t="s">
        <v>22</v>
      </c>
      <c r="B27" s="23"/>
      <c r="C27" s="23"/>
      <c r="D27" s="8">
        <v>200</v>
      </c>
    </row>
    <row r="28" spans="1:8" x14ac:dyDescent="0.25">
      <c r="A28" s="20" t="s">
        <v>23</v>
      </c>
      <c r="B28" s="21"/>
      <c r="C28" s="22"/>
      <c r="D28" s="8">
        <v>6</v>
      </c>
    </row>
    <row r="29" spans="1:8" x14ac:dyDescent="0.25">
      <c r="A29" s="14" t="s">
        <v>24</v>
      </c>
      <c r="B29" s="14"/>
      <c r="C29" s="14"/>
      <c r="D29" s="9">
        <v>8</v>
      </c>
    </row>
    <row r="30" spans="1:8" x14ac:dyDescent="0.25">
      <c r="A30" s="17" t="s">
        <v>13</v>
      </c>
      <c r="B30" s="18"/>
      <c r="C30" s="18"/>
      <c r="D30" s="19"/>
    </row>
    <row r="31" spans="1:8" x14ac:dyDescent="0.25">
      <c r="A31" s="32" t="s">
        <v>14</v>
      </c>
      <c r="B31" s="33"/>
      <c r="C31" s="34"/>
      <c r="D31" s="5">
        <v>16</v>
      </c>
    </row>
    <row r="32" spans="1:8" x14ac:dyDescent="0.25">
      <c r="A32" s="32" t="s">
        <v>15</v>
      </c>
      <c r="B32" s="33"/>
      <c r="C32" s="34"/>
      <c r="D32" s="5">
        <v>1000</v>
      </c>
    </row>
    <row r="33" spans="1:4" x14ac:dyDescent="0.25">
      <c r="A33" s="17" t="s">
        <v>16</v>
      </c>
      <c r="B33" s="18"/>
      <c r="C33" s="18"/>
      <c r="D33" s="19"/>
    </row>
    <row r="34" spans="1:4" x14ac:dyDescent="0.25">
      <c r="A34" s="32" t="s">
        <v>17</v>
      </c>
      <c r="B34" s="33"/>
      <c r="C34" s="34"/>
      <c r="D34" s="5" t="s">
        <v>18</v>
      </c>
    </row>
    <row r="35" spans="1:4" x14ac:dyDescent="0.25">
      <c r="A35" s="32" t="s">
        <v>19</v>
      </c>
      <c r="B35" s="33"/>
      <c r="C35" s="34"/>
      <c r="D35" s="5" t="s">
        <v>20</v>
      </c>
    </row>
  </sheetData>
  <mergeCells count="36">
    <mergeCell ref="A33:D33"/>
    <mergeCell ref="A34:C34"/>
    <mergeCell ref="A35:C35"/>
    <mergeCell ref="A27:C27"/>
    <mergeCell ref="A28:C28"/>
    <mergeCell ref="A29:C29"/>
    <mergeCell ref="A30:D30"/>
    <mergeCell ref="A31:C31"/>
    <mergeCell ref="A32:C32"/>
    <mergeCell ref="A26:C26"/>
    <mergeCell ref="A14:C14"/>
    <mergeCell ref="A15:C15"/>
    <mergeCell ref="A16:C16"/>
    <mergeCell ref="A17:D17"/>
    <mergeCell ref="A23:C23"/>
    <mergeCell ref="A19:C19"/>
    <mergeCell ref="A25:B25"/>
    <mergeCell ref="A20:C20"/>
    <mergeCell ref="A21:C21"/>
    <mergeCell ref="A22:C22"/>
    <mergeCell ref="A24:D24"/>
    <mergeCell ref="A8:D8"/>
    <mergeCell ref="A10:C10"/>
    <mergeCell ref="A11:C11"/>
    <mergeCell ref="A12:C12"/>
    <mergeCell ref="A1:C1"/>
    <mergeCell ref="A2:D2"/>
    <mergeCell ref="A3:C3"/>
    <mergeCell ref="A4:C4"/>
    <mergeCell ref="A7:C7"/>
    <mergeCell ref="F25:H25"/>
    <mergeCell ref="A13:C13"/>
    <mergeCell ref="A9:B9"/>
    <mergeCell ref="F9:H9"/>
    <mergeCell ref="A18:B18"/>
    <mergeCell ref="F18:H18"/>
  </mergeCells>
  <dataValidations count="1">
    <dataValidation type="list" allowBlank="1" showInputMessage="1" showErrorMessage="1" sqref="C9 C18 C25" xr:uid="{2FB3FB59-10BF-41A7-AC7B-75F9D6389A19}">
      <formula1>"Total,Web,Text"</formula1>
    </dataValidation>
  </dataValidations>
  <pageMargins left="0.7" right="0.7" top="0.75" bottom="0.75" header="0.3" footer="0.3"/>
  <ignoredErrors>
    <ignoredError sqref="D19:D20" numberStoredAsText="1"/>
  </ignoredErrors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CTGC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toan huynh vu minh</dc:creator>
  <cp:lastModifiedBy>toan huynh vu minh</cp:lastModifiedBy>
  <dcterms:created xsi:type="dcterms:W3CDTF">2024-11-14T16:20:28Z</dcterms:created>
  <dcterms:modified xsi:type="dcterms:W3CDTF">2025-07-11T16:48:35Z</dcterms:modified>
</cp:coreProperties>
</file>