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1897e0139b14c7e2/03 Spreadsheet/01 CALCULATION REPORT/00 UPDATED SEND DUY/2025.03.30 Send Duy/"/>
    </mc:Choice>
  </mc:AlternateContent>
  <xr:revisionPtr revIDLastSave="1022" documentId="13_ncr:1_{5979AA30-9078-4427-B09A-BB62582965AF}" xr6:coauthVersionLast="47" xr6:coauthVersionMax="47" xr10:uidLastSave="{5D2096EC-5E3B-4542-AFEB-99AC125EBBFB}"/>
  <bookViews>
    <workbookView xWindow="-120" yWindow="-120" windowWidth="29040" windowHeight="15720" activeTab="1" xr2:uid="{00000000-000D-0000-FFFF-FFFF00000000}"/>
  </bookViews>
  <sheets>
    <sheet name="Data" sheetId="1" r:id="rId1"/>
    <sheet name="Cal" sheetId="6" r:id="rId2"/>
  </sheets>
  <functionGroups builtInGroupCount="19"/>
  <definedNames>
    <definedName name="_xlnm._FilterDatabase" localSheetId="1" hidden="1">Cal!#REF!</definedName>
    <definedName name="_xleta.DAY" hidden="1" xlm="1">#NAME?</definedName>
    <definedName name="_xleta.IFERROR" hidden="1" xlm="1">#NAME?</definedName>
    <definedName name="_xlnm.Print_Area" localSheetId="1">Cal!$A$11:$L$42</definedName>
    <definedName name="_xlnm.Print_Area" localSheetId="0">Data!#REF!</definedName>
    <definedName name="SLSLOADCAS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61" i="6" l="1"/>
  <c r="B61" i="6"/>
  <c r="J60" i="6"/>
  <c r="B17" i="6"/>
  <c r="K17" i="6"/>
  <c r="B60" i="6"/>
  <c r="B58" i="6"/>
  <c r="J57" i="6"/>
  <c r="B57" i="6"/>
  <c r="J56" i="6"/>
  <c r="B56" i="6"/>
  <c r="B55" i="6"/>
  <c r="B54" i="6"/>
  <c r="B53" i="6"/>
  <c r="B51" i="6"/>
  <c r="J50" i="6"/>
  <c r="B50" i="6"/>
  <c r="B49" i="6"/>
  <c r="B47" i="6" l="1"/>
  <c r="J46" i="6"/>
  <c r="B46" i="6"/>
  <c r="J45" i="6"/>
  <c r="J53" i="6" s="1"/>
  <c r="B45" i="6"/>
  <c r="K40" i="6"/>
  <c r="J39" i="6"/>
  <c r="K39" i="6" s="1"/>
  <c r="J38" i="6"/>
  <c r="K38" i="6" s="1"/>
  <c r="I37" i="6"/>
  <c r="K37" i="6" s="1"/>
  <c r="B33" i="6"/>
  <c r="B31" i="6"/>
  <c r="B29" i="6"/>
  <c r="B30" i="6"/>
  <c r="B28" i="6"/>
  <c r="K23" i="6"/>
  <c r="K22" i="6"/>
  <c r="B26" i="6"/>
  <c r="B25" i="6"/>
  <c r="B24" i="6"/>
  <c r="B23" i="6"/>
  <c r="B22" i="6"/>
  <c r="B21" i="6"/>
  <c r="K24" i="6"/>
  <c r="K16" i="6"/>
  <c r="K18" i="6" s="1"/>
  <c r="B19" i="6"/>
  <c r="B18" i="6"/>
  <c r="B16" i="6"/>
  <c r="I41" i="6" l="1"/>
  <c r="J47" i="6" s="1"/>
  <c r="K41" i="6"/>
  <c r="K26" i="6"/>
  <c r="D48" i="6" l="1"/>
  <c r="CI15" i="1"/>
  <c r="CI16" i="1"/>
  <c r="CI17" i="1"/>
  <c r="CI18" i="1"/>
  <c r="CI19" i="1"/>
  <c r="CI5" i="1"/>
  <c r="CI6" i="1"/>
  <c r="CI7" i="1"/>
  <c r="CI8" i="1"/>
  <c r="CI9" i="1"/>
  <c r="CI4" i="1"/>
  <c r="CH5" i="1"/>
  <c r="CH7" i="1"/>
  <c r="CH9" i="1"/>
  <c r="CH17" i="1"/>
  <c r="CH18" i="1"/>
  <c r="CG19" i="1"/>
  <c r="CG18" i="1"/>
  <c r="CG15" i="1"/>
  <c r="CF5" i="1"/>
  <c r="CG5" i="1" s="1"/>
  <c r="CF6" i="1"/>
  <c r="CG6" i="1" s="1"/>
  <c r="CF7" i="1"/>
  <c r="CG7" i="1" s="1"/>
  <c r="CF8" i="1"/>
  <c r="CG8" i="1" s="1"/>
  <c r="CF9" i="1"/>
  <c r="CG9" i="1" s="1"/>
  <c r="CF10" i="1"/>
  <c r="CH10" i="1" s="1"/>
  <c r="CF11" i="1"/>
  <c r="CH11" i="1" s="1"/>
  <c r="CF12" i="1"/>
  <c r="CH12" i="1" s="1"/>
  <c r="CF13" i="1"/>
  <c r="CH13" i="1" s="1"/>
  <c r="CF14" i="1"/>
  <c r="CH14" i="1" s="1"/>
  <c r="CF15" i="1"/>
  <c r="CH15" i="1" s="1"/>
  <c r="CF16" i="1"/>
  <c r="CH16" i="1" s="1"/>
  <c r="CF17" i="1"/>
  <c r="CG17" i="1" s="1"/>
  <c r="CF18" i="1"/>
  <c r="CF19" i="1"/>
  <c r="CH19" i="1" s="1"/>
  <c r="CF4" i="1"/>
  <c r="CG4" i="1" s="1"/>
  <c r="J48" i="6" a="1"/>
  <c r="J48" i="6" l="1"/>
  <c r="CH4" i="1"/>
  <c r="CH8" i="1"/>
  <c r="CH6" i="1"/>
  <c r="CG16" i="1"/>
  <c r="BQ7" i="1"/>
  <c r="BQ8" i="1"/>
  <c r="BQ9" i="1"/>
  <c r="BQ10" i="1"/>
  <c r="BQ11" i="1"/>
  <c r="BQ12" i="1"/>
  <c r="BQ13" i="1"/>
  <c r="BQ14" i="1"/>
  <c r="BQ15" i="1"/>
  <c r="BQ6" i="1"/>
  <c r="J49" i="6" l="1"/>
  <c r="J51" i="6" s="1"/>
  <c r="L51" i="6" s="1"/>
  <c r="J54" i="6"/>
  <c r="X15" i="1"/>
  <c r="X14" i="1"/>
  <c r="X13" i="1"/>
  <c r="X12" i="1"/>
  <c r="X11" i="1"/>
  <c r="X10" i="1"/>
  <c r="X9" i="1"/>
  <c r="X8" i="1"/>
  <c r="X7" i="1"/>
  <c r="X6" i="1"/>
  <c r="J55" i="6" l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8" i="1"/>
  <c r="B7" i="1"/>
  <c r="B6" i="1"/>
  <c r="B5" i="1"/>
  <c r="B4" i="1"/>
  <c r="B3" i="1"/>
  <c r="J58" i="6" l="1"/>
  <c r="L58" i="6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B74A077-5306-4E51-BE81-FAF1A1651208}" keepAlive="1" name="Query - STEEL_CHANNEL" description="Connection to the 'STEEL_CHANNEL' query in the workbook." type="5" refreshedVersion="8" background="1" saveData="1">
    <dbPr connection="Provider=Microsoft.Mashup.OleDb.1;Data Source=$Workbook$;Location=STEEL_CHANNEL;Extended Properties=&quot;&quot;" command="SELECT * FROM [STEEL_CHANNEL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<sst xmlns="http://schemas.openxmlformats.org/spreadsheetml/2006/main" count="230" uniqueCount="190">
  <si>
    <t>A. THÔNG TIN THIẾT KẾ</t>
  </si>
  <si>
    <t>mm</t>
  </si>
  <si>
    <t>Mac Thép</t>
  </si>
  <si>
    <r>
      <t xml:space="preserve">S235 </t>
    </r>
    <r>
      <rPr>
        <sz val="10"/>
        <color theme="1"/>
        <rFont val="Calibri"/>
        <family val="2"/>
      </rPr>
      <t>≤ 40</t>
    </r>
  </si>
  <si>
    <r>
      <t xml:space="preserve">S235 </t>
    </r>
    <r>
      <rPr>
        <sz val="10"/>
        <color theme="1"/>
        <rFont val="Calibri"/>
        <family val="2"/>
      </rPr>
      <t>≤ 16</t>
    </r>
  </si>
  <si>
    <r>
      <t xml:space="preserve">S235 </t>
    </r>
    <r>
      <rPr>
        <sz val="10"/>
        <color theme="1"/>
        <rFont val="Calibri"/>
        <family val="2"/>
      </rPr>
      <t>≤ 63</t>
    </r>
  </si>
  <si>
    <r>
      <t xml:space="preserve">S235 </t>
    </r>
    <r>
      <rPr>
        <sz val="10"/>
        <color theme="1"/>
        <rFont val="Calibri"/>
        <family val="2"/>
      </rPr>
      <t xml:space="preserve">≤ </t>
    </r>
    <r>
      <rPr>
        <sz val="10"/>
        <color theme="1"/>
        <rFont val="Calibri"/>
        <family val="2"/>
        <scheme val="minor"/>
      </rPr>
      <t>80</t>
    </r>
  </si>
  <si>
    <r>
      <t xml:space="preserve">S235 </t>
    </r>
    <r>
      <rPr>
        <sz val="10"/>
        <color theme="1"/>
        <rFont val="Calibri"/>
        <family val="2"/>
      </rPr>
      <t>≤ 100</t>
    </r>
  </si>
  <si>
    <t>S275 ≤ 16</t>
  </si>
  <si>
    <t>S275 ≤ 40</t>
  </si>
  <si>
    <t>S275 ≤ 63</t>
  </si>
  <si>
    <t>S275 ≤ 80</t>
  </si>
  <si>
    <t>S275 ≤ 100</t>
  </si>
  <si>
    <t>S355 ≤ 16</t>
  </si>
  <si>
    <t>S355 ≤ 40</t>
  </si>
  <si>
    <t>S355 ≤ 63</t>
  </si>
  <si>
    <t>S355 ≤ 80</t>
  </si>
  <si>
    <t>S355 ≤ 100</t>
  </si>
  <si>
    <t>E</t>
  </si>
  <si>
    <t>Mpa</t>
  </si>
  <si>
    <t>A</t>
  </si>
  <si>
    <t>B. QUY TRÌNH TÍNH TOÁN</t>
  </si>
  <si>
    <t>®</t>
  </si>
  <si>
    <t>MPa</t>
  </si>
  <si>
    <r>
      <t>f</t>
    </r>
    <r>
      <rPr>
        <b/>
        <vertAlign val="subscript"/>
        <sz val="10"/>
        <color theme="0"/>
        <rFont val="Calibri"/>
        <family val="2"/>
        <scheme val="minor"/>
      </rPr>
      <t>y</t>
    </r>
  </si>
  <si>
    <r>
      <t>f</t>
    </r>
    <r>
      <rPr>
        <b/>
        <vertAlign val="subscript"/>
        <sz val="10"/>
        <color theme="0"/>
        <rFont val="Calibri"/>
        <family val="2"/>
        <scheme val="minor"/>
      </rPr>
      <t>u</t>
    </r>
  </si>
  <si>
    <t>Q235</t>
  </si>
  <si>
    <t>Q345</t>
  </si>
  <si>
    <t>A572 gr.50</t>
  </si>
  <si>
    <t>A36</t>
  </si>
  <si>
    <t>B</t>
  </si>
  <si>
    <r>
      <rPr>
        <b/>
        <u/>
        <sz val="10"/>
        <color theme="1"/>
        <rFont val="Calibri"/>
        <family val="2"/>
        <scheme val="minor"/>
      </rPr>
      <t>Kết luận:</t>
    </r>
    <r>
      <rPr>
        <sz val="10"/>
        <color theme="1"/>
        <rFont val="Calibri"/>
        <family val="2"/>
        <scheme val="minor"/>
      </rPr>
      <t xml:space="preserve"> Cấu kiện đảm bảo khả năng chịu lực</t>
    </r>
  </si>
  <si>
    <t>SS330 ≤ 16</t>
  </si>
  <si>
    <t>SS330 ≤ 40</t>
  </si>
  <si>
    <t>SS400 ≤ 16</t>
  </si>
  <si>
    <t>SS400 ≤ 40</t>
  </si>
  <si>
    <t>SS490 ≤ 16</t>
  </si>
  <si>
    <t>SS490 ≤ 40</t>
  </si>
  <si>
    <t>SS540 ≤ 16</t>
  </si>
  <si>
    <t>SS540 ≤ 40</t>
  </si>
  <si>
    <t>D</t>
  </si>
  <si>
    <t>Bảng C.4 Cường độ tiêu chuẩn
 của thép làm bu lông</t>
  </si>
  <si>
    <t>Cấp</t>
  </si>
  <si>
    <r>
      <t>f</t>
    </r>
    <r>
      <rPr>
        <vertAlign val="subscript"/>
        <sz val="10"/>
        <rFont val="Calibri"/>
        <family val="2"/>
        <scheme val="minor"/>
      </rPr>
      <t>ub</t>
    </r>
  </si>
  <si>
    <r>
      <t>f</t>
    </r>
    <r>
      <rPr>
        <vertAlign val="subscript"/>
        <sz val="10"/>
        <rFont val="Calibri"/>
        <family val="2"/>
        <scheme val="minor"/>
      </rPr>
      <t>yb</t>
    </r>
  </si>
  <si>
    <r>
      <t>f</t>
    </r>
    <r>
      <rPr>
        <vertAlign val="subscript"/>
        <sz val="10"/>
        <rFont val="Calibri"/>
        <family val="2"/>
        <scheme val="minor"/>
      </rPr>
      <t>vb</t>
    </r>
  </si>
  <si>
    <r>
      <t>f</t>
    </r>
    <r>
      <rPr>
        <vertAlign val="subscript"/>
        <sz val="10"/>
        <rFont val="Calibri"/>
        <family val="2"/>
        <scheme val="minor"/>
      </rPr>
      <t>tb</t>
    </r>
  </si>
  <si>
    <t>p</t>
  </si>
  <si>
    <t>Ab</t>
  </si>
  <si>
    <r>
      <t>A</t>
    </r>
    <r>
      <rPr>
        <b/>
        <vertAlign val="subscript"/>
        <sz val="10"/>
        <color theme="1"/>
        <rFont val="Calibri"/>
        <family val="2"/>
        <scheme val="minor"/>
      </rPr>
      <t>sa</t>
    </r>
  </si>
  <si>
    <t>z</t>
  </si>
  <si>
    <t>Bảng C.6 Diện tích tiết diện bu lông</t>
  </si>
  <si>
    <t>Bảng C1: Que hàn</t>
  </si>
  <si>
    <t>Loại</t>
  </si>
  <si>
    <r>
      <t>f</t>
    </r>
    <r>
      <rPr>
        <vertAlign val="subscript"/>
        <sz val="10"/>
        <color theme="0"/>
        <rFont val="Calibri"/>
        <family val="2"/>
        <scheme val="minor"/>
      </rPr>
      <t>wun</t>
    </r>
  </si>
  <si>
    <r>
      <t>f</t>
    </r>
    <r>
      <rPr>
        <vertAlign val="subscript"/>
        <sz val="10"/>
        <color theme="0"/>
        <rFont val="Calibri"/>
        <family val="2"/>
        <scheme val="minor"/>
      </rPr>
      <t>wf</t>
    </r>
  </si>
  <si>
    <t>E43</t>
  </si>
  <si>
    <t>E51</t>
  </si>
  <si>
    <t>N42</t>
  </si>
  <si>
    <t>N46</t>
  </si>
  <si>
    <t>N50</t>
  </si>
  <si>
    <t>Cường độ
Bê tông</t>
  </si>
  <si>
    <t>TCVN 5574 - 2018</t>
  </si>
  <si>
    <t>NÉN</t>
  </si>
  <si>
    <t>KÉO</t>
  </si>
  <si>
    <t>M150</t>
  </si>
  <si>
    <t>B10</t>
  </si>
  <si>
    <t>M200</t>
  </si>
  <si>
    <t>B15</t>
  </si>
  <si>
    <t>M250</t>
  </si>
  <si>
    <t>B20</t>
  </si>
  <si>
    <t>M350</t>
  </si>
  <si>
    <t>B25</t>
  </si>
  <si>
    <t>M400</t>
  </si>
  <si>
    <t>B30</t>
  </si>
  <si>
    <t>M450</t>
  </si>
  <si>
    <t>B35</t>
  </si>
  <si>
    <t>M500</t>
  </si>
  <si>
    <t>B40</t>
  </si>
  <si>
    <t>M600</t>
  </si>
  <si>
    <t>B45</t>
  </si>
  <si>
    <t>M700</t>
  </si>
  <si>
    <t>B50</t>
  </si>
  <si>
    <t>B55</t>
  </si>
  <si>
    <t>M800</t>
  </si>
  <si>
    <t>B60</t>
  </si>
  <si>
    <r>
      <t>E</t>
    </r>
    <r>
      <rPr>
        <vertAlign val="subscript"/>
        <sz val="10"/>
        <color theme="0"/>
        <rFont val="Arial"/>
        <family val="2"/>
      </rPr>
      <t>b</t>
    </r>
  </si>
  <si>
    <r>
      <t>R</t>
    </r>
    <r>
      <rPr>
        <vertAlign val="subscript"/>
        <sz val="10"/>
        <color theme="0"/>
        <rFont val="Arial"/>
        <family val="2"/>
      </rPr>
      <t>b,ser</t>
    </r>
  </si>
  <si>
    <r>
      <t>R</t>
    </r>
    <r>
      <rPr>
        <vertAlign val="subscript"/>
        <sz val="10"/>
        <color theme="0"/>
        <rFont val="Arial"/>
        <family val="2"/>
      </rPr>
      <t>b</t>
    </r>
  </si>
  <si>
    <r>
      <t>R</t>
    </r>
    <r>
      <rPr>
        <vertAlign val="subscript"/>
        <sz val="10"/>
        <color theme="0"/>
        <rFont val="Arial"/>
        <family val="2"/>
      </rPr>
      <t>bt,ser</t>
    </r>
  </si>
  <si>
    <r>
      <t>R</t>
    </r>
    <r>
      <rPr>
        <vertAlign val="subscript"/>
        <sz val="10"/>
        <color theme="0"/>
        <rFont val="Arial"/>
        <family val="2"/>
      </rPr>
      <t>bt</t>
    </r>
  </si>
  <si>
    <t>EC</t>
  </si>
  <si>
    <t>C12/15</t>
  </si>
  <si>
    <t>C16/20</t>
  </si>
  <si>
    <t>C20/25</t>
  </si>
  <si>
    <t>C25/30</t>
  </si>
  <si>
    <t>C28/35</t>
  </si>
  <si>
    <t>C32/40</t>
  </si>
  <si>
    <t>C35/45</t>
  </si>
  <si>
    <t>C40/50</t>
  </si>
  <si>
    <t>C45/55</t>
  </si>
  <si>
    <t>C50/60</t>
  </si>
  <si>
    <t>Tên</t>
  </si>
  <si>
    <t>fck</t>
  </si>
  <si>
    <t>Bảng C5: Cường độ ép mặt</t>
  </si>
  <si>
    <t>fu</t>
  </si>
  <si>
    <t>Loại thép</t>
  </si>
  <si>
    <r>
      <t>R</t>
    </r>
    <r>
      <rPr>
        <b/>
        <vertAlign val="subscript"/>
        <sz val="10"/>
        <color theme="1"/>
        <rFont val="Arial"/>
        <family val="2"/>
      </rPr>
      <t>sn</t>
    </r>
  </si>
  <si>
    <r>
      <t>R</t>
    </r>
    <r>
      <rPr>
        <b/>
        <vertAlign val="subscript"/>
        <sz val="10"/>
        <color theme="1"/>
        <rFont val="Arial"/>
        <family val="2"/>
      </rPr>
      <t>s</t>
    </r>
  </si>
  <si>
    <r>
      <t>R</t>
    </r>
    <r>
      <rPr>
        <b/>
        <vertAlign val="subscript"/>
        <sz val="10"/>
        <color theme="1"/>
        <rFont val="Arial"/>
        <family val="2"/>
      </rPr>
      <t>sc</t>
    </r>
  </si>
  <si>
    <r>
      <t>R</t>
    </r>
    <r>
      <rPr>
        <b/>
        <vertAlign val="subscript"/>
        <sz val="10"/>
        <color theme="1"/>
        <rFont val="Arial"/>
        <family val="2"/>
      </rPr>
      <t>sw</t>
    </r>
  </si>
  <si>
    <r>
      <t>E</t>
    </r>
    <r>
      <rPr>
        <b/>
        <vertAlign val="subscript"/>
        <sz val="10"/>
        <rFont val="Arial"/>
        <family val="2"/>
      </rPr>
      <t>s</t>
    </r>
  </si>
  <si>
    <t>CI</t>
  </si>
  <si>
    <t>CII</t>
  </si>
  <si>
    <t>CIII</t>
  </si>
  <si>
    <t>AI</t>
  </si>
  <si>
    <t>AII</t>
  </si>
  <si>
    <t>AIII</t>
  </si>
  <si>
    <t>SD295</t>
  </si>
  <si>
    <t>SD390</t>
  </si>
  <si>
    <t>SD490</t>
  </si>
  <si>
    <t>fy</t>
  </si>
  <si>
    <t>SR235</t>
  </si>
  <si>
    <t>SR295</t>
  </si>
  <si>
    <t>CB240-T</t>
  </si>
  <si>
    <t>CB300-T</t>
  </si>
  <si>
    <t>CB300-V</t>
  </si>
  <si>
    <t>CB400-V</t>
  </si>
  <si>
    <t>CB500-V</t>
  </si>
  <si>
    <t>THIẾT KẾ SÀN THÉP</t>
  </si>
  <si>
    <t>1. Vật liệu</t>
  </si>
  <si>
    <t>1.1 Thép tấm</t>
  </si>
  <si>
    <r>
      <t>f</t>
    </r>
    <r>
      <rPr>
        <vertAlign val="subscript"/>
        <sz val="10"/>
        <color theme="1"/>
        <rFont val="Calibri"/>
        <family val="2"/>
        <scheme val="minor"/>
      </rPr>
      <t>y</t>
    </r>
    <r>
      <rPr>
        <sz val="10"/>
        <color theme="1"/>
        <rFont val="Calibri"/>
        <family val="2"/>
        <scheme val="minor"/>
      </rPr>
      <t xml:space="preserve"> =</t>
    </r>
  </si>
  <si>
    <r>
      <t>f</t>
    </r>
    <r>
      <rPr>
        <vertAlign val="subscript"/>
        <sz val="10"/>
        <color theme="1"/>
        <rFont val="Calibri"/>
        <family val="2"/>
        <scheme val="minor"/>
      </rPr>
      <t>u</t>
    </r>
    <r>
      <rPr>
        <sz val="10"/>
        <color theme="1"/>
        <rFont val="Calibri"/>
        <family val="2"/>
        <scheme val="minor"/>
      </rPr>
      <t xml:space="preserve"> =</t>
    </r>
  </si>
  <si>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m</t>
    </r>
    <r>
      <rPr>
        <sz val="10"/>
        <color theme="1"/>
        <rFont val="Calibri"/>
        <family val="2"/>
        <scheme val="minor"/>
      </rPr>
      <t xml:space="preserve"> =</t>
    </r>
  </si>
  <si>
    <r>
      <t>f</t>
    </r>
    <r>
      <rPr>
        <vertAlign val="subscript"/>
        <sz val="10"/>
        <color theme="1"/>
        <rFont val="Calibri"/>
        <family val="2"/>
        <scheme val="minor"/>
      </rPr>
      <t>yd</t>
    </r>
    <r>
      <rPr>
        <sz val="10"/>
        <color theme="1"/>
        <rFont val="Calibri"/>
        <family val="2"/>
        <scheme val="minor"/>
      </rPr>
      <t xml:space="preserve"> =</t>
    </r>
  </si>
  <si>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c</t>
    </r>
    <r>
      <rPr>
        <sz val="10"/>
        <color theme="1"/>
        <rFont val="Calibri"/>
        <family val="2"/>
        <scheme val="minor"/>
      </rPr>
      <t xml:space="preserve"> =</t>
    </r>
  </si>
  <si>
    <r>
      <t>f</t>
    </r>
    <r>
      <rPr>
        <vertAlign val="subscript"/>
        <sz val="10"/>
        <color theme="1"/>
        <rFont val="Calibri"/>
        <family val="2"/>
        <scheme val="minor"/>
      </rPr>
      <t>wun</t>
    </r>
    <r>
      <rPr>
        <sz val="10"/>
        <color theme="1"/>
        <rFont val="Calibri"/>
        <family val="2"/>
        <scheme val="minor"/>
      </rPr>
      <t xml:space="preserve"> =</t>
    </r>
  </si>
  <si>
    <r>
      <rPr>
        <sz val="10"/>
        <color theme="1"/>
        <rFont val="Symbol"/>
        <family val="1"/>
        <charset val="2"/>
      </rPr>
      <t>b</t>
    </r>
    <r>
      <rPr>
        <vertAlign val="subscript"/>
        <sz val="10"/>
        <color theme="1"/>
        <rFont val="Calibri"/>
        <family val="2"/>
        <scheme val="minor"/>
      </rPr>
      <t>f</t>
    </r>
    <r>
      <rPr>
        <sz val="10"/>
        <color theme="1"/>
        <rFont val="Calibri"/>
        <family val="2"/>
        <scheme val="minor"/>
      </rPr>
      <t xml:space="preserve"> =</t>
    </r>
  </si>
  <si>
    <r>
      <t>f</t>
    </r>
    <r>
      <rPr>
        <vertAlign val="subscript"/>
        <sz val="10"/>
        <color theme="1"/>
        <rFont val="Calibri"/>
        <family val="2"/>
        <scheme val="minor"/>
      </rPr>
      <t>wf</t>
    </r>
    <r>
      <rPr>
        <sz val="10"/>
        <color theme="1"/>
        <rFont val="Calibri"/>
        <family val="2"/>
        <scheme val="minor"/>
      </rPr>
      <t xml:space="preserve"> =</t>
    </r>
  </si>
  <si>
    <r>
      <rPr>
        <sz val="10"/>
        <color theme="1"/>
        <rFont val="Symbol"/>
        <family val="1"/>
        <charset val="2"/>
      </rPr>
      <t>b</t>
    </r>
    <r>
      <rPr>
        <vertAlign val="subscript"/>
        <sz val="10"/>
        <color theme="1"/>
        <rFont val="Calibri"/>
        <family val="2"/>
        <scheme val="minor"/>
      </rPr>
      <t>s</t>
    </r>
    <r>
      <rPr>
        <sz val="10"/>
        <color theme="1"/>
        <rFont val="Calibri"/>
        <family val="2"/>
        <scheme val="minor"/>
      </rPr>
      <t xml:space="preserve"> =</t>
    </r>
  </si>
  <si>
    <r>
      <t>f</t>
    </r>
    <r>
      <rPr>
        <vertAlign val="subscript"/>
        <sz val="10"/>
        <color theme="1"/>
        <rFont val="Calibri"/>
        <family val="2"/>
        <scheme val="minor"/>
      </rPr>
      <t>ws</t>
    </r>
    <r>
      <rPr>
        <sz val="10"/>
        <color theme="1"/>
        <rFont val="Calibri"/>
        <family val="2"/>
        <scheme val="minor"/>
      </rPr>
      <t xml:space="preserve"> =</t>
    </r>
  </si>
  <si>
    <r>
      <t>(</t>
    </r>
    <r>
      <rPr>
        <sz val="10"/>
        <color theme="1"/>
        <rFont val="Symbol"/>
        <family val="1"/>
        <charset val="2"/>
      </rPr>
      <t>b.</t>
    </r>
    <r>
      <rPr>
        <sz val="10"/>
        <color theme="1"/>
        <rFont val="Calibri"/>
        <family val="2"/>
        <scheme val="minor"/>
      </rPr>
      <t>f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Calibri"/>
        <family val="2"/>
        <scheme val="minor"/>
      </rPr>
      <t>)</t>
    </r>
    <r>
      <rPr>
        <vertAlign val="subscript"/>
        <sz val="10"/>
        <color theme="1"/>
        <rFont val="Calibri"/>
        <family val="2"/>
        <scheme val="minor"/>
      </rPr>
      <t>min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c</t>
    </r>
    <r>
      <rPr>
        <sz val="10"/>
        <color theme="1"/>
        <rFont val="Calibri"/>
        <family val="2"/>
        <scheme val="minor"/>
      </rPr>
      <t xml:space="preserve"> =</t>
    </r>
  </si>
  <si>
    <t>1.2 Đường hàn</t>
  </si>
  <si>
    <t>2. Tiết diện</t>
  </si>
  <si>
    <t>b =</t>
  </si>
  <si>
    <t>L =</t>
  </si>
  <si>
    <t>Dầm đơn giản</t>
  </si>
  <si>
    <t>3. Tải trọng</t>
  </si>
  <si>
    <t>Loại tải</t>
  </si>
  <si>
    <t>Tĩnh tải</t>
  </si>
  <si>
    <t>1. Trọng lượng bản thân sàn</t>
  </si>
  <si>
    <t>2. Tĩnh tải chất thêm</t>
  </si>
  <si>
    <t>3. …</t>
  </si>
  <si>
    <r>
      <t>q</t>
    </r>
    <r>
      <rPr>
        <b/>
        <vertAlign val="subscript"/>
        <sz val="10"/>
        <color theme="1"/>
        <rFont val="Calibri"/>
        <family val="2"/>
        <scheme val="minor"/>
      </rPr>
      <t>tc</t>
    </r>
  </si>
  <si>
    <r>
      <t>g</t>
    </r>
    <r>
      <rPr>
        <b/>
        <vertAlign val="subscript"/>
        <sz val="10"/>
        <color theme="1"/>
        <rFont val="Calibri"/>
        <family val="2"/>
        <scheme val="minor"/>
      </rPr>
      <t>f</t>
    </r>
  </si>
  <si>
    <r>
      <t>q</t>
    </r>
    <r>
      <rPr>
        <b/>
        <vertAlign val="subscript"/>
        <sz val="10"/>
        <color theme="1"/>
        <rFont val="Calibri"/>
        <family val="2"/>
        <scheme val="minor"/>
      </rPr>
      <t>tt</t>
    </r>
  </si>
  <si>
    <r>
      <t>kN/m</t>
    </r>
    <r>
      <rPr>
        <b/>
        <vertAlign val="superscript"/>
        <sz val="10"/>
        <color theme="1"/>
        <rFont val="Calibri"/>
        <family val="2"/>
        <scheme val="minor"/>
      </rPr>
      <t>2</t>
    </r>
  </si>
  <si>
    <t>Hoạt tải</t>
  </si>
  <si>
    <t>Khu vực làm việc</t>
  </si>
  <si>
    <t>Tổng tải trọng</t>
  </si>
  <si>
    <t>-</t>
  </si>
  <si>
    <t>E =</t>
  </si>
  <si>
    <r>
      <t>E</t>
    </r>
    <r>
      <rPr>
        <vertAlign val="subscript"/>
        <sz val="10"/>
        <color theme="1"/>
        <rFont val="Calibri"/>
        <family val="2"/>
        <scheme val="minor"/>
      </rPr>
      <t>1</t>
    </r>
    <r>
      <rPr>
        <sz val="10"/>
        <color theme="1"/>
        <rFont val="Calibri"/>
        <family val="2"/>
        <scheme val="minor"/>
      </rPr>
      <t xml:space="preserve"> = E/(1-v</t>
    </r>
    <r>
      <rPr>
        <vertAlign val="superscript"/>
        <sz val="10"/>
        <color theme="1"/>
        <rFont val="Calibri"/>
        <family val="2"/>
        <scheme val="minor"/>
      </rPr>
      <t>2</t>
    </r>
    <r>
      <rPr>
        <sz val="10"/>
        <color theme="1"/>
        <rFont val="Calibri"/>
        <family val="2"/>
        <scheme val="minor"/>
      </rPr>
      <t>) =</t>
    </r>
  </si>
  <si>
    <r>
      <rPr>
        <sz val="10"/>
        <color theme="1"/>
        <rFont val="Symbol"/>
        <family val="1"/>
        <charset val="2"/>
      </rPr>
      <t>d</t>
    </r>
    <r>
      <rPr>
        <sz val="10"/>
        <color theme="1"/>
        <rFont val="Calibri"/>
        <family val="2"/>
        <scheme val="minor"/>
      </rPr>
      <t xml:space="preserve"> =</t>
    </r>
  </si>
  <si>
    <r>
      <t xml:space="preserve">I =b </t>
    </r>
    <r>
      <rPr>
        <sz val="10"/>
        <color theme="1"/>
        <rFont val="Symbol"/>
        <family val="1"/>
        <charset val="2"/>
      </rPr>
      <t>d</t>
    </r>
    <r>
      <rPr>
        <vertAlign val="superscript"/>
        <sz val="10"/>
        <color theme="1"/>
        <rFont val="Calibri"/>
        <family val="2"/>
        <scheme val="minor"/>
      </rPr>
      <t>3</t>
    </r>
    <r>
      <rPr>
        <sz val="10"/>
        <color theme="1"/>
        <rFont val="Calibri"/>
        <family val="2"/>
        <scheme val="minor"/>
      </rPr>
      <t>/12 =</t>
    </r>
  </si>
  <si>
    <r>
      <t>mm</t>
    </r>
    <r>
      <rPr>
        <vertAlign val="superscript"/>
        <sz val="10"/>
        <color theme="1"/>
        <rFont val="Calibri"/>
        <family val="2"/>
        <scheme val="minor"/>
      </rPr>
      <t>4</t>
    </r>
  </si>
  <si>
    <r>
      <t>f</t>
    </r>
    <r>
      <rPr>
        <vertAlign val="subscript"/>
        <sz val="10"/>
        <color theme="1"/>
        <rFont val="Calibri"/>
        <family val="2"/>
        <scheme val="minor"/>
      </rPr>
      <t>0</t>
    </r>
    <r>
      <rPr>
        <sz val="10"/>
        <color theme="1"/>
        <rFont val="Calibri"/>
        <family val="2"/>
        <scheme val="minor"/>
      </rPr>
      <t xml:space="preserve"> = (5/384).(q</t>
    </r>
    <r>
      <rPr>
        <vertAlign val="subscript"/>
        <sz val="10"/>
        <color theme="1"/>
        <rFont val="Calibri"/>
        <family val="2"/>
        <scheme val="minor"/>
      </rPr>
      <t>tc</t>
    </r>
    <r>
      <rPr>
        <sz val="10"/>
        <color theme="1"/>
        <rFont val="Calibri"/>
        <family val="2"/>
        <scheme val="minor"/>
      </rPr>
      <t>.l</t>
    </r>
    <r>
      <rPr>
        <vertAlign val="superscript"/>
        <sz val="10"/>
        <color theme="1"/>
        <rFont val="Calibri"/>
        <family val="2"/>
        <scheme val="minor"/>
      </rPr>
      <t>4</t>
    </r>
    <r>
      <rPr>
        <sz val="10"/>
        <color theme="1"/>
        <rFont val="Calibri"/>
        <family val="2"/>
        <scheme val="minor"/>
      </rPr>
      <t>)/(E</t>
    </r>
    <r>
      <rPr>
        <vertAlign val="subscript"/>
        <sz val="10"/>
        <color theme="1"/>
        <rFont val="Calibri"/>
        <family val="2"/>
        <scheme val="minor"/>
      </rPr>
      <t>1</t>
    </r>
    <r>
      <rPr>
        <sz val="10"/>
        <color theme="1"/>
        <rFont val="Calibri"/>
        <family val="2"/>
        <scheme val="minor"/>
      </rPr>
      <t>.I) =</t>
    </r>
  </si>
  <si>
    <r>
      <rPr>
        <sz val="10"/>
        <color theme="1"/>
        <rFont val="Symbol"/>
        <family val="1"/>
        <charset val="2"/>
      </rPr>
      <t>a</t>
    </r>
    <r>
      <rPr>
        <sz val="10"/>
        <color theme="1"/>
        <rFont val="Calibri"/>
        <family val="2"/>
        <scheme val="minor"/>
      </rPr>
      <t xml:space="preserve"> =</t>
    </r>
  </si>
  <si>
    <r>
      <t>3f</t>
    </r>
    <r>
      <rPr>
        <vertAlign val="superscript"/>
        <sz val="10"/>
        <color theme="1"/>
        <rFont val="Calibri"/>
        <family val="2"/>
        <scheme val="minor"/>
      </rPr>
      <t>2</t>
    </r>
    <r>
      <rPr>
        <vertAlign val="subscript"/>
        <sz val="10"/>
        <color theme="1"/>
        <rFont val="Calibri"/>
        <family val="2"/>
        <scheme val="minor"/>
      </rPr>
      <t>0</t>
    </r>
    <r>
      <rPr>
        <sz val="10"/>
        <color theme="1"/>
        <rFont val="Calibri"/>
        <family val="2"/>
        <scheme val="minor"/>
      </rPr>
      <t>/</t>
    </r>
    <r>
      <rPr>
        <sz val="10"/>
        <color theme="1"/>
        <rFont val="Symbol"/>
        <family val="1"/>
        <charset val="2"/>
      </rPr>
      <t>d</t>
    </r>
    <r>
      <rPr>
        <vertAlign val="superscript"/>
        <sz val="10"/>
        <color theme="1"/>
        <rFont val="Calibri"/>
        <family val="2"/>
        <scheme val="minor"/>
      </rPr>
      <t>2</t>
    </r>
    <r>
      <rPr>
        <sz val="10"/>
        <color theme="1"/>
        <rFont val="Calibri"/>
        <family val="2"/>
        <scheme val="minor"/>
      </rPr>
      <t xml:space="preserve"> =</t>
    </r>
  </si>
  <si>
    <r>
      <t>f =f</t>
    </r>
    <r>
      <rPr>
        <vertAlign val="subscript"/>
        <sz val="10"/>
        <color theme="1"/>
        <rFont val="Calibri"/>
        <family val="2"/>
        <scheme val="minor"/>
      </rPr>
      <t>0</t>
    </r>
    <r>
      <rPr>
        <sz val="10"/>
        <color theme="1"/>
        <rFont val="Calibri"/>
        <family val="1"/>
        <charset val="2"/>
        <scheme val="minor"/>
      </rPr>
      <t>/(1+</t>
    </r>
    <r>
      <rPr>
        <sz val="10"/>
        <color theme="1"/>
        <rFont val="Symbol"/>
        <family val="1"/>
        <charset val="2"/>
      </rPr>
      <t>a</t>
    </r>
    <r>
      <rPr>
        <sz val="10"/>
        <color theme="1"/>
        <rFont val="Calibri"/>
        <family val="1"/>
        <charset val="2"/>
        <scheme val="minor"/>
      </rPr>
      <t>)=</t>
    </r>
  </si>
  <si>
    <r>
      <rPr>
        <sz val="10"/>
        <color theme="1"/>
        <rFont val="Symbol"/>
        <family val="1"/>
        <charset val="2"/>
      </rPr>
      <t>a</t>
    </r>
    <r>
      <rPr>
        <sz val="10"/>
        <color theme="1"/>
        <rFont val="Calibri"/>
        <family val="2"/>
      </rPr>
      <t>(1+</t>
    </r>
    <r>
      <rPr>
        <sz val="10"/>
        <color theme="1"/>
        <rFont val="Symbol"/>
        <family val="1"/>
        <charset val="2"/>
      </rPr>
      <t>a</t>
    </r>
    <r>
      <rPr>
        <sz val="10"/>
        <color theme="1"/>
        <rFont val="Calibri"/>
        <family val="2"/>
      </rPr>
      <t>)</t>
    </r>
    <r>
      <rPr>
        <vertAlign val="superscript"/>
        <sz val="10"/>
        <color theme="1"/>
        <rFont val="Calibri"/>
        <family val="2"/>
      </rPr>
      <t xml:space="preserve">2 </t>
    </r>
    <r>
      <rPr>
        <sz val="10"/>
        <color theme="1"/>
        <rFont val="Calibri"/>
        <family val="2"/>
      </rPr>
      <t>= 3f</t>
    </r>
    <r>
      <rPr>
        <vertAlign val="superscript"/>
        <sz val="10"/>
        <color theme="1"/>
        <rFont val="Calibri"/>
        <family val="2"/>
      </rPr>
      <t>2</t>
    </r>
    <r>
      <rPr>
        <vertAlign val="subscript"/>
        <sz val="10"/>
        <color theme="1"/>
        <rFont val="Calibri"/>
        <family val="2"/>
      </rPr>
      <t>0</t>
    </r>
    <r>
      <rPr>
        <sz val="10"/>
        <color theme="1"/>
        <rFont val="Calibri"/>
        <family val="2"/>
      </rPr>
      <t>/</t>
    </r>
    <r>
      <rPr>
        <sz val="10"/>
        <color theme="1"/>
        <rFont val="Symbol"/>
        <family val="1"/>
        <charset val="2"/>
      </rPr>
      <t>d</t>
    </r>
    <r>
      <rPr>
        <vertAlign val="superscript"/>
        <sz val="10"/>
        <color theme="1"/>
        <rFont val="Calibri"/>
        <family val="2"/>
      </rPr>
      <t>2</t>
    </r>
  </si>
  <si>
    <t>[f] =L/150=</t>
  </si>
  <si>
    <t>f/ [f] =</t>
  </si>
  <si>
    <r>
      <t>D = E</t>
    </r>
    <r>
      <rPr>
        <vertAlign val="subscript"/>
        <sz val="10"/>
        <color theme="1"/>
        <rFont val="Calibri"/>
        <family val="2"/>
        <scheme val="minor"/>
      </rPr>
      <t>1</t>
    </r>
    <r>
      <rPr>
        <sz val="10"/>
        <color theme="1"/>
        <rFont val="Calibri"/>
        <family val="1"/>
        <charset val="2"/>
        <scheme val="minor"/>
      </rPr>
      <t>I=</t>
    </r>
  </si>
  <si>
    <r>
      <t>Nmm</t>
    </r>
    <r>
      <rPr>
        <vertAlign val="superscript"/>
        <sz val="10"/>
        <color theme="1"/>
        <rFont val="Calibri"/>
        <family val="2"/>
        <scheme val="minor"/>
      </rPr>
      <t>2</t>
    </r>
  </si>
  <si>
    <r>
      <t>H = 1.15*10D</t>
    </r>
    <r>
      <rPr>
        <sz val="10"/>
        <color theme="1"/>
        <rFont val="Symbol"/>
        <family val="1"/>
        <charset val="2"/>
      </rPr>
      <t>a</t>
    </r>
    <r>
      <rPr>
        <sz val="10"/>
        <color theme="1"/>
        <rFont val="Calibri"/>
        <family val="1"/>
        <charset val="2"/>
        <scheme val="minor"/>
      </rPr>
      <t>/L</t>
    </r>
    <r>
      <rPr>
        <vertAlign val="superscript"/>
        <sz val="10"/>
        <color theme="1"/>
        <rFont val="Calibri"/>
        <family val="2"/>
        <scheme val="minor"/>
      </rPr>
      <t>2</t>
    </r>
    <r>
      <rPr>
        <sz val="10"/>
        <color theme="1"/>
        <rFont val="Calibri"/>
        <family val="1"/>
        <charset val="2"/>
        <scheme val="minor"/>
      </rPr>
      <t>=</t>
    </r>
  </si>
  <si>
    <t>kN</t>
  </si>
  <si>
    <r>
      <t>M = q</t>
    </r>
    <r>
      <rPr>
        <vertAlign val="subscript"/>
        <sz val="10"/>
        <color theme="1"/>
        <rFont val="Calibri"/>
        <family val="2"/>
        <scheme val="minor"/>
      </rPr>
      <t>tt</t>
    </r>
    <r>
      <rPr>
        <sz val="10"/>
        <color theme="1"/>
        <rFont val="Calibri"/>
        <family val="1"/>
        <charset val="2"/>
        <scheme val="minor"/>
      </rPr>
      <t>L</t>
    </r>
    <r>
      <rPr>
        <vertAlign val="superscript"/>
        <sz val="10"/>
        <color theme="1"/>
        <rFont val="Calibri"/>
        <family val="2"/>
        <scheme val="minor"/>
      </rPr>
      <t>2</t>
    </r>
    <r>
      <rPr>
        <sz val="10"/>
        <color theme="1"/>
        <rFont val="Calibri"/>
        <family val="1"/>
        <charset val="2"/>
        <scheme val="minor"/>
      </rPr>
      <t>/8 - H*f =</t>
    </r>
  </si>
  <si>
    <t>kNm</t>
  </si>
  <si>
    <t>1. Kiểm tra biến dạng trong bản sàn thép (tính cho dải bản rộng 1cm)</t>
  </si>
  <si>
    <t>2. Kiểm tra điều kiện bền chịu uốn</t>
  </si>
  <si>
    <r>
      <t>A = b*</t>
    </r>
    <r>
      <rPr>
        <sz val="10"/>
        <color theme="1"/>
        <rFont val="Symbol"/>
        <family val="1"/>
        <charset val="2"/>
      </rPr>
      <t>d</t>
    </r>
    <r>
      <rPr>
        <sz val="10"/>
        <color theme="1"/>
        <rFont val="Calibri"/>
        <family val="1"/>
        <charset val="2"/>
        <scheme val="minor"/>
      </rPr>
      <t>=</t>
    </r>
  </si>
  <si>
    <r>
      <t>mm</t>
    </r>
    <r>
      <rPr>
        <vertAlign val="superscript"/>
        <sz val="10"/>
        <color theme="1"/>
        <rFont val="Calibri"/>
        <family val="2"/>
        <scheme val="minor"/>
      </rPr>
      <t>2</t>
    </r>
  </si>
  <si>
    <r>
      <t>W = b*</t>
    </r>
    <r>
      <rPr>
        <sz val="10"/>
        <color theme="1"/>
        <rFont val="Symbol"/>
        <family val="1"/>
        <charset val="2"/>
      </rPr>
      <t>d</t>
    </r>
    <r>
      <rPr>
        <vertAlign val="superscript"/>
        <sz val="10"/>
        <color theme="1"/>
        <rFont val="Symbol"/>
        <family val="1"/>
        <charset val="2"/>
      </rPr>
      <t>2</t>
    </r>
    <r>
      <rPr>
        <sz val="10"/>
        <color theme="1"/>
        <rFont val="Symbol"/>
        <family val="1"/>
        <charset val="2"/>
      </rPr>
      <t>/6</t>
    </r>
    <r>
      <rPr>
        <sz val="10"/>
        <color theme="1"/>
        <rFont val="Calibri"/>
        <family val="1"/>
        <charset val="2"/>
        <scheme val="minor"/>
      </rPr>
      <t>=</t>
    </r>
  </si>
  <si>
    <r>
      <t>mm</t>
    </r>
    <r>
      <rPr>
        <vertAlign val="superscript"/>
        <sz val="10"/>
        <color theme="1"/>
        <rFont val="Calibri"/>
        <family val="2"/>
        <scheme val="minor"/>
      </rPr>
      <t>3</t>
    </r>
  </si>
  <si>
    <r>
      <t>(H/A+M/W)/(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c</t>
    </r>
    <r>
      <rPr>
        <sz val="10"/>
        <color theme="1"/>
        <rFont val="Calibri"/>
        <family val="2"/>
        <scheme val="minor"/>
      </rPr>
      <t>.f</t>
    </r>
    <r>
      <rPr>
        <vertAlign val="subscript"/>
        <sz val="10"/>
        <color theme="1"/>
        <rFont val="Calibri"/>
        <family val="2"/>
        <scheme val="minor"/>
      </rPr>
      <t>yd</t>
    </r>
    <r>
      <rPr>
        <sz val="10"/>
        <color theme="1"/>
        <rFont val="Calibri"/>
        <family val="2"/>
        <scheme val="minor"/>
      </rPr>
      <t>)=</t>
    </r>
  </si>
  <si>
    <t>3. Kiểm tra đường hàn</t>
  </si>
  <si>
    <r>
      <t>h</t>
    </r>
    <r>
      <rPr>
        <vertAlign val="subscript"/>
        <sz val="10"/>
        <color theme="1"/>
        <rFont val="Calibri"/>
        <family val="2"/>
        <scheme val="minor"/>
      </rPr>
      <t>min</t>
    </r>
    <r>
      <rPr>
        <sz val="10"/>
        <color theme="1"/>
        <rFont val="Calibri"/>
        <family val="2"/>
        <scheme val="minor"/>
      </rPr>
      <t xml:space="preserve"> = H / [(</t>
    </r>
    <r>
      <rPr>
        <sz val="10"/>
        <color theme="1"/>
        <rFont val="Symbol"/>
        <family val="1"/>
        <charset val="2"/>
      </rPr>
      <t>b.</t>
    </r>
    <r>
      <rPr>
        <sz val="10"/>
        <color theme="1"/>
        <rFont val="Calibri"/>
        <family val="2"/>
        <scheme val="minor"/>
      </rPr>
      <t>f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Calibri"/>
        <family val="2"/>
        <scheme val="minor"/>
      </rPr>
      <t>)</t>
    </r>
    <r>
      <rPr>
        <vertAlign val="subscript"/>
        <sz val="10"/>
        <color theme="1"/>
        <rFont val="Calibri"/>
        <family val="2"/>
        <scheme val="minor"/>
      </rPr>
      <t>min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c</t>
    </r>
    <r>
      <rPr>
        <sz val="10"/>
        <color theme="1"/>
        <rFont val="Calibri"/>
        <family val="2"/>
        <scheme val="minor"/>
      </rPr>
      <t>] =</t>
    </r>
  </si>
  <si>
    <t>h 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</si>
</sst>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_(* #,##0_);_(* \(#,##0\);_(* &quot;-&quot;??_);_(@_)"/>
    <numFmt numFmtId="169" formatCode="0.0000"/>
  </numFmts>
  <fonts count="4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vertAlign val="subscript"/>
      <sz val="10"/>
      <color theme="1"/>
      <name val="Calibri"/>
      <family val="2"/>
      <scheme val="minor"/>
    </font>
    <font>
      <sz val="10"/>
      <color rgb="FF0070C0"/>
      <name val="Calibri"/>
      <family val="2"/>
      <scheme val="minor"/>
    </font>
    <font>
      <sz val="10"/>
      <color theme="1"/>
      <name val="Symbol"/>
      <family val="1"/>
      <charset val="2"/>
    </font>
    <font>
      <sz val="10"/>
      <color theme="1"/>
      <name val="Calibri"/>
      <family val="2"/>
    </font>
    <font>
      <sz val="10"/>
      <color theme="1"/>
      <name val="Calibri"/>
      <family val="1"/>
      <charset val="2"/>
    </font>
    <font>
      <vertAlign val="subscript"/>
      <sz val="10"/>
      <color theme="1"/>
      <name val="Calibri"/>
      <family val="2"/>
    </font>
    <font>
      <sz val="10"/>
      <name val="Calibri"/>
      <family val="2"/>
      <scheme val="minor"/>
    </font>
    <font>
      <vertAlign val="superscript"/>
      <sz val="10"/>
      <color theme="1"/>
      <name val="Calibri"/>
      <family val="2"/>
      <scheme val="minor"/>
    </font>
    <font>
      <sz val="10"/>
      <color theme="1"/>
      <name val="Calibri"/>
      <family val="1"/>
      <charset val="2"/>
      <scheme val="minor"/>
    </font>
    <font>
      <sz val="10"/>
      <color rgb="FF0000CC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vertAlign val="subscript"/>
      <sz val="10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rgb="FF0070C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vertAlign val="subscript"/>
      <sz val="10"/>
      <name val="Calibri"/>
      <family val="2"/>
      <scheme val="minor"/>
    </font>
    <font>
      <b/>
      <vertAlign val="subscript"/>
      <sz val="10"/>
      <color theme="1"/>
      <name val="Calibri"/>
      <family val="2"/>
      <scheme val="minor"/>
    </font>
    <font>
      <b/>
      <sz val="10"/>
      <color theme="1"/>
      <name val="Symbol"/>
      <family val="1"/>
      <charset val="2"/>
    </font>
    <font>
      <vertAlign val="subscript"/>
      <sz val="10"/>
      <color theme="0"/>
      <name val="Calibri"/>
      <family val="2"/>
      <scheme val="minor"/>
    </font>
    <font>
      <sz val="11"/>
      <color theme="1"/>
      <name val="Calibri"/>
      <family val="2"/>
      <charset val="163"/>
      <scheme val="minor"/>
    </font>
    <font>
      <b/>
      <sz val="10"/>
      <color rgb="FF0070C0"/>
      <name val="Arial"/>
      <family val="2"/>
    </font>
    <font>
      <sz val="10"/>
      <name val="Arial"/>
      <family val="2"/>
    </font>
    <font>
      <b/>
      <sz val="10"/>
      <color theme="0"/>
      <name val="Arial"/>
      <family val="2"/>
    </font>
    <font>
      <vertAlign val="subscript"/>
      <sz val="10"/>
      <color theme="0"/>
      <name val="Arial"/>
      <family val="2"/>
    </font>
    <font>
      <sz val="11"/>
      <color indexed="8"/>
      <name val="Calibri"/>
      <family val="2"/>
    </font>
    <font>
      <b/>
      <sz val="10"/>
      <name val="Arial"/>
      <family val="2"/>
    </font>
    <font>
      <b/>
      <sz val="10"/>
      <color theme="1"/>
      <name val="Arial"/>
      <family val="2"/>
    </font>
    <font>
      <b/>
      <vertAlign val="subscript"/>
      <sz val="10"/>
      <color theme="1"/>
      <name val="Arial"/>
      <family val="2"/>
    </font>
    <font>
      <sz val="11"/>
      <name val="Times New Roman"/>
      <family val="1"/>
    </font>
    <font>
      <b/>
      <vertAlign val="subscript"/>
      <sz val="10"/>
      <name val="Arial"/>
      <family val="2"/>
    </font>
    <font>
      <sz val="10"/>
      <color rgb="FF0000FF"/>
      <name val="Arial"/>
      <family val="2"/>
    </font>
    <font>
      <b/>
      <sz val="10"/>
      <name val="Calibri"/>
      <family val="2"/>
      <scheme val="minor"/>
    </font>
    <font>
      <b/>
      <vertAlign val="superscript"/>
      <sz val="10"/>
      <color theme="1"/>
      <name val="Calibri"/>
      <family val="2"/>
      <scheme val="minor"/>
    </font>
    <font>
      <vertAlign val="superscript"/>
      <sz val="10"/>
      <color theme="1"/>
      <name val="Calibri"/>
      <family val="2"/>
    </font>
    <font>
      <vertAlign val="superscript"/>
      <sz val="10"/>
      <color theme="1"/>
      <name val="Symbol"/>
      <family val="1"/>
      <charset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2F2F2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</fills>
  <borders count="36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theme="0" tint="-0.499984740745262"/>
      </left>
      <right/>
      <top/>
      <bottom/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499984740745262"/>
      </bottom>
      <diagonal/>
    </border>
    <border>
      <left/>
      <right style="thin">
        <color indexed="64"/>
      </right>
      <top/>
      <bottom style="thin">
        <color theme="0" tint="-0.499984740745262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theme="0" tint="-0.499984740745262"/>
      </top>
      <bottom style="thin">
        <color indexed="64"/>
      </bottom>
      <diagonal/>
    </border>
    <border>
      <left/>
      <right/>
      <top style="thin">
        <color theme="0" tint="-0.499984740745262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8">
    <xf numFmtId="0" fontId="0" fillId="0" borderId="0"/>
    <xf numFmtId="0" fontId="17" fillId="0" borderId="0"/>
    <xf numFmtId="0" fontId="19" fillId="7" borderId="21" applyNumberFormat="0" applyAlignment="0" applyProtection="0"/>
    <xf numFmtId="0" fontId="25" fillId="0" borderId="0"/>
    <xf numFmtId="164" fontId="25" fillId="0" borderId="0" applyFont="0" applyFill="0" applyBorder="0" applyAlignment="0" applyProtection="0"/>
    <xf numFmtId="0" fontId="30" fillId="0" borderId="0"/>
    <xf numFmtId="0" fontId="34" fillId="0" borderId="0"/>
    <xf numFmtId="0" fontId="34" fillId="0" borderId="0"/>
  </cellStyleXfs>
  <cellXfs count="160">
    <xf numFmtId="0" fontId="0" fillId="0" borderId="0" xfId="0"/>
    <xf numFmtId="0" fontId="1" fillId="0" borderId="0" xfId="0" applyFont="1"/>
    <xf numFmtId="0" fontId="1" fillId="2" borderId="10" xfId="0" applyFont="1" applyFill="1" applyBorder="1" applyAlignment="1">
      <alignment horizontal="center"/>
    </xf>
    <xf numFmtId="0" fontId="1" fillId="2" borderId="12" xfId="0" applyFont="1" applyFill="1" applyBorder="1" applyAlignment="1">
      <alignment horizontal="center" vertical="center"/>
    </xf>
    <xf numFmtId="0" fontId="12" fillId="2" borderId="12" xfId="0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vertical="top"/>
    </xf>
    <xf numFmtId="0" fontId="2" fillId="2" borderId="16" xfId="0" applyFont="1" applyFill="1" applyBorder="1" applyAlignment="1">
      <alignment horizontal="left" indent="1"/>
    </xf>
    <xf numFmtId="0" fontId="1" fillId="2" borderId="16" xfId="0" applyFont="1" applyFill="1" applyBorder="1" applyAlignment="1">
      <alignment horizontal="left" vertical="top" indent="2"/>
    </xf>
    <xf numFmtId="0" fontId="1" fillId="2" borderId="15" xfId="0" applyFont="1" applyFill="1" applyBorder="1"/>
    <xf numFmtId="0" fontId="1" fillId="2" borderId="5" xfId="0" applyFont="1" applyFill="1" applyBorder="1"/>
    <xf numFmtId="1" fontId="1" fillId="2" borderId="12" xfId="0" applyNumberFormat="1" applyFont="1" applyFill="1" applyBorder="1" applyAlignment="1">
      <alignment horizontal="center" vertical="center"/>
    </xf>
    <xf numFmtId="0" fontId="15" fillId="5" borderId="10" xfId="0" applyFont="1" applyFill="1" applyBorder="1" applyAlignment="1">
      <alignment horizontal="center"/>
    </xf>
    <xf numFmtId="0" fontId="1" fillId="2" borderId="10" xfId="0" applyFont="1" applyFill="1" applyBorder="1" applyAlignment="1">
      <alignment horizontal="right" vertical="center"/>
    </xf>
    <xf numFmtId="0" fontId="9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2" borderId="6" xfId="0" applyFont="1" applyFill="1" applyBorder="1"/>
    <xf numFmtId="0" fontId="1" fillId="6" borderId="0" xfId="0" applyFont="1" applyFill="1"/>
    <xf numFmtId="0" fontId="20" fillId="2" borderId="16" xfId="0" applyFont="1" applyFill="1" applyBorder="1" applyAlignment="1">
      <alignment horizontal="left" indent="1"/>
    </xf>
    <xf numFmtId="0" fontId="15" fillId="5" borderId="0" xfId="0" applyFont="1" applyFill="1" applyAlignment="1">
      <alignment horizontal="center" wrapText="1"/>
    </xf>
    <xf numFmtId="0" fontId="9" fillId="2" borderId="12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/>
    </xf>
    <xf numFmtId="0" fontId="23" fillId="2" borderId="12" xfId="0" applyFont="1" applyFill="1" applyBorder="1" applyAlignment="1">
      <alignment horizontal="center" vertical="center"/>
    </xf>
    <xf numFmtId="0" fontId="15" fillId="5" borderId="0" xfId="0" applyFont="1" applyFill="1" applyAlignment="1">
      <alignment horizontal="center" vertical="center" wrapText="1"/>
    </xf>
    <xf numFmtId="0" fontId="15" fillId="5" borderId="0" xfId="0" applyFont="1" applyFill="1" applyAlignment="1">
      <alignment horizontal="center"/>
    </xf>
    <xf numFmtId="0" fontId="1" fillId="2" borderId="0" xfId="0" applyFont="1" applyFill="1" applyAlignment="1">
      <alignment horizontal="center"/>
    </xf>
    <xf numFmtId="0" fontId="23" fillId="2" borderId="0" xfId="0" applyFont="1" applyFill="1" applyAlignment="1">
      <alignment horizontal="center" vertical="center"/>
    </xf>
    <xf numFmtId="0" fontId="26" fillId="0" borderId="28" xfId="3" applyFont="1" applyBorder="1" applyAlignment="1" applyProtection="1">
      <alignment horizontal="center" vertical="center"/>
      <protection hidden="1"/>
    </xf>
    <xf numFmtId="0" fontId="0" fillId="0" borderId="12" xfId="0" applyBorder="1" applyAlignment="1">
      <alignment horizontal="center" vertical="center"/>
    </xf>
    <xf numFmtId="165" fontId="27" fillId="0" borderId="12" xfId="4" applyNumberFormat="1" applyFont="1" applyBorder="1" applyAlignment="1" applyProtection="1">
      <alignment horizontal="center" vertical="center"/>
      <protection hidden="1"/>
    </xf>
    <xf numFmtId="164" fontId="27" fillId="0" borderId="12" xfId="3" applyNumberFormat="1" applyFont="1" applyBorder="1" applyAlignment="1" applyProtection="1">
      <alignment horizontal="center" vertical="center"/>
      <protection hidden="1"/>
    </xf>
    <xf numFmtId="2" fontId="27" fillId="0" borderId="12" xfId="3" applyNumberFormat="1" applyFont="1" applyBorder="1" applyAlignment="1" applyProtection="1">
      <alignment horizontal="center" vertical="center"/>
      <protection hidden="1"/>
    </xf>
    <xf numFmtId="0" fontId="26" fillId="0" borderId="29" xfId="3" applyFont="1" applyBorder="1" applyAlignment="1" applyProtection="1">
      <alignment horizontal="center" vertical="center"/>
      <protection hidden="1"/>
    </xf>
    <xf numFmtId="0" fontId="0" fillId="0" borderId="30" xfId="0" applyBorder="1" applyAlignment="1">
      <alignment horizontal="center" vertical="center"/>
    </xf>
    <xf numFmtId="165" fontId="27" fillId="0" borderId="30" xfId="4" applyNumberFormat="1" applyFont="1" applyBorder="1" applyAlignment="1" applyProtection="1">
      <alignment horizontal="center" vertical="center"/>
      <protection hidden="1"/>
    </xf>
    <xf numFmtId="164" fontId="27" fillId="0" borderId="30" xfId="3" applyNumberFormat="1" applyFont="1" applyBorder="1" applyAlignment="1" applyProtection="1">
      <alignment horizontal="center" vertical="center"/>
      <protection hidden="1"/>
    </xf>
    <xf numFmtId="2" fontId="27" fillId="0" borderId="30" xfId="3" applyNumberFormat="1" applyFont="1" applyBorder="1" applyAlignment="1" applyProtection="1">
      <alignment horizontal="center" vertical="center"/>
      <protection hidden="1"/>
    </xf>
    <xf numFmtId="0" fontId="28" fillId="5" borderId="12" xfId="3" applyFont="1" applyFill="1" applyBorder="1" applyAlignment="1">
      <alignment horizontal="center" vertical="center" wrapText="1"/>
    </xf>
    <xf numFmtId="0" fontId="26" fillId="0" borderId="31" xfId="3" applyFont="1" applyBorder="1" applyAlignment="1" applyProtection="1">
      <alignment horizontal="center" vertical="center"/>
      <protection hidden="1"/>
    </xf>
    <xf numFmtId="0" fontId="0" fillId="0" borderId="32" xfId="0" applyBorder="1" applyAlignment="1">
      <alignment horizontal="center" vertical="center"/>
    </xf>
    <xf numFmtId="165" fontId="27" fillId="0" borderId="32" xfId="4" applyNumberFormat="1" applyFont="1" applyBorder="1" applyAlignment="1" applyProtection="1">
      <alignment horizontal="center" vertical="center"/>
      <protection hidden="1"/>
    </xf>
    <xf numFmtId="164" fontId="27" fillId="0" borderId="32" xfId="3" applyNumberFormat="1" applyFont="1" applyBorder="1" applyAlignment="1" applyProtection="1">
      <alignment horizontal="center" vertical="center"/>
      <protection hidden="1"/>
    </xf>
    <xf numFmtId="2" fontId="27" fillId="0" borderId="32" xfId="3" applyNumberFormat="1" applyFont="1" applyBorder="1" applyAlignment="1" applyProtection="1">
      <alignment horizontal="center" vertical="center"/>
      <protection hidden="1"/>
    </xf>
    <xf numFmtId="0" fontId="28" fillId="5" borderId="12" xfId="3" applyFont="1" applyFill="1" applyBorder="1" applyAlignment="1">
      <alignment vertical="center"/>
    </xf>
    <xf numFmtId="2" fontId="27" fillId="0" borderId="4" xfId="3" applyNumberFormat="1" applyFont="1" applyBorder="1" applyAlignment="1" applyProtection="1">
      <alignment horizontal="center" vertical="center"/>
      <protection hidden="1"/>
    </xf>
    <xf numFmtId="2" fontId="27" fillId="0" borderId="17" xfId="3" applyNumberFormat="1" applyFont="1" applyBorder="1" applyAlignment="1" applyProtection="1">
      <alignment horizontal="center" vertical="center"/>
      <protection hidden="1"/>
    </xf>
    <xf numFmtId="2" fontId="27" fillId="0" borderId="33" xfId="3" applyNumberFormat="1" applyFont="1" applyBorder="1" applyAlignment="1" applyProtection="1">
      <alignment horizontal="center" vertical="center"/>
      <protection hidden="1"/>
    </xf>
    <xf numFmtId="0" fontId="1" fillId="0" borderId="12" xfId="0" applyFont="1" applyBorder="1"/>
    <xf numFmtId="0" fontId="31" fillId="8" borderId="12" xfId="5" applyFont="1" applyFill="1" applyBorder="1" applyAlignment="1">
      <alignment horizontal="center" vertical="center"/>
    </xf>
    <xf numFmtId="0" fontId="32" fillId="8" borderId="12" xfId="0" applyFont="1" applyFill="1" applyBorder="1" applyAlignment="1">
      <alignment vertical="center"/>
    </xf>
    <xf numFmtId="0" fontId="31" fillId="8" borderId="17" xfId="6" applyFont="1" applyFill="1" applyBorder="1" applyAlignment="1">
      <alignment horizontal="center" vertical="center"/>
    </xf>
    <xf numFmtId="0" fontId="31" fillId="8" borderId="17" xfId="5" applyFont="1" applyFill="1" applyBorder="1" applyAlignment="1">
      <alignment horizontal="center" vertical="center"/>
    </xf>
    <xf numFmtId="1" fontId="27" fillId="2" borderId="12" xfId="6" applyNumberFormat="1" applyFont="1" applyFill="1" applyBorder="1" applyAlignment="1">
      <alignment vertical="center"/>
    </xf>
    <xf numFmtId="0" fontId="27" fillId="2" borderId="12" xfId="6" applyFont="1" applyFill="1" applyBorder="1" applyAlignment="1">
      <alignment vertical="center"/>
    </xf>
    <xf numFmtId="0" fontId="27" fillId="2" borderId="17" xfId="6" applyFont="1" applyFill="1" applyBorder="1" applyAlignment="1">
      <alignment vertical="center"/>
    </xf>
    <xf numFmtId="0" fontId="36" fillId="2" borderId="12" xfId="5" applyFont="1" applyFill="1" applyBorder="1" applyAlignment="1">
      <alignment horizontal="left" vertical="center"/>
    </xf>
    <xf numFmtId="0" fontId="36" fillId="2" borderId="17" xfId="5" applyFont="1" applyFill="1" applyBorder="1" applyAlignment="1">
      <alignment horizontal="left" vertical="center"/>
    </xf>
    <xf numFmtId="0" fontId="36" fillId="2" borderId="17" xfId="6" applyFont="1" applyFill="1" applyBorder="1" applyAlignment="1">
      <alignment horizontal="left" vertical="center"/>
    </xf>
    <xf numFmtId="0" fontId="36" fillId="2" borderId="17" xfId="7" applyFont="1" applyFill="1" applyBorder="1" applyAlignment="1">
      <alignment horizontal="left" vertical="center"/>
    </xf>
    <xf numFmtId="0" fontId="32" fillId="8" borderId="12" xfId="0" applyFont="1" applyFill="1" applyBorder="1" applyAlignment="1">
      <alignment horizontal="center" vertical="center"/>
    </xf>
    <xf numFmtId="0" fontId="36" fillId="2" borderId="12" xfId="5" applyFont="1" applyFill="1" applyBorder="1" applyAlignment="1">
      <alignment horizontal="center" vertical="center"/>
    </xf>
    <xf numFmtId="1" fontId="27" fillId="2" borderId="12" xfId="6" applyNumberFormat="1" applyFont="1" applyFill="1" applyBorder="1" applyAlignment="1">
      <alignment horizontal="center" vertical="center"/>
    </xf>
    <xf numFmtId="0" fontId="27" fillId="2" borderId="12" xfId="6" applyFont="1" applyFill="1" applyBorder="1" applyAlignment="1">
      <alignment horizontal="center" vertical="center"/>
    </xf>
    <xf numFmtId="0" fontId="20" fillId="2" borderId="4" xfId="0" applyFont="1" applyFill="1" applyBorder="1" applyAlignment="1">
      <alignment horizontal="left" indent="1"/>
    </xf>
    <xf numFmtId="0" fontId="1" fillId="2" borderId="15" xfId="0" applyFont="1" applyFill="1" applyBorder="1" applyAlignment="1">
      <alignment vertical="center"/>
    </xf>
    <xf numFmtId="0" fontId="1" fillId="2" borderId="2" xfId="0" applyFont="1" applyFill="1" applyBorder="1" applyAlignment="1">
      <alignment vertical="top"/>
    </xf>
    <xf numFmtId="0" fontId="1" fillId="2" borderId="2" xfId="0" applyFont="1" applyFill="1" applyBorder="1" applyAlignment="1">
      <alignment horizontal="right" vertical="top"/>
    </xf>
    <xf numFmtId="1" fontId="9" fillId="2" borderId="2" xfId="0" applyNumberFormat="1" applyFont="1" applyFill="1" applyBorder="1" applyAlignment="1">
      <alignment vertical="top"/>
    </xf>
    <xf numFmtId="0" fontId="1" fillId="2" borderId="2" xfId="0" applyFont="1" applyFill="1" applyBorder="1"/>
    <xf numFmtId="0" fontId="1" fillId="2" borderId="4" xfId="0" applyFont="1" applyFill="1" applyBorder="1" applyAlignment="1">
      <alignment vertical="top"/>
    </xf>
    <xf numFmtId="0" fontId="1" fillId="2" borderId="5" xfId="0" applyFont="1" applyFill="1" applyBorder="1" applyAlignment="1">
      <alignment vertical="top"/>
    </xf>
    <xf numFmtId="0" fontId="1" fillId="2" borderId="5" xfId="0" applyFont="1" applyFill="1" applyBorder="1" applyAlignment="1">
      <alignment horizontal="right" vertical="top"/>
    </xf>
    <xf numFmtId="1" fontId="9" fillId="2" borderId="5" xfId="0" applyNumberFormat="1" applyFont="1" applyFill="1" applyBorder="1" applyAlignment="1">
      <alignment vertical="top"/>
    </xf>
    <xf numFmtId="0" fontId="1" fillId="2" borderId="27" xfId="0" applyFont="1" applyFill="1" applyBorder="1"/>
    <xf numFmtId="0" fontId="1" fillId="2" borderId="3" xfId="0" applyFont="1" applyFill="1" applyBorder="1" applyAlignment="1">
      <alignment vertical="top"/>
    </xf>
    <xf numFmtId="0" fontId="1" fillId="2" borderId="16" xfId="0" applyFont="1" applyFill="1" applyBorder="1" applyAlignment="1">
      <alignment vertical="top"/>
    </xf>
    <xf numFmtId="0" fontId="1" fillId="2" borderId="34" xfId="0" applyFont="1" applyFill="1" applyBorder="1" applyAlignment="1">
      <alignment vertical="top"/>
    </xf>
    <xf numFmtId="0" fontId="1" fillId="2" borderId="34" xfId="0" applyFont="1" applyFill="1" applyBorder="1" applyAlignment="1">
      <alignment horizontal="right" vertical="top"/>
    </xf>
    <xf numFmtId="1" fontId="9" fillId="2" borderId="34" xfId="0" applyNumberFormat="1" applyFont="1" applyFill="1" applyBorder="1" applyAlignment="1">
      <alignment vertical="top"/>
    </xf>
    <xf numFmtId="0" fontId="1" fillId="2" borderId="34" xfId="0" applyFont="1" applyFill="1" applyBorder="1"/>
    <xf numFmtId="0" fontId="12" fillId="2" borderId="15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vertical="top"/>
    </xf>
    <xf numFmtId="0" fontId="2" fillId="9" borderId="1" xfId="0" applyFont="1" applyFill="1" applyBorder="1" applyAlignment="1">
      <alignment horizontal="centerContinuous" vertical="center"/>
    </xf>
    <xf numFmtId="0" fontId="2" fillId="9" borderId="2" xfId="0" applyFont="1" applyFill="1" applyBorder="1" applyAlignment="1">
      <alignment horizontal="centerContinuous" vertical="center"/>
    </xf>
    <xf numFmtId="1" fontId="37" fillId="9" borderId="2" xfId="0" applyNumberFormat="1" applyFont="1" applyFill="1" applyBorder="1" applyAlignment="1">
      <alignment horizontal="centerContinuous" vertical="center"/>
    </xf>
    <xf numFmtId="0" fontId="2" fillId="9" borderId="27" xfId="0" applyFont="1" applyFill="1" applyBorder="1" applyAlignment="1">
      <alignment horizontal="center" vertical="center"/>
    </xf>
    <xf numFmtId="0" fontId="23" fillId="9" borderId="27" xfId="0" applyFont="1" applyFill="1" applyBorder="1" applyAlignment="1">
      <alignment horizontal="center" vertical="center"/>
    </xf>
    <xf numFmtId="0" fontId="2" fillId="9" borderId="4" xfId="0" applyFont="1" applyFill="1" applyBorder="1" applyAlignment="1">
      <alignment horizontal="centerContinuous" vertical="center"/>
    </xf>
    <xf numFmtId="0" fontId="2" fillId="9" borderId="5" xfId="0" applyFont="1" applyFill="1" applyBorder="1" applyAlignment="1">
      <alignment horizontal="centerContinuous" vertical="center"/>
    </xf>
    <xf numFmtId="1" fontId="37" fillId="9" borderId="5" xfId="0" applyNumberFormat="1" applyFont="1" applyFill="1" applyBorder="1" applyAlignment="1">
      <alignment horizontal="centerContinuous" vertical="center"/>
    </xf>
    <xf numFmtId="0" fontId="2" fillId="9" borderId="32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vertical="top"/>
    </xf>
    <xf numFmtId="0" fontId="12" fillId="2" borderId="34" xfId="0" applyFont="1" applyFill="1" applyBorder="1" applyAlignment="1">
      <alignment vertical="top"/>
    </xf>
    <xf numFmtId="2" fontId="1" fillId="2" borderId="15" xfId="0" applyNumberFormat="1" applyFont="1" applyFill="1" applyBorder="1" applyAlignment="1">
      <alignment horizontal="center" vertical="center"/>
    </xf>
    <xf numFmtId="0" fontId="1" fillId="2" borderId="18" xfId="0" applyFont="1" applyFill="1" applyBorder="1" applyAlignment="1">
      <alignment horizontal="center" vertical="center"/>
    </xf>
    <xf numFmtId="0" fontId="12" fillId="2" borderId="6" xfId="0" applyFont="1" applyFill="1" applyBorder="1" applyAlignment="1">
      <alignment horizontal="center" vertical="center"/>
    </xf>
    <xf numFmtId="2" fontId="1" fillId="2" borderId="18" xfId="0" applyNumberFormat="1" applyFont="1" applyFill="1" applyBorder="1" applyAlignment="1">
      <alignment horizontal="center" vertical="center"/>
    </xf>
    <xf numFmtId="0" fontId="2" fillId="9" borderId="6" xfId="0" applyFont="1" applyFill="1" applyBorder="1" applyAlignment="1">
      <alignment horizontal="center" vertical="center"/>
    </xf>
    <xf numFmtId="0" fontId="2" fillId="9" borderId="3" xfId="0" applyFont="1" applyFill="1" applyBorder="1" applyAlignment="1">
      <alignment horizontal="center" vertical="center"/>
    </xf>
    <xf numFmtId="2" fontId="1" fillId="2" borderId="35" xfId="0" applyNumberFormat="1" applyFont="1" applyFill="1" applyBorder="1" applyAlignment="1">
      <alignment horizontal="center" vertical="center"/>
    </xf>
    <xf numFmtId="0" fontId="12" fillId="2" borderId="35" xfId="0" applyFont="1" applyFill="1" applyBorder="1" applyAlignment="1">
      <alignment horizontal="center" vertical="center"/>
    </xf>
    <xf numFmtId="0" fontId="12" fillId="2" borderId="32" xfId="0" applyFont="1" applyFill="1" applyBorder="1" applyAlignment="1">
      <alignment horizontal="center" vertical="center"/>
    </xf>
    <xf numFmtId="2" fontId="9" fillId="2" borderId="12" xfId="0" applyNumberFormat="1" applyFont="1" applyFill="1" applyBorder="1" applyAlignment="1">
      <alignment horizontal="center" vertical="center"/>
    </xf>
    <xf numFmtId="0" fontId="1" fillId="2" borderId="27" xfId="0" applyFont="1" applyFill="1" applyBorder="1" applyAlignment="1">
      <alignment vertical="top"/>
    </xf>
    <xf numFmtId="0" fontId="1" fillId="2" borderId="35" xfId="0" applyFont="1" applyFill="1" applyBorder="1" applyAlignment="1">
      <alignment horizontal="center" vertical="center"/>
    </xf>
    <xf numFmtId="0" fontId="15" fillId="5" borderId="11" xfId="0" applyFont="1" applyFill="1" applyBorder="1" applyAlignment="1">
      <alignment horizontal="center" vertical="center"/>
    </xf>
    <xf numFmtId="0" fontId="15" fillId="5" borderId="9" xfId="0" applyFont="1" applyFill="1" applyBorder="1" applyAlignment="1">
      <alignment horizontal="center" vertical="center"/>
    </xf>
    <xf numFmtId="0" fontId="15" fillId="5" borderId="22" xfId="0" applyFont="1" applyFill="1" applyBorder="1" applyAlignment="1">
      <alignment horizontal="center" wrapText="1"/>
    </xf>
    <xf numFmtId="0" fontId="15" fillId="5" borderId="23" xfId="0" applyFont="1" applyFill="1" applyBorder="1" applyAlignment="1">
      <alignment horizontal="center" wrapText="1"/>
    </xf>
    <xf numFmtId="0" fontId="15" fillId="5" borderId="7" xfId="0" applyFont="1" applyFill="1" applyBorder="1" applyAlignment="1">
      <alignment horizontal="center" wrapText="1"/>
    </xf>
    <xf numFmtId="0" fontId="15" fillId="5" borderId="0" xfId="0" applyFont="1" applyFill="1" applyAlignment="1">
      <alignment horizontal="center" wrapText="1"/>
    </xf>
    <xf numFmtId="0" fontId="31" fillId="8" borderId="12" xfId="5" applyFont="1" applyFill="1" applyBorder="1" applyAlignment="1">
      <alignment horizontal="center" vertical="center"/>
    </xf>
    <xf numFmtId="0" fontId="28" fillId="5" borderId="4" xfId="3" applyFont="1" applyFill="1" applyBorder="1" applyAlignment="1">
      <alignment horizontal="center" vertical="center" wrapText="1"/>
    </xf>
    <xf numFmtId="0" fontId="28" fillId="5" borderId="5" xfId="3" applyFont="1" applyFill="1" applyBorder="1" applyAlignment="1">
      <alignment horizontal="center" vertical="center" wrapText="1"/>
    </xf>
    <xf numFmtId="0" fontId="28" fillId="5" borderId="12" xfId="3" applyFont="1" applyFill="1" applyBorder="1" applyAlignment="1">
      <alignment horizontal="center" vertical="center" wrapText="1"/>
    </xf>
    <xf numFmtId="0" fontId="28" fillId="5" borderId="12" xfId="3" applyFont="1" applyFill="1" applyBorder="1" applyAlignment="1">
      <alignment horizontal="center" vertical="center"/>
    </xf>
    <xf numFmtId="0" fontId="15" fillId="5" borderId="0" xfId="0" applyFont="1" applyFill="1" applyAlignment="1">
      <alignment horizontal="center" vertical="center" wrapText="1"/>
    </xf>
    <xf numFmtId="0" fontId="15" fillId="5" borderId="5" xfId="0" applyFont="1" applyFill="1" applyBorder="1" applyAlignment="1">
      <alignment horizontal="center" vertical="center" wrapText="1"/>
    </xf>
    <xf numFmtId="0" fontId="15" fillId="5" borderId="24" xfId="0" applyFont="1" applyFill="1" applyBorder="1" applyAlignment="1">
      <alignment horizontal="center"/>
    </xf>
    <xf numFmtId="0" fontId="15" fillId="5" borderId="25" xfId="0" applyFont="1" applyFill="1" applyBorder="1" applyAlignment="1">
      <alignment horizontal="center"/>
    </xf>
    <xf numFmtId="0" fontId="15" fillId="5" borderId="26" xfId="0" applyFont="1" applyFill="1" applyBorder="1" applyAlignment="1">
      <alignment horizontal="center"/>
    </xf>
    <xf numFmtId="0" fontId="28" fillId="5" borderId="27" xfId="3" applyFont="1" applyFill="1" applyBorder="1" applyAlignment="1">
      <alignment horizontal="center" vertical="center"/>
    </xf>
    <xf numFmtId="0" fontId="28" fillId="5" borderId="32" xfId="3" applyFont="1" applyFill="1" applyBorder="1" applyAlignment="1">
      <alignment horizontal="center" vertical="center"/>
    </xf>
    <xf numFmtId="0" fontId="14" fillId="4" borderId="2" xfId="0" applyFont="1" applyFill="1" applyBorder="1" applyAlignment="1">
      <alignment horizontal="center" vertical="center"/>
    </xf>
    <xf numFmtId="0" fontId="14" fillId="4" borderId="3" xfId="0" applyFont="1" applyFill="1" applyBorder="1" applyAlignment="1">
      <alignment horizontal="center" vertical="center"/>
    </xf>
    <xf numFmtId="0" fontId="14" fillId="4" borderId="8" xfId="0" applyFont="1" applyFill="1" applyBorder="1" applyAlignment="1">
      <alignment horizontal="center" vertical="center"/>
    </xf>
    <xf numFmtId="0" fontId="14" fillId="4" borderId="14" xfId="0" applyFont="1" applyFill="1" applyBorder="1" applyAlignment="1">
      <alignment horizontal="center" vertical="center"/>
    </xf>
    <xf numFmtId="0" fontId="13" fillId="3" borderId="1" xfId="0" applyFont="1" applyFill="1" applyBorder="1" applyAlignment="1">
      <alignment horizontal="center" vertical="center"/>
    </xf>
    <xf numFmtId="0" fontId="13" fillId="3" borderId="2" xfId="0" applyFont="1" applyFill="1" applyBorder="1" applyAlignment="1">
      <alignment horizontal="center" vertical="center"/>
    </xf>
    <xf numFmtId="0" fontId="13" fillId="3" borderId="13" xfId="0" applyFont="1" applyFill="1" applyBorder="1" applyAlignment="1">
      <alignment horizontal="center" vertical="center"/>
    </xf>
    <xf numFmtId="0" fontId="13" fillId="3" borderId="8" xfId="0" applyFont="1" applyFill="1" applyBorder="1" applyAlignment="1">
      <alignment horizontal="center" vertical="center"/>
    </xf>
    <xf numFmtId="0" fontId="18" fillId="4" borderId="19" xfId="0" applyFont="1" applyFill="1" applyBorder="1" applyAlignment="1">
      <alignment horizontal="left" vertical="center"/>
    </xf>
    <xf numFmtId="0" fontId="18" fillId="4" borderId="20" xfId="0" applyFont="1" applyFill="1" applyBorder="1" applyAlignment="1">
      <alignment horizontal="left" vertical="center"/>
    </xf>
    <xf numFmtId="0" fontId="1" fillId="2" borderId="0" xfId="0" applyFont="1" applyFill="1" applyBorder="1" applyAlignment="1">
      <alignment vertical="top"/>
    </xf>
    <xf numFmtId="0" fontId="1" fillId="2" borderId="0" xfId="0" applyFont="1" applyFill="1" applyBorder="1" applyAlignment="1">
      <alignment horizontal="right" vertical="top"/>
    </xf>
    <xf numFmtId="0" fontId="9" fillId="2" borderId="0" xfId="0" applyFont="1" applyFill="1" applyBorder="1" applyAlignment="1">
      <alignment vertical="top"/>
    </xf>
    <xf numFmtId="0" fontId="1" fillId="2" borderId="0" xfId="0" applyFont="1" applyFill="1" applyBorder="1"/>
    <xf numFmtId="0" fontId="4" fillId="2" borderId="0" xfId="0" applyFont="1" applyFill="1" applyBorder="1" applyAlignment="1">
      <alignment vertical="top"/>
    </xf>
    <xf numFmtId="0" fontId="12" fillId="2" borderId="0" xfId="0" applyFont="1" applyFill="1" applyBorder="1"/>
    <xf numFmtId="0" fontId="12" fillId="2" borderId="0" xfId="0" applyFont="1" applyFill="1" applyBorder="1" applyAlignment="1">
      <alignment horizontal="right" vertical="center"/>
    </xf>
    <xf numFmtId="0" fontId="1" fillId="2" borderId="0" xfId="0" applyFont="1" applyFill="1" applyBorder="1" applyAlignment="1">
      <alignment horizontal="right" vertical="center"/>
    </xf>
    <xf numFmtId="0" fontId="9" fillId="2" borderId="0" xfId="0" applyFont="1" applyFill="1" applyBorder="1" applyAlignment="1">
      <alignment horizontal="center" vertical="center"/>
    </xf>
    <xf numFmtId="0" fontId="11" fillId="2" borderId="0" xfId="0" applyFont="1" applyFill="1" applyBorder="1" applyAlignment="1">
      <alignment horizontal="right" vertical="center"/>
    </xf>
    <xf numFmtId="0" fontId="12" fillId="2" borderId="0" xfId="0" applyFont="1" applyFill="1" applyBorder="1" applyAlignment="1">
      <alignment horizontal="center" vertical="center"/>
    </xf>
    <xf numFmtId="1" fontId="9" fillId="2" borderId="0" xfId="0" applyNumberFormat="1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1" fontId="1" fillId="2" borderId="0" xfId="0" applyNumberFormat="1" applyFont="1" applyFill="1" applyBorder="1" applyAlignment="1">
      <alignment horizontal="center" vertical="center"/>
    </xf>
    <xf numFmtId="1" fontId="9" fillId="2" borderId="0" xfId="0" applyNumberFormat="1" applyFont="1" applyFill="1" applyBorder="1" applyAlignment="1">
      <alignment vertical="top"/>
    </xf>
    <xf numFmtId="164" fontId="1" fillId="2" borderId="0" xfId="0" applyNumberFormat="1" applyFont="1" applyFill="1" applyBorder="1"/>
    <xf numFmtId="164" fontId="1" fillId="2" borderId="0" xfId="0" applyNumberFormat="1" applyFont="1" applyFill="1" applyBorder="1" applyAlignment="1">
      <alignment horizontal="center" vertical="center"/>
    </xf>
    <xf numFmtId="0" fontId="7" fillId="2" borderId="0" xfId="0" applyFont="1" applyFill="1" applyBorder="1"/>
    <xf numFmtId="2" fontId="19" fillId="7" borderId="21" xfId="2" applyNumberFormat="1" applyBorder="1"/>
    <xf numFmtId="0" fontId="5" fillId="2" borderId="0" xfId="0" applyFont="1" applyFill="1" applyBorder="1" applyAlignment="1">
      <alignment horizontal="center"/>
    </xf>
    <xf numFmtId="0" fontId="1" fillId="2" borderId="15" xfId="0" applyFont="1" applyFill="1" applyBorder="1" applyAlignment="1">
      <alignment horizontal="center" vertical="center"/>
    </xf>
    <xf numFmtId="11" fontId="1" fillId="2" borderId="0" xfId="0" applyNumberFormat="1" applyFont="1" applyFill="1" applyBorder="1"/>
    <xf numFmtId="2" fontId="1" fillId="2" borderId="0" xfId="0" applyNumberFormat="1" applyFont="1" applyFill="1" applyBorder="1"/>
    <xf numFmtId="169" fontId="1" fillId="2" borderId="0" xfId="0" applyNumberFormat="1" applyFont="1" applyFill="1" applyBorder="1"/>
    <xf numFmtId="2" fontId="1" fillId="2" borderId="0" xfId="0" applyNumberFormat="1" applyFont="1" applyFill="1" applyBorder="1" applyAlignment="1">
      <alignment vertical="top"/>
    </xf>
    <xf numFmtId="2" fontId="1" fillId="2" borderId="16" xfId="0" applyNumberFormat="1" applyFont="1" applyFill="1" applyBorder="1" applyAlignment="1">
      <alignment horizontal="left" vertical="top" indent="2"/>
    </xf>
    <xf numFmtId="1" fontId="12" fillId="2" borderId="0" xfId="0" applyNumberFormat="1" applyFont="1" applyFill="1" applyBorder="1" applyAlignment="1">
      <alignment vertical="top"/>
    </xf>
  </cellXfs>
  <cellStyles count="8">
    <cellStyle name="Calculation" xfId="2" builtinId="22"/>
    <cellStyle name="Comma 2" xfId="4" xr:uid="{75DDBDBA-DEF6-400D-BF6C-B961748DFEB3}"/>
    <cellStyle name="Normal" xfId="0" builtinId="0"/>
    <cellStyle name="Normal 2" xfId="6" xr:uid="{A4BF5999-4BD9-4121-A2D4-63C064D6281E}"/>
    <cellStyle name="Normal 2 2" xfId="7" xr:uid="{D0B881B4-57B4-4617-880D-E22319A2BBF7}"/>
    <cellStyle name="Normal 5" xfId="3" xr:uid="{1848E8DB-0876-4B85-9D87-E2A4B00DA696}"/>
    <cellStyle name="Normal 6" xfId="1" xr:uid="{00000000-0005-0000-0000-000002000000}"/>
    <cellStyle name="Normal_Sheet3" xfId="5" xr:uid="{B7043AC0-18F0-40B2-971C-9E43781D153A}"/>
  </cellStyles>
  <dxfs count="6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0000CC"/>
      <color rgb="FF006666"/>
      <color rgb="FF0061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connections" Target="connections.xml"/><Relationship Id="rId9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59120</xdr:colOff>
      <xdr:row>26</xdr:row>
      <xdr:rowOff>15681</xdr:rowOff>
    </xdr:from>
    <xdr:to>
      <xdr:col>8</xdr:col>
      <xdr:colOff>484460</xdr:colOff>
      <xdr:row>32</xdr:row>
      <xdr:rowOff>21770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E9020E5-5C39-976F-589D-71271582CD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46802" y="2916476"/>
          <a:ext cx="2486203" cy="80705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0070C0"/>
  </sheetPr>
  <dimension ref="A1:CZ29"/>
  <sheetViews>
    <sheetView showGridLines="0" zoomScale="130" zoomScaleNormal="130" zoomScaleSheetLayoutView="100" workbookViewId="0">
      <selection activeCell="M16" sqref="M16"/>
    </sheetView>
  </sheetViews>
  <sheetFormatPr defaultColWidth="7.28515625" defaultRowHeight="12.75"/>
  <cols>
    <col min="1" max="1" width="9.85546875" style="1" customWidth="1"/>
    <col min="2" max="4" width="7.28515625" style="1"/>
    <col min="5" max="9" width="0" style="1" hidden="1" customWidth="1"/>
    <col min="10" max="10" width="3.28515625" style="16" customWidth="1"/>
    <col min="11" max="15" width="7.28515625" style="1"/>
    <col min="16" max="20" width="0" style="1" hidden="1" customWidth="1"/>
    <col min="21" max="21" width="3.28515625" style="16" customWidth="1"/>
    <col min="22" max="26" width="7.28515625" style="1"/>
    <col min="27" max="41" width="0" style="1" hidden="1" customWidth="1"/>
    <col min="42" max="46" width="7.28515625" style="1" hidden="1" customWidth="1"/>
    <col min="47" max="47" width="3.28515625" style="16" customWidth="1"/>
    <col min="48" max="50" width="7.28515625" style="1"/>
    <col min="51" max="51" width="3.28515625" style="16" customWidth="1"/>
    <col min="52" max="54" width="7.28515625" style="1"/>
    <col min="55" max="59" width="0" style="1" hidden="1" customWidth="1"/>
    <col min="60" max="60" width="3.28515625" style="16" customWidth="1"/>
    <col min="61" max="62" width="7.28515625" style="1"/>
    <col min="63" max="63" width="7.85546875" style="1" bestFit="1" customWidth="1"/>
    <col min="64" max="69" width="7.28515625" style="1"/>
    <col min="70" max="79" width="0" style="1" hidden="1" customWidth="1"/>
    <col min="80" max="80" width="3.28515625" style="16" customWidth="1"/>
    <col min="81" max="81" width="9.5703125" style="53" bestFit="1" customWidth="1"/>
    <col min="82" max="83" width="9.5703125" style="62" customWidth="1"/>
    <col min="84" max="85" width="5" style="53" bestFit="1" customWidth="1"/>
    <col min="86" max="86" width="5" style="53" customWidth="1"/>
    <col min="87" max="87" width="5" style="53" bestFit="1" customWidth="1"/>
    <col min="88" max="88" width="7" style="54" bestFit="1" customWidth="1"/>
    <col min="89" max="103" width="0" style="1" hidden="1" customWidth="1"/>
    <col min="104" max="104" width="3.28515625" style="16" customWidth="1"/>
    <col min="105" max="16384" width="7.28515625" style="1"/>
  </cols>
  <sheetData>
    <row r="1" spans="1:88" ht="14.25" customHeight="1">
      <c r="A1" s="105" t="s">
        <v>2</v>
      </c>
      <c r="B1" s="11" t="s">
        <v>18</v>
      </c>
      <c r="C1" s="11" t="s">
        <v>24</v>
      </c>
      <c r="D1" s="11" t="s">
        <v>25</v>
      </c>
      <c r="E1" s="24"/>
      <c r="F1" s="24"/>
      <c r="G1" s="24"/>
      <c r="H1" s="24"/>
      <c r="I1" s="24"/>
      <c r="K1" s="107" t="s">
        <v>41</v>
      </c>
      <c r="L1" s="108"/>
      <c r="M1" s="108"/>
      <c r="N1" s="108"/>
      <c r="O1" s="108"/>
      <c r="P1" s="18"/>
      <c r="Q1" s="18"/>
      <c r="R1" s="18"/>
      <c r="S1" s="18"/>
      <c r="T1" s="18"/>
      <c r="V1" s="116" t="s">
        <v>51</v>
      </c>
      <c r="W1" s="116"/>
      <c r="X1" s="116"/>
      <c r="Y1" s="116"/>
      <c r="Z1" s="116"/>
      <c r="AA1" s="23"/>
      <c r="AB1" s="23"/>
      <c r="AC1" s="23"/>
      <c r="AD1" s="23"/>
      <c r="AE1" s="23"/>
      <c r="AF1" s="23"/>
      <c r="AG1" s="23"/>
      <c r="AH1" s="23"/>
      <c r="AI1" s="23"/>
      <c r="AJ1" s="23"/>
      <c r="AK1" s="23"/>
      <c r="AL1" s="23"/>
      <c r="AM1" s="23"/>
      <c r="AN1" s="23"/>
      <c r="AO1" s="23"/>
      <c r="AP1" s="23"/>
      <c r="AQ1" s="23"/>
      <c r="AR1" s="23"/>
      <c r="AS1" s="23"/>
      <c r="AT1" s="23"/>
      <c r="AV1" s="118" t="s">
        <v>104</v>
      </c>
      <c r="AW1" s="119"/>
      <c r="AX1" s="120"/>
      <c r="AZ1" s="118" t="s">
        <v>52</v>
      </c>
      <c r="BA1" s="119"/>
      <c r="BB1" s="120"/>
      <c r="BI1" s="114" t="s">
        <v>61</v>
      </c>
      <c r="BJ1" s="114"/>
      <c r="BK1" s="115" t="s">
        <v>86</v>
      </c>
      <c r="BL1" s="114" t="s">
        <v>62</v>
      </c>
      <c r="BM1" s="114"/>
      <c r="BN1" s="114"/>
      <c r="BO1" s="114"/>
      <c r="BP1" s="115" t="s">
        <v>91</v>
      </c>
      <c r="BQ1" s="115"/>
      <c r="CC1" s="112" t="s">
        <v>62</v>
      </c>
      <c r="CD1" s="113"/>
      <c r="CE1" s="113"/>
      <c r="CF1" s="113"/>
      <c r="CG1" s="113"/>
      <c r="CH1" s="113"/>
      <c r="CI1" s="113"/>
      <c r="CJ1" s="113"/>
    </row>
    <row r="2" spans="1:88" ht="14.25">
      <c r="A2" s="106"/>
      <c r="B2" s="11" t="s">
        <v>19</v>
      </c>
      <c r="C2" s="11" t="s">
        <v>19</v>
      </c>
      <c r="D2" s="11" t="s">
        <v>19</v>
      </c>
      <c r="E2" s="24"/>
      <c r="F2" s="24"/>
      <c r="G2" s="24"/>
      <c r="H2" s="24"/>
      <c r="I2" s="24"/>
      <c r="K2" s="109"/>
      <c r="L2" s="110"/>
      <c r="M2" s="110"/>
      <c r="N2" s="110"/>
      <c r="O2" s="110"/>
      <c r="P2" s="18"/>
      <c r="Q2" s="18"/>
      <c r="R2" s="18"/>
      <c r="S2" s="18"/>
      <c r="T2" s="18"/>
      <c r="V2" s="117"/>
      <c r="W2" s="117"/>
      <c r="X2" s="117"/>
      <c r="Y2" s="117"/>
      <c r="Z2" s="117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  <c r="AN2" s="23"/>
      <c r="AO2" s="23"/>
      <c r="AP2" s="23"/>
      <c r="AQ2" s="23"/>
      <c r="AR2" s="23"/>
      <c r="AS2" s="23"/>
      <c r="AT2" s="23"/>
      <c r="AV2" s="11" t="s">
        <v>105</v>
      </c>
      <c r="AW2" s="11" t="s">
        <v>20</v>
      </c>
      <c r="AX2" s="11" t="s">
        <v>30</v>
      </c>
      <c r="AZ2" s="11" t="s">
        <v>53</v>
      </c>
      <c r="BA2" s="11" t="s">
        <v>54</v>
      </c>
      <c r="BB2" s="11" t="s">
        <v>55</v>
      </c>
      <c r="BI2" s="114"/>
      <c r="BJ2" s="114"/>
      <c r="BK2" s="115"/>
      <c r="BL2" s="114" t="s">
        <v>63</v>
      </c>
      <c r="BM2" s="114"/>
      <c r="BN2" s="114" t="s">
        <v>64</v>
      </c>
      <c r="BO2" s="114"/>
      <c r="BP2" s="115"/>
      <c r="BQ2" s="115"/>
      <c r="CC2" s="111" t="s">
        <v>106</v>
      </c>
      <c r="CD2" s="59" t="s">
        <v>121</v>
      </c>
      <c r="CE2" s="59" t="s">
        <v>105</v>
      </c>
      <c r="CF2" s="49" t="s">
        <v>107</v>
      </c>
      <c r="CG2" s="49" t="s">
        <v>108</v>
      </c>
      <c r="CH2" s="49" t="s">
        <v>109</v>
      </c>
      <c r="CI2" s="49" t="s">
        <v>110</v>
      </c>
      <c r="CJ2" s="50" t="s">
        <v>111</v>
      </c>
    </row>
    <row r="3" spans="1:88" ht="15.75">
      <c r="A3" s="12" t="s">
        <v>26</v>
      </c>
      <c r="B3" s="2">
        <f>2.06*10^5</f>
        <v>206000</v>
      </c>
      <c r="C3" s="2">
        <v>235</v>
      </c>
      <c r="D3" s="2">
        <v>370</v>
      </c>
      <c r="E3" s="25"/>
      <c r="F3" s="25"/>
      <c r="G3" s="25"/>
      <c r="H3" s="25"/>
      <c r="I3" s="25"/>
      <c r="K3" s="19" t="s">
        <v>42</v>
      </c>
      <c r="L3" s="19" t="s">
        <v>43</v>
      </c>
      <c r="M3" s="19" t="s">
        <v>44</v>
      </c>
      <c r="N3" s="19" t="s">
        <v>45</v>
      </c>
      <c r="O3" s="19" t="s">
        <v>46</v>
      </c>
      <c r="P3" s="13"/>
      <c r="Q3" s="13"/>
      <c r="R3" s="13"/>
      <c r="S3" s="13"/>
      <c r="T3" s="13"/>
      <c r="V3" s="20" t="s">
        <v>40</v>
      </c>
      <c r="W3" s="20" t="s">
        <v>47</v>
      </c>
      <c r="X3" s="20" t="s">
        <v>48</v>
      </c>
      <c r="Y3" s="20" t="s">
        <v>49</v>
      </c>
      <c r="Z3" s="22" t="s">
        <v>50</v>
      </c>
      <c r="AA3" s="26"/>
      <c r="AB3" s="26"/>
      <c r="AC3" s="26"/>
      <c r="AD3" s="26"/>
      <c r="AE3" s="26"/>
      <c r="AF3" s="26"/>
      <c r="AG3" s="26"/>
      <c r="AH3" s="26"/>
      <c r="AI3" s="26"/>
      <c r="AJ3" s="26"/>
      <c r="AK3" s="26"/>
      <c r="AL3" s="26"/>
      <c r="AM3" s="26"/>
      <c r="AN3" s="26"/>
      <c r="AO3" s="26"/>
      <c r="AP3" s="26"/>
      <c r="AQ3" s="26"/>
      <c r="AR3" s="26"/>
      <c r="AS3" s="26"/>
      <c r="AT3" s="26"/>
      <c r="AV3" s="3">
        <v>360</v>
      </c>
      <c r="AW3" s="3">
        <v>560</v>
      </c>
      <c r="AX3" s="3">
        <v>475</v>
      </c>
      <c r="AZ3" s="3" t="s">
        <v>56</v>
      </c>
      <c r="BA3" s="3">
        <v>430</v>
      </c>
      <c r="BB3" s="3">
        <v>180</v>
      </c>
      <c r="BI3" s="114"/>
      <c r="BJ3" s="114"/>
      <c r="BK3" s="115"/>
      <c r="BL3" s="37" t="s">
        <v>87</v>
      </c>
      <c r="BM3" s="37" t="s">
        <v>88</v>
      </c>
      <c r="BN3" s="37" t="s">
        <v>89</v>
      </c>
      <c r="BO3" s="37" t="s">
        <v>90</v>
      </c>
      <c r="BP3" s="121" t="s">
        <v>102</v>
      </c>
      <c r="BQ3" s="43" t="s">
        <v>103</v>
      </c>
      <c r="CC3" s="111"/>
      <c r="CD3" s="48" t="s">
        <v>23</v>
      </c>
      <c r="CE3" s="48" t="s">
        <v>23</v>
      </c>
      <c r="CF3" s="48" t="s">
        <v>23</v>
      </c>
      <c r="CG3" s="48" t="s">
        <v>23</v>
      </c>
      <c r="CH3" s="48" t="s">
        <v>23</v>
      </c>
      <c r="CI3" s="48" t="s">
        <v>23</v>
      </c>
      <c r="CJ3" s="51" t="s">
        <v>23</v>
      </c>
    </row>
    <row r="4" spans="1:88">
      <c r="A4" s="12" t="s">
        <v>27</v>
      </c>
      <c r="B4" s="2">
        <f t="shared" ref="B4:B29" si="0">2.06*10^5</f>
        <v>206000</v>
      </c>
      <c r="C4" s="2">
        <v>345</v>
      </c>
      <c r="D4" s="2">
        <v>510</v>
      </c>
      <c r="E4" s="25"/>
      <c r="F4" s="25"/>
      <c r="G4" s="25"/>
      <c r="H4" s="25"/>
      <c r="I4" s="25"/>
      <c r="K4" s="19">
        <v>5.6</v>
      </c>
      <c r="L4" s="19">
        <v>500</v>
      </c>
      <c r="M4" s="19">
        <v>300</v>
      </c>
      <c r="N4" s="19">
        <v>210</v>
      </c>
      <c r="O4" s="19">
        <v>225</v>
      </c>
      <c r="P4" s="13"/>
      <c r="Q4" s="13"/>
      <c r="R4" s="13"/>
      <c r="S4" s="13"/>
      <c r="T4" s="13"/>
      <c r="V4" s="21">
        <v>10</v>
      </c>
      <c r="W4" s="3">
        <v>1.5</v>
      </c>
      <c r="X4" s="10">
        <v>78.5</v>
      </c>
      <c r="Y4" s="3">
        <v>57.1</v>
      </c>
      <c r="Z4" s="3">
        <v>1</v>
      </c>
      <c r="AA4" s="14"/>
      <c r="AB4" s="14"/>
      <c r="AC4" s="14"/>
      <c r="AD4" s="14"/>
      <c r="AE4" s="14"/>
      <c r="AF4" s="14"/>
      <c r="AG4" s="14"/>
      <c r="AH4" s="14"/>
      <c r="AI4" s="14"/>
      <c r="AJ4" s="14"/>
      <c r="AK4" s="14"/>
      <c r="AL4" s="14"/>
      <c r="AM4" s="14"/>
      <c r="AN4" s="14"/>
      <c r="AO4" s="14"/>
      <c r="AP4" s="14"/>
      <c r="AQ4" s="14"/>
      <c r="AR4" s="14"/>
      <c r="AS4" s="14"/>
      <c r="AT4" s="14"/>
      <c r="AV4" s="3">
        <v>370</v>
      </c>
      <c r="AW4" s="3">
        <v>580</v>
      </c>
      <c r="AX4" s="3">
        <v>485</v>
      </c>
      <c r="AZ4" s="3" t="s">
        <v>57</v>
      </c>
      <c r="BA4" s="3">
        <v>510</v>
      </c>
      <c r="BB4" s="3">
        <v>225</v>
      </c>
      <c r="BI4" s="114"/>
      <c r="BJ4" s="114"/>
      <c r="BK4" s="37" t="s">
        <v>23</v>
      </c>
      <c r="BL4" s="37" t="s">
        <v>23</v>
      </c>
      <c r="BM4" s="37" t="s">
        <v>23</v>
      </c>
      <c r="BN4" s="37" t="s">
        <v>23</v>
      </c>
      <c r="BO4" s="37" t="s">
        <v>23</v>
      </c>
      <c r="BP4" s="122"/>
      <c r="BQ4" s="37" t="s">
        <v>23</v>
      </c>
      <c r="CC4" s="55" t="s">
        <v>112</v>
      </c>
      <c r="CD4" s="60">
        <v>235</v>
      </c>
      <c r="CE4" s="60">
        <v>373</v>
      </c>
      <c r="CF4" s="55">
        <f>CD4</f>
        <v>235</v>
      </c>
      <c r="CG4" s="55">
        <f>CF4/1.15</f>
        <v>204.34782608695653</v>
      </c>
      <c r="CH4" s="55">
        <f>CF4</f>
        <v>235</v>
      </c>
      <c r="CI4" s="55">
        <f>0.7*CD4</f>
        <v>164.5</v>
      </c>
      <c r="CJ4" s="56">
        <v>200000</v>
      </c>
    </row>
    <row r="5" spans="1:88" ht="15">
      <c r="A5" s="12" t="s">
        <v>29</v>
      </c>
      <c r="B5" s="2">
        <f t="shared" si="0"/>
        <v>206000</v>
      </c>
      <c r="C5" s="2">
        <v>250</v>
      </c>
      <c r="D5" s="2">
        <v>400</v>
      </c>
      <c r="E5" s="25"/>
      <c r="F5" s="25"/>
      <c r="G5" s="25"/>
      <c r="H5" s="25"/>
      <c r="I5" s="25"/>
      <c r="K5" s="19">
        <v>5.8</v>
      </c>
      <c r="L5" s="19">
        <v>500</v>
      </c>
      <c r="M5" s="19">
        <v>400</v>
      </c>
      <c r="N5" s="19">
        <v>210</v>
      </c>
      <c r="O5" s="19">
        <v>210</v>
      </c>
      <c r="P5" s="13"/>
      <c r="Q5" s="13"/>
      <c r="R5" s="13"/>
      <c r="S5" s="13"/>
      <c r="T5" s="13"/>
      <c r="V5" s="21">
        <v>12</v>
      </c>
      <c r="W5" s="3">
        <v>1.5</v>
      </c>
      <c r="X5" s="10">
        <v>113</v>
      </c>
      <c r="Y5" s="3">
        <v>84.2</v>
      </c>
      <c r="Z5" s="3">
        <v>1</v>
      </c>
      <c r="AA5" s="14"/>
      <c r="AB5" s="14"/>
      <c r="AC5" s="14"/>
      <c r="AD5" s="14"/>
      <c r="AE5" s="14"/>
      <c r="AF5" s="14"/>
      <c r="AG5" s="14"/>
      <c r="AH5" s="14"/>
      <c r="AI5" s="14"/>
      <c r="AJ5" s="14"/>
      <c r="AK5" s="14"/>
      <c r="AL5" s="14"/>
      <c r="AM5" s="14"/>
      <c r="AN5" s="14"/>
      <c r="AO5" s="14"/>
      <c r="AP5" s="14"/>
      <c r="AQ5" s="14"/>
      <c r="AR5" s="14"/>
      <c r="AS5" s="14"/>
      <c r="AT5" s="14"/>
      <c r="AV5" s="3">
        <v>380</v>
      </c>
      <c r="AW5" s="3">
        <v>590</v>
      </c>
      <c r="AX5" s="3">
        <v>500</v>
      </c>
      <c r="AZ5" s="3" t="s">
        <v>58</v>
      </c>
      <c r="BA5" s="3">
        <v>410</v>
      </c>
      <c r="BB5" s="3">
        <v>180</v>
      </c>
      <c r="BI5" s="38" t="s">
        <v>65</v>
      </c>
      <c r="BJ5" s="39" t="s">
        <v>66</v>
      </c>
      <c r="BK5" s="40">
        <v>19000</v>
      </c>
      <c r="BL5" s="41">
        <v>7.5</v>
      </c>
      <c r="BM5" s="41">
        <v>6</v>
      </c>
      <c r="BN5" s="42">
        <v>0.85</v>
      </c>
      <c r="BO5" s="44">
        <v>0.56000000000000005</v>
      </c>
      <c r="BP5" s="47"/>
      <c r="BQ5" s="47"/>
      <c r="CC5" s="55" t="s">
        <v>113</v>
      </c>
      <c r="CD5" s="60">
        <v>295</v>
      </c>
      <c r="CE5" s="60">
        <v>490</v>
      </c>
      <c r="CF5" s="55">
        <f t="shared" ref="CF5:CF19" si="1">CD5</f>
        <v>295</v>
      </c>
      <c r="CG5" s="55">
        <f t="shared" ref="CG5:CG19" si="2">CF5/1.15</f>
        <v>256.52173913043481</v>
      </c>
      <c r="CH5" s="55">
        <f t="shared" ref="CH5:CH19" si="3">CF5</f>
        <v>295</v>
      </c>
      <c r="CI5" s="55">
        <f t="shared" ref="CI5:CI19" si="4">0.7*CD5</f>
        <v>206.5</v>
      </c>
      <c r="CJ5" s="56">
        <v>200000</v>
      </c>
    </row>
    <row r="6" spans="1:88" ht="15">
      <c r="A6" s="12" t="s">
        <v>28</v>
      </c>
      <c r="B6" s="2">
        <f t="shared" si="0"/>
        <v>206000</v>
      </c>
      <c r="C6" s="2">
        <v>345</v>
      </c>
      <c r="D6" s="2">
        <v>450</v>
      </c>
      <c r="E6" s="25"/>
      <c r="F6" s="25"/>
      <c r="G6" s="25"/>
      <c r="H6" s="25"/>
      <c r="I6" s="25"/>
      <c r="K6" s="19">
        <v>8.8000000000000007</v>
      </c>
      <c r="L6" s="19">
        <v>830</v>
      </c>
      <c r="M6" s="19">
        <v>660</v>
      </c>
      <c r="N6" s="19">
        <v>332</v>
      </c>
      <c r="O6" s="19">
        <v>448</v>
      </c>
      <c r="P6" s="13"/>
      <c r="Q6" s="13"/>
      <c r="R6" s="13"/>
      <c r="S6" s="13"/>
      <c r="T6" s="13"/>
      <c r="V6" s="21">
        <v>16</v>
      </c>
      <c r="W6" s="3">
        <v>2</v>
      </c>
      <c r="X6" s="10">
        <f t="shared" ref="X6:X15" si="5">PI()*V6^2/4</f>
        <v>201.06192982974676</v>
      </c>
      <c r="Y6" s="3">
        <v>157</v>
      </c>
      <c r="Z6" s="3">
        <v>1</v>
      </c>
      <c r="AA6" s="14"/>
      <c r="AB6" s="14"/>
      <c r="AC6" s="14"/>
      <c r="AD6" s="14"/>
      <c r="AE6" s="14"/>
      <c r="AF6" s="14"/>
      <c r="AG6" s="14"/>
      <c r="AH6" s="14"/>
      <c r="AI6" s="14"/>
      <c r="AJ6" s="14"/>
      <c r="AK6" s="14"/>
      <c r="AL6" s="14"/>
      <c r="AM6" s="14"/>
      <c r="AN6" s="14"/>
      <c r="AO6" s="14"/>
      <c r="AP6" s="14"/>
      <c r="AQ6" s="14"/>
      <c r="AR6" s="14"/>
      <c r="AS6" s="14"/>
      <c r="AT6" s="14"/>
      <c r="AV6" s="3">
        <v>390</v>
      </c>
      <c r="AW6" s="3">
        <v>610</v>
      </c>
      <c r="AX6" s="3">
        <v>515</v>
      </c>
      <c r="AZ6" s="3" t="s">
        <v>59</v>
      </c>
      <c r="BA6" s="3">
        <v>450</v>
      </c>
      <c r="BB6" s="3">
        <v>200</v>
      </c>
      <c r="BI6" s="27" t="s">
        <v>67</v>
      </c>
      <c r="BJ6" s="28" t="s">
        <v>68</v>
      </c>
      <c r="BK6" s="29">
        <v>24000</v>
      </c>
      <c r="BL6" s="30">
        <v>11</v>
      </c>
      <c r="BM6" s="30">
        <v>8.5</v>
      </c>
      <c r="BN6" s="31">
        <v>1.1000000000000001</v>
      </c>
      <c r="BO6" s="45">
        <v>0.75</v>
      </c>
      <c r="BP6" s="47" t="s">
        <v>92</v>
      </c>
      <c r="BQ6" s="47">
        <f>VALUE(MID(BP6,2,2))</f>
        <v>12</v>
      </c>
      <c r="CC6" s="55" t="s">
        <v>114</v>
      </c>
      <c r="CD6" s="60">
        <v>390</v>
      </c>
      <c r="CE6" s="60">
        <v>590</v>
      </c>
      <c r="CF6" s="55">
        <f t="shared" si="1"/>
        <v>390</v>
      </c>
      <c r="CG6" s="55">
        <f t="shared" si="2"/>
        <v>339.13043478260875</v>
      </c>
      <c r="CH6" s="55">
        <f t="shared" si="3"/>
        <v>390</v>
      </c>
      <c r="CI6" s="55">
        <f t="shared" si="4"/>
        <v>273</v>
      </c>
      <c r="CJ6" s="56">
        <v>200000</v>
      </c>
    </row>
    <row r="7" spans="1:88" ht="15">
      <c r="A7" s="12" t="s">
        <v>4</v>
      </c>
      <c r="B7" s="2">
        <f t="shared" si="0"/>
        <v>206000</v>
      </c>
      <c r="C7" s="2">
        <v>235</v>
      </c>
      <c r="D7" s="2">
        <v>360</v>
      </c>
      <c r="E7" s="25"/>
      <c r="F7" s="25"/>
      <c r="G7" s="25"/>
      <c r="H7" s="25"/>
      <c r="I7" s="25"/>
      <c r="K7" s="19">
        <v>10.9</v>
      </c>
      <c r="L7" s="19">
        <v>1040</v>
      </c>
      <c r="M7" s="19">
        <v>940</v>
      </c>
      <c r="N7" s="19">
        <v>416</v>
      </c>
      <c r="O7" s="19">
        <v>728</v>
      </c>
      <c r="P7" s="13"/>
      <c r="Q7" s="13"/>
      <c r="R7" s="13"/>
      <c r="S7" s="13"/>
      <c r="T7" s="13"/>
      <c r="V7" s="21">
        <v>18</v>
      </c>
      <c r="W7" s="3">
        <v>2.5</v>
      </c>
      <c r="X7" s="10">
        <f t="shared" si="5"/>
        <v>254.46900494077323</v>
      </c>
      <c r="Y7" s="3">
        <v>192</v>
      </c>
      <c r="Z7" s="3">
        <v>1.05</v>
      </c>
      <c r="AA7" s="14"/>
      <c r="AB7" s="14"/>
      <c r="AC7" s="14"/>
      <c r="AD7" s="14"/>
      <c r="AE7" s="14"/>
      <c r="AF7" s="14"/>
      <c r="AG7" s="14"/>
      <c r="AH7" s="14"/>
      <c r="AI7" s="14"/>
      <c r="AJ7" s="14"/>
      <c r="AK7" s="14"/>
      <c r="AL7" s="14"/>
      <c r="AM7" s="14"/>
      <c r="AN7" s="14"/>
      <c r="AO7" s="14"/>
      <c r="AP7" s="14"/>
      <c r="AQ7" s="14"/>
      <c r="AR7" s="14"/>
      <c r="AS7" s="14"/>
      <c r="AT7" s="14"/>
      <c r="AV7" s="3">
        <v>430</v>
      </c>
      <c r="AW7" s="3">
        <v>670</v>
      </c>
      <c r="AX7" s="3">
        <v>565</v>
      </c>
      <c r="AZ7" s="3" t="s">
        <v>60</v>
      </c>
      <c r="BA7" s="3">
        <v>490</v>
      </c>
      <c r="BB7" s="3">
        <v>215</v>
      </c>
      <c r="BI7" s="27" t="s">
        <v>69</v>
      </c>
      <c r="BJ7" s="28" t="s">
        <v>70</v>
      </c>
      <c r="BK7" s="29">
        <v>27500</v>
      </c>
      <c r="BL7" s="30">
        <v>15</v>
      </c>
      <c r="BM7" s="30">
        <v>11.5</v>
      </c>
      <c r="BN7" s="31">
        <v>1.35</v>
      </c>
      <c r="BO7" s="45">
        <v>0.9</v>
      </c>
      <c r="BP7" s="47" t="s">
        <v>93</v>
      </c>
      <c r="BQ7" s="47">
        <f t="shared" ref="BQ7:BQ15" si="6">VALUE(MID(BP7,2,2))</f>
        <v>16</v>
      </c>
      <c r="CC7" s="55" t="s">
        <v>115</v>
      </c>
      <c r="CD7" s="60">
        <v>235</v>
      </c>
      <c r="CE7" s="60">
        <v>373</v>
      </c>
      <c r="CF7" s="55">
        <f t="shared" si="1"/>
        <v>235</v>
      </c>
      <c r="CG7" s="55">
        <f t="shared" si="2"/>
        <v>204.34782608695653</v>
      </c>
      <c r="CH7" s="55">
        <f t="shared" si="3"/>
        <v>235</v>
      </c>
      <c r="CI7" s="55">
        <f t="shared" si="4"/>
        <v>164.5</v>
      </c>
      <c r="CJ7" s="57">
        <v>200000</v>
      </c>
    </row>
    <row r="8" spans="1:88" ht="15">
      <c r="A8" s="12" t="s">
        <v>3</v>
      </c>
      <c r="B8" s="2">
        <f t="shared" si="0"/>
        <v>206000</v>
      </c>
      <c r="C8" s="2">
        <v>225</v>
      </c>
      <c r="D8" s="2">
        <v>360</v>
      </c>
      <c r="E8" s="25"/>
      <c r="F8" s="25"/>
      <c r="G8" s="25"/>
      <c r="H8" s="25"/>
      <c r="I8" s="25"/>
      <c r="K8" s="19">
        <v>12.9</v>
      </c>
      <c r="L8" s="19">
        <v>1220</v>
      </c>
      <c r="M8" s="19">
        <v>1100</v>
      </c>
      <c r="N8" s="19">
        <v>427</v>
      </c>
      <c r="O8" s="19">
        <v>854</v>
      </c>
      <c r="P8" s="13"/>
      <c r="Q8" s="13"/>
      <c r="R8" s="13"/>
      <c r="S8" s="13"/>
      <c r="T8" s="13"/>
      <c r="V8" s="21">
        <v>20</v>
      </c>
      <c r="W8" s="3">
        <v>2.5</v>
      </c>
      <c r="X8" s="10">
        <f t="shared" si="5"/>
        <v>314.15926535897933</v>
      </c>
      <c r="Y8" s="3">
        <v>245</v>
      </c>
      <c r="Z8" s="3">
        <v>1.1000000000000001</v>
      </c>
      <c r="AA8" s="14"/>
      <c r="AB8" s="14"/>
      <c r="AC8" s="14"/>
      <c r="AD8" s="14"/>
      <c r="AE8" s="14"/>
      <c r="AF8" s="14"/>
      <c r="AG8" s="14"/>
      <c r="AH8" s="14"/>
      <c r="AI8" s="14"/>
      <c r="AJ8" s="14"/>
      <c r="AK8" s="14"/>
      <c r="AL8" s="14"/>
      <c r="AM8" s="14"/>
      <c r="AN8" s="14"/>
      <c r="AO8" s="14"/>
      <c r="AP8" s="14"/>
      <c r="AQ8" s="14"/>
      <c r="AR8" s="14"/>
      <c r="AS8" s="14"/>
      <c r="AT8" s="14"/>
      <c r="AV8" s="3">
        <v>440</v>
      </c>
      <c r="AW8" s="3">
        <v>685</v>
      </c>
      <c r="AX8" s="3">
        <v>580</v>
      </c>
      <c r="BI8" s="27" t="s">
        <v>71</v>
      </c>
      <c r="BJ8" s="28" t="s">
        <v>72</v>
      </c>
      <c r="BK8" s="29">
        <v>30000</v>
      </c>
      <c r="BL8" s="30">
        <v>18.5</v>
      </c>
      <c r="BM8" s="30">
        <v>14.5</v>
      </c>
      <c r="BN8" s="31">
        <v>1.55</v>
      </c>
      <c r="BO8" s="45">
        <v>1.05</v>
      </c>
      <c r="BP8" s="47" t="s">
        <v>94</v>
      </c>
      <c r="BQ8" s="47">
        <f t="shared" si="6"/>
        <v>20</v>
      </c>
      <c r="CC8" s="55" t="s">
        <v>116</v>
      </c>
      <c r="CD8" s="60">
        <v>295</v>
      </c>
      <c r="CE8" s="60">
        <v>490</v>
      </c>
      <c r="CF8" s="55">
        <f t="shared" si="1"/>
        <v>295</v>
      </c>
      <c r="CG8" s="55">
        <f t="shared" si="2"/>
        <v>256.52173913043481</v>
      </c>
      <c r="CH8" s="55">
        <f t="shared" si="3"/>
        <v>295</v>
      </c>
      <c r="CI8" s="55">
        <f t="shared" si="4"/>
        <v>206.5</v>
      </c>
      <c r="CJ8" s="57">
        <v>200000</v>
      </c>
    </row>
    <row r="9" spans="1:88" ht="15">
      <c r="A9" s="12" t="s">
        <v>5</v>
      </c>
      <c r="B9" s="2">
        <f t="shared" si="0"/>
        <v>206000</v>
      </c>
      <c r="C9" s="2">
        <v>215</v>
      </c>
      <c r="D9" s="2">
        <v>360</v>
      </c>
      <c r="E9" s="25"/>
      <c r="F9" s="25"/>
      <c r="G9" s="25"/>
      <c r="H9" s="25"/>
      <c r="I9" s="25"/>
      <c r="V9" s="21">
        <v>22</v>
      </c>
      <c r="W9" s="3">
        <v>2.5</v>
      </c>
      <c r="X9" s="10">
        <f t="shared" si="5"/>
        <v>380.13271108436498</v>
      </c>
      <c r="Y9" s="3">
        <v>303</v>
      </c>
      <c r="Z9" s="3">
        <v>1.1000000000000001</v>
      </c>
      <c r="AA9" s="14"/>
      <c r="AB9" s="14"/>
      <c r="AC9" s="14"/>
      <c r="AD9" s="14"/>
      <c r="AE9" s="14"/>
      <c r="AF9" s="14"/>
      <c r="AG9" s="14"/>
      <c r="AH9" s="14"/>
      <c r="AI9" s="14"/>
      <c r="AJ9" s="14"/>
      <c r="AK9" s="14"/>
      <c r="AL9" s="14"/>
      <c r="AM9" s="14"/>
      <c r="AN9" s="14"/>
      <c r="AO9" s="14"/>
      <c r="AP9" s="14"/>
      <c r="AQ9" s="14"/>
      <c r="AR9" s="14"/>
      <c r="AS9" s="14"/>
      <c r="AT9" s="14"/>
      <c r="AV9" s="3">
        <v>450</v>
      </c>
      <c r="AW9" s="3">
        <v>700</v>
      </c>
      <c r="AX9" s="3">
        <v>595</v>
      </c>
      <c r="BI9" s="27" t="s">
        <v>73</v>
      </c>
      <c r="BJ9" s="28" t="s">
        <v>74</v>
      </c>
      <c r="BK9" s="29">
        <v>32500</v>
      </c>
      <c r="BL9" s="30">
        <v>22</v>
      </c>
      <c r="BM9" s="30">
        <v>17</v>
      </c>
      <c r="BN9" s="31">
        <v>1.75</v>
      </c>
      <c r="BO9" s="45">
        <v>1.1499999999999999</v>
      </c>
      <c r="BP9" s="47" t="s">
        <v>95</v>
      </c>
      <c r="BQ9" s="47">
        <f t="shared" si="6"/>
        <v>25</v>
      </c>
      <c r="CC9" s="55" t="s">
        <v>117</v>
      </c>
      <c r="CD9" s="60">
        <v>390</v>
      </c>
      <c r="CE9" s="60">
        <v>590</v>
      </c>
      <c r="CF9" s="55">
        <f t="shared" si="1"/>
        <v>390</v>
      </c>
      <c r="CG9" s="55">
        <f t="shared" si="2"/>
        <v>339.13043478260875</v>
      </c>
      <c r="CH9" s="55">
        <f t="shared" si="3"/>
        <v>390</v>
      </c>
      <c r="CI9" s="55">
        <f t="shared" si="4"/>
        <v>273</v>
      </c>
      <c r="CJ9" s="57">
        <v>200000</v>
      </c>
    </row>
    <row r="10" spans="1:88" ht="15">
      <c r="A10" s="12" t="s">
        <v>6</v>
      </c>
      <c r="B10" s="2">
        <f t="shared" si="0"/>
        <v>206000</v>
      </c>
      <c r="C10" s="2">
        <v>215</v>
      </c>
      <c r="D10" s="2">
        <v>360</v>
      </c>
      <c r="E10" s="25"/>
      <c r="F10" s="25"/>
      <c r="G10" s="25"/>
      <c r="H10" s="25"/>
      <c r="I10" s="25"/>
      <c r="V10" s="21">
        <v>24</v>
      </c>
      <c r="W10" s="3">
        <v>3</v>
      </c>
      <c r="X10" s="10">
        <f t="shared" si="5"/>
        <v>452.38934211693021</v>
      </c>
      <c r="Y10" s="3">
        <v>353</v>
      </c>
      <c r="Z10" s="3">
        <v>1.1000000000000001</v>
      </c>
      <c r="AA10" s="14"/>
      <c r="AB10" s="14"/>
      <c r="AC10" s="14"/>
      <c r="AD10" s="14"/>
      <c r="AE10" s="14"/>
      <c r="AF10" s="14"/>
      <c r="AG10" s="14"/>
      <c r="AH10" s="14"/>
      <c r="AI10" s="14"/>
      <c r="AJ10" s="14"/>
      <c r="AK10" s="14"/>
      <c r="AL10" s="14"/>
      <c r="AM10" s="14"/>
      <c r="AN10" s="14"/>
      <c r="AO10" s="14"/>
      <c r="AP10" s="14"/>
      <c r="AQ10" s="14"/>
      <c r="AR10" s="14"/>
      <c r="AS10" s="14"/>
      <c r="AT10" s="14"/>
      <c r="AV10" s="3">
        <v>460</v>
      </c>
      <c r="AW10" s="3">
        <v>720</v>
      </c>
      <c r="AX10" s="3">
        <v>605</v>
      </c>
      <c r="BI10" s="27" t="s">
        <v>75</v>
      </c>
      <c r="BJ10" s="28" t="s">
        <v>76</v>
      </c>
      <c r="BK10" s="29">
        <v>34500</v>
      </c>
      <c r="BL10" s="30">
        <v>25.5</v>
      </c>
      <c r="BM10" s="30">
        <v>19.5</v>
      </c>
      <c r="BN10" s="31">
        <v>1.95</v>
      </c>
      <c r="BO10" s="45">
        <v>1.3</v>
      </c>
      <c r="BP10" s="47" t="s">
        <v>96</v>
      </c>
      <c r="BQ10" s="47">
        <f t="shared" si="6"/>
        <v>28</v>
      </c>
      <c r="CC10" s="55" t="s">
        <v>124</v>
      </c>
      <c r="CD10" s="60">
        <v>240</v>
      </c>
      <c r="CE10" s="60">
        <v>380</v>
      </c>
      <c r="CF10" s="55">
        <f t="shared" si="1"/>
        <v>240</v>
      </c>
      <c r="CG10" s="55"/>
      <c r="CH10" s="55">
        <f t="shared" si="3"/>
        <v>240</v>
      </c>
      <c r="CI10" s="55">
        <v>170</v>
      </c>
      <c r="CJ10" s="56">
        <v>200000</v>
      </c>
    </row>
    <row r="11" spans="1:88" ht="15">
      <c r="A11" s="12" t="s">
        <v>7</v>
      </c>
      <c r="B11" s="2">
        <f t="shared" si="0"/>
        <v>206000</v>
      </c>
      <c r="C11" s="2">
        <v>215</v>
      </c>
      <c r="D11" s="2">
        <v>360</v>
      </c>
      <c r="E11" s="25"/>
      <c r="F11" s="25"/>
      <c r="G11" s="25"/>
      <c r="H11" s="25"/>
      <c r="I11" s="25"/>
      <c r="V11" s="21">
        <v>27</v>
      </c>
      <c r="W11" s="3">
        <v>3</v>
      </c>
      <c r="X11" s="10">
        <f t="shared" si="5"/>
        <v>572.55526111673976</v>
      </c>
      <c r="Y11" s="3">
        <v>459</v>
      </c>
      <c r="Z11" s="3">
        <v>1.2</v>
      </c>
      <c r="AA11" s="14"/>
      <c r="AB11" s="14"/>
      <c r="AC11" s="14"/>
      <c r="AD11" s="14"/>
      <c r="AE11" s="14"/>
      <c r="AF11" s="14"/>
      <c r="AG11" s="14"/>
      <c r="AH11" s="14"/>
      <c r="AI11" s="14"/>
      <c r="AJ11" s="14"/>
      <c r="AK11" s="14"/>
      <c r="AL11" s="14"/>
      <c r="AM11" s="14"/>
      <c r="AN11" s="14"/>
      <c r="AO11" s="14"/>
      <c r="AP11" s="14"/>
      <c r="AQ11" s="14"/>
      <c r="AR11" s="14"/>
      <c r="AS11" s="14"/>
      <c r="AT11" s="14"/>
      <c r="AV11" s="3">
        <v>470</v>
      </c>
      <c r="AW11" s="3">
        <v>735</v>
      </c>
      <c r="AX11" s="3">
        <v>620</v>
      </c>
      <c r="BI11" s="27" t="s">
        <v>77</v>
      </c>
      <c r="BJ11" s="28" t="s">
        <v>78</v>
      </c>
      <c r="BK11" s="29">
        <v>36000</v>
      </c>
      <c r="BL11" s="30">
        <v>29</v>
      </c>
      <c r="BM11" s="30">
        <v>22</v>
      </c>
      <c r="BN11" s="31">
        <v>2.1</v>
      </c>
      <c r="BO11" s="45">
        <v>1.4</v>
      </c>
      <c r="BP11" s="47" t="s">
        <v>97</v>
      </c>
      <c r="BQ11" s="47">
        <f t="shared" si="6"/>
        <v>32</v>
      </c>
      <c r="CC11" s="55" t="s">
        <v>125</v>
      </c>
      <c r="CD11" s="60">
        <v>300</v>
      </c>
      <c r="CE11" s="60">
        <v>440</v>
      </c>
      <c r="CF11" s="55">
        <f t="shared" si="1"/>
        <v>300</v>
      </c>
      <c r="CG11" s="55"/>
      <c r="CH11" s="55">
        <f t="shared" si="3"/>
        <v>300</v>
      </c>
      <c r="CI11" s="55">
        <v>210</v>
      </c>
      <c r="CJ11" s="56">
        <v>200000</v>
      </c>
    </row>
    <row r="12" spans="1:88" ht="15">
      <c r="A12" s="12" t="s">
        <v>8</v>
      </c>
      <c r="B12" s="2">
        <f t="shared" si="0"/>
        <v>206000</v>
      </c>
      <c r="C12" s="2">
        <v>275</v>
      </c>
      <c r="D12" s="2">
        <v>410</v>
      </c>
      <c r="E12" s="25"/>
      <c r="F12" s="25"/>
      <c r="G12" s="25"/>
      <c r="H12" s="25"/>
      <c r="I12" s="25"/>
      <c r="V12" s="21">
        <v>30</v>
      </c>
      <c r="W12" s="3">
        <v>3.5</v>
      </c>
      <c r="X12" s="10">
        <f t="shared" si="5"/>
        <v>706.85834705770344</v>
      </c>
      <c r="Y12" s="3">
        <v>561</v>
      </c>
      <c r="Z12" s="3">
        <v>1.3</v>
      </c>
      <c r="AA12" s="14"/>
      <c r="AB12" s="14"/>
      <c r="AC12" s="14"/>
      <c r="AD12" s="14"/>
      <c r="AE12" s="14"/>
      <c r="AF12" s="14"/>
      <c r="AG12" s="14"/>
      <c r="AH12" s="14"/>
      <c r="AI12" s="14"/>
      <c r="AJ12" s="14"/>
      <c r="AK12" s="14"/>
      <c r="AL12" s="14"/>
      <c r="AM12" s="14"/>
      <c r="AN12" s="14"/>
      <c r="AO12" s="14"/>
      <c r="AP12" s="14"/>
      <c r="AQ12" s="14"/>
      <c r="AR12" s="14"/>
      <c r="AS12" s="14"/>
      <c r="AT12" s="14"/>
      <c r="AV12" s="3">
        <v>480</v>
      </c>
      <c r="AW12" s="3">
        <v>750</v>
      </c>
      <c r="AX12" s="3">
        <v>630</v>
      </c>
      <c r="BI12" s="27" t="s">
        <v>79</v>
      </c>
      <c r="BJ12" s="28" t="s">
        <v>80</v>
      </c>
      <c r="BK12" s="29">
        <v>37000</v>
      </c>
      <c r="BL12" s="30">
        <v>32</v>
      </c>
      <c r="BM12" s="30">
        <v>25</v>
      </c>
      <c r="BN12" s="31">
        <v>2.25</v>
      </c>
      <c r="BO12" s="45">
        <v>1.5</v>
      </c>
      <c r="BP12" s="47" t="s">
        <v>98</v>
      </c>
      <c r="BQ12" s="47">
        <f t="shared" si="6"/>
        <v>35</v>
      </c>
      <c r="CC12" s="55" t="s">
        <v>126</v>
      </c>
      <c r="CD12" s="60">
        <v>300</v>
      </c>
      <c r="CE12" s="60">
        <v>450</v>
      </c>
      <c r="CF12" s="55">
        <f t="shared" si="1"/>
        <v>300</v>
      </c>
      <c r="CG12" s="55"/>
      <c r="CH12" s="55">
        <f t="shared" si="3"/>
        <v>300</v>
      </c>
      <c r="CI12" s="55">
        <v>210</v>
      </c>
      <c r="CJ12" s="56">
        <v>200000</v>
      </c>
    </row>
    <row r="13" spans="1:88" ht="15">
      <c r="A13" s="12" t="s">
        <v>9</v>
      </c>
      <c r="B13" s="2">
        <f t="shared" si="0"/>
        <v>206000</v>
      </c>
      <c r="C13" s="2">
        <v>265</v>
      </c>
      <c r="D13" s="2">
        <v>410</v>
      </c>
      <c r="E13" s="25"/>
      <c r="F13" s="25"/>
      <c r="G13" s="25"/>
      <c r="H13" s="25"/>
      <c r="I13" s="25"/>
      <c r="V13" s="21">
        <v>36</v>
      </c>
      <c r="W13" s="3">
        <v>4</v>
      </c>
      <c r="X13" s="10">
        <f t="shared" si="5"/>
        <v>1017.8760197630929</v>
      </c>
      <c r="Y13" s="3">
        <v>816</v>
      </c>
      <c r="Z13" s="3">
        <v>1.3</v>
      </c>
      <c r="AA13" s="14"/>
      <c r="AB13" s="14"/>
      <c r="AC13" s="14"/>
      <c r="AD13" s="14"/>
      <c r="AE13" s="14"/>
      <c r="AF13" s="14"/>
      <c r="AG13" s="14"/>
      <c r="AH13" s="14"/>
      <c r="AI13" s="14"/>
      <c r="AJ13" s="14"/>
      <c r="AK13" s="14"/>
      <c r="AL13" s="14"/>
      <c r="AM13" s="14"/>
      <c r="AN13" s="14"/>
      <c r="AO13" s="14"/>
      <c r="AP13" s="14"/>
      <c r="AQ13" s="14"/>
      <c r="AR13" s="14"/>
      <c r="AS13" s="14"/>
      <c r="AT13" s="14"/>
      <c r="AV13" s="3">
        <v>490</v>
      </c>
      <c r="AW13" s="3">
        <v>765</v>
      </c>
      <c r="AX13" s="3">
        <v>645</v>
      </c>
      <c r="BI13" s="27" t="s">
        <v>81</v>
      </c>
      <c r="BJ13" s="28" t="s">
        <v>82</v>
      </c>
      <c r="BK13" s="29">
        <v>38000</v>
      </c>
      <c r="BL13" s="30">
        <v>36</v>
      </c>
      <c r="BM13" s="30">
        <v>27.5</v>
      </c>
      <c r="BN13" s="31">
        <v>2.4500000000000002</v>
      </c>
      <c r="BO13" s="45">
        <v>1.6</v>
      </c>
      <c r="BP13" s="47" t="s">
        <v>99</v>
      </c>
      <c r="BQ13" s="47">
        <f t="shared" si="6"/>
        <v>40</v>
      </c>
      <c r="CC13" s="55" t="s">
        <v>127</v>
      </c>
      <c r="CD13" s="60">
        <v>400</v>
      </c>
      <c r="CE13" s="60">
        <v>570</v>
      </c>
      <c r="CF13" s="55">
        <f t="shared" si="1"/>
        <v>400</v>
      </c>
      <c r="CG13" s="55"/>
      <c r="CH13" s="55">
        <f t="shared" si="3"/>
        <v>400</v>
      </c>
      <c r="CI13" s="55">
        <v>280</v>
      </c>
      <c r="CJ13" s="56">
        <v>200000</v>
      </c>
    </row>
    <row r="14" spans="1:88" ht="15">
      <c r="A14" s="12" t="s">
        <v>10</v>
      </c>
      <c r="B14" s="2">
        <f t="shared" si="0"/>
        <v>206000</v>
      </c>
      <c r="C14" s="2">
        <v>255</v>
      </c>
      <c r="D14" s="2">
        <v>410</v>
      </c>
      <c r="E14" s="25"/>
      <c r="F14" s="25"/>
      <c r="G14" s="25"/>
      <c r="H14" s="25"/>
      <c r="I14" s="25"/>
      <c r="V14" s="21">
        <v>42</v>
      </c>
      <c r="W14" s="3">
        <v>4.5</v>
      </c>
      <c r="X14" s="10">
        <f t="shared" si="5"/>
        <v>1385.4423602330987</v>
      </c>
      <c r="Y14" s="3">
        <v>1120</v>
      </c>
      <c r="Z14" s="3">
        <v>1.6</v>
      </c>
      <c r="AA14" s="14"/>
      <c r="AB14" s="14"/>
      <c r="AC14" s="14"/>
      <c r="AD14" s="14"/>
      <c r="AE14" s="14"/>
      <c r="AF14" s="14"/>
      <c r="AG14" s="14"/>
      <c r="AH14" s="14"/>
      <c r="AI14" s="14"/>
      <c r="AJ14" s="14"/>
      <c r="AK14" s="14"/>
      <c r="AL14" s="14"/>
      <c r="AM14" s="14"/>
      <c r="AN14" s="14"/>
      <c r="AO14" s="14"/>
      <c r="AP14" s="14"/>
      <c r="AQ14" s="14"/>
      <c r="AR14" s="14"/>
      <c r="AS14" s="14"/>
      <c r="AT14" s="14"/>
      <c r="AV14" s="3">
        <v>510</v>
      </c>
      <c r="AW14" s="3">
        <v>795</v>
      </c>
      <c r="AX14" s="3">
        <v>670</v>
      </c>
      <c r="BI14" s="27" t="s">
        <v>81</v>
      </c>
      <c r="BJ14" s="28" t="s">
        <v>83</v>
      </c>
      <c r="BK14" s="29">
        <v>39000</v>
      </c>
      <c r="BL14" s="30">
        <v>39.5</v>
      </c>
      <c r="BM14" s="30">
        <v>30</v>
      </c>
      <c r="BN14" s="31">
        <v>2.6</v>
      </c>
      <c r="BO14" s="45">
        <v>1.7</v>
      </c>
      <c r="BP14" s="47" t="s">
        <v>100</v>
      </c>
      <c r="BQ14" s="47">
        <f t="shared" si="6"/>
        <v>45</v>
      </c>
      <c r="CC14" s="55" t="s">
        <v>128</v>
      </c>
      <c r="CD14" s="60">
        <v>500</v>
      </c>
      <c r="CE14" s="60">
        <v>650</v>
      </c>
      <c r="CF14" s="55">
        <f t="shared" si="1"/>
        <v>500</v>
      </c>
      <c r="CG14" s="55"/>
      <c r="CH14" s="55">
        <f t="shared" si="3"/>
        <v>500</v>
      </c>
      <c r="CI14" s="55">
        <v>300</v>
      </c>
      <c r="CJ14" s="56">
        <v>200000</v>
      </c>
    </row>
    <row r="15" spans="1:88" ht="15.75" thickBot="1">
      <c r="A15" s="12" t="s">
        <v>11</v>
      </c>
      <c r="B15" s="2">
        <f t="shared" si="0"/>
        <v>206000</v>
      </c>
      <c r="C15" s="2">
        <v>245</v>
      </c>
      <c r="D15" s="2">
        <v>410</v>
      </c>
      <c r="E15" s="25"/>
      <c r="F15" s="25"/>
      <c r="G15" s="25"/>
      <c r="H15" s="25"/>
      <c r="I15" s="25"/>
      <c r="V15" s="21">
        <v>48</v>
      </c>
      <c r="W15" s="3">
        <v>5</v>
      </c>
      <c r="X15" s="10">
        <f t="shared" si="5"/>
        <v>1809.5573684677208</v>
      </c>
      <c r="Y15" s="3">
        <v>1472</v>
      </c>
      <c r="Z15" s="3">
        <v>1.6</v>
      </c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4"/>
      <c r="AO15" s="14"/>
      <c r="AP15" s="14"/>
      <c r="AQ15" s="14"/>
      <c r="AR15" s="14"/>
      <c r="AS15" s="14"/>
      <c r="AT15" s="14"/>
      <c r="AV15" s="3">
        <v>540</v>
      </c>
      <c r="AW15" s="3">
        <v>845</v>
      </c>
      <c r="AX15" s="3">
        <v>710</v>
      </c>
      <c r="BI15" s="32" t="s">
        <v>84</v>
      </c>
      <c r="BJ15" s="33" t="s">
        <v>85</v>
      </c>
      <c r="BK15" s="34">
        <v>39500</v>
      </c>
      <c r="BL15" s="35">
        <v>43</v>
      </c>
      <c r="BM15" s="35">
        <v>33</v>
      </c>
      <c r="BN15" s="36">
        <v>2.75</v>
      </c>
      <c r="BO15" s="46">
        <v>1.8</v>
      </c>
      <c r="BP15" s="47" t="s">
        <v>101</v>
      </c>
      <c r="BQ15" s="47">
        <f t="shared" si="6"/>
        <v>50</v>
      </c>
      <c r="CC15" s="55" t="s">
        <v>122</v>
      </c>
      <c r="CD15" s="60">
        <v>235</v>
      </c>
      <c r="CE15" s="60">
        <v>380</v>
      </c>
      <c r="CF15" s="55">
        <f t="shared" si="1"/>
        <v>235</v>
      </c>
      <c r="CG15" s="55">
        <f t="shared" si="2"/>
        <v>204.34782608695653</v>
      </c>
      <c r="CH15" s="55">
        <f t="shared" si="3"/>
        <v>235</v>
      </c>
      <c r="CI15" s="55">
        <f t="shared" si="4"/>
        <v>164.5</v>
      </c>
      <c r="CJ15" s="58">
        <v>200000</v>
      </c>
    </row>
    <row r="16" spans="1:88">
      <c r="A16" s="12" t="s">
        <v>12</v>
      </c>
      <c r="B16" s="2">
        <f t="shared" si="0"/>
        <v>206000</v>
      </c>
      <c r="C16" s="2">
        <v>235</v>
      </c>
      <c r="D16" s="2">
        <v>410</v>
      </c>
      <c r="E16" s="25"/>
      <c r="F16" s="25"/>
      <c r="G16" s="25"/>
      <c r="H16" s="25"/>
      <c r="I16" s="25"/>
      <c r="AV16" s="3">
        <v>570</v>
      </c>
      <c r="AW16" s="3">
        <v>890</v>
      </c>
      <c r="AX16" s="3">
        <v>750</v>
      </c>
      <c r="CC16" s="55" t="s">
        <v>123</v>
      </c>
      <c r="CD16" s="60">
        <v>295</v>
      </c>
      <c r="CE16" s="60">
        <v>440</v>
      </c>
      <c r="CF16" s="55">
        <f t="shared" si="1"/>
        <v>295</v>
      </c>
      <c r="CG16" s="55">
        <f t="shared" si="2"/>
        <v>256.52173913043481</v>
      </c>
      <c r="CH16" s="55">
        <f t="shared" si="3"/>
        <v>295</v>
      </c>
      <c r="CI16" s="55">
        <f t="shared" si="4"/>
        <v>206.5</v>
      </c>
      <c r="CJ16" s="58">
        <v>200000</v>
      </c>
    </row>
    <row r="17" spans="1:88">
      <c r="A17" s="12" t="s">
        <v>13</v>
      </c>
      <c r="B17" s="2">
        <f t="shared" si="0"/>
        <v>206000</v>
      </c>
      <c r="C17" s="2">
        <v>355</v>
      </c>
      <c r="D17" s="2">
        <v>470</v>
      </c>
      <c r="E17" s="25"/>
      <c r="F17" s="25"/>
      <c r="G17" s="25"/>
      <c r="H17" s="25"/>
      <c r="I17" s="25"/>
      <c r="AV17" s="3">
        <v>590</v>
      </c>
      <c r="AW17" s="3">
        <v>920</v>
      </c>
      <c r="AX17" s="3">
        <v>775</v>
      </c>
      <c r="CC17" s="55" t="s">
        <v>118</v>
      </c>
      <c r="CD17" s="60">
        <v>295</v>
      </c>
      <c r="CE17" s="60">
        <v>440</v>
      </c>
      <c r="CF17" s="55">
        <f t="shared" si="1"/>
        <v>295</v>
      </c>
      <c r="CG17" s="55">
        <f t="shared" si="2"/>
        <v>256.52173913043481</v>
      </c>
      <c r="CH17" s="55">
        <f t="shared" si="3"/>
        <v>295</v>
      </c>
      <c r="CI17" s="55">
        <f t="shared" si="4"/>
        <v>206.5</v>
      </c>
      <c r="CJ17" s="58">
        <v>200000</v>
      </c>
    </row>
    <row r="18" spans="1:88">
      <c r="A18" s="12" t="s">
        <v>14</v>
      </c>
      <c r="B18" s="2">
        <f t="shared" si="0"/>
        <v>206000</v>
      </c>
      <c r="C18" s="2">
        <v>345</v>
      </c>
      <c r="D18" s="2">
        <v>470</v>
      </c>
      <c r="E18" s="25"/>
      <c r="F18" s="25"/>
      <c r="G18" s="25"/>
      <c r="H18" s="25"/>
      <c r="I18" s="25"/>
      <c r="AV18" s="3"/>
      <c r="AW18" s="3"/>
      <c r="AX18" s="3"/>
      <c r="CC18" s="55" t="s">
        <v>119</v>
      </c>
      <c r="CD18" s="60">
        <v>390</v>
      </c>
      <c r="CE18" s="60">
        <v>560</v>
      </c>
      <c r="CF18" s="55">
        <f t="shared" si="1"/>
        <v>390</v>
      </c>
      <c r="CG18" s="55">
        <f t="shared" si="2"/>
        <v>339.13043478260875</v>
      </c>
      <c r="CH18" s="55">
        <f t="shared" si="3"/>
        <v>390</v>
      </c>
      <c r="CI18" s="55">
        <f t="shared" si="4"/>
        <v>273</v>
      </c>
      <c r="CJ18" s="57">
        <v>200000</v>
      </c>
    </row>
    <row r="19" spans="1:88">
      <c r="A19" s="12" t="s">
        <v>15</v>
      </c>
      <c r="B19" s="2">
        <f t="shared" si="0"/>
        <v>206000</v>
      </c>
      <c r="C19" s="2">
        <v>335</v>
      </c>
      <c r="D19" s="2">
        <v>470</v>
      </c>
      <c r="E19" s="25"/>
      <c r="F19" s="25"/>
      <c r="G19" s="25"/>
      <c r="H19" s="25"/>
      <c r="I19" s="25"/>
      <c r="AV19" s="3"/>
      <c r="AW19" s="3"/>
      <c r="AX19" s="3"/>
      <c r="CC19" s="55" t="s">
        <v>120</v>
      </c>
      <c r="CD19" s="60">
        <v>490</v>
      </c>
      <c r="CE19" s="60">
        <v>620</v>
      </c>
      <c r="CF19" s="55">
        <f t="shared" si="1"/>
        <v>490</v>
      </c>
      <c r="CG19" s="55">
        <f t="shared" si="2"/>
        <v>426.08695652173918</v>
      </c>
      <c r="CH19" s="55">
        <f t="shared" si="3"/>
        <v>490</v>
      </c>
      <c r="CI19" s="55">
        <f t="shared" si="4"/>
        <v>343</v>
      </c>
      <c r="CJ19" s="58">
        <v>200000</v>
      </c>
    </row>
    <row r="20" spans="1:88">
      <c r="A20" s="12" t="s">
        <v>16</v>
      </c>
      <c r="B20" s="2">
        <f t="shared" si="0"/>
        <v>206000</v>
      </c>
      <c r="C20" s="2">
        <v>325</v>
      </c>
      <c r="D20" s="2">
        <v>470</v>
      </c>
      <c r="E20" s="25"/>
      <c r="F20" s="25"/>
      <c r="G20" s="25"/>
      <c r="H20" s="25"/>
      <c r="I20" s="25"/>
      <c r="AV20" s="3"/>
      <c r="AW20" s="3"/>
      <c r="AX20" s="3"/>
      <c r="CC20" s="52"/>
      <c r="CD20" s="61"/>
      <c r="CE20" s="61"/>
    </row>
    <row r="21" spans="1:88">
      <c r="A21" s="12" t="s">
        <v>17</v>
      </c>
      <c r="B21" s="2">
        <f t="shared" si="0"/>
        <v>206000</v>
      </c>
      <c r="C21" s="2">
        <v>315</v>
      </c>
      <c r="D21" s="2">
        <v>470</v>
      </c>
      <c r="E21" s="25"/>
      <c r="F21" s="25"/>
      <c r="G21" s="25"/>
      <c r="H21" s="25"/>
      <c r="I21" s="25"/>
      <c r="AV21" s="3"/>
      <c r="AW21" s="3"/>
      <c r="AX21" s="3"/>
      <c r="CC21" s="52"/>
      <c r="CD21" s="61"/>
      <c r="CE21" s="61"/>
    </row>
    <row r="22" spans="1:88">
      <c r="A22" s="12" t="s">
        <v>32</v>
      </c>
      <c r="B22" s="2">
        <f t="shared" si="0"/>
        <v>206000</v>
      </c>
      <c r="C22" s="2">
        <v>205</v>
      </c>
      <c r="D22" s="2">
        <v>330</v>
      </c>
      <c r="E22" s="25"/>
      <c r="F22" s="25"/>
      <c r="G22" s="25"/>
      <c r="H22" s="25"/>
      <c r="I22" s="25"/>
      <c r="AV22" s="3"/>
      <c r="AW22" s="3"/>
      <c r="AX22" s="3"/>
    </row>
    <row r="23" spans="1:88">
      <c r="A23" s="12" t="s">
        <v>33</v>
      </c>
      <c r="B23" s="2">
        <f t="shared" si="0"/>
        <v>206000</v>
      </c>
      <c r="C23" s="2">
        <v>195</v>
      </c>
      <c r="D23" s="2">
        <v>330</v>
      </c>
      <c r="E23" s="25"/>
      <c r="F23" s="25"/>
      <c r="G23" s="25"/>
      <c r="H23" s="25"/>
      <c r="I23" s="25"/>
      <c r="AV23" s="3"/>
      <c r="AW23" s="3"/>
      <c r="AX23" s="3"/>
    </row>
    <row r="24" spans="1:88">
      <c r="A24" s="12" t="s">
        <v>34</v>
      </c>
      <c r="B24" s="2">
        <f t="shared" si="0"/>
        <v>206000</v>
      </c>
      <c r="C24" s="2">
        <v>245</v>
      </c>
      <c r="D24" s="2">
        <v>400</v>
      </c>
      <c r="E24" s="25"/>
      <c r="F24" s="25"/>
      <c r="G24" s="25"/>
      <c r="H24" s="25"/>
      <c r="I24" s="25"/>
    </row>
    <row r="25" spans="1:88">
      <c r="A25" s="12" t="s">
        <v>35</v>
      </c>
      <c r="B25" s="2">
        <f t="shared" si="0"/>
        <v>206000</v>
      </c>
      <c r="C25" s="2">
        <v>235</v>
      </c>
      <c r="D25" s="2">
        <v>400</v>
      </c>
      <c r="E25" s="25"/>
      <c r="F25" s="25"/>
      <c r="G25" s="25"/>
      <c r="H25" s="25"/>
      <c r="I25" s="25"/>
    </row>
    <row r="26" spans="1:88">
      <c r="A26" s="12" t="s">
        <v>36</v>
      </c>
      <c r="B26" s="2">
        <f t="shared" si="0"/>
        <v>206000</v>
      </c>
      <c r="C26" s="2">
        <v>285</v>
      </c>
      <c r="D26" s="2">
        <v>490</v>
      </c>
      <c r="E26" s="25"/>
      <c r="F26" s="25"/>
      <c r="G26" s="25"/>
      <c r="H26" s="25"/>
      <c r="I26" s="25"/>
    </row>
    <row r="27" spans="1:88">
      <c r="A27" s="12" t="s">
        <v>37</v>
      </c>
      <c r="B27" s="2">
        <f t="shared" si="0"/>
        <v>206000</v>
      </c>
      <c r="C27" s="2">
        <v>275</v>
      </c>
      <c r="D27" s="2">
        <v>490</v>
      </c>
      <c r="E27" s="25"/>
      <c r="F27" s="25"/>
      <c r="G27" s="25"/>
      <c r="H27" s="25"/>
      <c r="I27" s="25"/>
    </row>
    <row r="28" spans="1:88">
      <c r="A28" s="12" t="s">
        <v>38</v>
      </c>
      <c r="B28" s="2">
        <f t="shared" si="0"/>
        <v>206000</v>
      </c>
      <c r="C28" s="2">
        <v>400</v>
      </c>
      <c r="D28" s="2">
        <v>540</v>
      </c>
      <c r="E28" s="25"/>
      <c r="F28" s="25"/>
      <c r="G28" s="25"/>
      <c r="H28" s="25"/>
      <c r="I28" s="25"/>
    </row>
    <row r="29" spans="1:88">
      <c r="A29" s="12" t="s">
        <v>39</v>
      </c>
      <c r="B29" s="2">
        <f t="shared" si="0"/>
        <v>206000</v>
      </c>
      <c r="C29" s="2">
        <v>390</v>
      </c>
      <c r="D29" s="2">
        <v>540</v>
      </c>
      <c r="E29" s="25"/>
      <c r="F29" s="25"/>
      <c r="G29" s="25"/>
      <c r="H29" s="25"/>
      <c r="I29" s="25"/>
    </row>
  </sheetData>
  <mergeCells count="14">
    <mergeCell ref="A1:A2"/>
    <mergeCell ref="K1:O2"/>
    <mergeCell ref="CC2:CC3"/>
    <mergeCell ref="CC1:CJ1"/>
    <mergeCell ref="BL1:BO1"/>
    <mergeCell ref="BL2:BM2"/>
    <mergeCell ref="BN2:BO2"/>
    <mergeCell ref="BP1:BQ2"/>
    <mergeCell ref="V1:Z2"/>
    <mergeCell ref="AZ1:BB1"/>
    <mergeCell ref="BI1:BJ4"/>
    <mergeCell ref="BK1:BK3"/>
    <mergeCell ref="AV1:AX1"/>
    <mergeCell ref="BP3:BP4"/>
  </mergeCells>
  <pageMargins left="0.59055118110236227" right="0.31496062992125984" top="0.59055118110236227" bottom="0.59055118110236227" header="0.31496062992125984" footer="0.31496062992125984"/>
  <pageSetup orientation="portrait" r:id="rId1"/>
  <ignoredErrors>
    <ignoredError sqref="CG4:CG19" formula="1"/>
  </ignoredErrors>
  <picture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6666"/>
  </sheetPr>
  <dimension ref="A1:L62"/>
  <sheetViews>
    <sheetView showGridLines="0" tabSelected="1" topLeftCell="A11" zoomScale="130" zoomScaleNormal="130" zoomScaleSheetLayoutView="100" workbookViewId="0">
      <selection activeCell="O32" sqref="O32"/>
    </sheetView>
  </sheetViews>
  <sheetFormatPr defaultColWidth="7.28515625" defaultRowHeight="12.75"/>
  <cols>
    <col min="1" max="1" width="5.140625" style="1" customWidth="1"/>
    <col min="2" max="9" width="7.7109375" style="1" customWidth="1"/>
    <col min="10" max="10" width="8.42578125" style="1" customWidth="1"/>
    <col min="11" max="12" width="7.7109375" style="1" customWidth="1"/>
    <col min="13" max="16384" width="7.28515625" style="1"/>
  </cols>
  <sheetData>
    <row r="1" spans="1:12" hidden="1"/>
    <row r="2" spans="1:12" hidden="1"/>
    <row r="3" spans="1:12" hidden="1"/>
    <row r="4" spans="1:12" hidden="1"/>
    <row r="5" spans="1:12" hidden="1"/>
    <row r="6" spans="1:12" hidden="1"/>
    <row r="7" spans="1:12" hidden="1"/>
    <row r="8" spans="1:12" hidden="1"/>
    <row r="9" spans="1:12" hidden="1"/>
    <row r="10" spans="1:12" hidden="1"/>
    <row r="11" spans="1:12" ht="20.25" customHeight="1">
      <c r="A11" s="127" t="s">
        <v>129</v>
      </c>
      <c r="B11" s="128"/>
      <c r="C11" s="128"/>
      <c r="D11" s="128"/>
      <c r="E11" s="128"/>
      <c r="F11" s="128"/>
      <c r="G11" s="128"/>
      <c r="H11" s="128"/>
      <c r="I11" s="128"/>
      <c r="J11" s="123"/>
      <c r="K11" s="123"/>
      <c r="L11" s="124"/>
    </row>
    <row r="12" spans="1:12" ht="12.75" customHeight="1">
      <c r="A12" s="129"/>
      <c r="B12" s="130"/>
      <c r="C12" s="130"/>
      <c r="D12" s="130"/>
      <c r="E12" s="130"/>
      <c r="F12" s="130"/>
      <c r="G12" s="130"/>
      <c r="H12" s="130"/>
      <c r="I12" s="130"/>
      <c r="J12" s="125"/>
      <c r="K12" s="125"/>
      <c r="L12" s="126"/>
    </row>
    <row r="13" spans="1:12" ht="15" customHeight="1">
      <c r="A13" s="131" t="s">
        <v>0</v>
      </c>
      <c r="B13" s="132"/>
      <c r="C13" s="132"/>
      <c r="D13" s="133"/>
      <c r="E13" s="133"/>
      <c r="F13" s="133"/>
      <c r="G13" s="133"/>
      <c r="H13" s="133"/>
      <c r="I13" s="133"/>
      <c r="J13" s="133"/>
      <c r="K13" s="133"/>
      <c r="L13" s="5"/>
    </row>
    <row r="14" spans="1:12">
      <c r="A14" s="6" t="s">
        <v>130</v>
      </c>
      <c r="B14" s="133"/>
      <c r="C14" s="133"/>
      <c r="D14" s="134"/>
      <c r="E14" s="135"/>
      <c r="F14" s="133"/>
      <c r="G14" s="136"/>
      <c r="H14" s="137"/>
      <c r="I14" s="133"/>
      <c r="J14" s="136"/>
      <c r="K14" s="136"/>
      <c r="L14" s="8"/>
    </row>
    <row r="15" spans="1:12">
      <c r="A15" s="6" t="s">
        <v>131</v>
      </c>
      <c r="B15" s="133"/>
      <c r="C15" s="133"/>
      <c r="D15" s="134"/>
      <c r="E15" s="135"/>
      <c r="F15" s="133"/>
      <c r="G15" s="136"/>
      <c r="H15" s="136"/>
      <c r="I15" s="136"/>
      <c r="J15" s="136"/>
      <c r="K15" s="138" t="s">
        <v>34</v>
      </c>
      <c r="L15" s="8"/>
    </row>
    <row r="16" spans="1:12" ht="14.25">
      <c r="A16" s="7"/>
      <c r="B16" s="133" t="str">
        <f>"- Cường độ tiêu chuẩn của thép:"</f>
        <v>- Cường độ tiêu chuẩn của thép:</v>
      </c>
      <c r="C16" s="133"/>
      <c r="D16" s="134"/>
      <c r="E16" s="139"/>
      <c r="F16" s="133"/>
      <c r="G16" s="136"/>
      <c r="H16" s="136"/>
      <c r="I16" s="136"/>
      <c r="J16" s="140" t="s">
        <v>132</v>
      </c>
      <c r="K16" s="141">
        <f>VLOOKUP(K15,Data!$A$3:$D$29,3,FALSE)</f>
        <v>245</v>
      </c>
      <c r="L16" s="64" t="s">
        <v>23</v>
      </c>
    </row>
    <row r="17" spans="1:12" ht="14.25">
      <c r="A17" s="7"/>
      <c r="B17" s="133" t="str">
        <f>"- Cường độ tiêu chuẩn kéo đứt của thép:"</f>
        <v>- Cường độ tiêu chuẩn kéo đứt của thép:</v>
      </c>
      <c r="C17" s="133"/>
      <c r="D17" s="134"/>
      <c r="E17" s="139"/>
      <c r="F17" s="133"/>
      <c r="G17" s="136"/>
      <c r="H17" s="136"/>
      <c r="I17" s="136"/>
      <c r="J17" s="140" t="s">
        <v>133</v>
      </c>
      <c r="K17" s="141">
        <f>VLOOKUP(K15,Data!$A$3:$D$29,4,FALSE)</f>
        <v>400</v>
      </c>
      <c r="L17" s="64" t="s">
        <v>23</v>
      </c>
    </row>
    <row r="18" spans="1:12" ht="15" customHeight="1">
      <c r="A18" s="7"/>
      <c r="B18" s="133" t="str">
        <f>"- Cường độ tính toán của thép:"</f>
        <v>- Cường độ tính toán của thép:</v>
      </c>
      <c r="C18" s="133"/>
      <c r="D18" s="134"/>
      <c r="E18" s="139"/>
      <c r="F18" s="136"/>
      <c r="G18" s="136"/>
      <c r="H18" s="142" t="s">
        <v>134</v>
      </c>
      <c r="I18" s="143">
        <v>1.05</v>
      </c>
      <c r="J18" s="140" t="s">
        <v>135</v>
      </c>
      <c r="K18" s="144">
        <f>K16/I18</f>
        <v>233.33333333333331</v>
      </c>
      <c r="L18" s="64" t="s">
        <v>23</v>
      </c>
    </row>
    <row r="19" spans="1:12" ht="15" customHeight="1">
      <c r="A19" s="7"/>
      <c r="B19" s="133" t="str">
        <f>"- Hệ số điều kiện làm việc của kết cấu (Bảng 1 - Mục 9):"</f>
        <v>- Hệ số điều kiện làm việc của kết cấu (Bảng 1 - Mục 9):</v>
      </c>
      <c r="C19" s="133"/>
      <c r="D19" s="134"/>
      <c r="E19" s="139"/>
      <c r="F19" s="133"/>
      <c r="G19" s="136"/>
      <c r="H19" s="136"/>
      <c r="I19" s="136"/>
      <c r="J19" s="142" t="s">
        <v>136</v>
      </c>
      <c r="K19" s="143">
        <v>0.9</v>
      </c>
      <c r="L19" s="64" t="s">
        <v>23</v>
      </c>
    </row>
    <row r="20" spans="1:12">
      <c r="A20" s="6" t="s">
        <v>143</v>
      </c>
      <c r="B20" s="133"/>
      <c r="C20" s="133"/>
      <c r="D20" s="134"/>
      <c r="E20" s="135"/>
      <c r="F20" s="133"/>
      <c r="G20" s="136"/>
      <c r="H20" s="136"/>
      <c r="I20" s="136"/>
      <c r="J20" s="136"/>
      <c r="K20" s="136"/>
      <c r="L20" s="8"/>
    </row>
    <row r="21" spans="1:12">
      <c r="A21" s="7"/>
      <c r="B21" s="133" t="str">
        <f>"- Que hàn:"</f>
        <v>- Que hàn:</v>
      </c>
      <c r="C21" s="133"/>
      <c r="D21" s="134"/>
      <c r="E21" s="139"/>
      <c r="F21" s="133"/>
      <c r="G21" s="136"/>
      <c r="H21" s="136"/>
      <c r="I21" s="136"/>
      <c r="J21" s="136"/>
      <c r="K21" s="143" t="s">
        <v>59</v>
      </c>
      <c r="L21" s="8"/>
    </row>
    <row r="22" spans="1:12" ht="14.25">
      <c r="A22" s="7"/>
      <c r="B22" s="133" t="str">
        <f>"- Cường độ tiêu chuẩn theo giới hạn bền:"</f>
        <v>- Cường độ tiêu chuẩn theo giới hạn bền:</v>
      </c>
      <c r="C22" s="133"/>
      <c r="D22" s="134"/>
      <c r="E22" s="139"/>
      <c r="F22" s="133"/>
      <c r="G22" s="136"/>
      <c r="H22" s="136"/>
      <c r="I22" s="136"/>
      <c r="J22" s="140" t="s">
        <v>137</v>
      </c>
      <c r="K22" s="145">
        <f>VLOOKUP(K21,Data!$AZ$3:$BB$7,2,FALSE)</f>
        <v>450</v>
      </c>
      <c r="L22" s="64" t="s">
        <v>23</v>
      </c>
    </row>
    <row r="23" spans="1:12" ht="14.25">
      <c r="A23" s="7"/>
      <c r="B23" s="133" t="str">
        <f>"- Cường độ tính toán theo kim loại đường hàn:"</f>
        <v>- Cường độ tính toán theo kim loại đường hàn:</v>
      </c>
      <c r="C23" s="133"/>
      <c r="D23" s="134"/>
      <c r="E23" s="139"/>
      <c r="F23" s="133"/>
      <c r="G23" s="136"/>
      <c r="H23" s="142" t="s">
        <v>138</v>
      </c>
      <c r="I23" s="143">
        <v>0.7</v>
      </c>
      <c r="J23" s="140" t="s">
        <v>139</v>
      </c>
      <c r="K23" s="145">
        <f>VLOOKUP(K21,Data!$AZ$3:$BB$7,3,FALSE)</f>
        <v>200</v>
      </c>
      <c r="L23" s="64" t="s">
        <v>23</v>
      </c>
    </row>
    <row r="24" spans="1:12" ht="14.25">
      <c r="A24" s="7"/>
      <c r="B24" s="133" t="str">
        <f>"- Cường độ tính toán theo kim loại biên nóng chảy:"</f>
        <v>- Cường độ tính toán theo kim loại biên nóng chảy:</v>
      </c>
      <c r="C24" s="133"/>
      <c r="D24" s="134"/>
      <c r="E24" s="139"/>
      <c r="F24" s="133"/>
      <c r="G24" s="136"/>
      <c r="H24" s="142" t="s">
        <v>140</v>
      </c>
      <c r="I24" s="146">
        <v>1</v>
      </c>
      <c r="J24" s="140" t="s">
        <v>141</v>
      </c>
      <c r="K24" s="145">
        <f>0.45*K17</f>
        <v>180</v>
      </c>
      <c r="L24" s="64" t="s">
        <v>23</v>
      </c>
    </row>
    <row r="25" spans="1:12" ht="14.25">
      <c r="A25" s="7"/>
      <c r="B25" s="133" t="str">
        <f>"- Hệ số điều kiện làm việc :"</f>
        <v>- Hệ số điều kiện làm việc :</v>
      </c>
      <c r="C25" s="133"/>
      <c r="D25" s="134"/>
      <c r="E25" s="139"/>
      <c r="F25" s="133"/>
      <c r="G25" s="136"/>
      <c r="H25" s="136"/>
      <c r="I25" s="136"/>
      <c r="J25" s="142" t="s">
        <v>136</v>
      </c>
      <c r="K25" s="143">
        <v>0.9</v>
      </c>
      <c r="L25" s="64" t="s">
        <v>23</v>
      </c>
    </row>
    <row r="26" spans="1:12" ht="14.25">
      <c r="A26" s="7"/>
      <c r="B26" s="133" t="str">
        <f>"- Cường độ tính toán của đường hàn:"</f>
        <v>- Cường độ tính toán của đường hàn:</v>
      </c>
      <c r="C26" s="133"/>
      <c r="D26" s="134"/>
      <c r="E26" s="139"/>
      <c r="F26" s="133"/>
      <c r="G26" s="136"/>
      <c r="H26" s="142"/>
      <c r="I26" s="143"/>
      <c r="J26" s="140" t="s">
        <v>142</v>
      </c>
      <c r="K26" s="146">
        <f>1.15*MIN(I23*K23,I24*K24)*K25</f>
        <v>144.9</v>
      </c>
      <c r="L26" s="64" t="s">
        <v>23</v>
      </c>
    </row>
    <row r="27" spans="1:12">
      <c r="A27" s="6" t="s">
        <v>144</v>
      </c>
      <c r="B27" s="133"/>
      <c r="C27" s="133"/>
      <c r="D27" s="134"/>
      <c r="E27" s="135"/>
      <c r="F27" s="133"/>
      <c r="G27" s="136"/>
      <c r="H27" s="137"/>
      <c r="I27" s="133"/>
      <c r="J27" s="136"/>
      <c r="K27" s="136"/>
      <c r="L27" s="8"/>
    </row>
    <row r="28" spans="1:12">
      <c r="A28" s="7"/>
      <c r="B28" s="133" t="str">
        <f>"- Chiều dày tấm sàn:"</f>
        <v>- Chiều dày tấm sàn:</v>
      </c>
      <c r="C28" s="133"/>
      <c r="D28" s="134"/>
      <c r="E28" s="147"/>
      <c r="F28" s="133"/>
      <c r="G28" s="136"/>
      <c r="H28" s="136"/>
      <c r="I28" s="136"/>
      <c r="J28" s="142" t="s">
        <v>164</v>
      </c>
      <c r="K28" s="143">
        <v>4</v>
      </c>
      <c r="L28" s="64" t="s">
        <v>1</v>
      </c>
    </row>
    <row r="29" spans="1:12">
      <c r="A29" s="7"/>
      <c r="B29" s="133" t="str">
        <f>"- Nhịp tính toán:"</f>
        <v>- Nhịp tính toán:</v>
      </c>
      <c r="C29" s="133"/>
      <c r="D29" s="134"/>
      <c r="E29" s="147"/>
      <c r="F29" s="133"/>
      <c r="G29" s="136"/>
      <c r="H29" s="136"/>
      <c r="I29" s="136"/>
      <c r="J29" s="140" t="s">
        <v>146</v>
      </c>
      <c r="K29" s="143">
        <v>1200</v>
      </c>
      <c r="L29" s="64" t="s">
        <v>1</v>
      </c>
    </row>
    <row r="30" spans="1:12">
      <c r="A30" s="7"/>
      <c r="B30" s="133" t="str">
        <f>"- Bề rộng tính toán:"</f>
        <v>- Bề rộng tính toán:</v>
      </c>
      <c r="C30" s="133"/>
      <c r="D30" s="134"/>
      <c r="E30" s="147"/>
      <c r="F30" s="133"/>
      <c r="G30" s="136"/>
      <c r="H30" s="136"/>
      <c r="I30" s="136"/>
      <c r="J30" s="140" t="s">
        <v>145</v>
      </c>
      <c r="K30" s="146">
        <v>10</v>
      </c>
      <c r="L30" s="64" t="s">
        <v>1</v>
      </c>
    </row>
    <row r="31" spans="1:12" hidden="1">
      <c r="A31" s="7"/>
      <c r="B31" s="133" t="str">
        <f>"- Sơ đồ tính:"</f>
        <v>- Sơ đồ tính:</v>
      </c>
      <c r="C31" s="133"/>
      <c r="D31" s="134"/>
      <c r="E31" s="147"/>
      <c r="F31" s="133"/>
      <c r="G31" s="136"/>
      <c r="H31" s="136"/>
      <c r="I31" s="136"/>
      <c r="J31" s="133"/>
      <c r="K31" s="141" t="s">
        <v>147</v>
      </c>
      <c r="L31" s="5"/>
    </row>
    <row r="32" spans="1:12">
      <c r="A32" s="6" t="s">
        <v>148</v>
      </c>
      <c r="B32" s="133"/>
      <c r="C32" s="133"/>
      <c r="D32" s="134"/>
      <c r="E32" s="135"/>
      <c r="F32" s="133"/>
      <c r="G32" s="136"/>
      <c r="H32" s="137"/>
      <c r="I32" s="133"/>
      <c r="J32" s="136"/>
      <c r="K32" s="136"/>
      <c r="L32" s="8"/>
    </row>
    <row r="33" spans="1:12">
      <c r="A33" s="7"/>
      <c r="B33" s="133" t="str">
        <f>"- Tải trọng tính cho bề rộng 1m sàn:"</f>
        <v>- Tải trọng tính cho bề rộng 1m sàn:</v>
      </c>
      <c r="C33" s="133"/>
      <c r="D33" s="134"/>
      <c r="E33" s="147"/>
      <c r="F33" s="133"/>
      <c r="G33" s="136"/>
      <c r="H33" s="136"/>
      <c r="I33" s="136"/>
      <c r="J33" s="133"/>
      <c r="K33" s="133"/>
      <c r="L33" s="5"/>
    </row>
    <row r="34" spans="1:12" ht="14.25">
      <c r="A34" s="7"/>
      <c r="B34" s="82" t="s">
        <v>149</v>
      </c>
      <c r="C34" s="83"/>
      <c r="D34" s="83"/>
      <c r="E34" s="84"/>
      <c r="F34" s="83"/>
      <c r="G34" s="83"/>
      <c r="H34" s="83"/>
      <c r="I34" s="85" t="s">
        <v>154</v>
      </c>
      <c r="J34" s="86" t="s">
        <v>155</v>
      </c>
      <c r="K34" s="98" t="s">
        <v>156</v>
      </c>
      <c r="L34" s="5"/>
    </row>
    <row r="35" spans="1:12" ht="15">
      <c r="A35" s="7"/>
      <c r="B35" s="87"/>
      <c r="C35" s="88"/>
      <c r="D35" s="88"/>
      <c r="E35" s="89"/>
      <c r="F35" s="88"/>
      <c r="G35" s="88"/>
      <c r="H35" s="88"/>
      <c r="I35" s="90" t="s">
        <v>157</v>
      </c>
      <c r="J35" s="90"/>
      <c r="K35" s="97" t="s">
        <v>157</v>
      </c>
      <c r="L35" s="5"/>
    </row>
    <row r="36" spans="1:12">
      <c r="A36" s="7"/>
      <c r="B36" s="81" t="s">
        <v>150</v>
      </c>
      <c r="C36" s="65"/>
      <c r="D36" s="66"/>
      <c r="E36" s="67"/>
      <c r="F36" s="65"/>
      <c r="G36" s="68"/>
      <c r="H36" s="68"/>
      <c r="I36" s="73"/>
      <c r="J36" s="103"/>
      <c r="K36" s="74"/>
      <c r="L36" s="5"/>
    </row>
    <row r="37" spans="1:12">
      <c r="A37" s="7"/>
      <c r="B37" s="75"/>
      <c r="C37" s="133" t="s">
        <v>151</v>
      </c>
      <c r="D37" s="134"/>
      <c r="E37" s="147"/>
      <c r="F37" s="133"/>
      <c r="G37" s="136"/>
      <c r="H37" s="136"/>
      <c r="I37" s="99">
        <f>K28*78.5/1000</f>
        <v>0.314</v>
      </c>
      <c r="J37" s="104">
        <v>1.1000000000000001</v>
      </c>
      <c r="K37" s="93">
        <f>I37*J37</f>
        <v>0.34540000000000004</v>
      </c>
      <c r="L37" s="5"/>
    </row>
    <row r="38" spans="1:12">
      <c r="A38" s="7"/>
      <c r="B38" s="75"/>
      <c r="C38" s="133" t="s">
        <v>152</v>
      </c>
      <c r="D38" s="134"/>
      <c r="E38" s="147"/>
      <c r="F38" s="133"/>
      <c r="G38" s="136"/>
      <c r="H38" s="136"/>
      <c r="I38" s="100">
        <v>0</v>
      </c>
      <c r="J38" s="100" t="str">
        <f>IF(I38&gt;0,1.1,"")</f>
        <v/>
      </c>
      <c r="K38" s="80" t="str">
        <f>IF(I38&gt;0,I38*J38,"")</f>
        <v/>
      </c>
      <c r="L38" s="5"/>
    </row>
    <row r="39" spans="1:12">
      <c r="A39" s="7"/>
      <c r="B39" s="69"/>
      <c r="C39" s="70" t="s">
        <v>153</v>
      </c>
      <c r="D39" s="71"/>
      <c r="E39" s="72"/>
      <c r="F39" s="70"/>
      <c r="G39" s="9"/>
      <c r="H39" s="9"/>
      <c r="I39" s="101">
        <v>0</v>
      </c>
      <c r="J39" s="101" t="str">
        <f>IF(I39&gt;0,1.1,"")</f>
        <v/>
      </c>
      <c r="K39" s="95" t="str">
        <f>IF(I39&gt;0,I39*J39,"")</f>
        <v/>
      </c>
      <c r="L39" s="5"/>
    </row>
    <row r="40" spans="1:12">
      <c r="A40" s="7"/>
      <c r="B40" s="91" t="s">
        <v>158</v>
      </c>
      <c r="C40" s="92" t="s">
        <v>159</v>
      </c>
      <c r="D40" s="77"/>
      <c r="E40" s="78"/>
      <c r="F40" s="76"/>
      <c r="G40" s="79"/>
      <c r="H40" s="79"/>
      <c r="I40" s="4">
        <v>3</v>
      </c>
      <c r="J40" s="4">
        <v>1.2</v>
      </c>
      <c r="K40" s="94">
        <f>I40*J40</f>
        <v>3.5999999999999996</v>
      </c>
      <c r="L40" s="5"/>
    </row>
    <row r="41" spans="1:12">
      <c r="A41" s="7"/>
      <c r="B41" s="91" t="s">
        <v>160</v>
      </c>
      <c r="C41" s="92"/>
      <c r="D41" s="77"/>
      <c r="E41" s="78"/>
      <c r="F41" s="76"/>
      <c r="G41" s="79"/>
      <c r="H41" s="79"/>
      <c r="I41" s="102">
        <f>SUM(I37:I40)</f>
        <v>3.3140000000000001</v>
      </c>
      <c r="J41" s="4" t="s">
        <v>161</v>
      </c>
      <c r="K41" s="96">
        <f>SUM(K37:K40)</f>
        <v>3.9453999999999998</v>
      </c>
      <c r="L41" s="5"/>
    </row>
    <row r="42" spans="1:12">
      <c r="A42" s="7"/>
      <c r="B42" s="133"/>
      <c r="C42" s="133"/>
      <c r="D42" s="134"/>
      <c r="E42" s="147"/>
      <c r="F42" s="133"/>
      <c r="G42" s="136"/>
      <c r="H42" s="136"/>
      <c r="I42" s="136"/>
      <c r="J42" s="133"/>
      <c r="K42" s="133"/>
      <c r="L42" s="5"/>
    </row>
    <row r="43" spans="1:12">
      <c r="A43" s="131" t="s">
        <v>21</v>
      </c>
      <c r="B43" s="132"/>
      <c r="C43" s="132"/>
      <c r="D43" s="136"/>
      <c r="E43" s="136"/>
      <c r="F43" s="136"/>
      <c r="G43" s="136"/>
      <c r="H43" s="136"/>
      <c r="I43" s="136"/>
      <c r="J43" s="136"/>
      <c r="K43" s="136"/>
      <c r="L43" s="5"/>
    </row>
    <row r="44" spans="1:12">
      <c r="A44" s="17" t="s">
        <v>180</v>
      </c>
      <c r="B44" s="136"/>
      <c r="C44" s="136"/>
      <c r="D44" s="136"/>
      <c r="E44" s="136"/>
      <c r="F44" s="136"/>
      <c r="G44" s="136"/>
      <c r="H44" s="136"/>
      <c r="I44" s="136"/>
      <c r="J44" s="136"/>
      <c r="K44" s="136"/>
      <c r="L44" s="8"/>
    </row>
    <row r="45" spans="1:12" ht="15">
      <c r="A45" s="7"/>
      <c r="B45" s="133" t="str">
        <f>"- Mô đun của sàn thép:"</f>
        <v>- Mô đun của sàn thép:</v>
      </c>
      <c r="C45" s="136"/>
      <c r="D45" s="136"/>
      <c r="E45" s="140" t="s">
        <v>162</v>
      </c>
      <c r="F45" s="136">
        <v>210000</v>
      </c>
      <c r="G45" s="136" t="s">
        <v>23</v>
      </c>
      <c r="H45" s="136"/>
      <c r="I45" s="134" t="s">
        <v>163</v>
      </c>
      <c r="J45" s="145">
        <f>F45/(1-0.3^2)</f>
        <v>230769.23076923075</v>
      </c>
      <c r="K45" s="133" t="s">
        <v>23</v>
      </c>
      <c r="L45" s="5"/>
    </row>
    <row r="46" spans="1:12" ht="15">
      <c r="A46" s="17"/>
      <c r="B46" s="133" t="str">
        <f>"- Moment quán tính của tiết diện bản rộng 1cm:"</f>
        <v>- Moment quán tính của tiết diện bản rộng 1cm:</v>
      </c>
      <c r="C46" s="136"/>
      <c r="D46" s="136"/>
      <c r="E46" s="136"/>
      <c r="F46" s="136"/>
      <c r="G46" s="136"/>
      <c r="H46" s="136"/>
      <c r="I46" s="140" t="s">
        <v>165</v>
      </c>
      <c r="J46" s="148">
        <f>10*K28^3/12</f>
        <v>53.333333333333336</v>
      </c>
      <c r="K46" s="136" t="s">
        <v>166</v>
      </c>
      <c r="L46" s="8"/>
    </row>
    <row r="47" spans="1:12" ht="15">
      <c r="A47" s="17"/>
      <c r="B47" s="133" t="str">
        <f>"- Độ võng ở giữa bản do tải trọng riêng:"</f>
        <v>- Độ võng ở giữa bản do tải trọng riêng:</v>
      </c>
      <c r="C47" s="136"/>
      <c r="D47" s="136"/>
      <c r="E47" s="136"/>
      <c r="F47" s="136"/>
      <c r="G47" s="136"/>
      <c r="H47" s="136"/>
      <c r="I47" s="140" t="s">
        <v>167</v>
      </c>
      <c r="J47" s="148">
        <f>(5/384)*(I41*K29^4)/(J45*J46)/100</f>
        <v>72.700874999999996</v>
      </c>
      <c r="K47" s="136" t="s">
        <v>1</v>
      </c>
      <c r="L47" s="8"/>
    </row>
    <row r="48" spans="1:12" ht="15.75">
      <c r="A48" s="17"/>
      <c r="B48" s="133"/>
      <c r="C48" s="140" t="s">
        <v>169</v>
      </c>
      <c r="D48" s="149">
        <f>3*J47^2/K28^2</f>
        <v>991.01572983105461</v>
      </c>
      <c r="E48" s="136"/>
      <c r="F48" s="150" t="s">
        <v>171</v>
      </c>
      <c r="G48" s="133"/>
      <c r="H48" s="136"/>
      <c r="I48" s="142" t="s">
        <v>168</v>
      </c>
      <c r="J48" s="148" cm="1">
        <f t="array" ref="J48">DCEFindAnpha(D48)</f>
        <v>9.3146884655681017</v>
      </c>
      <c r="K48" s="136"/>
      <c r="L48" s="8"/>
    </row>
    <row r="49" spans="1:12" ht="14.25">
      <c r="A49" s="17"/>
      <c r="B49" s="133" t="str">
        <f>"- Độ võng ở giữa bản do tải trọng tiêu chuẩn và lực kéo gây ra:"</f>
        <v>- Độ võng ở giữa bản do tải trọng tiêu chuẩn và lực kéo gây ra:</v>
      </c>
      <c r="C49" s="140"/>
      <c r="D49" s="149"/>
      <c r="E49" s="136"/>
      <c r="F49" s="136"/>
      <c r="G49" s="133"/>
      <c r="H49" s="136"/>
      <c r="I49" s="142" t="s">
        <v>170</v>
      </c>
      <c r="J49" s="148">
        <f>J47/(1+J48)</f>
        <v>7.0482860672608645</v>
      </c>
      <c r="K49" s="136" t="s">
        <v>1</v>
      </c>
      <c r="L49" s="8"/>
    </row>
    <row r="50" spans="1:12">
      <c r="A50" s="17"/>
      <c r="B50" s="133" t="str">
        <f>"- Độ võng giới hạn:"</f>
        <v>- Độ võng giới hạn:</v>
      </c>
      <c r="C50" s="140"/>
      <c r="D50" s="149"/>
      <c r="E50" s="136"/>
      <c r="F50" s="136"/>
      <c r="G50" s="133"/>
      <c r="H50" s="136"/>
      <c r="I50" s="142" t="s">
        <v>172</v>
      </c>
      <c r="J50" s="148">
        <f>K29/150</f>
        <v>8</v>
      </c>
      <c r="K50" s="136" t="s">
        <v>1</v>
      </c>
      <c r="L50" s="8"/>
    </row>
    <row r="51" spans="1:12" ht="15">
      <c r="A51" s="17"/>
      <c r="B51" s="133" t="str">
        <f>"- Tỷ số huy động cấu kiện:"</f>
        <v>- Tỷ số huy động cấu kiện:</v>
      </c>
      <c r="C51" s="140"/>
      <c r="D51" s="149"/>
      <c r="E51" s="136"/>
      <c r="F51" s="136"/>
      <c r="G51" s="133"/>
      <c r="H51" s="136"/>
      <c r="I51" s="142" t="s">
        <v>173</v>
      </c>
      <c r="J51" s="151">
        <f>J49/J50</f>
        <v>0.88103575840760806</v>
      </c>
      <c r="K51" s="152" t="s">
        <v>22</v>
      </c>
      <c r="L51" s="153" t="str">
        <f>IF(J51&lt;=1,"OK","CHECK")</f>
        <v>OK</v>
      </c>
    </row>
    <row r="52" spans="1:12">
      <c r="A52" s="17" t="s">
        <v>181</v>
      </c>
      <c r="B52" s="133"/>
      <c r="C52" s="140"/>
      <c r="D52" s="149"/>
      <c r="E52" s="136"/>
      <c r="F52" s="136"/>
      <c r="G52" s="133"/>
      <c r="H52" s="136"/>
      <c r="I52" s="136"/>
      <c r="J52" s="136"/>
      <c r="K52" s="136"/>
      <c r="L52" s="153"/>
    </row>
    <row r="53" spans="1:12" ht="15">
      <c r="A53" s="17"/>
      <c r="B53" s="133" t="str">
        <f>"- Độ cứng trụ giải bản rộng 1cm:"</f>
        <v>- Độ cứng trụ giải bản rộng 1cm:</v>
      </c>
      <c r="C53" s="140"/>
      <c r="D53" s="149"/>
      <c r="E53" s="136"/>
      <c r="F53" s="136"/>
      <c r="G53" s="133"/>
      <c r="H53" s="136"/>
      <c r="I53" s="142" t="s">
        <v>174</v>
      </c>
      <c r="J53" s="154">
        <f>J45*J46</f>
        <v>12307692.307692308</v>
      </c>
      <c r="K53" s="136" t="s">
        <v>175</v>
      </c>
      <c r="L53" s="8"/>
    </row>
    <row r="54" spans="1:12" ht="15">
      <c r="A54" s="17"/>
      <c r="B54" s="133" t="str">
        <f>"- Lực kéo tác dụng tại gối tựa:"</f>
        <v>- Lực kéo tác dụng tại gối tựa:</v>
      </c>
      <c r="C54" s="140"/>
      <c r="D54" s="149"/>
      <c r="E54" s="136"/>
      <c r="F54" s="136"/>
      <c r="G54" s="133"/>
      <c r="H54" s="136"/>
      <c r="I54" s="142" t="s">
        <v>176</v>
      </c>
      <c r="J54" s="155">
        <f>1.15*10*J53*J48/K29^2/1000</f>
        <v>0.91554630217122368</v>
      </c>
      <c r="K54" s="136" t="s">
        <v>177</v>
      </c>
      <c r="L54" s="8"/>
    </row>
    <row r="55" spans="1:12" ht="15">
      <c r="A55" s="17"/>
      <c r="B55" s="133" t="str">
        <f>"- Moment uốn lớn nhất ở giữa nhịp:"</f>
        <v>- Moment uốn lớn nhất ở giữa nhịp:</v>
      </c>
      <c r="C55" s="140"/>
      <c r="D55" s="149"/>
      <c r="E55" s="136"/>
      <c r="F55" s="136"/>
      <c r="G55" s="133"/>
      <c r="H55" s="136"/>
      <c r="I55" s="142" t="s">
        <v>178</v>
      </c>
      <c r="J55" s="156">
        <f>K41*(K29/1000)^2/8*(K30/1000)-J54*J49/1000</f>
        <v>6.4868775447435821E-4</v>
      </c>
      <c r="K55" s="136" t="s">
        <v>179</v>
      </c>
      <c r="L55" s="8"/>
    </row>
    <row r="56" spans="1:12" ht="15">
      <c r="A56" s="7"/>
      <c r="B56" s="133" t="str">
        <f>"- Diện tích tiết diện bản:"</f>
        <v>- Diện tích tiết diện bản:</v>
      </c>
      <c r="C56" s="133"/>
      <c r="D56" s="133"/>
      <c r="E56" s="133"/>
      <c r="F56" s="133"/>
      <c r="G56" s="133"/>
      <c r="H56" s="133"/>
      <c r="I56" s="142" t="s">
        <v>182</v>
      </c>
      <c r="J56" s="148">
        <f>K30*K28</f>
        <v>40</v>
      </c>
      <c r="K56" s="136" t="s">
        <v>183</v>
      </c>
      <c r="L56" s="5"/>
    </row>
    <row r="57" spans="1:12" ht="15">
      <c r="A57" s="7"/>
      <c r="B57" s="133" t="str">
        <f>"- Moment kháng uốn của tiết diện:"</f>
        <v>- Moment kháng uốn của tiết diện:</v>
      </c>
      <c r="C57" s="133"/>
      <c r="D57" s="133"/>
      <c r="E57" s="133"/>
      <c r="F57" s="133"/>
      <c r="G57" s="133"/>
      <c r="H57" s="133"/>
      <c r="I57" s="142" t="s">
        <v>184</v>
      </c>
      <c r="J57" s="148">
        <f>K30*K28^2/6</f>
        <v>26.666666666666668</v>
      </c>
      <c r="K57" s="136" t="s">
        <v>185</v>
      </c>
      <c r="L57" s="5"/>
    </row>
    <row r="58" spans="1:12" ht="15">
      <c r="A58" s="7"/>
      <c r="B58" s="133" t="str">
        <f>"- Tỷ số huy động cấu kiện:"</f>
        <v>- Tỷ số huy động cấu kiện:</v>
      </c>
      <c r="C58" s="133"/>
      <c r="D58" s="133"/>
      <c r="E58" s="133"/>
      <c r="F58" s="133"/>
      <c r="G58" s="133"/>
      <c r="H58" s="133"/>
      <c r="I58" s="134" t="s">
        <v>186</v>
      </c>
      <c r="J58" s="151">
        <f>(J54/J56*1000+J55*1000000/J57)/(K19*K18)</f>
        <v>0.22483070641461439</v>
      </c>
      <c r="K58" s="152" t="s">
        <v>22</v>
      </c>
      <c r="L58" s="153" t="str">
        <f>IF(J58&lt;=1,"OK","CHECK")</f>
        <v>OK</v>
      </c>
    </row>
    <row r="59" spans="1:12">
      <c r="A59" s="17" t="s">
        <v>187</v>
      </c>
      <c r="B59" s="133"/>
      <c r="C59" s="140"/>
      <c r="D59" s="149"/>
      <c r="E59" s="136"/>
      <c r="F59" s="136"/>
      <c r="G59" s="133"/>
      <c r="H59" s="136"/>
      <c r="I59" s="136"/>
      <c r="J59" s="136"/>
      <c r="K59" s="136"/>
      <c r="L59" s="153"/>
    </row>
    <row r="60" spans="1:12" ht="14.25">
      <c r="A60" s="7"/>
      <c r="B60" s="133" t="str">
        <f>"- Chiều cao đường hàn tối thiểu:"</f>
        <v>- Chiều cao đường hàn tối thiểu:</v>
      </c>
      <c r="C60" s="133"/>
      <c r="D60" s="133"/>
      <c r="E60" s="133"/>
      <c r="F60" s="133"/>
      <c r="G60" s="133"/>
      <c r="H60" s="133"/>
      <c r="I60" s="140" t="s">
        <v>188</v>
      </c>
      <c r="J60" s="157">
        <f>J54*1000/(K26*K30)</f>
        <v>0.63184699942803568</v>
      </c>
      <c r="K60" s="133" t="s">
        <v>1</v>
      </c>
      <c r="L60" s="5"/>
    </row>
    <row r="61" spans="1:12">
      <c r="A61" s="158"/>
      <c r="B61" s="133" t="str">
        <f>"- Chọn chiều cao đường hàn:"</f>
        <v>- Chọn chiều cao đường hàn:</v>
      </c>
      <c r="C61" s="133"/>
      <c r="D61" s="133"/>
      <c r="E61" s="133"/>
      <c r="F61" s="133"/>
      <c r="G61" s="133"/>
      <c r="H61" s="133"/>
      <c r="I61" s="140" t="s">
        <v>189</v>
      </c>
      <c r="J61" s="159">
        <f>MAX(ROUND(J60,0),3)</f>
        <v>3</v>
      </c>
      <c r="K61" s="133" t="s">
        <v>1</v>
      </c>
      <c r="L61" s="5"/>
    </row>
    <row r="62" spans="1:12">
      <c r="A62" s="63" t="s">
        <v>31</v>
      </c>
      <c r="B62" s="9"/>
      <c r="C62" s="9"/>
      <c r="D62" s="9"/>
      <c r="E62" s="9"/>
      <c r="F62" s="9"/>
      <c r="G62" s="9"/>
      <c r="H62" s="9"/>
      <c r="I62" s="9"/>
      <c r="J62" s="9"/>
      <c r="K62" s="9"/>
      <c r="L62" s="15"/>
    </row>
  </sheetData>
  <mergeCells count="4">
    <mergeCell ref="J11:L12"/>
    <mergeCell ref="A11:I12"/>
    <mergeCell ref="A43:C43"/>
    <mergeCell ref="A13:C13"/>
  </mergeCells>
  <conditionalFormatting sqref="L51:L52">
    <cfRule type="containsText" dxfId="5" priority="5" operator="containsText" text="OK">
      <formula>NOT(ISERROR(SEARCH("OK",L51)))</formula>
    </cfRule>
    <cfRule type="containsText" dxfId="4" priority="6" operator="containsText" text="CHECK">
      <formula>NOT(ISERROR(SEARCH("CHECK",L51)))</formula>
    </cfRule>
  </conditionalFormatting>
  <conditionalFormatting sqref="L58">
    <cfRule type="containsText" dxfId="3" priority="3" operator="containsText" text="OK">
      <formula>NOT(ISERROR(SEARCH("OK",L58)))</formula>
    </cfRule>
    <cfRule type="containsText" dxfId="2" priority="4" operator="containsText" text="CHECK">
      <formula>NOT(ISERROR(SEARCH("CHECK",L58)))</formula>
    </cfRule>
  </conditionalFormatting>
  <conditionalFormatting sqref="L59">
    <cfRule type="containsText" dxfId="1" priority="1" operator="containsText" text="OK">
      <formula>NOT(ISERROR(SEARCH("OK",L59)))</formula>
    </cfRule>
    <cfRule type="containsText" dxfId="0" priority="2" operator="containsText" text="CHECK">
      <formula>NOT(ISERROR(SEARCH("CHECK",L59)))</formula>
    </cfRule>
  </conditionalFormatting>
  <pageMargins left="0.59055118110236227" right="0.31496062992125984" top="0.59055118110236227" bottom="0.59055118110236227" header="0.31496062992125984" footer="0.31496062992125984"/>
  <pageSetup orientation="portrait" r:id="rId1"/>
  <drawing r:id="rId2"/>
  <picture r:id="rId3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5BCD0B46-BD94-4863-B450-BD8EBA0ADE53}">
          <x14:formula1>
            <xm:f>Data!$A$3:$A$99</xm:f>
          </x14:formula1>
          <xm:sqref>K15</xm:sqref>
        </x14:dataValidation>
        <x14:dataValidation type="list" allowBlank="1" showInputMessage="1" showErrorMessage="1" xr:uid="{1D6DD59A-9E7B-4EBA-969A-7FDF50F3003B}">
          <x14:formula1>
            <xm:f>Data!$AZ$3:$AZ$7</xm:f>
          </x14:formula1>
          <xm:sqref>K21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B7D91F6-BF8E-4A14-896B-F04D0437FCB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Data</vt:lpstr>
      <vt:lpstr>Cal</vt:lpstr>
      <vt:lpstr>Cal!Print_Area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Ven Nguyen</dc:creator>
  <cp:lastModifiedBy>toan huynh vu minh</cp:lastModifiedBy>
  <cp:lastPrinted>2024-02-17T11:01:09Z</cp:lastPrinted>
  <dcterms:created xsi:type="dcterms:W3CDTF">2023-12-24T09:13:35Z</dcterms:created>
  <dcterms:modified xsi:type="dcterms:W3CDTF">2025-03-26T16:33:07Z</dcterms:modified>
</cp:coreProperties>
</file>