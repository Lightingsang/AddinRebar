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ce Pro\Excel\DceSteel\"/>
    </mc:Choice>
  </mc:AlternateContent>
  <xr:revisionPtr revIDLastSave="0" documentId="13_ncr:1_{805EA88D-BCF5-4712-817D-B13CE31ADC78}" xr6:coauthVersionLast="47" xr6:coauthVersionMax="47" xr10:uidLastSave="{00000000-0000-0000-0000-000000000000}"/>
  <bookViews>
    <workbookView xWindow="-28920" yWindow="-120" windowWidth="29040" windowHeight="15720" activeTab="2" xr2:uid="{00000000-000D-0000-FFFF-FFFF00000000}"/>
  </bookViews>
  <sheets>
    <sheet name="LT" sheetId="7" r:id="rId1"/>
    <sheet name="Data" sheetId="1" r:id="rId2"/>
    <sheet name="Cal" sheetId="6" r:id="rId3"/>
  </sheets>
  <definedNames>
    <definedName name="_xlnm._FilterDatabase" localSheetId="2" hidden="1">Cal!#REF!</definedName>
    <definedName name="_xleta.T" hidden="1" xlm="1">#NAME?</definedName>
    <definedName name="_xlnm.Print_Area" localSheetId="2">Cal!$A$11:$U$38</definedName>
    <definedName name="_xlnm.Print_Area" localSheetId="1">Data!#REF!</definedName>
    <definedName name="SLSLOADCAS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9" i="6" l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B6" i="1"/>
  <c r="B5" i="1"/>
  <c r="B4" i="1"/>
  <c r="B3" i="1"/>
  <c r="AR13" i="6"/>
  <c r="S27" i="6"/>
  <c r="T27" i="6" a="1"/>
  <c r="T27" i="6" l="1"/>
  <c r="N27" i="6"/>
  <c r="L27" i="6"/>
  <c r="AM13" i="6"/>
  <c r="AK13" i="6"/>
  <c r="L17" i="6"/>
  <c r="DD6" i="1"/>
  <c r="DE6" i="1"/>
  <c r="DD7" i="1"/>
  <c r="DE7" i="1"/>
  <c r="DD8" i="1"/>
  <c r="DE8" i="1"/>
  <c r="DF8" i="1" s="1"/>
  <c r="DD9" i="1"/>
  <c r="DE9" i="1"/>
  <c r="DD10" i="1"/>
  <c r="DE10" i="1"/>
  <c r="DD11" i="1"/>
  <c r="DE11" i="1"/>
  <c r="DD12" i="1"/>
  <c r="DE12" i="1"/>
  <c r="DD13" i="1"/>
  <c r="DE13" i="1"/>
  <c r="DF13" i="1" s="1"/>
  <c r="DD14" i="1"/>
  <c r="DE14" i="1"/>
  <c r="DF14" i="1" s="1"/>
  <c r="DD15" i="1"/>
  <c r="DE15" i="1"/>
  <c r="DA6" i="1"/>
  <c r="DA7" i="1"/>
  <c r="DA8" i="1"/>
  <c r="DA9" i="1"/>
  <c r="DA10" i="1"/>
  <c r="DA11" i="1"/>
  <c r="DA12" i="1"/>
  <c r="DA13" i="1"/>
  <c r="DA14" i="1"/>
  <c r="DA15" i="1"/>
  <c r="DE5" i="1"/>
  <c r="DD5" i="1"/>
  <c r="DA5" i="1"/>
  <c r="EI9" i="1"/>
  <c r="EY4" i="1"/>
  <c r="FA5" i="1"/>
  <c r="EZ5" i="1"/>
  <c r="EX5" i="1"/>
  <c r="EW5" i="1"/>
  <c r="AN13" i="6"/>
  <c r="H27" i="6"/>
  <c r="AG13" i="6"/>
  <c r="O27" i="6"/>
  <c r="DF15" i="1" l="1"/>
  <c r="DF7" i="1"/>
  <c r="DF6" i="1"/>
  <c r="DF5" i="1"/>
  <c r="DF12" i="1"/>
  <c r="DF11" i="1"/>
  <c r="DF10" i="1"/>
  <c r="DF9" i="1"/>
  <c r="CI15" i="1"/>
  <c r="CI16" i="1"/>
  <c r="CI17" i="1"/>
  <c r="CI18" i="1"/>
  <c r="CI19" i="1"/>
  <c r="CI5" i="1"/>
  <c r="CI6" i="1"/>
  <c r="CI7" i="1"/>
  <c r="CI8" i="1"/>
  <c r="CI9" i="1"/>
  <c r="CI4" i="1"/>
  <c r="CG16" i="1"/>
  <c r="CF5" i="1"/>
  <c r="CG5" i="1" s="1"/>
  <c r="CF6" i="1"/>
  <c r="CG6" i="1" s="1"/>
  <c r="CF7" i="1"/>
  <c r="CG7" i="1" s="1"/>
  <c r="CF8" i="1"/>
  <c r="CG8" i="1" s="1"/>
  <c r="CF9" i="1"/>
  <c r="CG9" i="1" s="1"/>
  <c r="CF10" i="1"/>
  <c r="CH10" i="1" s="1"/>
  <c r="CF11" i="1"/>
  <c r="CH11" i="1" s="1"/>
  <c r="CF12" i="1"/>
  <c r="CH12" i="1" s="1"/>
  <c r="CF13" i="1"/>
  <c r="CH13" i="1" s="1"/>
  <c r="CF14" i="1"/>
  <c r="CH14" i="1" s="1"/>
  <c r="CF15" i="1"/>
  <c r="CH15" i="1" s="1"/>
  <c r="CF16" i="1"/>
  <c r="CH16" i="1" s="1"/>
  <c r="CF17" i="1"/>
  <c r="CH17" i="1" s="1"/>
  <c r="CF18" i="1"/>
  <c r="CH18" i="1" s="1"/>
  <c r="CF19" i="1"/>
  <c r="CG19" i="1" s="1"/>
  <c r="CF4" i="1"/>
  <c r="CG4" i="1" s="1"/>
  <c r="CG15" i="1" l="1"/>
  <c r="AP13" i="6"/>
  <c r="AO13" i="6"/>
  <c r="CG17" i="1"/>
  <c r="CG18" i="1"/>
  <c r="CH19" i="1"/>
  <c r="CH9" i="1"/>
  <c r="CH8" i="1"/>
  <c r="CH4" i="1"/>
  <c r="CH7" i="1"/>
  <c r="CH6" i="1"/>
  <c r="CH5" i="1"/>
  <c r="BQ7" i="1"/>
  <c r="BQ8" i="1"/>
  <c r="BQ9" i="1"/>
  <c r="BQ10" i="1"/>
  <c r="BQ11" i="1"/>
  <c r="BQ12" i="1"/>
  <c r="BQ13" i="1"/>
  <c r="BQ14" i="1"/>
  <c r="BQ15" i="1"/>
  <c r="BQ6" i="1"/>
  <c r="AQ13" i="6" l="1"/>
  <c r="P27" i="6"/>
  <c r="Q27" i="6"/>
  <c r="X15" i="1"/>
  <c r="X14" i="1"/>
  <c r="X13" i="1"/>
  <c r="X12" i="1"/>
  <c r="X11" i="1"/>
  <c r="X10" i="1"/>
  <c r="X9" i="1"/>
  <c r="X8" i="1"/>
  <c r="X7" i="1"/>
  <c r="X6" i="1"/>
  <c r="R27" i="6" l="1"/>
  <c r="L16" i="6"/>
  <c r="L18" i="6" l="1"/>
  <c r="AS13" i="6" a="1"/>
  <c r="AS13" i="6" l="1"/>
  <c r="AT13" i="6"/>
  <c r="AU13" i="6" s="1"/>
  <c r="U27" i="6" l="1"/>
  <c r="V27" i="6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STEEL_BOX" description="Connection to the 'STEEL_BOX' query in the workbook." type="5" refreshedVersion="0" background="1" saveData="1">
    <dbPr connection="Provider=Microsoft.Mashup.OleDb.1;Data Source=$Workbook$;Location=STEEL_BOX;Extended Properties=&quot;&quot;" command="SELECT * FROM [STEEL_BOX]"/>
  </connection>
  <connection id="2" xr16:uid="{00000000-0015-0000-FFFF-FFFF01000000}" keepAlive="1" name="Query - STEEL_CHANNEL" description="Connection to the 'STEEL_CHANNEL' query in the workbook." type="5" refreshedVersion="8" background="1" saveData="1">
    <dbPr connection="Provider=Microsoft.Mashup.OleDb.1;Data Source=$Workbook$;Location=STEEL_CHANNEL;Extended Properties=&quot;&quot;" command="SELECT * FROM [STEEL_CHANNEL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<sst xmlns="http://schemas.openxmlformats.org/spreadsheetml/2006/main" count="295" uniqueCount="216">
  <si>
    <t>A. THÔNG TIN THIẾT KẾ</t>
  </si>
  <si>
    <t>Mac Thép</t>
  </si>
  <si>
    <r>
      <t xml:space="preserve">S235 </t>
    </r>
    <r>
      <rPr>
        <sz val="10"/>
        <color theme="1"/>
        <rFont val="Calibri"/>
        <family val="2"/>
      </rPr>
      <t>≤ 40</t>
    </r>
  </si>
  <si>
    <r>
      <t xml:space="preserve">S235 </t>
    </r>
    <r>
      <rPr>
        <sz val="10"/>
        <color theme="1"/>
        <rFont val="Calibri"/>
        <family val="2"/>
      </rPr>
      <t>≤ 16</t>
    </r>
  </si>
  <si>
    <r>
      <t xml:space="preserve">S235 </t>
    </r>
    <r>
      <rPr>
        <sz val="10"/>
        <color theme="1"/>
        <rFont val="Calibri"/>
        <family val="2"/>
      </rPr>
      <t>≤ 63</t>
    </r>
  </si>
  <si>
    <r>
      <t xml:space="preserve">S235 </t>
    </r>
    <r>
      <rPr>
        <sz val="10"/>
        <color theme="1"/>
        <rFont val="Calibri"/>
        <family val="2"/>
      </rPr>
      <t xml:space="preserve">≤ </t>
    </r>
    <r>
      <rPr>
        <sz val="10"/>
        <color theme="1"/>
        <rFont val="Calibri"/>
        <family val="2"/>
        <scheme val="minor"/>
      </rPr>
      <t>80</t>
    </r>
  </si>
  <si>
    <r>
      <t xml:space="preserve">S235 </t>
    </r>
    <r>
      <rPr>
        <sz val="10"/>
        <color theme="1"/>
        <rFont val="Calibri"/>
        <family val="2"/>
      </rPr>
      <t>≤ 100</t>
    </r>
  </si>
  <si>
    <t>S275 ≤ 16</t>
  </si>
  <si>
    <t>S275 ≤ 40</t>
  </si>
  <si>
    <t>S275 ≤ 63</t>
  </si>
  <si>
    <t>S275 ≤ 80</t>
  </si>
  <si>
    <t>S275 ≤ 100</t>
  </si>
  <si>
    <t>S355 ≤ 16</t>
  </si>
  <si>
    <t>S355 ≤ 40</t>
  </si>
  <si>
    <t>S355 ≤ 63</t>
  </si>
  <si>
    <t>S355 ≤ 80</t>
  </si>
  <si>
    <t>S355 ≤ 100</t>
  </si>
  <si>
    <t>E</t>
  </si>
  <si>
    <t>Mpa</t>
  </si>
  <si>
    <t>A</t>
  </si>
  <si>
    <r>
      <t>cm</t>
    </r>
    <r>
      <rPr>
        <vertAlign val="superscript"/>
        <sz val="10"/>
        <color theme="1"/>
        <rFont val="Calibri"/>
        <family val="2"/>
        <scheme val="minor"/>
      </rPr>
      <t>4</t>
    </r>
  </si>
  <si>
    <t>N</t>
  </si>
  <si>
    <t>MPa</t>
  </si>
  <si>
    <r>
      <t>cm</t>
    </r>
    <r>
      <rPr>
        <vertAlign val="superscript"/>
        <sz val="10"/>
        <color theme="1"/>
        <rFont val="Calibri"/>
        <family val="2"/>
        <scheme val="minor"/>
      </rPr>
      <t>2</t>
    </r>
  </si>
  <si>
    <r>
      <t>f</t>
    </r>
    <r>
      <rPr>
        <b/>
        <vertAlign val="subscript"/>
        <sz val="10"/>
        <color theme="0"/>
        <rFont val="Calibri"/>
        <family val="2"/>
        <scheme val="minor"/>
      </rPr>
      <t>y</t>
    </r>
  </si>
  <si>
    <r>
      <t>f</t>
    </r>
    <r>
      <rPr>
        <b/>
        <vertAlign val="subscript"/>
        <sz val="10"/>
        <color theme="0"/>
        <rFont val="Calibri"/>
        <family val="2"/>
        <scheme val="minor"/>
      </rPr>
      <t>u</t>
    </r>
  </si>
  <si>
    <t>Q235</t>
  </si>
  <si>
    <t>Q345</t>
  </si>
  <si>
    <t>A572 gr.50</t>
  </si>
  <si>
    <t>A36</t>
  </si>
  <si>
    <t>B</t>
  </si>
  <si>
    <t>SS330 ≤ 16</t>
  </si>
  <si>
    <t>SS330 ≤ 40</t>
  </si>
  <si>
    <t>SS400 ≤ 16</t>
  </si>
  <si>
    <t>SS400 ≤ 40</t>
  </si>
  <si>
    <t>SS490 ≤ 16</t>
  </si>
  <si>
    <t>SS490 ≤ 40</t>
  </si>
  <si>
    <t>SS540 ≤ 16</t>
  </si>
  <si>
    <t>SS540 ≤ 40</t>
  </si>
  <si>
    <t>D</t>
  </si>
  <si>
    <t>Bảng C.4 Cường độ tiêu chuẩn
 của thép làm bu lông</t>
  </si>
  <si>
    <t>Cấp</t>
  </si>
  <si>
    <r>
      <t>f</t>
    </r>
    <r>
      <rPr>
        <vertAlign val="subscript"/>
        <sz val="10"/>
        <rFont val="Calibri"/>
        <family val="2"/>
        <scheme val="minor"/>
      </rPr>
      <t>ub</t>
    </r>
  </si>
  <si>
    <r>
      <t>f</t>
    </r>
    <r>
      <rPr>
        <vertAlign val="subscript"/>
        <sz val="10"/>
        <rFont val="Calibri"/>
        <family val="2"/>
        <scheme val="minor"/>
      </rPr>
      <t>yb</t>
    </r>
  </si>
  <si>
    <r>
      <t>f</t>
    </r>
    <r>
      <rPr>
        <vertAlign val="subscript"/>
        <sz val="10"/>
        <rFont val="Calibri"/>
        <family val="2"/>
        <scheme val="minor"/>
      </rPr>
      <t>vb</t>
    </r>
  </si>
  <si>
    <r>
      <t>f</t>
    </r>
    <r>
      <rPr>
        <vertAlign val="subscript"/>
        <sz val="10"/>
        <rFont val="Calibri"/>
        <family val="2"/>
        <scheme val="minor"/>
      </rPr>
      <t>tb</t>
    </r>
  </si>
  <si>
    <t>p</t>
  </si>
  <si>
    <t>Ab</t>
  </si>
  <si>
    <r>
      <t>A</t>
    </r>
    <r>
      <rPr>
        <b/>
        <vertAlign val="subscript"/>
        <sz val="10"/>
        <color theme="1"/>
        <rFont val="Calibri"/>
        <family val="2"/>
        <scheme val="minor"/>
      </rPr>
      <t>sa</t>
    </r>
  </si>
  <si>
    <t>z</t>
  </si>
  <si>
    <t>Bảng C.6 Diện tích tiết diện bu lông</t>
  </si>
  <si>
    <t>Bảng C1: Que hàn</t>
  </si>
  <si>
    <t>Loại</t>
  </si>
  <si>
    <r>
      <t>f</t>
    </r>
    <r>
      <rPr>
        <vertAlign val="subscript"/>
        <sz val="10"/>
        <color theme="0"/>
        <rFont val="Calibri"/>
        <family val="2"/>
        <scheme val="minor"/>
      </rPr>
      <t>wun</t>
    </r>
  </si>
  <si>
    <r>
      <t>f</t>
    </r>
    <r>
      <rPr>
        <vertAlign val="subscript"/>
        <sz val="10"/>
        <color theme="0"/>
        <rFont val="Calibri"/>
        <family val="2"/>
        <scheme val="minor"/>
      </rPr>
      <t>wf</t>
    </r>
  </si>
  <si>
    <t>E43</t>
  </si>
  <si>
    <t>E51</t>
  </si>
  <si>
    <t>N42</t>
  </si>
  <si>
    <t>N46</t>
  </si>
  <si>
    <t>N50</t>
  </si>
  <si>
    <t>Cường độ
Bê tông</t>
  </si>
  <si>
    <t>TCVN 5574 - 2018</t>
  </si>
  <si>
    <t>NÉN</t>
  </si>
  <si>
    <t>KÉO</t>
  </si>
  <si>
    <t>M150</t>
  </si>
  <si>
    <t>B10</t>
  </si>
  <si>
    <t>M200</t>
  </si>
  <si>
    <t>B15</t>
  </si>
  <si>
    <t>M250</t>
  </si>
  <si>
    <t>B20</t>
  </si>
  <si>
    <t>M350</t>
  </si>
  <si>
    <t>B25</t>
  </si>
  <si>
    <t>M400</t>
  </si>
  <si>
    <t>B30</t>
  </si>
  <si>
    <t>M450</t>
  </si>
  <si>
    <t>B35</t>
  </si>
  <si>
    <t>M500</t>
  </si>
  <si>
    <t>B40</t>
  </si>
  <si>
    <t>M600</t>
  </si>
  <si>
    <t>B45</t>
  </si>
  <si>
    <t>M700</t>
  </si>
  <si>
    <t>B50</t>
  </si>
  <si>
    <t>B55</t>
  </si>
  <si>
    <t>M800</t>
  </si>
  <si>
    <t>B60</t>
  </si>
  <si>
    <r>
      <t>E</t>
    </r>
    <r>
      <rPr>
        <vertAlign val="subscript"/>
        <sz val="10"/>
        <color theme="0"/>
        <rFont val="Arial"/>
        <family val="2"/>
      </rPr>
      <t>b</t>
    </r>
  </si>
  <si>
    <r>
      <t>R</t>
    </r>
    <r>
      <rPr>
        <vertAlign val="subscript"/>
        <sz val="10"/>
        <color theme="0"/>
        <rFont val="Arial"/>
        <family val="2"/>
      </rPr>
      <t>b,ser</t>
    </r>
  </si>
  <si>
    <r>
      <t>R</t>
    </r>
    <r>
      <rPr>
        <vertAlign val="subscript"/>
        <sz val="10"/>
        <color theme="0"/>
        <rFont val="Arial"/>
        <family val="2"/>
      </rPr>
      <t>b</t>
    </r>
  </si>
  <si>
    <r>
      <t>R</t>
    </r>
    <r>
      <rPr>
        <vertAlign val="subscript"/>
        <sz val="10"/>
        <color theme="0"/>
        <rFont val="Arial"/>
        <family val="2"/>
      </rPr>
      <t>bt,ser</t>
    </r>
  </si>
  <si>
    <r>
      <t>R</t>
    </r>
    <r>
      <rPr>
        <vertAlign val="subscript"/>
        <sz val="10"/>
        <color theme="0"/>
        <rFont val="Arial"/>
        <family val="2"/>
      </rPr>
      <t>bt</t>
    </r>
  </si>
  <si>
    <t>EC</t>
  </si>
  <si>
    <t>C12/15</t>
  </si>
  <si>
    <t>C16/20</t>
  </si>
  <si>
    <t>C20/25</t>
  </si>
  <si>
    <t>C25/30</t>
  </si>
  <si>
    <t>C28/35</t>
  </si>
  <si>
    <t>C32/40</t>
  </si>
  <si>
    <t>C35/45</t>
  </si>
  <si>
    <t>C40/50</t>
  </si>
  <si>
    <t>C45/55</t>
  </si>
  <si>
    <t>C50/60</t>
  </si>
  <si>
    <t>Tên</t>
  </si>
  <si>
    <t>fck</t>
  </si>
  <si>
    <t>Bảng C5: Cường độ ép mặt</t>
  </si>
  <si>
    <t>fu</t>
  </si>
  <si>
    <t>Loại thép</t>
  </si>
  <si>
    <t>CI</t>
  </si>
  <si>
    <t>CII</t>
  </si>
  <si>
    <t>CIII</t>
  </si>
  <si>
    <t>AI</t>
  </si>
  <si>
    <t>AII</t>
  </si>
  <si>
    <t>AIII</t>
  </si>
  <si>
    <t>SD295</t>
  </si>
  <si>
    <t>SD390</t>
  </si>
  <si>
    <t>SD490</t>
  </si>
  <si>
    <t>fy</t>
  </si>
  <si>
    <t>SR235</t>
  </si>
  <si>
    <t>SR295</t>
  </si>
  <si>
    <t>CB240-T</t>
  </si>
  <si>
    <t>CB300-T</t>
  </si>
  <si>
    <t>CB300-V</t>
  </si>
  <si>
    <t>CB400-V</t>
  </si>
  <si>
    <t>CB500-V</t>
  </si>
  <si>
    <t>Cx</t>
  </si>
  <si>
    <t>Cy</t>
  </si>
  <si>
    <t>Ix</t>
  </si>
  <si>
    <t>Iy</t>
  </si>
  <si>
    <t>Zx</t>
  </si>
  <si>
    <t>Zy</t>
  </si>
  <si>
    <t>2L50x4</t>
  </si>
  <si>
    <t>L50x50</t>
  </si>
  <si>
    <t>Ký hiệu</t>
  </si>
  <si>
    <t>AxB</t>
  </si>
  <si>
    <t>t</t>
  </si>
  <si>
    <t>r1</t>
  </si>
  <si>
    <t>r2</t>
  </si>
  <si>
    <t>mo</t>
  </si>
  <si>
    <t>MaxIx0</t>
  </si>
  <si>
    <t>MinIx</t>
  </si>
  <si>
    <t>rx</t>
  </si>
  <si>
    <t>ry</t>
  </si>
  <si>
    <t>Max rx</t>
  </si>
  <si>
    <t>Min ry</t>
  </si>
  <si>
    <t>Tan a</t>
  </si>
  <si>
    <t>2L90x75x9</t>
  </si>
  <si>
    <t>L90x75</t>
  </si>
  <si>
    <t xml:space="preserve">Bản mã liên kết </t>
  </si>
  <si>
    <t>cm</t>
  </si>
  <si>
    <t>Lx</t>
  </si>
  <si>
    <t>Ly</t>
  </si>
  <si>
    <t>lamdax</t>
  </si>
  <si>
    <t>lamday</t>
  </si>
  <si>
    <t>lamdagh</t>
  </si>
  <si>
    <t>check</t>
  </si>
  <si>
    <t>phi</t>
  </si>
  <si>
    <t>xichma</t>
  </si>
  <si>
    <t>gamcf</t>
  </si>
  <si>
    <t>Đều</t>
  </si>
  <si>
    <t>Ghép ngắn</t>
  </si>
  <si>
    <t>Ghép dài</t>
  </si>
  <si>
    <t>Thép ống</t>
  </si>
  <si>
    <r>
      <t>R</t>
    </r>
    <r>
      <rPr>
        <b/>
        <vertAlign val="subscript"/>
        <sz val="10"/>
        <color rgb="FF0070C0"/>
        <rFont val="Arial"/>
        <family val="2"/>
      </rPr>
      <t>sn</t>
    </r>
  </si>
  <si>
    <r>
      <t>R</t>
    </r>
    <r>
      <rPr>
        <b/>
        <vertAlign val="subscript"/>
        <sz val="10"/>
        <color rgb="FF0070C0"/>
        <rFont val="Arial"/>
        <family val="2"/>
      </rPr>
      <t>s</t>
    </r>
  </si>
  <si>
    <r>
      <t>R</t>
    </r>
    <r>
      <rPr>
        <b/>
        <vertAlign val="subscript"/>
        <sz val="10"/>
        <color rgb="FF0070C0"/>
        <rFont val="Arial"/>
        <family val="2"/>
      </rPr>
      <t>sc</t>
    </r>
  </si>
  <si>
    <r>
      <t>R</t>
    </r>
    <r>
      <rPr>
        <b/>
        <vertAlign val="subscript"/>
        <sz val="10"/>
        <color rgb="FF0070C0"/>
        <rFont val="Arial"/>
        <family val="2"/>
      </rPr>
      <t>sw</t>
    </r>
  </si>
  <si>
    <r>
      <t>E</t>
    </r>
    <r>
      <rPr>
        <b/>
        <vertAlign val="subscript"/>
        <sz val="10"/>
        <color rgb="FF0070C0"/>
        <rFont val="Arial"/>
        <family val="2"/>
      </rPr>
      <t>s</t>
    </r>
  </si>
  <si>
    <t>Kích thước</t>
  </si>
  <si>
    <t>I</t>
  </si>
  <si>
    <t>1. Vật Liệu</t>
  </si>
  <si>
    <t>Cường độ tiêu chuẩn của thép</t>
  </si>
  <si>
    <t>Cường độ tiêu chuẩn kéo đứt của thép</t>
  </si>
  <si>
    <t>Cường độ tính toán của thép</t>
  </si>
  <si>
    <t>Hệ số điều kiện làm việc của kết cấu</t>
  </si>
  <si>
    <r>
      <t>f</t>
    </r>
    <r>
      <rPr>
        <vertAlign val="subscript"/>
        <sz val="10"/>
        <color theme="1"/>
        <rFont val="Calibri"/>
        <family val="2"/>
        <scheme val="minor"/>
      </rPr>
      <t>y</t>
    </r>
    <r>
      <rPr>
        <sz val="10"/>
        <color theme="1"/>
        <rFont val="Calibri"/>
        <family val="2"/>
        <scheme val="minor"/>
      </rPr>
      <t xml:space="preserve"> =</t>
    </r>
  </si>
  <si>
    <r>
      <t>f</t>
    </r>
    <r>
      <rPr>
        <vertAlign val="subscript"/>
        <sz val="10"/>
        <color theme="1"/>
        <rFont val="Calibri"/>
        <family val="2"/>
        <scheme val="minor"/>
      </rPr>
      <t>u</t>
    </r>
    <r>
      <rPr>
        <sz val="10"/>
        <color theme="1"/>
        <rFont val="Calibri"/>
        <family val="2"/>
        <scheme val="minor"/>
      </rPr>
      <t xml:space="preserve"> =</t>
    </r>
  </si>
  <si>
    <r>
      <t>f</t>
    </r>
    <r>
      <rPr>
        <vertAlign val="subscript"/>
        <sz val="10"/>
        <color theme="1"/>
        <rFont val="Calibri"/>
        <family val="2"/>
        <scheme val="minor"/>
      </rPr>
      <t>yd</t>
    </r>
    <r>
      <rPr>
        <sz val="10"/>
        <color theme="1"/>
        <rFont val="Calibri"/>
        <family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</si>
  <si>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</rPr>
      <t>c</t>
    </r>
    <r>
      <rPr>
        <sz val="10"/>
        <color theme="1"/>
        <rFont val="Calibri"/>
        <family val="2"/>
      </rPr>
      <t xml:space="preserve"> =</t>
    </r>
  </si>
  <si>
    <t>Hệ số độ tin cậy về vật liệu</t>
  </si>
  <si>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</rPr>
      <t>m</t>
    </r>
    <r>
      <rPr>
        <sz val="10"/>
        <color theme="1"/>
        <rFont val="Calibri"/>
        <family val="2"/>
      </rPr>
      <t xml:space="preserve"> =</t>
    </r>
  </si>
  <si>
    <t>2. Tính toán</t>
  </si>
  <si>
    <t>kN</t>
  </si>
  <si>
    <r>
      <t>L</t>
    </r>
    <r>
      <rPr>
        <vertAlign val="subscript"/>
        <sz val="10"/>
        <rFont val="Calibri"/>
        <family val="2"/>
        <scheme val="minor"/>
      </rPr>
      <t>x</t>
    </r>
  </si>
  <si>
    <t>m</t>
  </si>
  <si>
    <r>
      <t>L</t>
    </r>
    <r>
      <rPr>
        <vertAlign val="subscript"/>
        <sz val="10"/>
        <rFont val="Calibri"/>
        <family val="2"/>
        <scheme val="minor"/>
      </rPr>
      <t>y</t>
    </r>
  </si>
  <si>
    <r>
      <t>cm</t>
    </r>
    <r>
      <rPr>
        <vertAlign val="superscript"/>
        <sz val="10"/>
        <rFont val="Calibri"/>
        <family val="2"/>
        <scheme val="minor"/>
      </rPr>
      <t>2</t>
    </r>
  </si>
  <si>
    <r>
      <rPr>
        <sz val="10"/>
        <rFont val="Symbol"/>
        <family val="1"/>
        <charset val="2"/>
      </rPr>
      <t>l</t>
    </r>
    <r>
      <rPr>
        <vertAlign val="subscript"/>
        <sz val="10"/>
        <rFont val="Calibri"/>
        <family val="2"/>
        <scheme val="minor"/>
      </rPr>
      <t>x</t>
    </r>
  </si>
  <si>
    <r>
      <rPr>
        <sz val="10"/>
        <rFont val="Symbol"/>
        <family val="1"/>
        <charset val="2"/>
      </rPr>
      <t>l</t>
    </r>
    <r>
      <rPr>
        <vertAlign val="subscript"/>
        <sz val="10"/>
        <rFont val="Calibri"/>
        <family val="2"/>
        <scheme val="minor"/>
      </rPr>
      <t>y</t>
    </r>
  </si>
  <si>
    <t>j</t>
  </si>
  <si>
    <t>Kiểm tra</t>
  </si>
  <si>
    <t>THIẾT KẾ CẤU KIỆN CHỊU KÉO, NÉN ĐÚNG TÂM</t>
  </si>
  <si>
    <t>i</t>
  </si>
  <si>
    <t>Kích thước (mm)</t>
  </si>
  <si>
    <r>
      <rPr>
        <sz val="10"/>
        <rFont val="Symbol"/>
        <family val="1"/>
        <charset val="2"/>
      </rPr>
      <t>l</t>
    </r>
    <r>
      <rPr>
        <vertAlign val="subscript"/>
        <sz val="10"/>
        <rFont val="Calibri"/>
        <family val="2"/>
        <scheme val="minor"/>
      </rPr>
      <t>max</t>
    </r>
  </si>
  <si>
    <r>
      <rPr>
        <sz val="10"/>
        <rFont val="Symbol"/>
        <family val="1"/>
        <charset val="2"/>
      </rPr>
      <t>l</t>
    </r>
    <r>
      <rPr>
        <vertAlign val="subscript"/>
        <sz val="10"/>
        <rFont val="Calibri"/>
        <family val="2"/>
        <scheme val="minor"/>
      </rPr>
      <t>u</t>
    </r>
  </si>
  <si>
    <t>Kiểm tra ổn định của cấu kiện theo 7.1.2.1</t>
  </si>
  <si>
    <t>FS</t>
  </si>
  <si>
    <t>L</t>
  </si>
  <si>
    <r>
      <rPr>
        <sz val="10"/>
        <rFont val="Symbol"/>
        <family val="1"/>
        <charset val="2"/>
      </rPr>
      <t>m</t>
    </r>
    <r>
      <rPr>
        <vertAlign val="subscript"/>
        <sz val="10"/>
        <rFont val="Calibri"/>
        <family val="2"/>
        <scheme val="minor"/>
      </rPr>
      <t>x</t>
    </r>
  </si>
  <si>
    <r>
      <rPr>
        <sz val="10"/>
        <rFont val="Symbol"/>
        <family val="1"/>
        <charset val="2"/>
      </rPr>
      <t>m</t>
    </r>
    <r>
      <rPr>
        <vertAlign val="subscript"/>
        <sz val="10"/>
        <rFont val="Calibri"/>
        <family val="2"/>
        <scheme val="minor"/>
      </rPr>
      <t>y</t>
    </r>
  </si>
  <si>
    <t>vị trí</t>
  </si>
  <si>
    <t>(m)</t>
  </si>
  <si>
    <t>Phần tử</t>
  </si>
  <si>
    <t>Hệ giàn thép ống</t>
  </si>
  <si>
    <t>Combo</t>
  </si>
  <si>
    <t>ULSV2</t>
  </si>
  <si>
    <t>Pipe 60x3</t>
  </si>
  <si>
    <t>32</t>
  </si>
  <si>
    <t>Độ mảnh
giới hạn</t>
  </si>
  <si>
    <t>N &lt; 0 (nén)</t>
  </si>
  <si>
    <t>N &gt; 0 (kéo)</t>
  </si>
  <si>
    <t>Hệ số huy động của cấu kiện FS:</t>
  </si>
  <si>
    <r>
      <rPr>
        <b/>
        <sz val="10"/>
        <color theme="0"/>
        <rFont val="Symbol"/>
        <family val="1"/>
        <charset val="2"/>
      </rPr>
      <t xml:space="preserve"> g</t>
    </r>
    <r>
      <rPr>
        <b/>
        <sz val="10"/>
        <color theme="0"/>
        <rFont val="Calibri"/>
        <family val="2"/>
        <scheme val="minor"/>
      </rPr>
      <t>m</t>
    </r>
  </si>
  <si>
    <t>Q355</t>
  </si>
  <si>
    <t>CCT34</t>
  </si>
  <si>
    <t>CCT38</t>
  </si>
  <si>
    <t>CCT42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</si>
</sst>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_(* #,##0_);_(* \(#,##0\);_(* &quot;-&quot;??_);_(@_)"/>
  </numFmts>
  <fonts count="39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vertAlign val="subscript"/>
      <sz val="10"/>
      <color theme="1"/>
      <name val="Calibri"/>
      <family val="2"/>
      <scheme val="minor"/>
    </font>
    <font>
      <sz val="10"/>
      <color rgb="FF0070C0"/>
      <name val="Calibri"/>
      <family val="2"/>
      <scheme val="minor"/>
    </font>
    <font>
      <sz val="10"/>
      <color theme="1"/>
      <name val="Symbol"/>
      <family val="1"/>
      <charset val="2"/>
    </font>
    <font>
      <sz val="10"/>
      <color theme="1"/>
      <name val="Calibri"/>
      <family val="2"/>
    </font>
    <font>
      <sz val="10"/>
      <color theme="1"/>
      <name val="Calibri"/>
      <family val="1"/>
      <charset val="2"/>
    </font>
    <font>
      <vertAlign val="subscript"/>
      <sz val="10"/>
      <color theme="1"/>
      <name val="Calibri"/>
      <family val="2"/>
    </font>
    <font>
      <sz val="10"/>
      <name val="Calibri"/>
      <family val="2"/>
      <scheme val="minor"/>
    </font>
    <font>
      <vertAlign val="superscript"/>
      <sz val="10"/>
      <color theme="1"/>
      <name val="Calibri"/>
      <family val="2"/>
      <scheme val="minor"/>
    </font>
    <font>
      <sz val="10"/>
      <color rgb="FF0000CC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vertAlign val="subscript"/>
      <sz val="10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rgb="FF0070C0"/>
      <name val="Calibri"/>
      <family val="2"/>
      <scheme val="minor"/>
    </font>
    <font>
      <vertAlign val="subscript"/>
      <sz val="10"/>
      <name val="Calibri"/>
      <family val="2"/>
      <scheme val="minor"/>
    </font>
    <font>
      <b/>
      <vertAlign val="subscript"/>
      <sz val="10"/>
      <color theme="1"/>
      <name val="Calibri"/>
      <family val="2"/>
      <scheme val="minor"/>
    </font>
    <font>
      <b/>
      <sz val="10"/>
      <color theme="1"/>
      <name val="Symbol"/>
      <family val="1"/>
      <charset val="2"/>
    </font>
    <font>
      <vertAlign val="subscript"/>
      <sz val="10"/>
      <color theme="0"/>
      <name val="Calibri"/>
      <family val="2"/>
      <scheme val="minor"/>
    </font>
    <font>
      <sz val="11"/>
      <color theme="1"/>
      <name val="Calibri"/>
      <family val="2"/>
      <charset val="163"/>
      <scheme val="minor"/>
    </font>
    <font>
      <b/>
      <sz val="10"/>
      <color rgb="FF0070C0"/>
      <name val="Arial"/>
      <family val="2"/>
    </font>
    <font>
      <sz val="10"/>
      <name val="Arial"/>
      <family val="2"/>
    </font>
    <font>
      <b/>
      <sz val="10"/>
      <color theme="0"/>
      <name val="Arial"/>
      <family val="2"/>
    </font>
    <font>
      <vertAlign val="subscript"/>
      <sz val="10"/>
      <color theme="0"/>
      <name val="Arial"/>
      <family val="2"/>
    </font>
    <font>
      <sz val="11"/>
      <color indexed="8"/>
      <name val="Calibri"/>
      <family val="2"/>
    </font>
    <font>
      <sz val="11"/>
      <name val="Times New Roman"/>
      <family val="1"/>
    </font>
    <font>
      <sz val="10"/>
      <color rgb="FF0000FF"/>
      <name val="Arial"/>
      <family val="2"/>
    </font>
    <font>
      <sz val="10"/>
      <color rgb="FFC00000"/>
      <name val="Calibri"/>
      <family val="2"/>
      <scheme val="minor"/>
    </font>
    <font>
      <b/>
      <vertAlign val="subscript"/>
      <sz val="10"/>
      <color rgb="FF0070C0"/>
      <name val="Arial"/>
      <family val="2"/>
    </font>
    <font>
      <vertAlign val="superscript"/>
      <sz val="10"/>
      <name val="Calibri"/>
      <family val="2"/>
      <scheme val="minor"/>
    </font>
    <font>
      <sz val="10"/>
      <name val="Symbol"/>
      <family val="1"/>
      <charset val="2"/>
    </font>
    <font>
      <sz val="10"/>
      <name val="Calibri"/>
      <family val="1"/>
      <charset val="2"/>
      <scheme val="minor"/>
    </font>
    <font>
      <sz val="10"/>
      <color rgb="FF0061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Calibri"/>
      <family val="1"/>
      <charset val="2"/>
      <scheme val="minor"/>
    </font>
    <font>
      <b/>
      <sz val="10"/>
      <color theme="0"/>
      <name val="Symbol"/>
      <family val="1"/>
      <charset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26">
    <border>
      <left/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theme="0" tint="-0.499984740745262"/>
      </left>
      <right/>
      <top/>
      <bottom/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theme="0" tint="-0.499984740745262"/>
      </top>
      <bottom style="thin">
        <color indexed="64"/>
      </bottom>
      <diagonal/>
    </border>
    <border>
      <left/>
      <right/>
      <top style="thin">
        <color theme="0" tint="-0.499984740745262"/>
      </top>
      <bottom style="thin">
        <color indexed="64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</borders>
  <cellStyleXfs count="7">
    <xf numFmtId="0" fontId="0" fillId="0" borderId="0"/>
    <xf numFmtId="0" fontId="16" fillId="0" borderId="0"/>
    <xf numFmtId="0" fontId="22" fillId="0" borderId="0"/>
    <xf numFmtId="164" fontId="22" fillId="0" borderId="0" applyFont="0" applyFill="0" applyBorder="0" applyAlignment="0" applyProtection="0"/>
    <xf numFmtId="0" fontId="27" fillId="0" borderId="0"/>
    <xf numFmtId="0" fontId="28" fillId="0" borderId="0"/>
    <xf numFmtId="0" fontId="28" fillId="0" borderId="0"/>
  </cellStyleXfs>
  <cellXfs count="135">
    <xf numFmtId="0" fontId="0" fillId="0" borderId="0" xfId="0"/>
    <xf numFmtId="0" fontId="1" fillId="0" borderId="0" xfId="0" applyFont="1"/>
    <xf numFmtId="0" fontId="1" fillId="2" borderId="6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left" indent="1"/>
    </xf>
    <xf numFmtId="1" fontId="1" fillId="2" borderId="8" xfId="0" applyNumberFormat="1" applyFont="1" applyFill="1" applyBorder="1" applyAlignment="1">
      <alignment horizontal="center" vertical="center"/>
    </xf>
    <xf numFmtId="0" fontId="14" fillId="5" borderId="6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right" vertical="center"/>
    </xf>
    <xf numFmtId="0" fontId="9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6" borderId="0" xfId="0" applyFont="1" applyFill="1"/>
    <xf numFmtId="0" fontId="14" fillId="5" borderId="0" xfId="0" applyFont="1" applyFill="1" applyAlignment="1">
      <alignment horizontal="center" wrapText="1"/>
    </xf>
    <xf numFmtId="0" fontId="9" fillId="2" borderId="8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/>
    </xf>
    <xf numFmtId="0" fontId="20" fillId="2" borderId="8" xfId="0" applyFont="1" applyFill="1" applyBorder="1" applyAlignment="1">
      <alignment horizontal="center" vertical="center"/>
    </xf>
    <xf numFmtId="0" fontId="14" fillId="5" borderId="0" xfId="0" applyFont="1" applyFill="1" applyAlignment="1">
      <alignment horizontal="center" vertical="center" wrapText="1"/>
    </xf>
    <xf numFmtId="0" fontId="14" fillId="5" borderId="0" xfId="0" applyFont="1" applyFill="1" applyAlignment="1">
      <alignment horizontal="center"/>
    </xf>
    <xf numFmtId="0" fontId="1" fillId="2" borderId="0" xfId="0" applyFont="1" applyFill="1" applyAlignment="1">
      <alignment horizontal="center"/>
    </xf>
    <xf numFmtId="0" fontId="20" fillId="2" borderId="0" xfId="0" applyFont="1" applyFill="1" applyAlignment="1">
      <alignment horizontal="center" vertical="center"/>
    </xf>
    <xf numFmtId="0" fontId="25" fillId="5" borderId="8" xfId="2" applyFont="1" applyFill="1" applyBorder="1" applyAlignment="1">
      <alignment horizontal="center" vertical="center" wrapText="1"/>
    </xf>
    <xf numFmtId="0" fontId="25" fillId="5" borderId="8" xfId="2" applyFont="1" applyFill="1" applyBorder="1" applyAlignment="1">
      <alignment vertical="center"/>
    </xf>
    <xf numFmtId="0" fontId="1" fillId="0" borderId="8" xfId="0" applyFont="1" applyBorder="1"/>
    <xf numFmtId="1" fontId="24" fillId="2" borderId="8" xfId="5" applyNumberFormat="1" applyFont="1" applyFill="1" applyBorder="1" applyAlignment="1">
      <alignment vertical="center"/>
    </xf>
    <xf numFmtId="0" fontId="24" fillId="2" borderId="8" xfId="5" applyFont="1" applyFill="1" applyBorder="1" applyAlignment="1">
      <alignment vertical="center"/>
    </xf>
    <xf numFmtId="0" fontId="24" fillId="2" borderId="10" xfId="5" applyFont="1" applyFill="1" applyBorder="1" applyAlignment="1">
      <alignment vertical="center"/>
    </xf>
    <xf numFmtId="0" fontId="29" fillId="2" borderId="8" xfId="4" applyFont="1" applyFill="1" applyBorder="1" applyAlignment="1">
      <alignment horizontal="left" vertical="center"/>
    </xf>
    <xf numFmtId="0" fontId="29" fillId="2" borderId="10" xfId="4" applyFont="1" applyFill="1" applyBorder="1" applyAlignment="1">
      <alignment horizontal="left" vertical="center"/>
    </xf>
    <xf numFmtId="0" fontId="29" fillId="2" borderId="10" xfId="5" applyFont="1" applyFill="1" applyBorder="1" applyAlignment="1">
      <alignment horizontal="left" vertical="center"/>
    </xf>
    <xf numFmtId="0" fontId="29" fillId="2" borderId="10" xfId="6" applyFont="1" applyFill="1" applyBorder="1" applyAlignment="1">
      <alignment horizontal="left" vertical="center"/>
    </xf>
    <xf numFmtId="0" fontId="29" fillId="2" borderId="8" xfId="4" applyFont="1" applyFill="1" applyBorder="1" applyAlignment="1">
      <alignment horizontal="center" vertical="center"/>
    </xf>
    <xf numFmtId="1" fontId="24" fillId="2" borderId="8" xfId="5" applyNumberFormat="1" applyFont="1" applyFill="1" applyBorder="1" applyAlignment="1">
      <alignment horizontal="center" vertical="center"/>
    </xf>
    <xf numFmtId="0" fontId="24" fillId="2" borderId="8" xfId="5" applyFont="1" applyFill="1" applyBorder="1" applyAlignment="1">
      <alignment horizontal="center" vertical="center"/>
    </xf>
    <xf numFmtId="0" fontId="1" fillId="2" borderId="0" xfId="0" applyFont="1" applyFill="1" applyAlignment="1">
      <alignment vertical="top"/>
    </xf>
    <xf numFmtId="0" fontId="1" fillId="0" borderId="0" xfId="0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30" fillId="7" borderId="0" xfId="0" applyFont="1" applyFill="1" applyAlignment="1">
      <alignment horizontal="center" vertical="center"/>
    </xf>
    <xf numFmtId="2" fontId="1" fillId="0" borderId="0" xfId="0" applyNumberFormat="1" applyFont="1" applyAlignment="1">
      <alignment horizontal="center" vertical="center"/>
    </xf>
    <xf numFmtId="0" fontId="23" fillId="4" borderId="8" xfId="4" applyFont="1" applyFill="1" applyBorder="1" applyAlignment="1">
      <alignment horizontal="center" vertical="center"/>
    </xf>
    <xf numFmtId="0" fontId="23" fillId="4" borderId="8" xfId="0" applyFont="1" applyFill="1" applyBorder="1" applyAlignment="1">
      <alignment horizontal="center" vertical="center"/>
    </xf>
    <xf numFmtId="0" fontId="23" fillId="4" borderId="8" xfId="0" applyFont="1" applyFill="1" applyBorder="1" applyAlignment="1">
      <alignment vertical="center"/>
    </xf>
    <xf numFmtId="0" fontId="23" fillId="4" borderId="10" xfId="5" applyFont="1" applyFill="1" applyBorder="1" applyAlignment="1">
      <alignment horizontal="center" vertical="center"/>
    </xf>
    <xf numFmtId="0" fontId="23" fillId="4" borderId="10" xfId="4" applyFont="1" applyFill="1" applyBorder="1" applyAlignment="1">
      <alignment horizontal="center" vertical="center"/>
    </xf>
    <xf numFmtId="0" fontId="23" fillId="2" borderId="22" xfId="2" applyFont="1" applyFill="1" applyBorder="1" applyAlignment="1" applyProtection="1">
      <alignment horizontal="center" vertical="center"/>
      <protection hidden="1"/>
    </xf>
    <xf numFmtId="0" fontId="0" fillId="2" borderId="23" xfId="0" applyFill="1" applyBorder="1" applyAlignment="1">
      <alignment horizontal="center" vertical="center"/>
    </xf>
    <xf numFmtId="165" fontId="24" fillId="2" borderId="23" xfId="3" applyNumberFormat="1" applyFont="1" applyFill="1" applyBorder="1" applyAlignment="1" applyProtection="1">
      <alignment horizontal="center" vertical="center"/>
      <protection hidden="1"/>
    </xf>
    <xf numFmtId="164" fontId="24" fillId="2" borderId="23" xfId="2" applyNumberFormat="1" applyFont="1" applyFill="1" applyBorder="1" applyAlignment="1" applyProtection="1">
      <alignment horizontal="center" vertical="center"/>
      <protection hidden="1"/>
    </xf>
    <xf numFmtId="2" fontId="24" fillId="2" borderId="23" xfId="2" applyNumberFormat="1" applyFont="1" applyFill="1" applyBorder="1" applyAlignment="1" applyProtection="1">
      <alignment horizontal="center" vertical="center"/>
      <protection hidden="1"/>
    </xf>
    <xf numFmtId="2" fontId="24" fillId="2" borderId="1" xfId="2" applyNumberFormat="1" applyFont="1" applyFill="1" applyBorder="1" applyAlignment="1" applyProtection="1">
      <alignment horizontal="center" vertical="center"/>
      <protection hidden="1"/>
    </xf>
    <xf numFmtId="0" fontId="1" fillId="2" borderId="8" xfId="0" applyFont="1" applyFill="1" applyBorder="1"/>
    <xf numFmtId="0" fontId="23" fillId="2" borderId="19" xfId="2" applyFont="1" applyFill="1" applyBorder="1" applyAlignment="1" applyProtection="1">
      <alignment horizontal="center" vertical="center"/>
      <protection hidden="1"/>
    </xf>
    <xf numFmtId="0" fontId="0" fillId="2" borderId="8" xfId="0" applyFill="1" applyBorder="1" applyAlignment="1">
      <alignment horizontal="center" vertical="center"/>
    </xf>
    <xf numFmtId="165" fontId="24" fillId="2" borderId="8" xfId="3" applyNumberFormat="1" applyFont="1" applyFill="1" applyBorder="1" applyAlignment="1" applyProtection="1">
      <alignment horizontal="center" vertical="center"/>
      <protection hidden="1"/>
    </xf>
    <xf numFmtId="164" fontId="24" fillId="2" borderId="8" xfId="2" applyNumberFormat="1" applyFont="1" applyFill="1" applyBorder="1" applyAlignment="1" applyProtection="1">
      <alignment horizontal="center" vertical="center"/>
      <protection hidden="1"/>
    </xf>
    <xf numFmtId="2" fontId="24" fillId="2" borderId="8" xfId="2" applyNumberFormat="1" applyFont="1" applyFill="1" applyBorder="1" applyAlignment="1" applyProtection="1">
      <alignment horizontal="center" vertical="center"/>
      <protection hidden="1"/>
    </xf>
    <xf numFmtId="2" fontId="24" fillId="2" borderId="10" xfId="2" applyNumberFormat="1" applyFont="1" applyFill="1" applyBorder="1" applyAlignment="1" applyProtection="1">
      <alignment horizontal="center" vertical="center"/>
      <protection hidden="1"/>
    </xf>
    <xf numFmtId="0" fontId="23" fillId="2" borderId="20" xfId="2" applyFont="1" applyFill="1" applyBorder="1" applyAlignment="1" applyProtection="1">
      <alignment horizontal="center" vertical="center"/>
      <protection hidden="1"/>
    </xf>
    <xf numFmtId="0" fontId="0" fillId="2" borderId="21" xfId="0" applyFill="1" applyBorder="1" applyAlignment="1">
      <alignment horizontal="center" vertical="center"/>
    </xf>
    <xf numFmtId="165" fontId="24" fillId="2" borderId="21" xfId="3" applyNumberFormat="1" applyFont="1" applyFill="1" applyBorder="1" applyAlignment="1" applyProtection="1">
      <alignment horizontal="center" vertical="center"/>
      <protection hidden="1"/>
    </xf>
    <xf numFmtId="164" fontId="24" fillId="2" borderId="21" xfId="2" applyNumberFormat="1" applyFont="1" applyFill="1" applyBorder="1" applyAlignment="1" applyProtection="1">
      <alignment horizontal="center" vertical="center"/>
      <protection hidden="1"/>
    </xf>
    <xf numFmtId="2" fontId="24" fillId="2" borderId="21" xfId="2" applyNumberFormat="1" applyFont="1" applyFill="1" applyBorder="1" applyAlignment="1" applyProtection="1">
      <alignment horizontal="center" vertical="center"/>
      <protection hidden="1"/>
    </xf>
    <xf numFmtId="2" fontId="24" fillId="2" borderId="24" xfId="2" applyNumberFormat="1" applyFont="1" applyFill="1" applyBorder="1" applyAlignment="1" applyProtection="1">
      <alignment horizontal="center" vertical="center"/>
      <protection hidden="1"/>
    </xf>
    <xf numFmtId="0" fontId="1" fillId="4" borderId="8" xfId="0" applyFont="1" applyFill="1" applyBorder="1" applyAlignment="1">
      <alignment horizontal="center" vertical="center"/>
    </xf>
    <xf numFmtId="2" fontId="1" fillId="2" borderId="8" xfId="0" applyNumberFormat="1" applyFont="1" applyFill="1" applyBorder="1" applyAlignment="1">
      <alignment horizontal="center" vertical="center"/>
    </xf>
    <xf numFmtId="0" fontId="4" fillId="4" borderId="8" xfId="0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8" xfId="0" applyFont="1" applyFill="1" applyBorder="1"/>
    <xf numFmtId="0" fontId="1" fillId="2" borderId="0" xfId="0" applyFont="1" applyFill="1" applyAlignment="1">
      <alignment horizontal="center" vertical="top"/>
    </xf>
    <xf numFmtId="0" fontId="11" fillId="2" borderId="0" xfId="0" applyFont="1" applyFill="1" applyAlignment="1">
      <alignment horizontal="center" vertical="top"/>
    </xf>
    <xf numFmtId="1" fontId="1" fillId="2" borderId="0" xfId="0" applyNumberFormat="1" applyFont="1" applyFill="1" applyAlignment="1">
      <alignment horizontal="center" vertical="center"/>
    </xf>
    <xf numFmtId="0" fontId="1" fillId="2" borderId="0" xfId="0" applyFont="1" applyFill="1"/>
    <xf numFmtId="0" fontId="12" fillId="3" borderId="0" xfId="0" applyFont="1" applyFill="1" applyAlignment="1">
      <alignment horizontal="center" vertical="center"/>
    </xf>
    <xf numFmtId="0" fontId="11" fillId="2" borderId="8" xfId="0" applyFont="1" applyFill="1" applyBorder="1" applyAlignment="1">
      <alignment horizontal="center" vertical="center"/>
    </xf>
    <xf numFmtId="164" fontId="1" fillId="2" borderId="8" xfId="0" applyNumberFormat="1" applyFont="1" applyFill="1" applyBorder="1" applyAlignment="1">
      <alignment horizontal="center" vertical="center"/>
    </xf>
    <xf numFmtId="1" fontId="11" fillId="2" borderId="8" xfId="0" applyNumberFormat="1" applyFont="1" applyFill="1" applyBorder="1" applyAlignment="1">
      <alignment horizontal="center" vertical="center"/>
    </xf>
    <xf numFmtId="0" fontId="35" fillId="2" borderId="8" xfId="0" applyFont="1" applyFill="1" applyBorder="1" applyAlignment="1">
      <alignment horizontal="center" vertical="center"/>
    </xf>
    <xf numFmtId="0" fontId="9" fillId="8" borderId="8" xfId="0" applyFont="1" applyFill="1" applyBorder="1" applyAlignment="1">
      <alignment horizontal="center" vertical="center" wrapText="1"/>
    </xf>
    <xf numFmtId="2" fontId="9" fillId="8" borderId="8" xfId="0" applyNumberFormat="1" applyFont="1" applyFill="1" applyBorder="1" applyAlignment="1">
      <alignment horizontal="center" vertical="center" wrapText="1"/>
    </xf>
    <xf numFmtId="0" fontId="34" fillId="8" borderId="8" xfId="0" applyFont="1" applyFill="1" applyBorder="1" applyAlignment="1">
      <alignment horizontal="center" vertical="center" wrapText="1"/>
    </xf>
    <xf numFmtId="2" fontId="11" fillId="2" borderId="8" xfId="0" applyNumberFormat="1" applyFont="1" applyFill="1" applyBorder="1" applyAlignment="1">
      <alignment horizontal="center" vertical="center"/>
    </xf>
    <xf numFmtId="0" fontId="11" fillId="2" borderId="8" xfId="0" applyFont="1" applyFill="1" applyBorder="1" applyAlignment="1">
      <alignment vertical="top"/>
    </xf>
    <xf numFmtId="0" fontId="9" fillId="2" borderId="0" xfId="0" applyFont="1" applyFill="1" applyAlignment="1">
      <alignment vertical="top"/>
    </xf>
    <xf numFmtId="0" fontId="9" fillId="2" borderId="0" xfId="0" applyFont="1" applyFill="1"/>
    <xf numFmtId="2" fontId="9" fillId="2" borderId="8" xfId="0" applyNumberFormat="1" applyFont="1" applyFill="1" applyBorder="1" applyAlignment="1">
      <alignment horizontal="center" vertical="center"/>
    </xf>
    <xf numFmtId="0" fontId="9" fillId="2" borderId="8" xfId="0" applyFont="1" applyFill="1" applyBorder="1" applyAlignment="1">
      <alignment vertical="top"/>
    </xf>
    <xf numFmtId="0" fontId="9" fillId="0" borderId="0" xfId="0" applyFont="1"/>
    <xf numFmtId="164" fontId="9" fillId="2" borderId="8" xfId="0" applyNumberFormat="1" applyFont="1" applyFill="1" applyBorder="1" applyAlignment="1">
      <alignment horizontal="center" vertical="center"/>
    </xf>
    <xf numFmtId="1" fontId="9" fillId="2" borderId="8" xfId="0" applyNumberFormat="1" applyFont="1" applyFill="1" applyBorder="1" applyAlignment="1">
      <alignment horizontal="center" vertical="center"/>
    </xf>
    <xf numFmtId="0" fontId="9" fillId="2" borderId="8" xfId="0" applyFont="1" applyFill="1" applyBorder="1"/>
    <xf numFmtId="0" fontId="7" fillId="2" borderId="0" xfId="0" applyFont="1" applyFill="1" applyAlignment="1">
      <alignment horizontal="center" vertical="center"/>
    </xf>
    <xf numFmtId="0" fontId="11" fillId="2" borderId="8" xfId="0" applyFont="1" applyFill="1" applyBorder="1" applyAlignment="1">
      <alignment horizontal="left" vertical="center"/>
    </xf>
    <xf numFmtId="0" fontId="1" fillId="0" borderId="8" xfId="0" applyFont="1" applyBorder="1" applyAlignment="1">
      <alignment horizontal="center" vertical="center"/>
    </xf>
    <xf numFmtId="0" fontId="11" fillId="0" borderId="8" xfId="0" applyFont="1" applyBorder="1" applyAlignment="1">
      <alignment horizontal="center" vertical="center"/>
    </xf>
    <xf numFmtId="0" fontId="14" fillId="5" borderId="7" xfId="0" applyFont="1" applyFill="1" applyBorder="1" applyAlignment="1">
      <alignment horizontal="center" vertical="center"/>
    </xf>
    <xf numFmtId="0" fontId="14" fillId="5" borderId="5" xfId="0" applyFont="1" applyFill="1" applyBorder="1" applyAlignment="1">
      <alignment horizontal="center" vertical="center"/>
    </xf>
    <xf numFmtId="0" fontId="13" fillId="4" borderId="0" xfId="0" applyFont="1" applyFill="1" applyAlignment="1">
      <alignment horizontal="center" vertical="center"/>
    </xf>
    <xf numFmtId="0" fontId="9" fillId="8" borderId="8" xfId="0" applyFont="1" applyFill="1" applyBorder="1" applyAlignment="1">
      <alignment horizontal="center" vertical="center" wrapText="1"/>
    </xf>
    <xf numFmtId="0" fontId="34" fillId="8" borderId="18" xfId="0" applyFont="1" applyFill="1" applyBorder="1" applyAlignment="1">
      <alignment horizontal="center" vertical="center" wrapText="1"/>
    </xf>
    <xf numFmtId="0" fontId="34" fillId="8" borderId="23" xfId="0" applyFont="1" applyFill="1" applyBorder="1" applyAlignment="1">
      <alignment horizontal="center" vertical="center" wrapText="1"/>
    </xf>
    <xf numFmtId="0" fontId="33" fillId="8" borderId="18" xfId="0" applyFont="1" applyFill="1" applyBorder="1" applyAlignment="1">
      <alignment horizontal="center" vertical="center"/>
    </xf>
    <xf numFmtId="0" fontId="33" fillId="8" borderId="23" xfId="0" applyFont="1" applyFill="1" applyBorder="1" applyAlignment="1">
      <alignment horizontal="center" vertical="center"/>
    </xf>
    <xf numFmtId="0" fontId="9" fillId="8" borderId="18" xfId="0" applyFont="1" applyFill="1" applyBorder="1" applyAlignment="1">
      <alignment horizontal="center" vertical="center" wrapText="1"/>
    </xf>
    <xf numFmtId="0" fontId="9" fillId="8" borderId="23" xfId="0" applyFont="1" applyFill="1" applyBorder="1" applyAlignment="1">
      <alignment horizontal="center" vertical="center" wrapText="1"/>
    </xf>
    <xf numFmtId="0" fontId="36" fillId="9" borderId="8" xfId="0" applyFont="1" applyFill="1" applyBorder="1" applyAlignment="1">
      <alignment horizontal="center" vertical="center" wrapText="1"/>
    </xf>
    <xf numFmtId="0" fontId="12" fillId="3" borderId="0" xfId="0" applyFont="1" applyFill="1" applyAlignment="1">
      <alignment horizontal="center" vertical="center"/>
    </xf>
    <xf numFmtId="0" fontId="12" fillId="3" borderId="4" xfId="0" applyFont="1" applyFill="1" applyBorder="1" applyAlignment="1">
      <alignment horizontal="center" vertical="center"/>
    </xf>
    <xf numFmtId="0" fontId="17" fillId="4" borderId="11" xfId="0" applyFont="1" applyFill="1" applyBorder="1" applyAlignment="1">
      <alignment horizontal="left" vertical="center"/>
    </xf>
    <xf numFmtId="0" fontId="17" fillId="4" borderId="12" xfId="0" applyFont="1" applyFill="1" applyBorder="1" applyAlignment="1">
      <alignment horizontal="left" vertical="center"/>
    </xf>
    <xf numFmtId="0" fontId="11" fillId="2" borderId="0" xfId="0" applyFont="1" applyFill="1" applyAlignment="1">
      <alignment horizontal="center" vertical="center"/>
    </xf>
    <xf numFmtId="0" fontId="34" fillId="8" borderId="8" xfId="0" applyFont="1" applyFill="1" applyBorder="1" applyAlignment="1">
      <alignment horizontal="center" vertical="center" wrapText="1"/>
    </xf>
    <xf numFmtId="0" fontId="33" fillId="8" borderId="8" xfId="0" applyFont="1" applyFill="1" applyBorder="1" applyAlignment="1">
      <alignment horizontal="center" vertical="center"/>
    </xf>
    <xf numFmtId="0" fontId="14" fillId="5" borderId="15" xfId="0" applyFont="1" applyFill="1" applyBorder="1" applyAlignment="1">
      <alignment horizontal="center"/>
    </xf>
    <xf numFmtId="0" fontId="14" fillId="5" borderId="16" xfId="0" applyFont="1" applyFill="1" applyBorder="1" applyAlignment="1">
      <alignment horizontal="center"/>
    </xf>
    <xf numFmtId="0" fontId="14" fillId="5" borderId="17" xfId="0" applyFont="1" applyFill="1" applyBorder="1" applyAlignment="1">
      <alignment horizontal="center"/>
    </xf>
    <xf numFmtId="0" fontId="25" fillId="5" borderId="18" xfId="2" applyFont="1" applyFill="1" applyBorder="1" applyAlignment="1">
      <alignment horizontal="center" vertical="center"/>
    </xf>
    <xf numFmtId="0" fontId="25" fillId="5" borderId="23" xfId="2" applyFont="1" applyFill="1" applyBorder="1" applyAlignment="1">
      <alignment horizontal="center" vertical="center"/>
    </xf>
    <xf numFmtId="0" fontId="25" fillId="5" borderId="8" xfId="2" applyFont="1" applyFill="1" applyBorder="1" applyAlignment="1">
      <alignment horizontal="center" vertical="center" wrapText="1"/>
    </xf>
    <xf numFmtId="0" fontId="1" fillId="4" borderId="8" xfId="0" applyFont="1" applyFill="1" applyBorder="1" applyAlignment="1">
      <alignment horizontal="center" vertical="center"/>
    </xf>
    <xf numFmtId="0" fontId="14" fillId="5" borderId="13" xfId="0" applyFont="1" applyFill="1" applyBorder="1" applyAlignment="1">
      <alignment horizontal="center" wrapText="1"/>
    </xf>
    <xf numFmtId="0" fontId="14" fillId="5" borderId="14" xfId="0" applyFont="1" applyFill="1" applyBorder="1" applyAlignment="1">
      <alignment horizontal="center" wrapText="1"/>
    </xf>
    <xf numFmtId="0" fontId="14" fillId="5" borderId="3" xfId="0" applyFont="1" applyFill="1" applyBorder="1" applyAlignment="1">
      <alignment horizontal="center" wrapText="1"/>
    </xf>
    <xf numFmtId="0" fontId="14" fillId="5" borderId="0" xfId="0" applyFont="1" applyFill="1" applyAlignment="1">
      <alignment horizontal="center" wrapText="1"/>
    </xf>
    <xf numFmtId="0" fontId="23" fillId="4" borderId="8" xfId="4" applyFont="1" applyFill="1" applyBorder="1" applyAlignment="1">
      <alignment horizontal="center" vertical="center"/>
    </xf>
    <xf numFmtId="0" fontId="25" fillId="5" borderId="1" xfId="2" applyFont="1" applyFill="1" applyBorder="1" applyAlignment="1">
      <alignment horizontal="center" vertical="center" wrapText="1"/>
    </xf>
    <xf numFmtId="0" fontId="25" fillId="5" borderId="2" xfId="2" applyFont="1" applyFill="1" applyBorder="1" applyAlignment="1">
      <alignment horizontal="center" vertical="center" wrapText="1"/>
    </xf>
    <xf numFmtId="0" fontId="25" fillId="5" borderId="8" xfId="2" applyFont="1" applyFill="1" applyBorder="1" applyAlignment="1">
      <alignment horizontal="center" vertical="center"/>
    </xf>
    <xf numFmtId="0" fontId="14" fillId="5" borderId="0" xfId="0" applyFont="1" applyFill="1" applyAlignment="1">
      <alignment horizontal="center" vertical="center" wrapText="1"/>
    </xf>
    <xf numFmtId="0" fontId="14" fillId="5" borderId="2" xfId="0" applyFont="1" applyFill="1" applyBorder="1" applyAlignment="1">
      <alignment horizontal="center" vertical="center" wrapText="1"/>
    </xf>
    <xf numFmtId="0" fontId="37" fillId="5" borderId="6" xfId="0" applyFont="1" applyFill="1" applyBorder="1" applyAlignment="1">
      <alignment horizontal="center"/>
    </xf>
    <xf numFmtId="0" fontId="14" fillId="5" borderId="25" xfId="0" applyFont="1" applyFill="1" applyBorder="1" applyAlignment="1">
      <alignment horizontal="center"/>
    </xf>
    <xf numFmtId="0" fontId="1" fillId="2" borderId="15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2" fontId="9" fillId="2" borderId="0" xfId="0" applyNumberFormat="1" applyFont="1" applyFill="1" applyAlignment="1">
      <alignment horizontal="center" vertical="center"/>
    </xf>
  </cellXfs>
  <cellStyles count="7">
    <cellStyle name="Comma 2" xfId="3" xr:uid="{00000000-0005-0000-0000-000000000000}"/>
    <cellStyle name="Normal" xfId="0" builtinId="0"/>
    <cellStyle name="Normal 2" xfId="5" xr:uid="{00000000-0005-0000-0000-000002000000}"/>
    <cellStyle name="Normal 2 2" xfId="6" xr:uid="{00000000-0005-0000-0000-000003000000}"/>
    <cellStyle name="Normal 5" xfId="2" xr:uid="{00000000-0005-0000-0000-000004000000}"/>
    <cellStyle name="Normal 6" xfId="1" xr:uid="{00000000-0005-0000-0000-000005000000}"/>
    <cellStyle name="Normal_Sheet3" xfId="4" xr:uid="{00000000-0005-0000-0000-000006000000}"/>
  </cellStyles>
  <dxfs count="7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00CC"/>
      <color rgb="FF006100"/>
      <color rgb="FF0066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8471647" cy="6347839"/>
    <xdr:pic>
      <xdr:nvPicPr>
        <xdr:cNvPr id="2" name="Picture 1">
          <a:extLst>
            <a:ext uri="{FF2B5EF4-FFF2-40B4-BE49-F238E27FC236}">
              <a16:creationId xmlns:a16="http://schemas.microsoft.com/office/drawing/2014/main" id="{95ACB8AB-E78A-4E13-8260-55182EB38B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8471647" cy="6347839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33</xdr:row>
      <xdr:rowOff>22411</xdr:rowOff>
    </xdr:from>
    <xdr:ext cx="8523437" cy="3101606"/>
    <xdr:pic>
      <xdr:nvPicPr>
        <xdr:cNvPr id="3" name="Picture 2">
          <a:extLst>
            <a:ext uri="{FF2B5EF4-FFF2-40B4-BE49-F238E27FC236}">
              <a16:creationId xmlns:a16="http://schemas.microsoft.com/office/drawing/2014/main" id="{E555772B-370F-4C00-9FF6-6159C8F0E5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6308911"/>
          <a:ext cx="8523437" cy="3101606"/>
        </a:xfrm>
        <a:prstGeom prst="rect">
          <a:avLst/>
        </a:prstGeom>
      </xdr:spPr>
    </xdr:pic>
    <xdr:clientData/>
  </xdr:oneCellAnchor>
  <xdr:oneCellAnchor>
    <xdr:from>
      <xdr:col>15</xdr:col>
      <xdr:colOff>280147</xdr:colOff>
      <xdr:row>0</xdr:row>
      <xdr:rowOff>56030</xdr:rowOff>
    </xdr:from>
    <xdr:ext cx="9438652" cy="9491382"/>
    <xdr:pic>
      <xdr:nvPicPr>
        <xdr:cNvPr id="4" name="Picture 3">
          <a:extLst>
            <a:ext uri="{FF2B5EF4-FFF2-40B4-BE49-F238E27FC236}">
              <a16:creationId xmlns:a16="http://schemas.microsoft.com/office/drawing/2014/main" id="{5A168F6A-C71A-440A-B1C9-6C2DD23E07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24147" y="56030"/>
          <a:ext cx="9438652" cy="9491382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33</xdr:row>
      <xdr:rowOff>138804</xdr:rowOff>
    </xdr:from>
    <xdr:to>
      <xdr:col>4</xdr:col>
      <xdr:colOff>473268</xdr:colOff>
      <xdr:row>38</xdr:row>
      <xdr:rowOff>94896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96ED3F4-19F1-4118-8E69-AB67A101E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6059544"/>
          <a:ext cx="2667828" cy="820962"/>
        </a:xfrm>
        <a:prstGeom prst="rect">
          <a:avLst/>
        </a:prstGeom>
      </xdr:spPr>
    </xdr:pic>
    <xdr:clientData/>
  </xdr:twoCellAnchor>
  <xdr:oneCellAnchor>
    <xdr:from>
      <xdr:col>0</xdr:col>
      <xdr:colOff>0</xdr:colOff>
      <xdr:row>33</xdr:row>
      <xdr:rowOff>138804</xdr:rowOff>
    </xdr:from>
    <xdr:ext cx="2666739" cy="830760"/>
    <xdr:pic>
      <xdr:nvPicPr>
        <xdr:cNvPr id="3" name="Picture 2">
          <a:extLst>
            <a:ext uri="{FF2B5EF4-FFF2-40B4-BE49-F238E27FC236}">
              <a16:creationId xmlns:a16="http://schemas.microsoft.com/office/drawing/2014/main" id="{AE8E960B-6448-411D-963A-ADD1D441BD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6059544"/>
          <a:ext cx="2666739" cy="830760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267671</xdr:colOff>
      <xdr:row>20</xdr:row>
      <xdr:rowOff>72059</xdr:rowOff>
    </xdr:from>
    <xdr:ext cx="1144865" cy="36439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35FA110-4FC7-8B13-31C4-558B276561AA}"/>
                </a:ext>
              </a:extLst>
            </xdr:cNvPr>
            <xdr:cNvSpPr txBox="1"/>
          </xdr:nvSpPr>
          <xdr:spPr>
            <a:xfrm>
              <a:off x="3660228" y="2000250"/>
              <a:ext cx="1144865" cy="36439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𝐹𝑆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𝑁</m:t>
                        </m:r>
                      </m:num>
                      <m:den>
                        <m:r>
                          <a:rPr lang="en-US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𝜑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𝐴</m:t>
                        </m:r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𝑓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𝑦𝑑</m:t>
                            </m:r>
                          </m:sub>
                        </m:sSub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𝛾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𝑐</m:t>
                            </m:r>
                          </m:sub>
                        </m:sSub>
                      </m:den>
                    </m:f>
                    <m:r>
                      <a:rPr lang="en-US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≤</m:t>
                    </m:r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1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35FA110-4FC7-8B13-31C4-558B276561AA}"/>
                </a:ext>
              </a:extLst>
            </xdr:cNvPr>
            <xdr:cNvSpPr txBox="1"/>
          </xdr:nvSpPr>
          <xdr:spPr>
            <a:xfrm>
              <a:off x="3660228" y="2000250"/>
              <a:ext cx="1144865" cy="36439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𝐹𝑆=𝑁/(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𝜑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𝐴𝑓_𝑦𝑑 𝛾_𝑐 )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≤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</a:t>
              </a:r>
              <a:endParaRPr lang="en-US" sz="1100"/>
            </a:p>
          </xdr:txBody>
        </xdr:sp>
      </mc:Fallback>
    </mc:AlternateContent>
    <xdr:clientData/>
  </xdr:oneCellAnchor>
  <xdr:twoCellAnchor editAs="oneCell">
    <xdr:from>
      <xdr:col>16</xdr:col>
      <xdr:colOff>65942</xdr:colOff>
      <xdr:row>14</xdr:row>
      <xdr:rowOff>85122</xdr:rowOff>
    </xdr:from>
    <xdr:to>
      <xdr:col>20</xdr:col>
      <xdr:colOff>17784</xdr:colOff>
      <xdr:row>21</xdr:row>
      <xdr:rowOff>91899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71D8BB7-00C1-8344-B3A0-7D91B286FF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29654" y="854449"/>
          <a:ext cx="1311425" cy="1281955"/>
        </a:xfrm>
        <a:prstGeom prst="rect">
          <a:avLst/>
        </a:prstGeom>
      </xdr:spPr>
    </xdr:pic>
    <xdr:clientData/>
  </xdr:twoCellAnchor>
  <xdr:twoCellAnchor>
    <xdr:from>
      <xdr:col>22</xdr:col>
      <xdr:colOff>339587</xdr:colOff>
      <xdr:row>14</xdr:row>
      <xdr:rowOff>132522</xdr:rowOff>
    </xdr:from>
    <xdr:to>
      <xdr:col>23</xdr:col>
      <xdr:colOff>223630</xdr:colOff>
      <xdr:row>17</xdr:row>
      <xdr:rowOff>140804</xdr:rowOff>
    </xdr:to>
    <xdr:sp macro="" textlink="">
      <xdr:nvSpPr>
        <xdr:cNvPr id="4" name="Arrow: Up 3">
          <a:extLst>
            <a:ext uri="{FF2B5EF4-FFF2-40B4-BE49-F238E27FC236}">
              <a16:creationId xmlns:a16="http://schemas.microsoft.com/office/drawing/2014/main" id="{06EF4753-2153-2186-185F-87BC1351D2DD}"/>
            </a:ext>
          </a:extLst>
        </xdr:cNvPr>
        <xdr:cNvSpPr/>
      </xdr:nvSpPr>
      <xdr:spPr>
        <a:xfrm>
          <a:off x="8042413" y="911087"/>
          <a:ext cx="372717" cy="563217"/>
        </a:xfrm>
        <a:prstGeom prst="up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8CBFB5-A90C-4E47-ACA7-6F22D7F05BF0}">
  <dimension ref="A1"/>
  <sheetViews>
    <sheetView topLeftCell="D1" zoomScale="85" zoomScaleNormal="85" workbookViewId="0">
      <selection activeCell="AG46" sqref="AG46"/>
    </sheetView>
  </sheetViews>
  <sheetFormatPr defaultRowHeight="14.4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70C0"/>
  </sheetPr>
  <dimension ref="A1:FD33"/>
  <sheetViews>
    <sheetView showGridLines="0" zoomScale="130" zoomScaleNormal="130" zoomScaleSheetLayoutView="100" workbookViewId="0">
      <selection activeCell="F1" sqref="F1:I1048576"/>
    </sheetView>
  </sheetViews>
  <sheetFormatPr defaultColWidth="7.33203125" defaultRowHeight="13.8"/>
  <cols>
    <col min="1" max="1" width="9.88671875" style="1" customWidth="1"/>
    <col min="2" max="4" width="7.33203125" style="1"/>
    <col min="5" max="5" width="7.33203125" style="1" customWidth="1"/>
    <col min="6" max="9" width="7.33203125" style="1" hidden="1" customWidth="1"/>
    <col min="10" max="10" width="3.33203125" style="10" customWidth="1"/>
    <col min="11" max="15" width="7.33203125" style="1"/>
    <col min="16" max="20" width="0" style="1" hidden="1" customWidth="1"/>
    <col min="21" max="21" width="3.33203125" style="10" customWidth="1"/>
    <col min="22" max="26" width="7.33203125" style="1"/>
    <col min="27" max="41" width="0" style="1" hidden="1" customWidth="1"/>
    <col min="42" max="46" width="7.33203125" style="1" hidden="1" customWidth="1"/>
    <col min="47" max="47" width="3.33203125" style="10" customWidth="1"/>
    <col min="48" max="50" width="7.33203125" style="1"/>
    <col min="51" max="51" width="3.33203125" style="10" customWidth="1"/>
    <col min="52" max="54" width="7.33203125" style="1"/>
    <col min="55" max="59" width="0" style="1" hidden="1" customWidth="1"/>
    <col min="60" max="60" width="3.33203125" style="10" customWidth="1"/>
    <col min="61" max="62" width="7.33203125" style="1"/>
    <col min="63" max="63" width="7.88671875" style="1" bestFit="1" customWidth="1"/>
    <col min="64" max="69" width="7.33203125" style="1"/>
    <col min="70" max="79" width="0" style="1" hidden="1" customWidth="1"/>
    <col min="80" max="80" width="3.33203125" style="10" customWidth="1"/>
    <col min="81" max="81" width="9.5546875" style="24" bestFit="1" customWidth="1"/>
    <col min="82" max="83" width="9.5546875" style="32" customWidth="1"/>
    <col min="84" max="85" width="5" style="24" bestFit="1" customWidth="1"/>
    <col min="86" max="86" width="5" style="24" customWidth="1"/>
    <col min="87" max="87" width="5" style="24" bestFit="1" customWidth="1"/>
    <col min="88" max="88" width="7" style="25" bestFit="1" customWidth="1"/>
    <col min="89" max="103" width="0" style="1" hidden="1" customWidth="1"/>
    <col min="104" max="104" width="3.33203125" style="10" customWidth="1"/>
    <col min="105" max="105" width="10.44140625" style="22" customWidth="1"/>
    <col min="106" max="110" width="7.33203125" style="22"/>
    <col min="111" max="16384" width="7.33203125" style="1"/>
  </cols>
  <sheetData>
    <row r="1" spans="1:160" ht="14.25" customHeight="1">
      <c r="A1" s="95" t="s">
        <v>1</v>
      </c>
      <c r="B1" s="6" t="s">
        <v>17</v>
      </c>
      <c r="C1" s="6" t="s">
        <v>24</v>
      </c>
      <c r="D1" s="6" t="s">
        <v>25</v>
      </c>
      <c r="E1" s="130" t="s">
        <v>211</v>
      </c>
      <c r="F1" s="17"/>
      <c r="G1" s="17"/>
      <c r="H1" s="17"/>
      <c r="I1" s="17"/>
      <c r="K1" s="120" t="s">
        <v>40</v>
      </c>
      <c r="L1" s="121"/>
      <c r="M1" s="121"/>
      <c r="N1" s="121"/>
      <c r="O1" s="121"/>
      <c r="P1" s="11"/>
      <c r="Q1" s="11"/>
      <c r="R1" s="11"/>
      <c r="S1" s="11"/>
      <c r="T1" s="11"/>
      <c r="V1" s="128" t="s">
        <v>50</v>
      </c>
      <c r="W1" s="128"/>
      <c r="X1" s="128"/>
      <c r="Y1" s="128"/>
      <c r="Z1" s="128"/>
      <c r="AA1" s="16"/>
      <c r="AB1" s="16"/>
      <c r="AC1" s="16"/>
      <c r="AD1" s="16"/>
      <c r="AE1" s="16"/>
      <c r="AF1" s="16"/>
      <c r="AG1" s="16"/>
      <c r="AH1" s="16"/>
      <c r="AI1" s="16"/>
      <c r="AJ1" s="16"/>
      <c r="AK1" s="16"/>
      <c r="AL1" s="16"/>
      <c r="AM1" s="16"/>
      <c r="AN1" s="16"/>
      <c r="AO1" s="16"/>
      <c r="AP1" s="16"/>
      <c r="AQ1" s="16"/>
      <c r="AR1" s="16"/>
      <c r="AS1" s="16"/>
      <c r="AT1" s="16"/>
      <c r="AV1" s="113" t="s">
        <v>103</v>
      </c>
      <c r="AW1" s="114"/>
      <c r="AX1" s="115"/>
      <c r="AZ1" s="113" t="s">
        <v>51</v>
      </c>
      <c r="BA1" s="114"/>
      <c r="BB1" s="115"/>
      <c r="BI1" s="118" t="s">
        <v>60</v>
      </c>
      <c r="BJ1" s="118"/>
      <c r="BK1" s="127" t="s">
        <v>85</v>
      </c>
      <c r="BL1" s="118" t="s">
        <v>61</v>
      </c>
      <c r="BM1" s="118"/>
      <c r="BN1" s="118"/>
      <c r="BO1" s="118"/>
      <c r="BP1" s="127" t="s">
        <v>90</v>
      </c>
      <c r="BQ1" s="127"/>
      <c r="CC1" s="125" t="s">
        <v>61</v>
      </c>
      <c r="CD1" s="126"/>
      <c r="CE1" s="126"/>
      <c r="CF1" s="126"/>
      <c r="CG1" s="126"/>
      <c r="CH1" s="126"/>
      <c r="CI1" s="126"/>
      <c r="CJ1" s="126"/>
      <c r="DA1" s="118" t="s">
        <v>160</v>
      </c>
      <c r="DB1" s="118"/>
      <c r="DC1" s="118"/>
      <c r="DD1" s="118"/>
      <c r="DE1" s="118"/>
      <c r="DF1" s="118"/>
      <c r="DZ1" s="35">
        <v>1</v>
      </c>
      <c r="EA1" s="35">
        <v>2</v>
      </c>
      <c r="EB1" s="35">
        <v>3</v>
      </c>
      <c r="EC1" s="35">
        <v>4</v>
      </c>
      <c r="ED1" s="35">
        <v>5</v>
      </c>
      <c r="EE1" s="35">
        <v>6</v>
      </c>
      <c r="EF1" s="35">
        <v>7</v>
      </c>
      <c r="EG1" s="35">
        <v>8</v>
      </c>
      <c r="EH1" s="35">
        <v>9</v>
      </c>
      <c r="EI1" s="35">
        <v>10</v>
      </c>
      <c r="EJ1" s="35">
        <v>11</v>
      </c>
      <c r="EK1" s="35">
        <v>12</v>
      </c>
      <c r="EL1" s="35">
        <v>13</v>
      </c>
      <c r="EM1" s="35">
        <v>14</v>
      </c>
      <c r="EN1" s="35">
        <v>15</v>
      </c>
      <c r="EO1" s="35">
        <v>16</v>
      </c>
      <c r="EP1" s="35">
        <v>17</v>
      </c>
      <c r="EQ1" s="35">
        <v>18</v>
      </c>
      <c r="ER1" s="35">
        <v>19</v>
      </c>
      <c r="ES1" s="35">
        <v>20</v>
      </c>
      <c r="ET1" s="35">
        <v>21</v>
      </c>
      <c r="EU1" s="35">
        <v>22</v>
      </c>
      <c r="EV1" s="35">
        <v>23</v>
      </c>
      <c r="EW1" s="35">
        <v>24</v>
      </c>
      <c r="EX1" s="35">
        <v>25</v>
      </c>
      <c r="EY1" s="35">
        <v>26</v>
      </c>
      <c r="EZ1" s="35">
        <v>27</v>
      </c>
      <c r="FA1" s="35">
        <v>28</v>
      </c>
    </row>
    <row r="2" spans="1:160" ht="15.6">
      <c r="A2" s="96"/>
      <c r="B2" s="6" t="s">
        <v>18</v>
      </c>
      <c r="C2" s="6" t="s">
        <v>18</v>
      </c>
      <c r="D2" s="6" t="s">
        <v>18</v>
      </c>
      <c r="E2" s="131"/>
      <c r="F2" s="17"/>
      <c r="G2" s="17"/>
      <c r="H2" s="17"/>
      <c r="I2" s="17"/>
      <c r="K2" s="122"/>
      <c r="L2" s="123"/>
      <c r="M2" s="123"/>
      <c r="N2" s="123"/>
      <c r="O2" s="123"/>
      <c r="P2" s="11"/>
      <c r="Q2" s="11"/>
      <c r="R2" s="11"/>
      <c r="S2" s="11"/>
      <c r="T2" s="11"/>
      <c r="V2" s="129"/>
      <c r="W2" s="129"/>
      <c r="X2" s="129"/>
      <c r="Y2" s="129"/>
      <c r="Z2" s="129"/>
      <c r="AA2" s="16"/>
      <c r="AB2" s="16"/>
      <c r="AC2" s="16"/>
      <c r="AD2" s="16"/>
      <c r="AE2" s="16"/>
      <c r="AF2" s="16"/>
      <c r="AG2" s="16"/>
      <c r="AH2" s="16"/>
      <c r="AI2" s="16"/>
      <c r="AJ2" s="16"/>
      <c r="AK2" s="16"/>
      <c r="AL2" s="16"/>
      <c r="AM2" s="16"/>
      <c r="AN2" s="16"/>
      <c r="AO2" s="16"/>
      <c r="AP2" s="16"/>
      <c r="AQ2" s="16"/>
      <c r="AR2" s="16"/>
      <c r="AS2" s="16"/>
      <c r="AT2" s="16"/>
      <c r="AV2" s="6" t="s">
        <v>104</v>
      </c>
      <c r="AW2" s="6" t="s">
        <v>19</v>
      </c>
      <c r="AX2" s="6" t="s">
        <v>30</v>
      </c>
      <c r="AZ2" s="6" t="s">
        <v>52</v>
      </c>
      <c r="BA2" s="6" t="s">
        <v>53</v>
      </c>
      <c r="BB2" s="6" t="s">
        <v>54</v>
      </c>
      <c r="BI2" s="118"/>
      <c r="BJ2" s="118"/>
      <c r="BK2" s="127"/>
      <c r="BL2" s="118" t="s">
        <v>62</v>
      </c>
      <c r="BM2" s="118"/>
      <c r="BN2" s="118" t="s">
        <v>63</v>
      </c>
      <c r="BO2" s="118"/>
      <c r="BP2" s="127"/>
      <c r="BQ2" s="127"/>
      <c r="CC2" s="124" t="s">
        <v>105</v>
      </c>
      <c r="CD2" s="41" t="s">
        <v>115</v>
      </c>
      <c r="CE2" s="41" t="s">
        <v>104</v>
      </c>
      <c r="CF2" s="42" t="s">
        <v>161</v>
      </c>
      <c r="CG2" s="42" t="s">
        <v>162</v>
      </c>
      <c r="CH2" s="42" t="s">
        <v>163</v>
      </c>
      <c r="CI2" s="42" t="s">
        <v>164</v>
      </c>
      <c r="CJ2" s="43" t="s">
        <v>165</v>
      </c>
      <c r="DA2" s="66">
        <v>1</v>
      </c>
      <c r="DB2" s="66">
        <v>2</v>
      </c>
      <c r="DC2" s="66">
        <v>3</v>
      </c>
      <c r="DD2" s="66">
        <v>4</v>
      </c>
      <c r="DE2" s="66">
        <v>6</v>
      </c>
      <c r="DF2" s="66">
        <v>8</v>
      </c>
      <c r="DZ2" s="34"/>
      <c r="EA2" s="34"/>
      <c r="EB2" s="34"/>
      <c r="EC2" s="34"/>
      <c r="ED2" s="34"/>
      <c r="EE2" s="34"/>
      <c r="EF2" s="34"/>
      <c r="EG2" s="34"/>
      <c r="EH2" s="34"/>
      <c r="EI2" s="34"/>
      <c r="EJ2" s="34"/>
      <c r="EK2" s="34"/>
      <c r="EL2" s="34"/>
      <c r="EM2" s="34"/>
      <c r="EN2" s="34"/>
      <c r="EO2" s="34"/>
      <c r="EP2" s="34"/>
      <c r="EQ2" s="34"/>
      <c r="ER2" s="34"/>
      <c r="ES2" s="34"/>
      <c r="ET2" s="34"/>
      <c r="EU2" s="34"/>
      <c r="EV2" s="34"/>
      <c r="EW2" s="34"/>
      <c r="EX2" s="34"/>
      <c r="EY2" s="34"/>
      <c r="EZ2" s="34"/>
      <c r="FA2" s="34"/>
      <c r="FB2" s="34"/>
    </row>
    <row r="3" spans="1:160" ht="15.6">
      <c r="A3" s="7" t="s">
        <v>26</v>
      </c>
      <c r="B3" s="2">
        <f>2.06*10^5</f>
        <v>206000</v>
      </c>
      <c r="C3" s="2">
        <v>235</v>
      </c>
      <c r="D3" s="132">
        <v>370</v>
      </c>
      <c r="E3" s="133">
        <v>1.1000000000000001</v>
      </c>
      <c r="F3" s="18"/>
      <c r="G3" s="18"/>
      <c r="H3" s="18"/>
      <c r="I3" s="18"/>
      <c r="K3" s="12" t="s">
        <v>41</v>
      </c>
      <c r="L3" s="12" t="s">
        <v>42</v>
      </c>
      <c r="M3" s="12" t="s">
        <v>43</v>
      </c>
      <c r="N3" s="12" t="s">
        <v>44</v>
      </c>
      <c r="O3" s="12" t="s">
        <v>45</v>
      </c>
      <c r="P3" s="8"/>
      <c r="Q3" s="8"/>
      <c r="R3" s="8"/>
      <c r="S3" s="8"/>
      <c r="T3" s="8"/>
      <c r="V3" s="13" t="s">
        <v>39</v>
      </c>
      <c r="W3" s="13" t="s">
        <v>46</v>
      </c>
      <c r="X3" s="13" t="s">
        <v>47</v>
      </c>
      <c r="Y3" s="13" t="s">
        <v>48</v>
      </c>
      <c r="Z3" s="15" t="s">
        <v>49</v>
      </c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V3" s="3">
        <v>360</v>
      </c>
      <c r="AW3" s="3">
        <v>560</v>
      </c>
      <c r="AX3" s="3">
        <v>475</v>
      </c>
      <c r="AZ3" s="3" t="s">
        <v>55</v>
      </c>
      <c r="BA3" s="3">
        <v>430</v>
      </c>
      <c r="BB3" s="3">
        <v>180</v>
      </c>
      <c r="BI3" s="118"/>
      <c r="BJ3" s="118"/>
      <c r="BK3" s="127"/>
      <c r="BL3" s="20" t="s">
        <v>86</v>
      </c>
      <c r="BM3" s="20" t="s">
        <v>87</v>
      </c>
      <c r="BN3" s="20" t="s">
        <v>88</v>
      </c>
      <c r="BO3" s="20" t="s">
        <v>89</v>
      </c>
      <c r="BP3" s="116" t="s">
        <v>101</v>
      </c>
      <c r="BQ3" s="21" t="s">
        <v>102</v>
      </c>
      <c r="CC3" s="124"/>
      <c r="CD3" s="40" t="s">
        <v>22</v>
      </c>
      <c r="CE3" s="40" t="s">
        <v>22</v>
      </c>
      <c r="CF3" s="40" t="s">
        <v>22</v>
      </c>
      <c r="CG3" s="40" t="s">
        <v>22</v>
      </c>
      <c r="CH3" s="40" t="s">
        <v>22</v>
      </c>
      <c r="CI3" s="40" t="s">
        <v>22</v>
      </c>
      <c r="CJ3" s="44" t="s">
        <v>22</v>
      </c>
      <c r="DA3" s="119" t="s">
        <v>131</v>
      </c>
      <c r="DB3" s="119" t="s">
        <v>166</v>
      </c>
      <c r="DC3" s="119"/>
      <c r="DD3" s="64" t="s">
        <v>19</v>
      </c>
      <c r="DE3" s="64" t="s">
        <v>167</v>
      </c>
      <c r="DF3" s="64" t="s">
        <v>139</v>
      </c>
      <c r="DZ3" s="34" t="s">
        <v>131</v>
      </c>
      <c r="EA3" s="34" t="s">
        <v>132</v>
      </c>
      <c r="EB3" s="34" t="s">
        <v>19</v>
      </c>
      <c r="EC3" s="34" t="s">
        <v>30</v>
      </c>
      <c r="ED3" s="34" t="s">
        <v>133</v>
      </c>
      <c r="EE3" s="34" t="s">
        <v>134</v>
      </c>
      <c r="EF3" s="34" t="s">
        <v>135</v>
      </c>
      <c r="EG3" s="34" t="s">
        <v>19</v>
      </c>
      <c r="EH3" s="34" t="s">
        <v>136</v>
      </c>
      <c r="EI3" s="34" t="s">
        <v>123</v>
      </c>
      <c r="EJ3" s="34" t="s">
        <v>124</v>
      </c>
      <c r="EK3" s="34" t="s">
        <v>125</v>
      </c>
      <c r="EL3" s="34" t="s">
        <v>126</v>
      </c>
      <c r="EM3" s="34" t="s">
        <v>137</v>
      </c>
      <c r="EN3" s="34" t="s">
        <v>138</v>
      </c>
      <c r="EO3" s="34" t="s">
        <v>139</v>
      </c>
      <c r="EP3" s="34" t="s">
        <v>140</v>
      </c>
      <c r="EQ3" s="34" t="s">
        <v>141</v>
      </c>
      <c r="ER3" s="34" t="s">
        <v>142</v>
      </c>
      <c r="ES3" s="34" t="s">
        <v>127</v>
      </c>
      <c r="ET3" s="34" t="s">
        <v>128</v>
      </c>
      <c r="EU3" s="34" t="s">
        <v>143</v>
      </c>
      <c r="EV3" s="34"/>
      <c r="EW3" s="34"/>
      <c r="EX3" s="34"/>
      <c r="EY3" s="34"/>
      <c r="EZ3" s="34"/>
      <c r="FA3" s="34"/>
      <c r="FB3" s="34"/>
      <c r="FC3" s="34"/>
    </row>
    <row r="4" spans="1:160" ht="15">
      <c r="A4" s="7" t="s">
        <v>27</v>
      </c>
      <c r="B4" s="2">
        <f t="shared" ref="B4:B33" si="0">2.06*10^5</f>
        <v>206000</v>
      </c>
      <c r="C4" s="2">
        <v>345</v>
      </c>
      <c r="D4" s="132">
        <v>510</v>
      </c>
      <c r="E4" s="133">
        <v>1.1000000000000001</v>
      </c>
      <c r="F4" s="18"/>
      <c r="G4" s="18"/>
      <c r="H4" s="18"/>
      <c r="I4" s="18"/>
      <c r="K4" s="12">
        <v>5.6</v>
      </c>
      <c r="L4" s="12">
        <v>500</v>
      </c>
      <c r="M4" s="12">
        <v>300</v>
      </c>
      <c r="N4" s="12">
        <v>210</v>
      </c>
      <c r="O4" s="12">
        <v>225</v>
      </c>
      <c r="P4" s="8"/>
      <c r="Q4" s="8"/>
      <c r="R4" s="8"/>
      <c r="S4" s="8"/>
      <c r="T4" s="8"/>
      <c r="V4" s="14">
        <v>10</v>
      </c>
      <c r="W4" s="3">
        <v>1.5</v>
      </c>
      <c r="X4" s="5">
        <v>78.5</v>
      </c>
      <c r="Y4" s="3">
        <v>57.1</v>
      </c>
      <c r="Z4" s="3">
        <v>1</v>
      </c>
      <c r="AA4" s="9"/>
      <c r="AB4" s="9"/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V4" s="3">
        <v>370</v>
      </c>
      <c r="AW4" s="3">
        <v>580</v>
      </c>
      <c r="AX4" s="3">
        <v>485</v>
      </c>
      <c r="AZ4" s="3" t="s">
        <v>56</v>
      </c>
      <c r="BA4" s="3">
        <v>510</v>
      </c>
      <c r="BB4" s="3">
        <v>225</v>
      </c>
      <c r="BI4" s="118"/>
      <c r="BJ4" s="118"/>
      <c r="BK4" s="20" t="s">
        <v>22</v>
      </c>
      <c r="BL4" s="20" t="s">
        <v>22</v>
      </c>
      <c r="BM4" s="20" t="s">
        <v>22</v>
      </c>
      <c r="BN4" s="20" t="s">
        <v>22</v>
      </c>
      <c r="BO4" s="20" t="s">
        <v>22</v>
      </c>
      <c r="BP4" s="117"/>
      <c r="BQ4" s="20" t="s">
        <v>22</v>
      </c>
      <c r="CC4" s="26" t="s">
        <v>106</v>
      </c>
      <c r="CD4" s="30">
        <v>235</v>
      </c>
      <c r="CE4" s="30">
        <v>373</v>
      </c>
      <c r="CF4" s="26">
        <f>CD4</f>
        <v>235</v>
      </c>
      <c r="CG4" s="26">
        <f>CF4/1.15</f>
        <v>204.34782608695653</v>
      </c>
      <c r="CH4" s="26">
        <f>CF4</f>
        <v>235</v>
      </c>
      <c r="CI4" s="26">
        <f>0.7*CD4</f>
        <v>164.5</v>
      </c>
      <c r="CJ4" s="27">
        <v>200000</v>
      </c>
      <c r="DA4" s="119"/>
      <c r="DB4" s="64" t="s">
        <v>39</v>
      </c>
      <c r="DC4" s="64" t="s">
        <v>133</v>
      </c>
      <c r="DD4" s="64" t="s">
        <v>23</v>
      </c>
      <c r="DE4" s="64" t="s">
        <v>20</v>
      </c>
      <c r="DF4" s="64" t="s">
        <v>20</v>
      </c>
      <c r="DZ4" s="34" t="s">
        <v>129</v>
      </c>
      <c r="EA4" s="34" t="s">
        <v>130</v>
      </c>
      <c r="EB4" s="34">
        <v>50</v>
      </c>
      <c r="EC4" s="34">
        <v>50</v>
      </c>
      <c r="ED4" s="34">
        <v>4</v>
      </c>
      <c r="EE4" s="34">
        <v>6.5</v>
      </c>
      <c r="EF4" s="34">
        <v>3</v>
      </c>
      <c r="EG4" s="34">
        <v>3.8919999999999999</v>
      </c>
      <c r="EH4" s="34">
        <v>3.06</v>
      </c>
      <c r="EI4" s="34">
        <v>1.37</v>
      </c>
      <c r="EJ4" s="34">
        <v>1.37</v>
      </c>
      <c r="EK4" s="34">
        <v>9.06</v>
      </c>
      <c r="EL4" s="34">
        <v>9.06</v>
      </c>
      <c r="EM4" s="34">
        <v>14.4</v>
      </c>
      <c r="EN4" s="34">
        <v>3.76</v>
      </c>
      <c r="EO4" s="34">
        <v>1.53</v>
      </c>
      <c r="EP4" s="34">
        <v>1.53</v>
      </c>
      <c r="EQ4" s="34">
        <v>1.92</v>
      </c>
      <c r="ER4" s="34">
        <v>0.98299999999999998</v>
      </c>
      <c r="ES4" s="34">
        <v>2.4900000000000002</v>
      </c>
      <c r="ET4" s="34">
        <v>2.4900000000000002</v>
      </c>
      <c r="EU4" s="34"/>
      <c r="EV4" s="34">
        <v>1.53</v>
      </c>
      <c r="EW4" s="34"/>
      <c r="EX4" s="34"/>
      <c r="EY4" s="39">
        <f>(EP4^2+(EJ4+0.5*FC5)^2)^0.5</f>
        <v>2.4161539686038225</v>
      </c>
      <c r="EZ4" s="34"/>
      <c r="FA4" s="34"/>
      <c r="FB4" s="34"/>
      <c r="FC4" s="34"/>
    </row>
    <row r="5" spans="1:160" ht="14.4">
      <c r="A5" s="7" t="s">
        <v>212</v>
      </c>
      <c r="B5" s="2">
        <f t="shared" si="0"/>
        <v>206000</v>
      </c>
      <c r="C5" s="2">
        <v>355</v>
      </c>
      <c r="D5" s="132">
        <v>510</v>
      </c>
      <c r="E5" s="133">
        <v>1.1000000000000001</v>
      </c>
      <c r="F5" s="18"/>
      <c r="G5" s="18"/>
      <c r="H5" s="18"/>
      <c r="I5" s="18"/>
      <c r="K5" s="12">
        <v>5.8</v>
      </c>
      <c r="L5" s="12">
        <v>500</v>
      </c>
      <c r="M5" s="12">
        <v>400</v>
      </c>
      <c r="N5" s="12">
        <v>210</v>
      </c>
      <c r="O5" s="12">
        <v>210</v>
      </c>
      <c r="P5" s="8"/>
      <c r="Q5" s="8"/>
      <c r="R5" s="8"/>
      <c r="S5" s="8"/>
      <c r="T5" s="8"/>
      <c r="V5" s="14">
        <v>12</v>
      </c>
      <c r="W5" s="3">
        <v>1.5</v>
      </c>
      <c r="X5" s="5">
        <v>113</v>
      </c>
      <c r="Y5" s="3">
        <v>84.2</v>
      </c>
      <c r="Z5" s="3">
        <v>1</v>
      </c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V5" s="3">
        <v>380</v>
      </c>
      <c r="AW5" s="3">
        <v>590</v>
      </c>
      <c r="AX5" s="3">
        <v>500</v>
      </c>
      <c r="AZ5" s="3" t="s">
        <v>57</v>
      </c>
      <c r="BA5" s="3">
        <v>410</v>
      </c>
      <c r="BB5" s="3">
        <v>180</v>
      </c>
      <c r="BI5" s="45" t="s">
        <v>64</v>
      </c>
      <c r="BJ5" s="46" t="s">
        <v>65</v>
      </c>
      <c r="BK5" s="47">
        <v>19000</v>
      </c>
      <c r="BL5" s="48">
        <v>7.5</v>
      </c>
      <c r="BM5" s="48">
        <v>6</v>
      </c>
      <c r="BN5" s="49">
        <v>0.85</v>
      </c>
      <c r="BO5" s="50">
        <v>0.56000000000000005</v>
      </c>
      <c r="BP5" s="51"/>
      <c r="BQ5" s="51"/>
      <c r="CC5" s="26" t="s">
        <v>107</v>
      </c>
      <c r="CD5" s="30">
        <v>295</v>
      </c>
      <c r="CE5" s="30">
        <v>490</v>
      </c>
      <c r="CF5" s="26">
        <f t="shared" ref="CF5:CF19" si="1">CD5</f>
        <v>295</v>
      </c>
      <c r="CG5" s="26">
        <f t="shared" ref="CG5:CG19" si="2">CF5/1.15</f>
        <v>256.52173913043481</v>
      </c>
      <c r="CH5" s="26">
        <f t="shared" ref="CH5:CH19" si="3">CF5</f>
        <v>295</v>
      </c>
      <c r="CI5" s="26">
        <f t="shared" ref="CI5:CI19" si="4">0.7*CD5</f>
        <v>206.5</v>
      </c>
      <c r="CJ5" s="27">
        <v>200000</v>
      </c>
      <c r="DA5" s="3" t="str">
        <f>"o"&amp;DB5&amp;"x"&amp;DC5</f>
        <v>o21.4x1.4</v>
      </c>
      <c r="DB5" s="67">
        <v>21.4</v>
      </c>
      <c r="DC5" s="67">
        <v>1.4</v>
      </c>
      <c r="DD5" s="65">
        <f>PI()*(DB5^2-(DB5-2*DC5)^2)/400</f>
        <v>0.87964594300514209</v>
      </c>
      <c r="DE5" s="65">
        <f>PI()*((DB5/10)^4-((DB5-2*DC5)/10)^4)/64</f>
        <v>0.44197810406293314</v>
      </c>
      <c r="DF5" s="65">
        <f>SQRT(DE5/DD5)</f>
        <v>0.70883707577975874</v>
      </c>
      <c r="DZ5" s="34" t="s">
        <v>144</v>
      </c>
      <c r="EA5" s="34" t="s">
        <v>145</v>
      </c>
      <c r="EB5" s="34">
        <v>90</v>
      </c>
      <c r="EC5" s="34">
        <v>75</v>
      </c>
      <c r="ED5" s="34">
        <v>9</v>
      </c>
      <c r="EE5" s="34">
        <v>8.5</v>
      </c>
      <c r="EF5" s="34">
        <v>6</v>
      </c>
      <c r="EG5" s="34">
        <v>14.04</v>
      </c>
      <c r="EH5" s="34">
        <v>11</v>
      </c>
      <c r="EI5" s="34">
        <v>2.75</v>
      </c>
      <c r="EJ5" s="36">
        <v>2</v>
      </c>
      <c r="EK5" s="34">
        <v>109</v>
      </c>
      <c r="EL5" s="34">
        <v>68.099999999999994</v>
      </c>
      <c r="EM5" s="34">
        <v>143</v>
      </c>
      <c r="EN5" s="34">
        <v>34.1</v>
      </c>
      <c r="EO5" s="36">
        <v>2.78</v>
      </c>
      <c r="EP5" s="36">
        <v>2.2000000000000002</v>
      </c>
      <c r="EQ5" s="34">
        <v>3.19</v>
      </c>
      <c r="ER5" s="34">
        <v>1.56</v>
      </c>
      <c r="ES5" s="34">
        <v>17.399999999999999</v>
      </c>
      <c r="ET5" s="34">
        <v>12.4</v>
      </c>
      <c r="EU5" s="34">
        <v>0.67600000000000005</v>
      </c>
      <c r="EV5" s="34"/>
      <c r="EW5" s="34">
        <f>EO5</f>
        <v>2.78</v>
      </c>
      <c r="EX5" s="34">
        <f>EP5</f>
        <v>2.2000000000000002</v>
      </c>
      <c r="EY5" s="34"/>
      <c r="EZ5" s="39">
        <f>(EP5^2+(EJ5+0.5*FC5)^2)^0.5</f>
        <v>3.3301651610693423</v>
      </c>
      <c r="FA5" s="39">
        <f>(EO5^2+(EI5+0.5*FC5)^2)^0.5</f>
        <v>4.2767861765582813</v>
      </c>
      <c r="FB5" s="37" t="s">
        <v>146</v>
      </c>
      <c r="FC5" s="38">
        <v>1</v>
      </c>
      <c r="FD5" s="1" t="s">
        <v>147</v>
      </c>
    </row>
    <row r="6" spans="1:160" ht="14.4">
      <c r="A6" s="7" t="s">
        <v>29</v>
      </c>
      <c r="B6" s="2">
        <f t="shared" si="0"/>
        <v>206000</v>
      </c>
      <c r="C6" s="2">
        <v>250</v>
      </c>
      <c r="D6" s="132">
        <v>400</v>
      </c>
      <c r="E6" s="133">
        <v>1.1000000000000001</v>
      </c>
      <c r="F6" s="18"/>
      <c r="G6" s="18"/>
      <c r="H6" s="18"/>
      <c r="I6" s="18"/>
      <c r="K6" s="12">
        <v>8.8000000000000007</v>
      </c>
      <c r="L6" s="12">
        <v>830</v>
      </c>
      <c r="M6" s="12">
        <v>660</v>
      </c>
      <c r="N6" s="12">
        <v>332</v>
      </c>
      <c r="O6" s="12">
        <v>448</v>
      </c>
      <c r="P6" s="8"/>
      <c r="Q6" s="8"/>
      <c r="R6" s="8"/>
      <c r="S6" s="8"/>
      <c r="T6" s="8"/>
      <c r="V6" s="14">
        <v>16</v>
      </c>
      <c r="W6" s="3">
        <v>2</v>
      </c>
      <c r="X6" s="5">
        <f t="shared" ref="X6:X15" si="5">PI()*V6^2/4</f>
        <v>201.06192982974676</v>
      </c>
      <c r="Y6" s="3">
        <v>157</v>
      </c>
      <c r="Z6" s="3">
        <v>1</v>
      </c>
      <c r="AA6" s="9"/>
      <c r="AB6" s="9"/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V6" s="3">
        <v>390</v>
      </c>
      <c r="AW6" s="3">
        <v>610</v>
      </c>
      <c r="AX6" s="3">
        <v>515</v>
      </c>
      <c r="AZ6" s="3" t="s">
        <v>58</v>
      </c>
      <c r="BA6" s="3">
        <v>450</v>
      </c>
      <c r="BB6" s="3">
        <v>200</v>
      </c>
      <c r="BI6" s="52" t="s">
        <v>66</v>
      </c>
      <c r="BJ6" s="53" t="s">
        <v>67</v>
      </c>
      <c r="BK6" s="54">
        <v>24000</v>
      </c>
      <c r="BL6" s="55">
        <v>11</v>
      </c>
      <c r="BM6" s="55">
        <v>8.5</v>
      </c>
      <c r="BN6" s="56">
        <v>1.1000000000000001</v>
      </c>
      <c r="BO6" s="57">
        <v>0.75</v>
      </c>
      <c r="BP6" s="51" t="s">
        <v>91</v>
      </c>
      <c r="BQ6" s="51">
        <f>VALUE(MID(BP6,2,2))</f>
        <v>12</v>
      </c>
      <c r="CC6" s="26" t="s">
        <v>108</v>
      </c>
      <c r="CD6" s="30">
        <v>390</v>
      </c>
      <c r="CE6" s="30">
        <v>590</v>
      </c>
      <c r="CF6" s="26">
        <f t="shared" si="1"/>
        <v>390</v>
      </c>
      <c r="CG6" s="26">
        <f t="shared" si="2"/>
        <v>339.13043478260875</v>
      </c>
      <c r="CH6" s="26">
        <f t="shared" si="3"/>
        <v>390</v>
      </c>
      <c r="CI6" s="26">
        <f t="shared" si="4"/>
        <v>273</v>
      </c>
      <c r="CJ6" s="27">
        <v>200000</v>
      </c>
      <c r="DA6" s="3" t="str">
        <f t="shared" ref="DA6:DA15" si="6">"o"&amp;DB6&amp;"x"&amp;DC6</f>
        <v>o21.4x1.8</v>
      </c>
      <c r="DB6" s="67">
        <v>21.4</v>
      </c>
      <c r="DC6" s="67">
        <v>1.8</v>
      </c>
      <c r="DD6" s="65">
        <f t="shared" ref="DD6:DD15" si="7">PI()*(DB6^2-(DB6-2*DC6)^2)/400</f>
        <v>1.108353888186479</v>
      </c>
      <c r="DE6" s="65">
        <f t="shared" ref="DE6:DE15" si="8">PI()*((DB6/10)^4-((DB6-2*DC6)/10)^4)/64</f>
        <v>0.53672037035430209</v>
      </c>
      <c r="DF6" s="65">
        <f t="shared" ref="DF6:DF15" si="9">SQRT(DE6/DD6)</f>
        <v>0.69588073690827201</v>
      </c>
      <c r="DZ6" s="34"/>
      <c r="EA6" s="34"/>
      <c r="EB6" s="34"/>
      <c r="EC6" s="34"/>
      <c r="ED6" s="34"/>
      <c r="EE6" s="34"/>
      <c r="EF6" s="34"/>
      <c r="EG6" s="34"/>
      <c r="EH6" s="34"/>
      <c r="EI6" s="34"/>
      <c r="EJ6" s="34"/>
      <c r="EK6" s="34"/>
      <c r="EL6" s="34"/>
      <c r="EM6" s="34"/>
      <c r="EN6" s="34"/>
      <c r="EO6" s="34"/>
      <c r="EP6" s="34"/>
      <c r="EQ6" s="34"/>
      <c r="ER6" s="34"/>
      <c r="ES6" s="34"/>
      <c r="ET6" s="34"/>
      <c r="EU6" s="34"/>
      <c r="EV6" s="34"/>
      <c r="EW6" s="34"/>
      <c r="EX6" s="34"/>
      <c r="EY6" s="34"/>
      <c r="EZ6" s="34"/>
      <c r="FA6" s="34"/>
      <c r="FB6" s="34"/>
      <c r="FC6" s="34"/>
    </row>
    <row r="7" spans="1:160" ht="14.4">
      <c r="A7" s="7" t="s">
        <v>28</v>
      </c>
      <c r="B7" s="2">
        <f t="shared" si="0"/>
        <v>206000</v>
      </c>
      <c r="C7" s="2">
        <v>345</v>
      </c>
      <c r="D7" s="132">
        <v>450</v>
      </c>
      <c r="E7" s="133">
        <v>1.1000000000000001</v>
      </c>
      <c r="F7" s="18"/>
      <c r="G7" s="18"/>
      <c r="H7" s="18"/>
      <c r="I7" s="18"/>
      <c r="K7" s="12">
        <v>10.9</v>
      </c>
      <c r="L7" s="12">
        <v>1040</v>
      </c>
      <c r="M7" s="12">
        <v>940</v>
      </c>
      <c r="N7" s="12">
        <v>416</v>
      </c>
      <c r="O7" s="12">
        <v>728</v>
      </c>
      <c r="P7" s="8"/>
      <c r="Q7" s="8"/>
      <c r="R7" s="8"/>
      <c r="S7" s="8"/>
      <c r="T7" s="8"/>
      <c r="V7" s="14">
        <v>18</v>
      </c>
      <c r="W7" s="3">
        <v>2.5</v>
      </c>
      <c r="X7" s="5">
        <f t="shared" si="5"/>
        <v>254.46900494077323</v>
      </c>
      <c r="Y7" s="3">
        <v>192</v>
      </c>
      <c r="Z7" s="3">
        <v>0</v>
      </c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V7" s="3">
        <v>430</v>
      </c>
      <c r="AW7" s="3">
        <v>670</v>
      </c>
      <c r="AX7" s="3">
        <v>565</v>
      </c>
      <c r="AZ7" s="3" t="s">
        <v>59</v>
      </c>
      <c r="BA7" s="3">
        <v>490</v>
      </c>
      <c r="BB7" s="3">
        <v>215</v>
      </c>
      <c r="BI7" s="52" t="s">
        <v>68</v>
      </c>
      <c r="BJ7" s="53" t="s">
        <v>69</v>
      </c>
      <c r="BK7" s="54">
        <v>27500</v>
      </c>
      <c r="BL7" s="55">
        <v>15</v>
      </c>
      <c r="BM7" s="55">
        <v>11.5</v>
      </c>
      <c r="BN7" s="56">
        <v>1.35</v>
      </c>
      <c r="BO7" s="57">
        <v>0.9</v>
      </c>
      <c r="BP7" s="51" t="s">
        <v>92</v>
      </c>
      <c r="BQ7" s="51">
        <f t="shared" ref="BQ7:BQ15" si="10">VALUE(MID(BP7,2,2))</f>
        <v>16</v>
      </c>
      <c r="CC7" s="26" t="s">
        <v>109</v>
      </c>
      <c r="CD7" s="30">
        <v>235</v>
      </c>
      <c r="CE7" s="30">
        <v>373</v>
      </c>
      <c r="CF7" s="26">
        <f t="shared" si="1"/>
        <v>235</v>
      </c>
      <c r="CG7" s="26">
        <f t="shared" si="2"/>
        <v>204.34782608695653</v>
      </c>
      <c r="CH7" s="26">
        <f t="shared" si="3"/>
        <v>235</v>
      </c>
      <c r="CI7" s="26">
        <f t="shared" si="4"/>
        <v>164.5</v>
      </c>
      <c r="CJ7" s="28">
        <v>200000</v>
      </c>
      <c r="DA7" s="3" t="str">
        <f t="shared" si="6"/>
        <v>o21.4x2</v>
      </c>
      <c r="DB7" s="67">
        <v>21.4</v>
      </c>
      <c r="DC7" s="67">
        <v>2</v>
      </c>
      <c r="DD7" s="65">
        <f t="shared" si="7"/>
        <v>1.2189379495928396</v>
      </c>
      <c r="DE7" s="65">
        <f t="shared" si="8"/>
        <v>0.57954404813391514</v>
      </c>
      <c r="DF7" s="65">
        <f t="shared" si="9"/>
        <v>0.689528824633169</v>
      </c>
      <c r="DZ7" s="34"/>
      <c r="EA7" s="34"/>
      <c r="EB7" s="34"/>
      <c r="EC7" s="34"/>
      <c r="ED7" s="34"/>
      <c r="EE7" s="34"/>
      <c r="EF7" s="34"/>
      <c r="EG7" s="34"/>
      <c r="EH7" s="34"/>
      <c r="EI7" s="34"/>
      <c r="EJ7" s="34"/>
      <c r="EK7" s="34"/>
      <c r="EL7" s="34"/>
      <c r="EM7" s="34"/>
      <c r="EN7" s="34"/>
      <c r="EO7" s="34"/>
      <c r="EP7" s="34"/>
      <c r="EQ7" s="34"/>
      <c r="ER7" s="34"/>
      <c r="ES7" s="34"/>
      <c r="ET7" s="34"/>
      <c r="EU7" s="34"/>
      <c r="EV7" s="34"/>
      <c r="EW7" s="34"/>
      <c r="EX7" s="34"/>
      <c r="EY7" s="34"/>
      <c r="EZ7" s="34"/>
      <c r="FA7" s="34"/>
      <c r="FB7" s="34"/>
      <c r="FC7" s="34"/>
    </row>
    <row r="8" spans="1:160" ht="14.4">
      <c r="A8" s="7" t="s">
        <v>3</v>
      </c>
      <c r="B8" s="2">
        <f t="shared" si="0"/>
        <v>206000</v>
      </c>
      <c r="C8" s="2">
        <v>235</v>
      </c>
      <c r="D8" s="132">
        <v>360</v>
      </c>
      <c r="E8" s="133">
        <v>1.05</v>
      </c>
      <c r="F8" s="18"/>
      <c r="G8" s="18"/>
      <c r="H8" s="18"/>
      <c r="I8" s="18"/>
      <c r="K8" s="12">
        <v>12.9</v>
      </c>
      <c r="L8" s="12">
        <v>1220</v>
      </c>
      <c r="M8" s="12">
        <v>1100</v>
      </c>
      <c r="N8" s="12">
        <v>427</v>
      </c>
      <c r="O8" s="12">
        <v>854</v>
      </c>
      <c r="P8" s="8"/>
      <c r="Q8" s="8"/>
      <c r="R8" s="8"/>
      <c r="S8" s="8"/>
      <c r="T8" s="8"/>
      <c r="V8" s="14">
        <v>20</v>
      </c>
      <c r="W8" s="3">
        <v>2.5</v>
      </c>
      <c r="X8" s="5">
        <f t="shared" si="5"/>
        <v>314.15926535897933</v>
      </c>
      <c r="Y8" s="3">
        <v>245</v>
      </c>
      <c r="Z8" s="3">
        <v>1.1000000000000001</v>
      </c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V8" s="3">
        <v>440</v>
      </c>
      <c r="AW8" s="3">
        <v>685</v>
      </c>
      <c r="AX8" s="3">
        <v>580</v>
      </c>
      <c r="BI8" s="52" t="s">
        <v>70</v>
      </c>
      <c r="BJ8" s="53" t="s">
        <v>71</v>
      </c>
      <c r="BK8" s="54">
        <v>30000</v>
      </c>
      <c r="BL8" s="55">
        <v>18.5</v>
      </c>
      <c r="BM8" s="55">
        <v>14.5</v>
      </c>
      <c r="BN8" s="56">
        <v>1.55</v>
      </c>
      <c r="BO8" s="57">
        <v>1.05</v>
      </c>
      <c r="BP8" s="51" t="s">
        <v>93</v>
      </c>
      <c r="BQ8" s="51">
        <f t="shared" si="10"/>
        <v>20</v>
      </c>
      <c r="CC8" s="26" t="s">
        <v>110</v>
      </c>
      <c r="CD8" s="30">
        <v>295</v>
      </c>
      <c r="CE8" s="30">
        <v>490</v>
      </c>
      <c r="CF8" s="26">
        <f t="shared" si="1"/>
        <v>295</v>
      </c>
      <c r="CG8" s="26">
        <f t="shared" si="2"/>
        <v>256.52173913043481</v>
      </c>
      <c r="CH8" s="26">
        <f t="shared" si="3"/>
        <v>295</v>
      </c>
      <c r="CI8" s="26">
        <f t="shared" si="4"/>
        <v>206.5</v>
      </c>
      <c r="CJ8" s="28">
        <v>200000</v>
      </c>
      <c r="DA8" s="3" t="str">
        <f t="shared" si="6"/>
        <v>o21.4x2.3</v>
      </c>
      <c r="DB8" s="67">
        <v>21.4</v>
      </c>
      <c r="DC8" s="67">
        <v>2.2999999999999998</v>
      </c>
      <c r="DD8" s="65">
        <f t="shared" si="7"/>
        <v>1.3801016527219963</v>
      </c>
      <c r="DE8" s="65">
        <f t="shared" si="8"/>
        <v>0.63846952709051297</v>
      </c>
      <c r="DF8" s="65">
        <f t="shared" si="9"/>
        <v>0.6801654210557897</v>
      </c>
      <c r="DZ8" s="34"/>
      <c r="EA8" s="34"/>
      <c r="EB8" s="34"/>
      <c r="EC8" s="34"/>
      <c r="ED8" s="34"/>
      <c r="EE8" s="34"/>
      <c r="EF8" s="34" t="s">
        <v>21</v>
      </c>
      <c r="EG8" s="34" t="s">
        <v>148</v>
      </c>
      <c r="EH8" s="34" t="s">
        <v>149</v>
      </c>
      <c r="EI8" s="34" t="s">
        <v>19</v>
      </c>
      <c r="EJ8" s="34" t="s">
        <v>139</v>
      </c>
      <c r="EK8" s="34" t="s">
        <v>140</v>
      </c>
      <c r="EL8" s="34" t="s">
        <v>150</v>
      </c>
      <c r="EM8" s="34" t="s">
        <v>151</v>
      </c>
      <c r="EN8" s="34" t="s">
        <v>152</v>
      </c>
      <c r="EO8" s="34" t="s">
        <v>153</v>
      </c>
      <c r="EP8" s="34" t="s">
        <v>154</v>
      </c>
      <c r="EQ8" s="34" t="s">
        <v>155</v>
      </c>
      <c r="ER8" s="34" t="s">
        <v>156</v>
      </c>
      <c r="ES8" s="34" t="s">
        <v>153</v>
      </c>
      <c r="ET8" s="34"/>
      <c r="EU8" s="34"/>
      <c r="EV8" s="34"/>
      <c r="EW8" s="34"/>
      <c r="EX8" s="34"/>
      <c r="EY8" s="34"/>
      <c r="EZ8" s="34"/>
      <c r="FA8" s="34"/>
      <c r="FB8" s="34"/>
      <c r="FC8" s="34"/>
    </row>
    <row r="9" spans="1:160" ht="14.4">
      <c r="A9" s="7" t="s">
        <v>2</v>
      </c>
      <c r="B9" s="2">
        <f t="shared" si="0"/>
        <v>206000</v>
      </c>
      <c r="C9" s="2">
        <v>225</v>
      </c>
      <c r="D9" s="132">
        <v>360</v>
      </c>
      <c r="E9" s="133">
        <v>1.05</v>
      </c>
      <c r="F9" s="18"/>
      <c r="G9" s="18"/>
      <c r="H9" s="18"/>
      <c r="I9" s="18"/>
      <c r="V9" s="14">
        <v>22</v>
      </c>
      <c r="W9" s="3">
        <v>2.5</v>
      </c>
      <c r="X9" s="5">
        <f t="shared" si="5"/>
        <v>380.13271108436498</v>
      </c>
      <c r="Y9" s="3">
        <v>303</v>
      </c>
      <c r="Z9" s="3">
        <v>1.1000000000000001</v>
      </c>
      <c r="AA9" s="9"/>
      <c r="AB9" s="9"/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V9" s="3">
        <v>450</v>
      </c>
      <c r="AW9" s="3">
        <v>700</v>
      </c>
      <c r="AX9" s="3">
        <v>595</v>
      </c>
      <c r="BI9" s="52" t="s">
        <v>72</v>
      </c>
      <c r="BJ9" s="53" t="s">
        <v>73</v>
      </c>
      <c r="BK9" s="54">
        <v>32500</v>
      </c>
      <c r="BL9" s="55">
        <v>22</v>
      </c>
      <c r="BM9" s="55">
        <v>17</v>
      </c>
      <c r="BN9" s="56">
        <v>1.75</v>
      </c>
      <c r="BO9" s="57">
        <v>1.1499999999999999</v>
      </c>
      <c r="BP9" s="51" t="s">
        <v>94</v>
      </c>
      <c r="BQ9" s="51">
        <f t="shared" si="10"/>
        <v>25</v>
      </c>
      <c r="CC9" s="26" t="s">
        <v>111</v>
      </c>
      <c r="CD9" s="30">
        <v>390</v>
      </c>
      <c r="CE9" s="30">
        <v>590</v>
      </c>
      <c r="CF9" s="26">
        <f t="shared" si="1"/>
        <v>390</v>
      </c>
      <c r="CG9" s="26">
        <f t="shared" si="2"/>
        <v>339.13043478260875</v>
      </c>
      <c r="CH9" s="26">
        <f t="shared" si="3"/>
        <v>390</v>
      </c>
      <c r="CI9" s="26">
        <f t="shared" si="4"/>
        <v>273</v>
      </c>
      <c r="CJ9" s="28">
        <v>200000</v>
      </c>
      <c r="DA9" s="3" t="str">
        <f t="shared" si="6"/>
        <v>o21.4x2.5</v>
      </c>
      <c r="DB9" s="67">
        <v>21.4</v>
      </c>
      <c r="DC9" s="67">
        <v>2.5</v>
      </c>
      <c r="DD9" s="65">
        <f t="shared" si="7"/>
        <v>1.4844025288211768</v>
      </c>
      <c r="DE9" s="65">
        <f t="shared" si="8"/>
        <v>0.67440117890668083</v>
      </c>
      <c r="DF9" s="65">
        <f t="shared" si="9"/>
        <v>0.6740363491682031</v>
      </c>
      <c r="DZ9" s="34"/>
      <c r="EA9" s="34"/>
      <c r="EB9" s="34"/>
      <c r="EC9" s="34"/>
      <c r="ED9" s="34"/>
      <c r="EE9" s="34"/>
      <c r="EF9" s="34">
        <v>-530</v>
      </c>
      <c r="EG9" s="34">
        <v>150</v>
      </c>
      <c r="EH9" s="34">
        <v>150</v>
      </c>
      <c r="EI9" s="34">
        <f>2*EG5</f>
        <v>28.08</v>
      </c>
      <c r="EJ9" s="34"/>
      <c r="EK9" s="34"/>
      <c r="EL9" s="34"/>
      <c r="EM9" s="34"/>
      <c r="EN9" s="34"/>
      <c r="EO9" s="34"/>
      <c r="EP9" s="34"/>
      <c r="EQ9" s="34"/>
      <c r="ER9" s="34"/>
      <c r="ES9" s="34"/>
      <c r="ET9" s="34"/>
      <c r="EU9" s="34"/>
      <c r="EV9" s="34"/>
      <c r="EW9" s="34"/>
      <c r="EX9" s="34"/>
      <c r="EY9" s="34"/>
      <c r="EZ9" s="34"/>
      <c r="FA9" s="34"/>
      <c r="FB9" s="34"/>
      <c r="FC9" s="34"/>
    </row>
    <row r="10" spans="1:160" ht="14.4">
      <c r="A10" s="7" t="s">
        <v>4</v>
      </c>
      <c r="B10" s="2">
        <f t="shared" si="0"/>
        <v>206000</v>
      </c>
      <c r="C10" s="2">
        <v>215</v>
      </c>
      <c r="D10" s="132">
        <v>360</v>
      </c>
      <c r="E10" s="133">
        <v>1.05</v>
      </c>
      <c r="F10" s="18"/>
      <c r="G10" s="18"/>
      <c r="H10" s="18"/>
      <c r="I10" s="18"/>
      <c r="V10" s="14">
        <v>24</v>
      </c>
      <c r="W10" s="3">
        <v>3</v>
      </c>
      <c r="X10" s="5">
        <f t="shared" si="5"/>
        <v>452.38934211693021</v>
      </c>
      <c r="Y10" s="3">
        <v>353</v>
      </c>
      <c r="Z10" s="3">
        <v>1.1000000000000001</v>
      </c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V10" s="3">
        <v>460</v>
      </c>
      <c r="AW10" s="3">
        <v>720</v>
      </c>
      <c r="AX10" s="3">
        <v>605</v>
      </c>
      <c r="BI10" s="52" t="s">
        <v>74</v>
      </c>
      <c r="BJ10" s="53" t="s">
        <v>75</v>
      </c>
      <c r="BK10" s="54">
        <v>34500</v>
      </c>
      <c r="BL10" s="55">
        <v>25.5</v>
      </c>
      <c r="BM10" s="55">
        <v>19.5</v>
      </c>
      <c r="BN10" s="56">
        <v>1.95</v>
      </c>
      <c r="BO10" s="57">
        <v>1.3</v>
      </c>
      <c r="BP10" s="51" t="s">
        <v>95</v>
      </c>
      <c r="BQ10" s="51">
        <f t="shared" si="10"/>
        <v>28</v>
      </c>
      <c r="CC10" s="26" t="s">
        <v>118</v>
      </c>
      <c r="CD10" s="30">
        <v>240</v>
      </c>
      <c r="CE10" s="30">
        <v>380</v>
      </c>
      <c r="CF10" s="26">
        <f t="shared" si="1"/>
        <v>240</v>
      </c>
      <c r="CG10" s="26"/>
      <c r="CH10" s="26">
        <f t="shared" si="3"/>
        <v>240</v>
      </c>
      <c r="CI10" s="26">
        <v>170</v>
      </c>
      <c r="CJ10" s="27">
        <v>200000</v>
      </c>
      <c r="DA10" s="3" t="str">
        <f t="shared" si="6"/>
        <v>o25.4x1.4</v>
      </c>
      <c r="DB10" s="67">
        <v>25.4</v>
      </c>
      <c r="DC10" s="67">
        <v>1.4</v>
      </c>
      <c r="DD10" s="65">
        <f t="shared" si="7"/>
        <v>1.0555751316061712</v>
      </c>
      <c r="DE10" s="65">
        <f t="shared" si="8"/>
        <v>0.76260025382887842</v>
      </c>
      <c r="DF10" s="65">
        <f t="shared" si="9"/>
        <v>0.84997058772642242</v>
      </c>
      <c r="DZ10" s="34"/>
      <c r="EA10" s="34"/>
      <c r="EB10" s="34"/>
      <c r="EC10" s="34"/>
      <c r="ED10" s="34"/>
      <c r="EE10" s="34"/>
      <c r="EF10" s="34"/>
      <c r="EG10" s="34"/>
      <c r="EH10" s="34"/>
      <c r="EI10" s="34"/>
      <c r="EJ10" s="34"/>
      <c r="EK10" s="34"/>
      <c r="EL10" s="34"/>
      <c r="EM10" s="34"/>
      <c r="EN10" s="34"/>
      <c r="EO10" s="34"/>
      <c r="EP10" s="34"/>
      <c r="EQ10" s="34"/>
      <c r="ER10" s="34"/>
      <c r="ES10" s="34"/>
      <c r="ET10" s="34"/>
      <c r="EU10" s="34"/>
      <c r="EV10" s="34"/>
      <c r="EW10" s="34"/>
      <c r="EX10" s="34"/>
      <c r="EY10" s="34"/>
      <c r="EZ10" s="34"/>
      <c r="FA10" s="34"/>
      <c r="FB10" s="34"/>
      <c r="FC10" s="34"/>
    </row>
    <row r="11" spans="1:160" ht="14.4">
      <c r="A11" s="7" t="s">
        <v>5</v>
      </c>
      <c r="B11" s="2">
        <f t="shared" si="0"/>
        <v>206000</v>
      </c>
      <c r="C11" s="2">
        <v>215</v>
      </c>
      <c r="D11" s="132">
        <v>360</v>
      </c>
      <c r="E11" s="133">
        <v>1.05</v>
      </c>
      <c r="F11" s="18"/>
      <c r="G11" s="18"/>
      <c r="H11" s="18"/>
      <c r="I11" s="18"/>
      <c r="V11" s="14">
        <v>27</v>
      </c>
      <c r="W11" s="3">
        <v>3</v>
      </c>
      <c r="X11" s="5">
        <f t="shared" si="5"/>
        <v>572.55526111673976</v>
      </c>
      <c r="Y11" s="3">
        <v>459</v>
      </c>
      <c r="Z11" s="3">
        <v>1.2</v>
      </c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V11" s="3">
        <v>470</v>
      </c>
      <c r="AW11" s="3">
        <v>735</v>
      </c>
      <c r="AX11" s="3">
        <v>620</v>
      </c>
      <c r="BI11" s="52" t="s">
        <v>76</v>
      </c>
      <c r="BJ11" s="53" t="s">
        <v>77</v>
      </c>
      <c r="BK11" s="54">
        <v>36000</v>
      </c>
      <c r="BL11" s="55">
        <v>29</v>
      </c>
      <c r="BM11" s="55">
        <v>22</v>
      </c>
      <c r="BN11" s="56">
        <v>2.1</v>
      </c>
      <c r="BO11" s="57">
        <v>1.4</v>
      </c>
      <c r="BP11" s="51" t="s">
        <v>96</v>
      </c>
      <c r="BQ11" s="51">
        <f t="shared" si="10"/>
        <v>32</v>
      </c>
      <c r="CC11" s="26" t="s">
        <v>119</v>
      </c>
      <c r="CD11" s="30">
        <v>300</v>
      </c>
      <c r="CE11" s="30">
        <v>440</v>
      </c>
      <c r="CF11" s="26">
        <f t="shared" si="1"/>
        <v>300</v>
      </c>
      <c r="CG11" s="26"/>
      <c r="CH11" s="26">
        <f t="shared" si="3"/>
        <v>300</v>
      </c>
      <c r="CI11" s="26">
        <v>210</v>
      </c>
      <c r="CJ11" s="27">
        <v>200000</v>
      </c>
      <c r="DA11" s="3" t="str">
        <f t="shared" si="6"/>
        <v>o25.4x1.8</v>
      </c>
      <c r="DB11" s="67">
        <v>25.4</v>
      </c>
      <c r="DC11" s="67">
        <v>1.8</v>
      </c>
      <c r="DD11" s="65">
        <f t="shared" si="7"/>
        <v>1.3345485592449446</v>
      </c>
      <c r="DE11" s="65">
        <f t="shared" si="8"/>
        <v>0.93451762861127252</v>
      </c>
      <c r="DF11" s="65">
        <f t="shared" si="9"/>
        <v>0.8368094167730189</v>
      </c>
      <c r="DZ11" s="34"/>
      <c r="EA11" s="34"/>
      <c r="EB11" s="34"/>
      <c r="EC11" s="34"/>
      <c r="ED11" s="34"/>
      <c r="EE11" s="34"/>
      <c r="EF11" s="34"/>
      <c r="EG11" s="34"/>
      <c r="EH11" s="34"/>
      <c r="EI11" s="34"/>
      <c r="EJ11" s="34"/>
      <c r="EK11" s="34"/>
      <c r="EL11" s="34"/>
      <c r="EM11" s="34"/>
      <c r="EN11" s="34"/>
      <c r="EO11" s="34"/>
      <c r="EP11" s="34"/>
      <c r="EQ11" s="34"/>
      <c r="ER11" s="34"/>
      <c r="ES11" s="34"/>
      <c r="ET11" s="34"/>
      <c r="EU11" s="34"/>
      <c r="EV11" s="34"/>
      <c r="EW11" s="34"/>
      <c r="EX11" s="34"/>
      <c r="EY11" s="34"/>
      <c r="EZ11" s="34"/>
      <c r="FA11" s="34"/>
      <c r="FB11" s="34"/>
      <c r="FC11" s="34"/>
    </row>
    <row r="12" spans="1:160" ht="14.4">
      <c r="A12" s="7" t="s">
        <v>6</v>
      </c>
      <c r="B12" s="2">
        <f t="shared" si="0"/>
        <v>206000</v>
      </c>
      <c r="C12" s="2">
        <v>215</v>
      </c>
      <c r="D12" s="132">
        <v>360</v>
      </c>
      <c r="E12" s="133">
        <v>1.05</v>
      </c>
      <c r="F12" s="18"/>
      <c r="G12" s="18"/>
      <c r="H12" s="18"/>
      <c r="I12" s="18"/>
      <c r="V12" s="14">
        <v>30</v>
      </c>
      <c r="W12" s="3">
        <v>3.5</v>
      </c>
      <c r="X12" s="5">
        <f t="shared" si="5"/>
        <v>706.85834705770344</v>
      </c>
      <c r="Y12" s="3">
        <v>561</v>
      </c>
      <c r="Z12" s="3">
        <v>1.3</v>
      </c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V12" s="3">
        <v>480</v>
      </c>
      <c r="AW12" s="3">
        <v>750</v>
      </c>
      <c r="AX12" s="3">
        <v>630</v>
      </c>
      <c r="BI12" s="52" t="s">
        <v>78</v>
      </c>
      <c r="BJ12" s="53" t="s">
        <v>79</v>
      </c>
      <c r="BK12" s="54">
        <v>37000</v>
      </c>
      <c r="BL12" s="55">
        <v>32</v>
      </c>
      <c r="BM12" s="55">
        <v>25</v>
      </c>
      <c r="BN12" s="56">
        <v>2.25</v>
      </c>
      <c r="BO12" s="57">
        <v>1.5</v>
      </c>
      <c r="BP12" s="51" t="s">
        <v>97</v>
      </c>
      <c r="BQ12" s="51">
        <f t="shared" si="10"/>
        <v>35</v>
      </c>
      <c r="CC12" s="26" t="s">
        <v>120</v>
      </c>
      <c r="CD12" s="30">
        <v>300</v>
      </c>
      <c r="CE12" s="30">
        <v>450</v>
      </c>
      <c r="CF12" s="26">
        <f t="shared" si="1"/>
        <v>300</v>
      </c>
      <c r="CG12" s="26"/>
      <c r="CH12" s="26">
        <f t="shared" si="3"/>
        <v>300</v>
      </c>
      <c r="CI12" s="26">
        <v>210</v>
      </c>
      <c r="CJ12" s="27">
        <v>200000</v>
      </c>
      <c r="DA12" s="3" t="str">
        <f t="shared" si="6"/>
        <v>o25.4x2</v>
      </c>
      <c r="DB12" s="67">
        <v>25.4</v>
      </c>
      <c r="DC12" s="67">
        <v>2</v>
      </c>
      <c r="DD12" s="65">
        <f t="shared" si="7"/>
        <v>1.4702653618800234</v>
      </c>
      <c r="DE12" s="65">
        <f t="shared" si="8"/>
        <v>1.0136744537481825</v>
      </c>
      <c r="DF12" s="65">
        <f t="shared" si="9"/>
        <v>0.83033125919719553</v>
      </c>
      <c r="DZ12" s="34"/>
      <c r="EA12" s="34"/>
      <c r="EB12" s="34"/>
      <c r="EC12" s="34"/>
      <c r="ED12" s="34"/>
      <c r="EE12" s="34"/>
      <c r="EF12" s="34" t="s">
        <v>157</v>
      </c>
      <c r="EG12" s="34"/>
      <c r="EH12" s="34"/>
      <c r="EI12" s="34"/>
      <c r="EJ12" s="34"/>
      <c r="EK12" s="34"/>
      <c r="EL12" s="34"/>
      <c r="EM12" s="34"/>
      <c r="EN12" s="34"/>
      <c r="EO12" s="34"/>
      <c r="EP12" s="34"/>
      <c r="EQ12" s="34"/>
      <c r="ER12" s="34"/>
      <c r="ES12" s="34"/>
      <c r="ET12" s="34"/>
      <c r="EU12" s="34"/>
      <c r="EV12" s="34"/>
      <c r="EW12" s="34"/>
      <c r="EX12" s="34"/>
      <c r="EY12" s="34"/>
      <c r="EZ12" s="34"/>
      <c r="FA12" s="34"/>
      <c r="FB12" s="34"/>
      <c r="FC12" s="34"/>
    </row>
    <row r="13" spans="1:160" ht="14.4">
      <c r="A13" s="7" t="s">
        <v>7</v>
      </c>
      <c r="B13" s="2">
        <f t="shared" si="0"/>
        <v>206000</v>
      </c>
      <c r="C13" s="2">
        <v>275</v>
      </c>
      <c r="D13" s="132">
        <v>410</v>
      </c>
      <c r="E13" s="133">
        <v>1.05</v>
      </c>
      <c r="F13" s="18"/>
      <c r="G13" s="18"/>
      <c r="H13" s="18"/>
      <c r="I13" s="18"/>
      <c r="V13" s="14">
        <v>36</v>
      </c>
      <c r="W13" s="3">
        <v>4</v>
      </c>
      <c r="X13" s="5">
        <f t="shared" si="5"/>
        <v>1017.8760197630929</v>
      </c>
      <c r="Y13" s="3">
        <v>816</v>
      </c>
      <c r="Z13" s="3">
        <v>1.3</v>
      </c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V13" s="3">
        <v>490</v>
      </c>
      <c r="AW13" s="3">
        <v>765</v>
      </c>
      <c r="AX13" s="3">
        <v>645</v>
      </c>
      <c r="BI13" s="52" t="s">
        <v>80</v>
      </c>
      <c r="BJ13" s="53" t="s">
        <v>81</v>
      </c>
      <c r="BK13" s="54">
        <v>38000</v>
      </c>
      <c r="BL13" s="55">
        <v>36</v>
      </c>
      <c r="BM13" s="55">
        <v>27.5</v>
      </c>
      <c r="BN13" s="56">
        <v>2.4500000000000002</v>
      </c>
      <c r="BO13" s="57">
        <v>1.6</v>
      </c>
      <c r="BP13" s="51" t="s">
        <v>98</v>
      </c>
      <c r="BQ13" s="51">
        <f t="shared" si="10"/>
        <v>40</v>
      </c>
      <c r="CC13" s="26" t="s">
        <v>121</v>
      </c>
      <c r="CD13" s="30">
        <v>400</v>
      </c>
      <c r="CE13" s="30">
        <v>570</v>
      </c>
      <c r="CF13" s="26">
        <f t="shared" si="1"/>
        <v>400</v>
      </c>
      <c r="CG13" s="26"/>
      <c r="CH13" s="26">
        <f t="shared" si="3"/>
        <v>400</v>
      </c>
      <c r="CI13" s="26">
        <v>280</v>
      </c>
      <c r="CJ13" s="27">
        <v>200000</v>
      </c>
      <c r="DA13" s="3" t="str">
        <f t="shared" si="6"/>
        <v>o25.4x2.3</v>
      </c>
      <c r="DB13" s="67">
        <v>25.4</v>
      </c>
      <c r="DC13" s="67">
        <v>2.2999999999999998</v>
      </c>
      <c r="DD13" s="65">
        <f t="shared" si="7"/>
        <v>1.6691281768522577</v>
      </c>
      <c r="DE13" s="65">
        <f t="shared" si="8"/>
        <v>1.1243664681321022</v>
      </c>
      <c r="DF13" s="65">
        <f t="shared" si="9"/>
        <v>0.82074661132410409</v>
      </c>
      <c r="DZ13" s="34"/>
      <c r="EA13" s="34"/>
      <c r="EB13" s="34"/>
      <c r="EC13" s="34"/>
      <c r="ED13" s="34"/>
      <c r="EE13" s="34"/>
      <c r="EF13" s="34" t="s">
        <v>158</v>
      </c>
      <c r="EG13" s="34"/>
      <c r="EH13" s="34"/>
      <c r="EI13" s="34"/>
      <c r="EJ13" s="34"/>
      <c r="EK13" s="34"/>
      <c r="EL13" s="34"/>
      <c r="EM13" s="34"/>
      <c r="EN13" s="34"/>
      <c r="EO13" s="34"/>
      <c r="EP13" s="34"/>
      <c r="EQ13" s="34"/>
      <c r="ER13" s="34"/>
      <c r="ES13" s="34"/>
      <c r="ET13" s="34"/>
      <c r="EU13" s="34"/>
      <c r="EV13" s="34"/>
      <c r="EW13" s="34"/>
      <c r="EX13" s="34"/>
      <c r="EY13" s="34"/>
      <c r="EZ13" s="34"/>
      <c r="FA13" s="34"/>
      <c r="FB13" s="34"/>
      <c r="FC13" s="34"/>
    </row>
    <row r="14" spans="1:160" ht="14.4">
      <c r="A14" s="7" t="s">
        <v>8</v>
      </c>
      <c r="B14" s="2">
        <f t="shared" si="0"/>
        <v>206000</v>
      </c>
      <c r="C14" s="2">
        <v>265</v>
      </c>
      <c r="D14" s="132">
        <v>410</v>
      </c>
      <c r="E14" s="133">
        <v>1.05</v>
      </c>
      <c r="F14" s="18"/>
      <c r="G14" s="18"/>
      <c r="H14" s="18"/>
      <c r="I14" s="18"/>
      <c r="V14" s="14">
        <v>42</v>
      </c>
      <c r="W14" s="3">
        <v>4.5</v>
      </c>
      <c r="X14" s="5">
        <f t="shared" si="5"/>
        <v>1385.4423602330987</v>
      </c>
      <c r="Y14" s="3">
        <v>1120</v>
      </c>
      <c r="Z14" s="3">
        <v>1.6</v>
      </c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V14" s="3">
        <v>510</v>
      </c>
      <c r="AW14" s="3">
        <v>795</v>
      </c>
      <c r="AX14" s="3">
        <v>670</v>
      </c>
      <c r="BI14" s="52" t="s">
        <v>80</v>
      </c>
      <c r="BJ14" s="53" t="s">
        <v>82</v>
      </c>
      <c r="BK14" s="54">
        <v>39000</v>
      </c>
      <c r="BL14" s="55">
        <v>39.5</v>
      </c>
      <c r="BM14" s="55">
        <v>30</v>
      </c>
      <c r="BN14" s="56">
        <v>2.6</v>
      </c>
      <c r="BO14" s="57">
        <v>1.7</v>
      </c>
      <c r="BP14" s="51" t="s">
        <v>99</v>
      </c>
      <c r="BQ14" s="51">
        <f t="shared" si="10"/>
        <v>45</v>
      </c>
      <c r="CC14" s="26" t="s">
        <v>122</v>
      </c>
      <c r="CD14" s="30">
        <v>500</v>
      </c>
      <c r="CE14" s="30">
        <v>650</v>
      </c>
      <c r="CF14" s="26">
        <f t="shared" si="1"/>
        <v>500</v>
      </c>
      <c r="CG14" s="26"/>
      <c r="CH14" s="26">
        <f t="shared" si="3"/>
        <v>500</v>
      </c>
      <c r="CI14" s="26">
        <v>300</v>
      </c>
      <c r="CJ14" s="27">
        <v>200000</v>
      </c>
      <c r="DA14" s="3" t="str">
        <f t="shared" si="6"/>
        <v>o25.4x2.5</v>
      </c>
      <c r="DB14" s="67">
        <v>25.4</v>
      </c>
      <c r="DC14" s="67">
        <v>2.5</v>
      </c>
      <c r="DD14" s="65">
        <f t="shared" si="7"/>
        <v>1.7985617941801564</v>
      </c>
      <c r="DE14" s="65">
        <f t="shared" si="8"/>
        <v>1.1930310021245523</v>
      </c>
      <c r="DF14" s="65">
        <f t="shared" si="9"/>
        <v>0.81444766559920845</v>
      </c>
      <c r="DZ14" s="34"/>
      <c r="EA14" s="34"/>
      <c r="EB14" s="34"/>
      <c r="EC14" s="34"/>
      <c r="ED14" s="34"/>
      <c r="EE14" s="34"/>
      <c r="EF14" s="34" t="s">
        <v>159</v>
      </c>
      <c r="EG14" s="34"/>
      <c r="EH14" s="34"/>
      <c r="EI14" s="34"/>
      <c r="EJ14" s="34"/>
      <c r="EK14" s="34"/>
      <c r="EL14" s="34"/>
      <c r="EM14" s="34"/>
      <c r="EN14" s="34"/>
      <c r="EO14" s="34"/>
      <c r="EP14" s="34"/>
      <c r="EQ14" s="34"/>
      <c r="ER14" s="34"/>
      <c r="ES14" s="34"/>
      <c r="ET14" s="34"/>
      <c r="EU14" s="34"/>
      <c r="EV14" s="34"/>
      <c r="EW14" s="34"/>
      <c r="EX14" s="34"/>
      <c r="EY14" s="34"/>
      <c r="EZ14" s="34"/>
      <c r="FA14" s="34"/>
      <c r="FB14" s="34"/>
      <c r="FC14" s="34"/>
    </row>
    <row r="15" spans="1:160" ht="15" thickBot="1">
      <c r="A15" s="7" t="s">
        <v>9</v>
      </c>
      <c r="B15" s="2">
        <f t="shared" si="0"/>
        <v>206000</v>
      </c>
      <c r="C15" s="2">
        <v>255</v>
      </c>
      <c r="D15" s="132">
        <v>410</v>
      </c>
      <c r="E15" s="133">
        <v>1.05</v>
      </c>
      <c r="F15" s="18"/>
      <c r="G15" s="18"/>
      <c r="H15" s="18"/>
      <c r="I15" s="18"/>
      <c r="V15" s="14">
        <v>48</v>
      </c>
      <c r="W15" s="3">
        <v>5</v>
      </c>
      <c r="X15" s="5">
        <f t="shared" si="5"/>
        <v>1809.5573684677208</v>
      </c>
      <c r="Y15" s="3">
        <v>1472</v>
      </c>
      <c r="Z15" s="3">
        <v>1.6</v>
      </c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V15" s="3">
        <v>540</v>
      </c>
      <c r="AW15" s="3">
        <v>845</v>
      </c>
      <c r="AX15" s="3">
        <v>710</v>
      </c>
      <c r="BI15" s="58" t="s">
        <v>83</v>
      </c>
      <c r="BJ15" s="59" t="s">
        <v>84</v>
      </c>
      <c r="BK15" s="60">
        <v>39500</v>
      </c>
      <c r="BL15" s="61">
        <v>43</v>
      </c>
      <c r="BM15" s="61">
        <v>33</v>
      </c>
      <c r="BN15" s="62">
        <v>2.75</v>
      </c>
      <c r="BO15" s="63">
        <v>1.8</v>
      </c>
      <c r="BP15" s="51" t="s">
        <v>100</v>
      </c>
      <c r="BQ15" s="51">
        <f t="shared" si="10"/>
        <v>50</v>
      </c>
      <c r="CC15" s="26" t="s">
        <v>116</v>
      </c>
      <c r="CD15" s="30">
        <v>235</v>
      </c>
      <c r="CE15" s="30">
        <v>380</v>
      </c>
      <c r="CF15" s="26">
        <f t="shared" si="1"/>
        <v>235</v>
      </c>
      <c r="CG15" s="26">
        <f t="shared" si="2"/>
        <v>204.34782608695653</v>
      </c>
      <c r="CH15" s="26">
        <f t="shared" si="3"/>
        <v>235</v>
      </c>
      <c r="CI15" s="26">
        <f t="shared" si="4"/>
        <v>164.5</v>
      </c>
      <c r="CJ15" s="29">
        <v>200000</v>
      </c>
      <c r="DA15" s="3" t="str">
        <f t="shared" si="6"/>
        <v>o31.8x1.8</v>
      </c>
      <c r="DB15" s="67">
        <v>31.8</v>
      </c>
      <c r="DC15" s="67">
        <v>1.8</v>
      </c>
      <c r="DD15" s="65">
        <f t="shared" si="7"/>
        <v>1.6964600329384882</v>
      </c>
      <c r="DE15" s="65">
        <f t="shared" si="8"/>
        <v>1.915388200189202</v>
      </c>
      <c r="DF15" s="65">
        <f t="shared" si="9"/>
        <v>1.0625676449054906</v>
      </c>
      <c r="DZ15" s="34"/>
      <c r="EA15" s="34"/>
      <c r="EB15" s="34"/>
      <c r="EC15" s="34"/>
      <c r="ED15" s="34"/>
      <c r="EE15" s="34"/>
      <c r="EF15" s="34"/>
      <c r="EG15" s="34"/>
      <c r="EH15" s="34"/>
      <c r="EI15" s="34"/>
      <c r="EJ15" s="34"/>
      <c r="EK15" s="34"/>
      <c r="EL15" s="34"/>
      <c r="EM15" s="34"/>
      <c r="EN15" s="34"/>
      <c r="EO15" s="34"/>
      <c r="EP15" s="34"/>
      <c r="EQ15" s="34"/>
      <c r="ER15" s="34"/>
      <c r="ES15" s="34"/>
      <c r="ET15" s="34"/>
      <c r="EU15" s="34"/>
      <c r="EV15" s="34"/>
      <c r="EW15" s="34"/>
      <c r="EX15" s="34"/>
      <c r="EY15" s="34"/>
      <c r="EZ15" s="34"/>
      <c r="FA15" s="34"/>
      <c r="FB15" s="34"/>
      <c r="FC15" s="34"/>
    </row>
    <row r="16" spans="1:160">
      <c r="A16" s="7" t="s">
        <v>10</v>
      </c>
      <c r="B16" s="2">
        <f t="shared" si="0"/>
        <v>206000</v>
      </c>
      <c r="C16" s="2">
        <v>245</v>
      </c>
      <c r="D16" s="132">
        <v>410</v>
      </c>
      <c r="E16" s="133">
        <v>1.05</v>
      </c>
      <c r="F16" s="18"/>
      <c r="G16" s="18"/>
      <c r="H16" s="18"/>
      <c r="I16" s="18"/>
      <c r="AV16" s="3">
        <v>570</v>
      </c>
      <c r="AW16" s="3">
        <v>890</v>
      </c>
      <c r="AX16" s="3">
        <v>750</v>
      </c>
      <c r="CC16" s="26" t="s">
        <v>117</v>
      </c>
      <c r="CD16" s="30">
        <v>295</v>
      </c>
      <c r="CE16" s="30">
        <v>440</v>
      </c>
      <c r="CF16" s="26">
        <f t="shared" si="1"/>
        <v>295</v>
      </c>
      <c r="CG16" s="26">
        <f t="shared" si="2"/>
        <v>256.52173913043481</v>
      </c>
      <c r="CH16" s="26">
        <f t="shared" si="3"/>
        <v>295</v>
      </c>
      <c r="CI16" s="26">
        <f t="shared" si="4"/>
        <v>206.5</v>
      </c>
      <c r="CJ16" s="29">
        <v>200000</v>
      </c>
      <c r="DA16" s="3"/>
      <c r="DB16" s="67"/>
      <c r="DC16" s="67"/>
      <c r="DD16" s="65"/>
      <c r="DE16" s="65"/>
      <c r="DF16" s="65"/>
    </row>
    <row r="17" spans="1:110">
      <c r="A17" s="7" t="s">
        <v>11</v>
      </c>
      <c r="B17" s="2">
        <f t="shared" si="0"/>
        <v>206000</v>
      </c>
      <c r="C17" s="2">
        <v>235</v>
      </c>
      <c r="D17" s="132">
        <v>410</v>
      </c>
      <c r="E17" s="133">
        <v>1.05</v>
      </c>
      <c r="F17" s="18"/>
      <c r="G17" s="18"/>
      <c r="H17" s="18"/>
      <c r="I17" s="18"/>
      <c r="AV17" s="3">
        <v>590</v>
      </c>
      <c r="AW17" s="3">
        <v>920</v>
      </c>
      <c r="AX17" s="3">
        <v>775</v>
      </c>
      <c r="CC17" s="26" t="s">
        <v>112</v>
      </c>
      <c r="CD17" s="30">
        <v>295</v>
      </c>
      <c r="CE17" s="30">
        <v>440</v>
      </c>
      <c r="CF17" s="26">
        <f t="shared" si="1"/>
        <v>295</v>
      </c>
      <c r="CG17" s="26">
        <f t="shared" si="2"/>
        <v>256.52173913043481</v>
      </c>
      <c r="CH17" s="26">
        <f t="shared" si="3"/>
        <v>295</v>
      </c>
      <c r="CI17" s="26">
        <f t="shared" si="4"/>
        <v>206.5</v>
      </c>
      <c r="CJ17" s="29">
        <v>200000</v>
      </c>
      <c r="DA17" s="3"/>
      <c r="DB17" s="67"/>
      <c r="DC17" s="67"/>
      <c r="DD17" s="65"/>
      <c r="DE17" s="65"/>
      <c r="DF17" s="65"/>
    </row>
    <row r="18" spans="1:110">
      <c r="A18" s="7" t="s">
        <v>12</v>
      </c>
      <c r="B18" s="2">
        <f t="shared" si="0"/>
        <v>206000</v>
      </c>
      <c r="C18" s="2">
        <v>355</v>
      </c>
      <c r="D18" s="132">
        <v>470</v>
      </c>
      <c r="E18" s="133">
        <v>1.05</v>
      </c>
      <c r="F18" s="18"/>
      <c r="G18" s="18"/>
      <c r="H18" s="18"/>
      <c r="I18" s="18"/>
      <c r="AV18" s="3"/>
      <c r="AW18" s="3"/>
      <c r="AX18" s="3"/>
      <c r="CC18" s="26" t="s">
        <v>113</v>
      </c>
      <c r="CD18" s="30">
        <v>390</v>
      </c>
      <c r="CE18" s="30">
        <v>560</v>
      </c>
      <c r="CF18" s="26">
        <f t="shared" si="1"/>
        <v>390</v>
      </c>
      <c r="CG18" s="26">
        <f t="shared" si="2"/>
        <v>339.13043478260875</v>
      </c>
      <c r="CH18" s="26">
        <f t="shared" si="3"/>
        <v>390</v>
      </c>
      <c r="CI18" s="26">
        <f t="shared" si="4"/>
        <v>273</v>
      </c>
      <c r="CJ18" s="28">
        <v>200000</v>
      </c>
      <c r="DA18" s="3"/>
      <c r="DB18" s="67"/>
      <c r="DC18" s="67"/>
      <c r="DD18" s="65"/>
      <c r="DE18" s="65"/>
      <c r="DF18" s="65"/>
    </row>
    <row r="19" spans="1:110">
      <c r="A19" s="7" t="s">
        <v>13</v>
      </c>
      <c r="B19" s="2">
        <f t="shared" si="0"/>
        <v>206000</v>
      </c>
      <c r="C19" s="2">
        <v>345</v>
      </c>
      <c r="D19" s="132">
        <v>470</v>
      </c>
      <c r="E19" s="133">
        <v>1.05</v>
      </c>
      <c r="F19" s="18"/>
      <c r="G19" s="18"/>
      <c r="H19" s="18"/>
      <c r="I19" s="18"/>
      <c r="AV19" s="3"/>
      <c r="AW19" s="3"/>
      <c r="AX19" s="3"/>
      <c r="CC19" s="26" t="s">
        <v>114</v>
      </c>
      <c r="CD19" s="30">
        <v>490</v>
      </c>
      <c r="CE19" s="30">
        <v>620</v>
      </c>
      <c r="CF19" s="26">
        <f t="shared" si="1"/>
        <v>490</v>
      </c>
      <c r="CG19" s="26">
        <f t="shared" si="2"/>
        <v>426.08695652173918</v>
      </c>
      <c r="CH19" s="26">
        <f t="shared" si="3"/>
        <v>490</v>
      </c>
      <c r="CI19" s="26">
        <f t="shared" si="4"/>
        <v>343</v>
      </c>
      <c r="CJ19" s="29">
        <v>200000</v>
      </c>
      <c r="DA19" s="3"/>
      <c r="DB19" s="67"/>
      <c r="DC19" s="67"/>
      <c r="DD19" s="65"/>
      <c r="DE19" s="65"/>
      <c r="DF19" s="65"/>
    </row>
    <row r="20" spans="1:110">
      <c r="A20" s="7" t="s">
        <v>14</v>
      </c>
      <c r="B20" s="2">
        <f t="shared" si="0"/>
        <v>206000</v>
      </c>
      <c r="C20" s="2">
        <v>335</v>
      </c>
      <c r="D20" s="132">
        <v>470</v>
      </c>
      <c r="E20" s="133">
        <v>1.05</v>
      </c>
      <c r="F20" s="18"/>
      <c r="G20" s="18"/>
      <c r="H20" s="18"/>
      <c r="I20" s="18"/>
      <c r="AV20" s="3"/>
      <c r="AW20" s="3"/>
      <c r="AX20" s="3"/>
      <c r="CC20" s="23"/>
      <c r="CD20" s="31"/>
      <c r="CE20" s="31"/>
      <c r="DA20" s="3"/>
      <c r="DB20" s="67"/>
      <c r="DC20" s="67"/>
      <c r="DD20" s="65"/>
      <c r="DE20" s="65"/>
      <c r="DF20" s="65"/>
    </row>
    <row r="21" spans="1:110">
      <c r="A21" s="7" t="s">
        <v>15</v>
      </c>
      <c r="B21" s="2">
        <f t="shared" si="0"/>
        <v>206000</v>
      </c>
      <c r="C21" s="2">
        <v>325</v>
      </c>
      <c r="D21" s="132">
        <v>470</v>
      </c>
      <c r="E21" s="133">
        <v>1.05</v>
      </c>
      <c r="F21" s="18"/>
      <c r="G21" s="18"/>
      <c r="H21" s="18"/>
      <c r="I21" s="18"/>
      <c r="AV21" s="3"/>
      <c r="AW21" s="3"/>
      <c r="AX21" s="3"/>
      <c r="CC21" s="23"/>
      <c r="CD21" s="31"/>
      <c r="CE21" s="31"/>
      <c r="DA21" s="3"/>
      <c r="DB21" s="67"/>
      <c r="DC21" s="67"/>
      <c r="DD21" s="65"/>
      <c r="DE21" s="65"/>
      <c r="DF21" s="65"/>
    </row>
    <row r="22" spans="1:110">
      <c r="A22" s="7" t="s">
        <v>16</v>
      </c>
      <c r="B22" s="2">
        <f t="shared" si="0"/>
        <v>206000</v>
      </c>
      <c r="C22" s="2">
        <v>315</v>
      </c>
      <c r="D22" s="132">
        <v>470</v>
      </c>
      <c r="E22" s="133">
        <v>1.05</v>
      </c>
      <c r="F22" s="18"/>
      <c r="G22" s="18"/>
      <c r="H22" s="18"/>
      <c r="I22" s="18"/>
      <c r="AV22" s="3"/>
      <c r="AW22" s="3"/>
      <c r="AX22" s="3"/>
      <c r="DA22" s="3"/>
      <c r="DB22" s="68"/>
      <c r="DC22" s="68"/>
      <c r="DD22" s="65"/>
      <c r="DE22" s="65"/>
      <c r="DF22" s="65"/>
    </row>
    <row r="23" spans="1:110">
      <c r="A23" s="7" t="s">
        <v>31</v>
      </c>
      <c r="B23" s="2">
        <f t="shared" si="0"/>
        <v>206000</v>
      </c>
      <c r="C23" s="2">
        <v>205</v>
      </c>
      <c r="D23" s="132">
        <v>330</v>
      </c>
      <c r="E23" s="133">
        <v>1.05</v>
      </c>
      <c r="F23" s="18"/>
      <c r="G23" s="18"/>
      <c r="H23" s="18"/>
      <c r="I23" s="18"/>
      <c r="AV23" s="3"/>
      <c r="AW23" s="3"/>
      <c r="AX23" s="3"/>
      <c r="DA23" s="3"/>
      <c r="DB23" s="68"/>
      <c r="DC23" s="68"/>
      <c r="DD23" s="65"/>
      <c r="DE23" s="65"/>
      <c r="DF23" s="65"/>
    </row>
    <row r="24" spans="1:110">
      <c r="A24" s="7" t="s">
        <v>32</v>
      </c>
      <c r="B24" s="2">
        <f t="shared" si="0"/>
        <v>206000</v>
      </c>
      <c r="C24" s="2">
        <v>195</v>
      </c>
      <c r="D24" s="132">
        <v>330</v>
      </c>
      <c r="E24" s="133">
        <v>1.05</v>
      </c>
      <c r="F24" s="18"/>
      <c r="G24" s="18"/>
      <c r="H24" s="18"/>
      <c r="I24" s="18"/>
      <c r="DA24" s="3"/>
      <c r="DB24" s="68"/>
      <c r="DC24" s="68"/>
      <c r="DD24" s="65"/>
      <c r="DE24" s="65"/>
      <c r="DF24" s="65"/>
    </row>
    <row r="25" spans="1:110">
      <c r="A25" s="7" t="s">
        <v>33</v>
      </c>
      <c r="B25" s="2">
        <f t="shared" si="0"/>
        <v>206000</v>
      </c>
      <c r="C25" s="2">
        <v>245</v>
      </c>
      <c r="D25" s="132">
        <v>400</v>
      </c>
      <c r="E25" s="133">
        <v>1.05</v>
      </c>
      <c r="F25" s="18"/>
      <c r="G25" s="18"/>
      <c r="H25" s="18"/>
      <c r="I25" s="18"/>
      <c r="DA25" s="3"/>
      <c r="DB25" s="68"/>
      <c r="DC25" s="68"/>
      <c r="DD25" s="65"/>
      <c r="DE25" s="65"/>
      <c r="DF25" s="65"/>
    </row>
    <row r="26" spans="1:110">
      <c r="A26" s="7" t="s">
        <v>34</v>
      </c>
      <c r="B26" s="2">
        <f t="shared" si="0"/>
        <v>206000</v>
      </c>
      <c r="C26" s="2">
        <v>235</v>
      </c>
      <c r="D26" s="132">
        <v>400</v>
      </c>
      <c r="E26" s="133">
        <v>1.05</v>
      </c>
      <c r="F26" s="18"/>
      <c r="G26" s="18"/>
      <c r="H26" s="18"/>
      <c r="I26" s="18"/>
      <c r="DA26" s="3"/>
      <c r="DB26" s="68"/>
      <c r="DC26" s="68"/>
      <c r="DD26" s="65"/>
      <c r="DE26" s="65"/>
      <c r="DF26" s="65"/>
    </row>
    <row r="27" spans="1:110">
      <c r="A27" s="7" t="s">
        <v>35</v>
      </c>
      <c r="B27" s="2">
        <f t="shared" si="0"/>
        <v>206000</v>
      </c>
      <c r="C27" s="2">
        <v>285</v>
      </c>
      <c r="D27" s="132">
        <v>490</v>
      </c>
      <c r="E27" s="133">
        <v>1.05</v>
      </c>
      <c r="F27" s="18"/>
      <c r="G27" s="18"/>
      <c r="H27" s="18"/>
      <c r="I27" s="18"/>
      <c r="DA27" s="3"/>
      <c r="DB27" s="68"/>
      <c r="DC27" s="68"/>
      <c r="DD27" s="65"/>
      <c r="DE27" s="65"/>
      <c r="DF27" s="65"/>
    </row>
    <row r="28" spans="1:110">
      <c r="A28" s="7" t="s">
        <v>36</v>
      </c>
      <c r="B28" s="2">
        <f t="shared" si="0"/>
        <v>206000</v>
      </c>
      <c r="C28" s="2">
        <v>275</v>
      </c>
      <c r="D28" s="132">
        <v>490</v>
      </c>
      <c r="E28" s="133">
        <v>1.05</v>
      </c>
      <c r="F28" s="18"/>
      <c r="G28" s="18"/>
      <c r="H28" s="18"/>
      <c r="I28" s="18"/>
      <c r="DA28" s="3"/>
      <c r="DB28" s="68"/>
      <c r="DC28" s="68"/>
      <c r="DD28" s="65"/>
      <c r="DE28" s="65"/>
      <c r="DF28" s="65"/>
    </row>
    <row r="29" spans="1:110">
      <c r="A29" s="7" t="s">
        <v>37</v>
      </c>
      <c r="B29" s="2">
        <f t="shared" si="0"/>
        <v>206000</v>
      </c>
      <c r="C29" s="2">
        <v>400</v>
      </c>
      <c r="D29" s="132">
        <v>540</v>
      </c>
      <c r="E29" s="133">
        <v>1.05</v>
      </c>
      <c r="F29" s="18"/>
      <c r="G29" s="18"/>
      <c r="H29" s="18"/>
      <c r="I29" s="18"/>
      <c r="DA29" s="3"/>
      <c r="DB29" s="68"/>
      <c r="DC29" s="68"/>
      <c r="DD29" s="65"/>
      <c r="DE29" s="65"/>
      <c r="DF29" s="65"/>
    </row>
    <row r="30" spans="1:110">
      <c r="A30" s="7" t="s">
        <v>38</v>
      </c>
      <c r="B30" s="2">
        <f t="shared" si="0"/>
        <v>206000</v>
      </c>
      <c r="C30" s="2">
        <v>390</v>
      </c>
      <c r="D30" s="132">
        <v>540</v>
      </c>
      <c r="E30" s="133">
        <v>1.05</v>
      </c>
      <c r="DA30" s="3"/>
      <c r="DB30" s="68"/>
      <c r="DC30" s="68"/>
      <c r="DD30" s="65"/>
      <c r="DE30" s="65"/>
      <c r="DF30" s="65"/>
    </row>
    <row r="31" spans="1:110">
      <c r="A31" s="7" t="s">
        <v>213</v>
      </c>
      <c r="B31" s="2">
        <f t="shared" si="0"/>
        <v>206000</v>
      </c>
      <c r="C31" s="2">
        <v>220</v>
      </c>
      <c r="D31" s="132">
        <v>340</v>
      </c>
      <c r="E31" s="133">
        <v>1.05</v>
      </c>
    </row>
    <row r="32" spans="1:110">
      <c r="A32" s="7" t="s">
        <v>214</v>
      </c>
      <c r="B32" s="2">
        <f t="shared" si="0"/>
        <v>206000</v>
      </c>
      <c r="C32" s="2">
        <v>240</v>
      </c>
      <c r="D32" s="132">
        <v>380</v>
      </c>
      <c r="E32" s="133">
        <v>1.05</v>
      </c>
    </row>
    <row r="33" spans="1:5">
      <c r="A33" s="7" t="s">
        <v>215</v>
      </c>
      <c r="B33" s="2">
        <f t="shared" si="0"/>
        <v>206000</v>
      </c>
      <c r="C33" s="2">
        <v>260</v>
      </c>
      <c r="D33" s="132">
        <v>420</v>
      </c>
      <c r="E33" s="133">
        <v>1.05</v>
      </c>
    </row>
  </sheetData>
  <mergeCells count="16">
    <mergeCell ref="K1:O2"/>
    <mergeCell ref="CC2:CC3"/>
    <mergeCell ref="CC1:CJ1"/>
    <mergeCell ref="BL1:BO1"/>
    <mergeCell ref="BL2:BM2"/>
    <mergeCell ref="BN2:BO2"/>
    <mergeCell ref="BP1:BQ2"/>
    <mergeCell ref="V1:Z2"/>
    <mergeCell ref="AZ1:BB1"/>
    <mergeCell ref="BI1:BJ4"/>
    <mergeCell ref="BK1:BK3"/>
    <mergeCell ref="AV1:AX1"/>
    <mergeCell ref="BP3:BP4"/>
    <mergeCell ref="DA1:DF1"/>
    <mergeCell ref="DA3:DA4"/>
    <mergeCell ref="DB3:DC3"/>
  </mergeCells>
  <pageMargins left="0.59055118110236227" right="0.31496062992125984" top="0.59055118110236227" bottom="0.59055118110236227" header="0.31496062992125984" footer="0.31496062992125984"/>
  <pageSetup orientation="portrait" r:id="rId1"/>
  <ignoredErrors>
    <ignoredError sqref="CG4:CG19" formula="1"/>
  </ignoredErrors>
  <drawing r:id="rId2"/>
  <picture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006666"/>
  </sheetPr>
  <dimension ref="A1:AZ3041"/>
  <sheetViews>
    <sheetView showGridLines="0" tabSelected="1" topLeftCell="E11" zoomScale="145" zoomScaleNormal="145" zoomScaleSheetLayoutView="100" workbookViewId="0">
      <selection activeCell="N21" sqref="N21"/>
    </sheetView>
  </sheetViews>
  <sheetFormatPr defaultColWidth="7.33203125" defaultRowHeight="13.8"/>
  <cols>
    <col min="1" max="1" width="4.44140625" style="1" customWidth="1"/>
    <col min="2" max="2" width="10.44140625" style="1" customWidth="1"/>
    <col min="3" max="7" width="4.6640625" style="1" customWidth="1"/>
    <col min="8" max="8" width="5.6640625" style="87" customWidth="1"/>
    <col min="9" max="9" width="5.6640625" style="1" customWidth="1"/>
    <col min="10" max="10" width="6" style="1" bestFit="1" customWidth="1"/>
    <col min="11" max="11" width="4.6640625" style="34" customWidth="1"/>
    <col min="12" max="12" width="4.6640625" style="1" customWidth="1"/>
    <col min="13" max="13" width="4.6640625" style="34" customWidth="1"/>
    <col min="14" max="15" width="4.6640625" style="1" customWidth="1"/>
    <col min="16" max="18" width="5.44140625" style="1" bestFit="1" customWidth="1"/>
    <col min="19" max="19" width="4.6640625" style="1" customWidth="1"/>
    <col min="20" max="20" width="4.6640625" style="34" customWidth="1"/>
    <col min="21" max="21" width="5.44140625" style="1" bestFit="1" customWidth="1"/>
    <col min="22" max="22" width="4.6640625" style="72" customWidth="1"/>
    <col min="23" max="23" width="9.44140625" style="1" bestFit="1" customWidth="1"/>
    <col min="24" max="24" width="7.109375" style="1" customWidth="1"/>
    <col min="25" max="25" width="5.6640625" style="1" hidden="1" customWidth="1"/>
    <col min="26" max="26" width="2.88671875" style="10" customWidth="1"/>
    <col min="27" max="27" width="12.5546875" style="74" bestFit="1" customWidth="1"/>
    <col min="28" max="28" width="5.6640625" style="74" customWidth="1"/>
    <col min="29" max="32" width="7.33203125" style="74"/>
    <col min="33" max="33" width="7.33203125" style="65"/>
    <col min="34" max="34" width="7.33203125" style="74"/>
    <col min="35" max="35" width="7.33203125" style="81"/>
    <col min="36" max="36" width="7.33203125" style="74"/>
    <col min="37" max="37" width="7.33203125" style="3"/>
    <col min="38" max="38" width="7.33203125" style="74"/>
    <col min="39" max="47" width="7.33203125" style="3"/>
    <col min="48" max="51" width="0" style="1" hidden="1" customWidth="1"/>
    <col min="52" max="52" width="2.88671875" style="10" customWidth="1"/>
    <col min="53" max="16384" width="7.33203125" style="1"/>
  </cols>
  <sheetData>
    <row r="1" spans="1:47" ht="12.75" hidden="1" customHeight="1">
      <c r="A1" s="106" t="s">
        <v>189</v>
      </c>
      <c r="B1" s="106"/>
      <c r="C1" s="106"/>
      <c r="D1" s="106"/>
      <c r="E1" s="106"/>
      <c r="F1" s="106"/>
      <c r="G1" s="106"/>
      <c r="H1" s="106"/>
      <c r="I1" s="106"/>
      <c r="J1" s="106"/>
      <c r="K1" s="106"/>
      <c r="L1" s="106"/>
      <c r="M1" s="106"/>
      <c r="N1" s="106"/>
      <c r="O1" s="106"/>
      <c r="P1" s="106"/>
      <c r="Q1" s="73"/>
    </row>
    <row r="2" spans="1:47" ht="12.75" hidden="1" customHeight="1">
      <c r="A2" s="106"/>
      <c r="B2" s="106"/>
      <c r="C2" s="106"/>
      <c r="D2" s="106"/>
      <c r="E2" s="106"/>
      <c r="F2" s="106"/>
      <c r="G2" s="106"/>
      <c r="H2" s="106"/>
      <c r="I2" s="106"/>
      <c r="J2" s="106"/>
      <c r="K2" s="106"/>
      <c r="L2" s="106"/>
      <c r="M2" s="106"/>
      <c r="N2" s="106"/>
      <c r="O2" s="106"/>
      <c r="P2" s="106"/>
      <c r="Q2" s="73"/>
    </row>
    <row r="3" spans="1:47" ht="12.75" hidden="1" customHeight="1">
      <c r="A3" s="106"/>
      <c r="B3" s="106"/>
      <c r="C3" s="106"/>
      <c r="D3" s="106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73"/>
    </row>
    <row r="4" spans="1:47" ht="12.75" hidden="1" customHeight="1">
      <c r="A4" s="106"/>
      <c r="B4" s="106"/>
      <c r="C4" s="106"/>
      <c r="D4" s="106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73"/>
    </row>
    <row r="5" spans="1:47" ht="12.75" hidden="1" customHeight="1">
      <c r="A5" s="106"/>
      <c r="B5" s="106"/>
      <c r="C5" s="106"/>
      <c r="D5" s="106"/>
      <c r="E5" s="106"/>
      <c r="F5" s="106"/>
      <c r="G5" s="106"/>
      <c r="H5" s="106"/>
      <c r="I5" s="106"/>
      <c r="J5" s="106"/>
      <c r="K5" s="106"/>
      <c r="L5" s="106"/>
      <c r="M5" s="106"/>
      <c r="N5" s="106"/>
      <c r="O5" s="106"/>
      <c r="P5" s="106"/>
      <c r="Q5" s="73"/>
    </row>
    <row r="6" spans="1:47" ht="12.75" hidden="1" customHeight="1">
      <c r="A6" s="106"/>
      <c r="B6" s="106"/>
      <c r="C6" s="106"/>
      <c r="D6" s="106"/>
      <c r="E6" s="106"/>
      <c r="F6" s="106"/>
      <c r="G6" s="106"/>
      <c r="H6" s="106"/>
      <c r="I6" s="106"/>
      <c r="J6" s="106"/>
      <c r="K6" s="106"/>
      <c r="L6" s="106"/>
      <c r="M6" s="106"/>
      <c r="N6" s="106"/>
      <c r="O6" s="106"/>
      <c r="P6" s="106"/>
      <c r="Q6" s="73"/>
    </row>
    <row r="7" spans="1:47" ht="12.75" hidden="1" customHeight="1">
      <c r="A7" s="106"/>
      <c r="B7" s="106"/>
      <c r="C7" s="106"/>
      <c r="D7" s="106"/>
      <c r="E7" s="106"/>
      <c r="F7" s="106"/>
      <c r="G7" s="106"/>
      <c r="H7" s="106"/>
      <c r="I7" s="106"/>
      <c r="J7" s="106"/>
      <c r="K7" s="106"/>
      <c r="L7" s="106"/>
      <c r="M7" s="106"/>
      <c r="N7" s="106"/>
      <c r="O7" s="106"/>
      <c r="P7" s="106"/>
      <c r="Q7" s="73"/>
    </row>
    <row r="8" spans="1:47" ht="12.75" hidden="1" customHeight="1">
      <c r="A8" s="106"/>
      <c r="B8" s="106"/>
      <c r="C8" s="106"/>
      <c r="D8" s="106"/>
      <c r="E8" s="106"/>
      <c r="F8" s="106"/>
      <c r="G8" s="106"/>
      <c r="H8" s="106"/>
      <c r="I8" s="106"/>
      <c r="J8" s="106"/>
      <c r="K8" s="106"/>
      <c r="L8" s="106"/>
      <c r="M8" s="106"/>
      <c r="N8" s="106"/>
      <c r="O8" s="106"/>
      <c r="P8" s="106"/>
      <c r="Q8" s="73"/>
    </row>
    <row r="9" spans="1:47" ht="12.75" hidden="1" customHeight="1">
      <c r="A9" s="106"/>
      <c r="B9" s="106"/>
      <c r="C9" s="106"/>
      <c r="D9" s="106"/>
      <c r="E9" s="106"/>
      <c r="F9" s="106"/>
      <c r="G9" s="106"/>
      <c r="H9" s="106"/>
      <c r="I9" s="106"/>
      <c r="J9" s="106"/>
      <c r="K9" s="106"/>
      <c r="L9" s="106"/>
      <c r="M9" s="106"/>
      <c r="N9" s="106"/>
      <c r="O9" s="106"/>
      <c r="P9" s="106"/>
      <c r="Q9" s="73"/>
    </row>
    <row r="10" spans="1:47" ht="12.75" hidden="1" customHeight="1">
      <c r="A10" s="106"/>
      <c r="B10" s="106"/>
      <c r="C10" s="106"/>
      <c r="D10" s="106"/>
      <c r="E10" s="106"/>
      <c r="F10" s="106"/>
      <c r="G10" s="106"/>
      <c r="H10" s="106"/>
      <c r="I10" s="106"/>
      <c r="J10" s="106"/>
      <c r="K10" s="106"/>
      <c r="L10" s="106"/>
      <c r="M10" s="106"/>
      <c r="N10" s="106"/>
      <c r="O10" s="106"/>
      <c r="P10" s="106"/>
      <c r="Q10" s="73"/>
    </row>
    <row r="11" spans="1:47" ht="20.25" customHeight="1">
      <c r="A11" s="106"/>
      <c r="B11" s="106"/>
      <c r="C11" s="106"/>
      <c r="D11" s="106"/>
      <c r="E11" s="106"/>
      <c r="F11" s="106"/>
      <c r="G11" s="106"/>
      <c r="H11" s="106"/>
      <c r="I11" s="106"/>
      <c r="J11" s="106"/>
      <c r="K11" s="106"/>
      <c r="L11" s="106"/>
      <c r="M11" s="106"/>
      <c r="N11" s="106"/>
      <c r="O11" s="106"/>
      <c r="P11" s="106"/>
      <c r="Q11" s="97" t="s">
        <v>202</v>
      </c>
      <c r="R11" s="97"/>
      <c r="S11" s="97"/>
      <c r="T11" s="97"/>
      <c r="U11" s="97"/>
      <c r="V11" s="97"/>
      <c r="W11" s="105" t="s">
        <v>207</v>
      </c>
      <c r="X11" s="105"/>
      <c r="AA11" s="98" t="s">
        <v>101</v>
      </c>
      <c r="AB11" s="98" t="s">
        <v>201</v>
      </c>
      <c r="AC11" s="78" t="s">
        <v>199</v>
      </c>
      <c r="AD11" s="78" t="s">
        <v>196</v>
      </c>
      <c r="AE11" s="98" t="s">
        <v>191</v>
      </c>
      <c r="AF11" s="98"/>
      <c r="AG11" s="79" t="s">
        <v>19</v>
      </c>
      <c r="AH11" s="103" t="s">
        <v>203</v>
      </c>
      <c r="AI11" s="79" t="s">
        <v>21</v>
      </c>
      <c r="AJ11" s="80" t="s">
        <v>197</v>
      </c>
      <c r="AK11" s="78" t="s">
        <v>181</v>
      </c>
      <c r="AL11" s="80" t="s">
        <v>198</v>
      </c>
      <c r="AM11" s="78" t="s">
        <v>183</v>
      </c>
      <c r="AN11" s="78" t="s">
        <v>190</v>
      </c>
      <c r="AO11" s="99" t="s">
        <v>185</v>
      </c>
      <c r="AP11" s="99" t="s">
        <v>186</v>
      </c>
      <c r="AQ11" s="99" t="s">
        <v>192</v>
      </c>
      <c r="AR11" s="99" t="s">
        <v>193</v>
      </c>
      <c r="AS11" s="101" t="s">
        <v>187</v>
      </c>
      <c r="AT11" s="98" t="s">
        <v>195</v>
      </c>
      <c r="AU11" s="98" t="s">
        <v>188</v>
      </c>
    </row>
    <row r="12" spans="1:47" ht="12.75" customHeight="1">
      <c r="A12" s="107"/>
      <c r="B12" s="107"/>
      <c r="C12" s="107"/>
      <c r="D12" s="107"/>
      <c r="E12" s="107"/>
      <c r="F12" s="107"/>
      <c r="G12" s="107"/>
      <c r="H12" s="107"/>
      <c r="I12" s="107"/>
      <c r="J12" s="107"/>
      <c r="K12" s="107"/>
      <c r="L12" s="107"/>
      <c r="M12" s="107"/>
      <c r="N12" s="107"/>
      <c r="O12" s="107"/>
      <c r="P12" s="107"/>
      <c r="Q12" s="97"/>
      <c r="R12" s="97"/>
      <c r="S12" s="97"/>
      <c r="T12" s="97"/>
      <c r="U12" s="97"/>
      <c r="V12" s="97"/>
      <c r="W12" s="105"/>
      <c r="X12" s="105"/>
      <c r="AA12" s="98"/>
      <c r="AB12" s="98"/>
      <c r="AC12" s="78" t="s">
        <v>200</v>
      </c>
      <c r="AD12" s="78" t="s">
        <v>182</v>
      </c>
      <c r="AE12" s="78" t="s">
        <v>39</v>
      </c>
      <c r="AF12" s="78" t="s">
        <v>133</v>
      </c>
      <c r="AG12" s="79" t="s">
        <v>184</v>
      </c>
      <c r="AH12" s="104"/>
      <c r="AI12" s="79" t="s">
        <v>180</v>
      </c>
      <c r="AJ12" s="78" t="s">
        <v>182</v>
      </c>
      <c r="AK12" s="78" t="s">
        <v>182</v>
      </c>
      <c r="AL12" s="78" t="s">
        <v>182</v>
      </c>
      <c r="AM12" s="78" t="s">
        <v>182</v>
      </c>
      <c r="AN12" s="78" t="s">
        <v>147</v>
      </c>
      <c r="AO12" s="100"/>
      <c r="AP12" s="100"/>
      <c r="AQ12" s="100"/>
      <c r="AR12" s="100"/>
      <c r="AS12" s="102"/>
      <c r="AT12" s="98"/>
      <c r="AU12" s="98"/>
    </row>
    <row r="13" spans="1:47" ht="15" customHeight="1">
      <c r="A13" s="108" t="s">
        <v>0</v>
      </c>
      <c r="B13" s="109"/>
      <c r="C13" s="109"/>
      <c r="D13" s="109"/>
      <c r="E13" s="33"/>
      <c r="F13" s="33"/>
      <c r="G13" s="33"/>
      <c r="H13" s="83"/>
      <c r="I13" s="33"/>
      <c r="J13" s="33"/>
      <c r="K13" s="9"/>
      <c r="L13" s="33"/>
      <c r="M13" s="9"/>
      <c r="N13" s="33"/>
      <c r="O13" s="33"/>
      <c r="P13" s="33"/>
      <c r="Q13" s="33"/>
      <c r="R13" s="33"/>
      <c r="S13" s="33"/>
      <c r="T13" s="9"/>
      <c r="U13" s="33"/>
      <c r="W13" s="93" t="s">
        <v>208</v>
      </c>
      <c r="X13" s="94">
        <v>200</v>
      </c>
      <c r="AA13" s="74" t="s">
        <v>205</v>
      </c>
      <c r="AB13" s="74" t="s">
        <v>206</v>
      </c>
      <c r="AC13" s="74">
        <v>0</v>
      </c>
      <c r="AD13" s="74">
        <v>1.88</v>
      </c>
      <c r="AE13" s="74">
        <v>60</v>
      </c>
      <c r="AF13" s="74">
        <v>3</v>
      </c>
      <c r="AG13" s="65">
        <f>_xll.DCEPropSectPipe(AE13,AF13,"Area")/100</f>
        <v>5.3721234376385469</v>
      </c>
      <c r="AH13" s="74" t="s">
        <v>204</v>
      </c>
      <c r="AI13" s="81">
        <v>-32.090000000000003</v>
      </c>
      <c r="AJ13" s="74">
        <v>0.8</v>
      </c>
      <c r="AK13" s="12">
        <f>AD13*AJ13</f>
        <v>1.504</v>
      </c>
      <c r="AL13" s="74">
        <v>0.9</v>
      </c>
      <c r="AM13" s="12">
        <f>AD13*AL13</f>
        <v>1.6919999999999999</v>
      </c>
      <c r="AN13" s="75">
        <f>_xll.DCEPropSectPipe(AE13,AF13,"rx")/10</f>
        <v>2.0180436070610561</v>
      </c>
      <c r="AO13" s="75">
        <f>AK13*100/AN13</f>
        <v>74.527626397049232</v>
      </c>
      <c r="AP13" s="75">
        <f>AM13*100/AN13</f>
        <v>83.843579696680379</v>
      </c>
      <c r="AQ13" s="75">
        <f>MAX(AO13,AP13)</f>
        <v>83.843579696680379</v>
      </c>
      <c r="AR13" s="76">
        <f>IF(AI13&lt;0,$X$13,$X$14)</f>
        <v>200</v>
      </c>
      <c r="AS13" s="3" cm="1">
        <f t="array" ref="AS13">IF(AI13&gt;0,1,_xll.DCETCVN5575FactorPhi7121(AQ13*SQRT($L$18/206000),"a"))</f>
        <v>0.74817935637046118</v>
      </c>
      <c r="AT13" s="65">
        <f>ABS(AI13)/(AS13*AG13*$L$18*$L$20)*10</f>
        <v>0.38810886327714572</v>
      </c>
      <c r="AU13" s="77" t="str">
        <f>IF(AND(AQ13&lt;=AR13,AT13&lt;=1),"OK","Check")</f>
        <v>OK</v>
      </c>
    </row>
    <row r="14" spans="1:47">
      <c r="A14" s="4" t="s">
        <v>168</v>
      </c>
      <c r="B14" s="33"/>
      <c r="C14" s="33"/>
      <c r="D14" s="33"/>
      <c r="E14" s="33"/>
      <c r="F14" s="33"/>
      <c r="G14" s="33"/>
      <c r="H14" s="83"/>
      <c r="I14" s="33"/>
      <c r="J14" s="33"/>
      <c r="K14" s="9"/>
      <c r="L14" s="33"/>
      <c r="M14" s="9"/>
      <c r="N14" s="33"/>
      <c r="O14" s="33"/>
      <c r="P14" s="33"/>
      <c r="Q14" s="33"/>
      <c r="R14" s="33"/>
      <c r="S14" s="33"/>
      <c r="T14" s="9"/>
      <c r="U14" s="33"/>
      <c r="W14" s="93" t="s">
        <v>209</v>
      </c>
      <c r="X14" s="94">
        <v>400</v>
      </c>
      <c r="AK14" s="12"/>
      <c r="AM14" s="12"/>
      <c r="AN14" s="75"/>
      <c r="AO14" s="75"/>
      <c r="AP14" s="75"/>
      <c r="AQ14" s="75"/>
      <c r="AR14" s="76"/>
      <c r="AT14" s="65"/>
      <c r="AU14" s="77"/>
    </row>
    <row r="15" spans="1:47" ht="15" customHeight="1">
      <c r="A15" s="4"/>
      <c r="B15" s="33" t="s">
        <v>105</v>
      </c>
      <c r="C15" s="33"/>
      <c r="D15" s="33"/>
      <c r="E15" s="33"/>
      <c r="F15" s="72"/>
      <c r="G15" s="72"/>
      <c r="H15" s="84"/>
      <c r="I15" s="72"/>
      <c r="J15" s="72"/>
      <c r="K15" s="110" t="s">
        <v>214</v>
      </c>
      <c r="L15" s="110"/>
      <c r="M15" s="110"/>
      <c r="N15" s="72"/>
      <c r="O15" s="72"/>
      <c r="P15" s="72"/>
      <c r="Q15" s="72"/>
      <c r="R15" s="33"/>
      <c r="S15" s="33"/>
      <c r="T15" s="9"/>
      <c r="U15" s="33"/>
      <c r="AK15" s="12"/>
      <c r="AM15" s="12"/>
      <c r="AN15" s="75"/>
      <c r="AO15" s="75"/>
      <c r="AP15" s="75"/>
      <c r="AQ15" s="75"/>
      <c r="AR15" s="76"/>
      <c r="AT15" s="65"/>
      <c r="AU15" s="77"/>
    </row>
    <row r="16" spans="1:47" ht="15">
      <c r="A16" s="4"/>
      <c r="B16" s="33" t="s">
        <v>169</v>
      </c>
      <c r="C16" s="33"/>
      <c r="D16" s="33"/>
      <c r="E16" s="33"/>
      <c r="F16" s="72"/>
      <c r="G16" s="72"/>
      <c r="H16" s="84"/>
      <c r="I16" s="72"/>
      <c r="J16" s="72"/>
      <c r="K16" s="9" t="s">
        <v>173</v>
      </c>
      <c r="L16" s="69">
        <f>VLOOKUP(K15,Data!$A$3:$D$82,3,FALSE)</f>
        <v>240</v>
      </c>
      <c r="M16" s="9" t="s">
        <v>22</v>
      </c>
      <c r="N16" s="72"/>
      <c r="O16" s="72"/>
      <c r="P16" s="72"/>
      <c r="Q16" s="72"/>
      <c r="R16" s="33"/>
      <c r="S16" s="33"/>
      <c r="T16" s="9"/>
      <c r="U16" s="33"/>
      <c r="AK16" s="12"/>
      <c r="AM16" s="12"/>
      <c r="AN16" s="75"/>
      <c r="AO16" s="75"/>
      <c r="AP16" s="75"/>
      <c r="AQ16" s="75"/>
      <c r="AR16" s="76"/>
      <c r="AT16" s="65"/>
      <c r="AU16" s="77"/>
    </row>
    <row r="17" spans="1:47" ht="15">
      <c r="A17" s="4"/>
      <c r="B17" s="33" t="s">
        <v>170</v>
      </c>
      <c r="C17" s="33"/>
      <c r="D17" s="33"/>
      <c r="E17" s="33"/>
      <c r="F17" s="72"/>
      <c r="G17" s="72"/>
      <c r="H17" s="84"/>
      <c r="I17" s="72"/>
      <c r="J17" s="72"/>
      <c r="K17" s="9" t="s">
        <v>174</v>
      </c>
      <c r="L17" s="69">
        <f>VLOOKUP(K15,Data!$A$3:$D$82,4,FALSE)</f>
        <v>380</v>
      </c>
      <c r="M17" s="9" t="s">
        <v>22</v>
      </c>
      <c r="N17" s="72"/>
      <c r="O17" s="72"/>
      <c r="P17" s="72"/>
      <c r="Q17" s="72"/>
      <c r="R17" s="33"/>
      <c r="S17" s="33"/>
      <c r="T17" s="9"/>
      <c r="U17" s="33"/>
      <c r="AK17" s="12"/>
      <c r="AM17" s="12"/>
      <c r="AN17" s="75"/>
      <c r="AO17" s="75"/>
      <c r="AP17" s="75"/>
      <c r="AQ17" s="75"/>
      <c r="AR17" s="76"/>
      <c r="AT17" s="65"/>
      <c r="AU17" s="77"/>
    </row>
    <row r="18" spans="1:47" ht="15">
      <c r="A18" s="4"/>
      <c r="B18" s="33" t="s">
        <v>171</v>
      </c>
      <c r="C18" s="33"/>
      <c r="D18" s="33"/>
      <c r="E18" s="33"/>
      <c r="F18" s="72"/>
      <c r="G18" s="72"/>
      <c r="H18" s="84"/>
      <c r="I18" s="72"/>
      <c r="J18" s="72"/>
      <c r="K18" s="9" t="s">
        <v>175</v>
      </c>
      <c r="L18" s="71">
        <f>L16/L19</f>
        <v>228.57142857142856</v>
      </c>
      <c r="M18" s="9" t="s">
        <v>22</v>
      </c>
      <c r="N18" s="72"/>
      <c r="O18" s="72"/>
      <c r="P18" s="72"/>
      <c r="Q18" s="72"/>
      <c r="R18" s="33"/>
      <c r="S18" s="33"/>
      <c r="T18" s="9"/>
      <c r="U18" s="33"/>
      <c r="AK18" s="12"/>
      <c r="AM18" s="12"/>
      <c r="AN18" s="75"/>
      <c r="AO18" s="75"/>
      <c r="AP18" s="75"/>
      <c r="AQ18" s="75"/>
      <c r="AR18" s="76"/>
      <c r="AT18" s="65"/>
      <c r="AU18" s="77"/>
    </row>
    <row r="19" spans="1:47" ht="15">
      <c r="A19" s="4"/>
      <c r="B19" s="33" t="s">
        <v>177</v>
      </c>
      <c r="C19" s="33"/>
      <c r="D19" s="33"/>
      <c r="E19" s="33"/>
      <c r="F19" s="72"/>
      <c r="G19" s="72"/>
      <c r="H19" s="84"/>
      <c r="I19" s="72"/>
      <c r="J19" s="72"/>
      <c r="K19" s="91" t="s">
        <v>178</v>
      </c>
      <c r="L19" s="134">
        <f>VLOOKUP(K15,Data!$A$3:$E$82,5,FALSE)</f>
        <v>1.05</v>
      </c>
      <c r="M19" s="9"/>
      <c r="N19" s="72"/>
      <c r="O19" s="72"/>
      <c r="P19" s="72"/>
      <c r="Q19" s="72"/>
      <c r="R19" s="33"/>
      <c r="S19" s="33"/>
      <c r="T19" s="9"/>
      <c r="U19" s="33"/>
      <c r="AK19" s="12"/>
      <c r="AM19" s="12"/>
      <c r="AN19" s="75"/>
      <c r="AO19" s="75"/>
      <c r="AP19" s="75"/>
      <c r="AQ19" s="75"/>
      <c r="AR19" s="76"/>
      <c r="AT19" s="65"/>
      <c r="AU19" s="77"/>
    </row>
    <row r="20" spans="1:47" ht="15">
      <c r="A20" s="4"/>
      <c r="B20" s="33" t="s">
        <v>172</v>
      </c>
      <c r="C20" s="33"/>
      <c r="D20" s="33"/>
      <c r="E20" s="33"/>
      <c r="F20" s="72"/>
      <c r="G20" s="72"/>
      <c r="H20" s="84"/>
      <c r="I20" s="72"/>
      <c r="J20" s="72"/>
      <c r="K20" s="91" t="s">
        <v>176</v>
      </c>
      <c r="L20" s="70">
        <v>0.9</v>
      </c>
      <c r="M20" s="9"/>
      <c r="N20" s="72"/>
      <c r="O20" s="72"/>
      <c r="P20" s="72"/>
      <c r="Q20" s="72"/>
      <c r="R20" s="33"/>
      <c r="S20" s="33"/>
      <c r="T20" s="9"/>
      <c r="U20" s="33"/>
      <c r="AK20" s="12"/>
      <c r="AM20" s="12"/>
      <c r="AN20" s="75"/>
      <c r="AO20" s="75"/>
      <c r="AP20" s="75"/>
      <c r="AQ20" s="75"/>
      <c r="AR20" s="76"/>
      <c r="AT20" s="65"/>
      <c r="AU20" s="77"/>
    </row>
    <row r="21" spans="1:47">
      <c r="A21" s="4"/>
      <c r="B21" s="33" t="s">
        <v>194</v>
      </c>
      <c r="C21" s="33"/>
      <c r="D21" s="33"/>
      <c r="E21" s="33"/>
      <c r="F21" s="72"/>
      <c r="G21" s="72"/>
      <c r="H21" s="84"/>
      <c r="I21" s="72"/>
      <c r="J21" s="72"/>
      <c r="K21" s="91"/>
      <c r="L21" s="70"/>
      <c r="M21" s="9"/>
      <c r="N21" s="72"/>
      <c r="O21" s="72"/>
      <c r="P21" s="72"/>
      <c r="Q21" s="72"/>
      <c r="R21" s="33"/>
      <c r="S21" s="33"/>
      <c r="T21" s="9"/>
      <c r="U21" s="33"/>
      <c r="AK21" s="12"/>
      <c r="AM21" s="12"/>
      <c r="AN21" s="75"/>
      <c r="AO21" s="75"/>
      <c r="AP21" s="75"/>
      <c r="AQ21" s="75"/>
      <c r="AR21" s="76"/>
      <c r="AT21" s="65"/>
      <c r="AU21" s="77"/>
    </row>
    <row r="22" spans="1:47">
      <c r="A22" s="4"/>
      <c r="B22" s="33" t="s">
        <v>210</v>
      </c>
      <c r="C22" s="33"/>
      <c r="D22" s="33"/>
      <c r="E22" s="33"/>
      <c r="F22" s="72"/>
      <c r="G22" s="72"/>
      <c r="H22" s="84"/>
      <c r="I22" s="72"/>
      <c r="J22" s="72"/>
      <c r="K22" s="91"/>
      <c r="L22" s="70"/>
      <c r="M22" s="9"/>
      <c r="N22" s="72"/>
      <c r="O22" s="72"/>
      <c r="P22" s="72"/>
      <c r="Q22" s="72"/>
      <c r="R22" s="33"/>
      <c r="S22" s="33"/>
      <c r="T22" s="9"/>
      <c r="U22" s="33"/>
      <c r="AK22" s="12"/>
      <c r="AM22" s="12"/>
      <c r="AN22" s="75"/>
      <c r="AO22" s="75"/>
      <c r="AP22" s="75"/>
      <c r="AQ22" s="75"/>
      <c r="AR22" s="76"/>
      <c r="AT22" s="65"/>
      <c r="AU22" s="77"/>
    </row>
    <row r="23" spans="1:47">
      <c r="A23" s="4"/>
      <c r="B23" s="33"/>
      <c r="C23" s="33"/>
      <c r="D23" s="33"/>
      <c r="E23" s="33"/>
      <c r="F23" s="72"/>
      <c r="G23" s="72"/>
      <c r="H23" s="84"/>
      <c r="I23" s="72"/>
      <c r="J23" s="72"/>
      <c r="K23" s="91"/>
      <c r="L23" s="70"/>
      <c r="M23" s="9"/>
      <c r="N23" s="72"/>
      <c r="O23" s="72"/>
      <c r="P23" s="72"/>
      <c r="Q23" s="72"/>
      <c r="R23" s="33"/>
      <c r="S23" s="33"/>
      <c r="T23" s="9"/>
      <c r="U23" s="33"/>
      <c r="AK23" s="12"/>
      <c r="AM23" s="12"/>
      <c r="AN23" s="75"/>
      <c r="AO23" s="75"/>
      <c r="AP23" s="75"/>
      <c r="AQ23" s="75"/>
      <c r="AR23" s="76"/>
      <c r="AT23" s="65"/>
      <c r="AU23" s="77"/>
    </row>
    <row r="24" spans="1:47">
      <c r="A24" s="4" t="s">
        <v>179</v>
      </c>
      <c r="B24" s="33"/>
      <c r="C24" s="33"/>
      <c r="D24" s="33"/>
      <c r="E24" s="33"/>
      <c r="F24" s="33"/>
      <c r="G24" s="33"/>
      <c r="H24" s="83"/>
      <c r="I24" s="33"/>
      <c r="J24" s="33"/>
      <c r="K24" s="9"/>
      <c r="L24" s="33"/>
      <c r="M24" s="9"/>
      <c r="N24" s="33"/>
      <c r="O24" s="33"/>
      <c r="P24" s="33"/>
      <c r="Q24" s="33"/>
      <c r="R24" s="33"/>
      <c r="S24" s="33"/>
      <c r="T24" s="9"/>
      <c r="U24" s="33"/>
      <c r="AK24" s="12"/>
      <c r="AM24" s="12"/>
      <c r="AN24" s="75"/>
      <c r="AO24" s="75"/>
      <c r="AP24" s="75"/>
      <c r="AQ24" s="75"/>
      <c r="AR24" s="76"/>
      <c r="AT24" s="65"/>
      <c r="AU24" s="77"/>
    </row>
    <row r="25" spans="1:47" ht="14.25" customHeight="1">
      <c r="A25" s="4"/>
      <c r="B25" s="98" t="s">
        <v>101</v>
      </c>
      <c r="C25" s="98" t="s">
        <v>201</v>
      </c>
      <c r="D25" s="78" t="s">
        <v>199</v>
      </c>
      <c r="E25" s="78" t="s">
        <v>196</v>
      </c>
      <c r="F25" s="98" t="s">
        <v>166</v>
      </c>
      <c r="G25" s="98"/>
      <c r="H25" s="79" t="s">
        <v>19</v>
      </c>
      <c r="I25" s="98" t="s">
        <v>203</v>
      </c>
      <c r="J25" s="79" t="s">
        <v>21</v>
      </c>
      <c r="K25" s="80" t="s">
        <v>197</v>
      </c>
      <c r="L25" s="78" t="s">
        <v>181</v>
      </c>
      <c r="M25" s="80" t="s">
        <v>198</v>
      </c>
      <c r="N25" s="78" t="s">
        <v>183</v>
      </c>
      <c r="O25" s="78" t="s">
        <v>190</v>
      </c>
      <c r="P25" s="111" t="s">
        <v>185</v>
      </c>
      <c r="Q25" s="111" t="s">
        <v>186</v>
      </c>
      <c r="R25" s="111" t="s">
        <v>192</v>
      </c>
      <c r="S25" s="111" t="s">
        <v>193</v>
      </c>
      <c r="T25" s="112" t="s">
        <v>187</v>
      </c>
      <c r="U25" s="98" t="s">
        <v>195</v>
      </c>
      <c r="V25" s="98" t="s">
        <v>188</v>
      </c>
      <c r="AK25" s="12"/>
      <c r="AM25" s="12"/>
      <c r="AN25" s="75"/>
      <c r="AO25" s="75"/>
      <c r="AP25" s="75"/>
      <c r="AQ25" s="75"/>
      <c r="AR25" s="76"/>
      <c r="AT25" s="65"/>
      <c r="AU25" s="77"/>
    </row>
    <row r="26" spans="1:47" ht="15">
      <c r="A26" s="4"/>
      <c r="B26" s="98"/>
      <c r="C26" s="98"/>
      <c r="D26" s="78" t="s">
        <v>200</v>
      </c>
      <c r="E26" s="78" t="s">
        <v>182</v>
      </c>
      <c r="F26" s="78" t="s">
        <v>39</v>
      </c>
      <c r="G26" s="78" t="s">
        <v>133</v>
      </c>
      <c r="H26" s="79" t="s">
        <v>184</v>
      </c>
      <c r="I26" s="98"/>
      <c r="J26" s="79" t="s">
        <v>180</v>
      </c>
      <c r="K26" s="78" t="s">
        <v>182</v>
      </c>
      <c r="L26" s="78" t="s">
        <v>182</v>
      </c>
      <c r="M26" s="78" t="s">
        <v>182</v>
      </c>
      <c r="N26" s="78" t="s">
        <v>182</v>
      </c>
      <c r="O26" s="78" t="s">
        <v>147</v>
      </c>
      <c r="P26" s="111"/>
      <c r="Q26" s="111"/>
      <c r="R26" s="111"/>
      <c r="S26" s="111"/>
      <c r="T26" s="112"/>
      <c r="U26" s="98"/>
      <c r="V26" s="98"/>
      <c r="AK26" s="12"/>
      <c r="AM26" s="12"/>
      <c r="AN26" s="75"/>
      <c r="AO26" s="75"/>
      <c r="AP26" s="75"/>
      <c r="AQ26" s="75"/>
      <c r="AR26" s="76"/>
      <c r="AT26" s="65"/>
      <c r="AU26" s="77"/>
    </row>
    <row r="27" spans="1:47">
      <c r="A27" s="4"/>
      <c r="B27" s="92" t="s">
        <v>205</v>
      </c>
      <c r="C27" s="74" t="s">
        <v>206</v>
      </c>
      <c r="D27" s="74">
        <v>0</v>
      </c>
      <c r="E27" s="74">
        <v>1.88</v>
      </c>
      <c r="F27" s="74">
        <v>48</v>
      </c>
      <c r="G27" s="74">
        <v>3</v>
      </c>
      <c r="H27" s="85">
        <f>_xll.DCEPropSectPipe(F27,G27,"Area")/100</f>
        <v>4.2411500823462207</v>
      </c>
      <c r="I27" s="74" t="s">
        <v>204</v>
      </c>
      <c r="J27" s="81">
        <v>10</v>
      </c>
      <c r="K27" s="74">
        <v>0.8</v>
      </c>
      <c r="L27" s="12">
        <f t="shared" ref="L27" si="0">E27*K27</f>
        <v>1.504</v>
      </c>
      <c r="M27" s="74">
        <v>0.9</v>
      </c>
      <c r="N27" s="12">
        <f t="shared" ref="N27" si="1">E27*M27</f>
        <v>1.6919999999999999</v>
      </c>
      <c r="O27" s="88">
        <f>_xll.DCEPropSectPipe(F27,G27,"rx")/10</f>
        <v>1.5945218719101972</v>
      </c>
      <c r="P27" s="88">
        <f t="shared" ref="P27" si="2">L27*100/O27</f>
        <v>94.322945736595372</v>
      </c>
      <c r="Q27" s="88">
        <f t="shared" ref="Q27" si="3">N27*100/O27</f>
        <v>106.11331395366977</v>
      </c>
      <c r="R27" s="88">
        <f t="shared" ref="R27" si="4">MAX(P27,Q27)</f>
        <v>106.11331395366977</v>
      </c>
      <c r="S27" s="76">
        <f>IF(J27&lt;0,$X$13,$X$14)</f>
        <v>400</v>
      </c>
      <c r="T27" s="12" cm="1">
        <f t="array" ref="T27">IF(J27&gt;0,1,_xll.DCETCVN5575FactorPhi7121(R27*SQRT($L$18/206000),"a"))</f>
        <v>1</v>
      </c>
      <c r="U27" s="85">
        <f t="shared" ref="U27" si="5">ABS(J27)/(T27*H27*$L$18*$L$20)*10</f>
        <v>0.11461775737070654</v>
      </c>
      <c r="V27" s="12" t="str">
        <f t="shared" ref="V27" si="6">IF(AND(R27&lt;=S27,U27&lt;=1),"OK","Check")</f>
        <v>OK</v>
      </c>
      <c r="AK27" s="12"/>
      <c r="AM27" s="12"/>
      <c r="AN27" s="75"/>
      <c r="AO27" s="75"/>
      <c r="AP27" s="75"/>
      <c r="AQ27" s="75"/>
      <c r="AR27" s="76"/>
      <c r="AT27" s="65"/>
      <c r="AU27" s="77"/>
    </row>
    <row r="28" spans="1:47">
      <c r="A28" s="4"/>
      <c r="B28" s="92"/>
      <c r="C28" s="74"/>
      <c r="D28" s="74"/>
      <c r="E28" s="74"/>
      <c r="F28" s="74"/>
      <c r="G28" s="74"/>
      <c r="H28" s="85"/>
      <c r="I28" s="82"/>
      <c r="J28" s="82"/>
      <c r="K28" s="74"/>
      <c r="L28" s="12"/>
      <c r="M28" s="74"/>
      <c r="N28" s="12"/>
      <c r="O28" s="88"/>
      <c r="P28" s="88"/>
      <c r="Q28" s="88"/>
      <c r="R28" s="88"/>
      <c r="S28" s="89"/>
      <c r="T28" s="12"/>
      <c r="U28" s="85"/>
      <c r="V28" s="12"/>
      <c r="AK28" s="12"/>
      <c r="AM28" s="12"/>
      <c r="AN28" s="75"/>
      <c r="AO28" s="75"/>
      <c r="AP28" s="75"/>
      <c r="AQ28" s="75"/>
      <c r="AR28" s="76"/>
      <c r="AT28" s="65"/>
      <c r="AU28" s="77"/>
    </row>
    <row r="29" spans="1:47">
      <c r="A29" s="4"/>
      <c r="B29" s="92"/>
      <c r="C29" s="74"/>
      <c r="D29" s="74"/>
      <c r="E29" s="74"/>
      <c r="F29" s="74"/>
      <c r="G29" s="74"/>
      <c r="H29" s="85"/>
      <c r="I29" s="82"/>
      <c r="J29" s="82"/>
      <c r="K29" s="74"/>
      <c r="L29" s="12"/>
      <c r="M29" s="74"/>
      <c r="N29" s="12"/>
      <c r="O29" s="88"/>
      <c r="P29" s="88"/>
      <c r="Q29" s="88"/>
      <c r="R29" s="88"/>
      <c r="S29" s="89"/>
      <c r="T29" s="12"/>
      <c r="U29" s="85"/>
      <c r="V29" s="12"/>
      <c r="AK29" s="12"/>
      <c r="AM29" s="12"/>
      <c r="AN29" s="75"/>
      <c r="AO29" s="75"/>
      <c r="AP29" s="75"/>
      <c r="AQ29" s="75"/>
      <c r="AR29" s="76"/>
      <c r="AT29" s="65"/>
      <c r="AU29" s="77"/>
    </row>
    <row r="30" spans="1:47">
      <c r="A30" s="4"/>
      <c r="B30" s="92"/>
      <c r="C30" s="74"/>
      <c r="D30" s="74"/>
      <c r="E30" s="74"/>
      <c r="F30" s="74"/>
      <c r="G30" s="74"/>
      <c r="H30" s="85"/>
      <c r="I30" s="82"/>
      <c r="J30" s="82"/>
      <c r="K30" s="74"/>
      <c r="L30" s="12"/>
      <c r="M30" s="74"/>
      <c r="N30" s="12"/>
      <c r="O30" s="88"/>
      <c r="P30" s="88"/>
      <c r="Q30" s="88"/>
      <c r="R30" s="88"/>
      <c r="S30" s="89"/>
      <c r="T30" s="12"/>
      <c r="U30" s="85"/>
      <c r="V30" s="12"/>
      <c r="AK30" s="12"/>
      <c r="AM30" s="12"/>
      <c r="AN30" s="75"/>
      <c r="AO30" s="75"/>
      <c r="AP30" s="75"/>
      <c r="AQ30" s="75"/>
      <c r="AR30" s="76"/>
      <c r="AT30" s="65"/>
      <c r="AU30" s="77"/>
    </row>
    <row r="31" spans="1:47">
      <c r="A31" s="4"/>
      <c r="B31" s="92"/>
      <c r="C31" s="74"/>
      <c r="D31" s="74"/>
      <c r="E31" s="74"/>
      <c r="F31" s="74"/>
      <c r="G31" s="74"/>
      <c r="H31" s="85"/>
      <c r="I31" s="82"/>
      <c r="J31" s="82"/>
      <c r="K31" s="74"/>
      <c r="L31" s="12"/>
      <c r="M31" s="74"/>
      <c r="N31" s="12"/>
      <c r="O31" s="88"/>
      <c r="P31" s="88"/>
      <c r="Q31" s="88"/>
      <c r="R31" s="88"/>
      <c r="S31" s="89"/>
      <c r="T31" s="12"/>
      <c r="U31" s="85"/>
      <c r="V31" s="12"/>
      <c r="AK31" s="12"/>
      <c r="AM31" s="12"/>
      <c r="AN31" s="75"/>
      <c r="AO31" s="75"/>
      <c r="AP31" s="75"/>
      <c r="AQ31" s="75"/>
      <c r="AR31" s="76"/>
      <c r="AT31" s="65"/>
      <c r="AU31" s="77"/>
    </row>
    <row r="32" spans="1:47">
      <c r="A32" s="4"/>
      <c r="B32" s="92"/>
      <c r="C32" s="74"/>
      <c r="D32" s="74"/>
      <c r="E32" s="74"/>
      <c r="F32" s="74"/>
      <c r="G32" s="74"/>
      <c r="H32" s="85"/>
      <c r="I32" s="82"/>
      <c r="J32" s="82"/>
      <c r="K32" s="74"/>
      <c r="L32" s="12"/>
      <c r="M32" s="74"/>
      <c r="N32" s="12"/>
      <c r="O32" s="88"/>
      <c r="P32" s="88"/>
      <c r="Q32" s="88"/>
      <c r="R32" s="88"/>
      <c r="S32" s="89"/>
      <c r="T32" s="12"/>
      <c r="U32" s="85"/>
      <c r="V32" s="12"/>
      <c r="AK32" s="12"/>
      <c r="AM32" s="12"/>
      <c r="AN32" s="75"/>
      <c r="AO32" s="75"/>
      <c r="AP32" s="75"/>
      <c r="AQ32" s="75"/>
      <c r="AR32" s="76"/>
      <c r="AT32" s="65"/>
      <c r="AU32" s="77"/>
    </row>
    <row r="33" spans="1:47">
      <c r="A33" s="4"/>
      <c r="B33" s="92"/>
      <c r="C33" s="74"/>
      <c r="D33" s="74"/>
      <c r="E33" s="74"/>
      <c r="F33" s="74"/>
      <c r="G33" s="74"/>
      <c r="H33" s="85"/>
      <c r="I33" s="82"/>
      <c r="J33" s="82"/>
      <c r="K33" s="74"/>
      <c r="L33" s="12"/>
      <c r="M33" s="74"/>
      <c r="N33" s="12"/>
      <c r="O33" s="88"/>
      <c r="P33" s="88"/>
      <c r="Q33" s="88"/>
      <c r="R33" s="88"/>
      <c r="S33" s="89"/>
      <c r="T33" s="12"/>
      <c r="U33" s="85"/>
      <c r="V33" s="12"/>
      <c r="AK33" s="12"/>
      <c r="AM33" s="12"/>
      <c r="AN33" s="75"/>
      <c r="AO33" s="75"/>
      <c r="AP33" s="75"/>
      <c r="AQ33" s="75"/>
      <c r="AR33" s="76"/>
      <c r="AT33" s="65"/>
      <c r="AU33" s="77"/>
    </row>
    <row r="34" spans="1:47">
      <c r="A34" s="4"/>
      <c r="B34" s="92"/>
      <c r="C34" s="74"/>
      <c r="D34" s="74"/>
      <c r="E34" s="74"/>
      <c r="F34" s="74"/>
      <c r="G34" s="74"/>
      <c r="H34" s="85"/>
      <c r="I34" s="82"/>
      <c r="J34" s="82"/>
      <c r="K34" s="74"/>
      <c r="L34" s="12"/>
      <c r="M34" s="74"/>
      <c r="N34" s="12"/>
      <c r="O34" s="88"/>
      <c r="P34" s="88"/>
      <c r="Q34" s="88"/>
      <c r="R34" s="88"/>
      <c r="S34" s="89"/>
      <c r="T34" s="12"/>
      <c r="U34" s="85"/>
      <c r="V34" s="12"/>
      <c r="AK34" s="12"/>
      <c r="AM34" s="12"/>
      <c r="AN34" s="75"/>
      <c r="AO34" s="75"/>
      <c r="AP34" s="75"/>
      <c r="AQ34" s="75"/>
      <c r="AR34" s="76"/>
      <c r="AT34" s="65"/>
      <c r="AU34" s="77"/>
    </row>
    <row r="35" spans="1:47">
      <c r="A35" s="4"/>
      <c r="B35" s="92"/>
      <c r="C35" s="74"/>
      <c r="D35" s="74"/>
      <c r="E35" s="74"/>
      <c r="F35" s="74"/>
      <c r="G35" s="74"/>
      <c r="H35" s="85"/>
      <c r="I35" s="82"/>
      <c r="J35" s="82"/>
      <c r="K35" s="74"/>
      <c r="L35" s="12"/>
      <c r="M35" s="74"/>
      <c r="N35" s="12"/>
      <c r="O35" s="88"/>
      <c r="P35" s="88"/>
      <c r="Q35" s="88"/>
      <c r="R35" s="88"/>
      <c r="S35" s="89"/>
      <c r="T35" s="12"/>
      <c r="U35" s="85"/>
      <c r="V35" s="12"/>
      <c r="AK35" s="12"/>
      <c r="AM35" s="12"/>
      <c r="AN35" s="75"/>
      <c r="AO35" s="75"/>
      <c r="AP35" s="75"/>
      <c r="AQ35" s="75"/>
      <c r="AR35" s="76"/>
      <c r="AT35" s="65"/>
      <c r="AU35" s="77"/>
    </row>
    <row r="36" spans="1:47">
      <c r="A36" s="4"/>
      <c r="B36" s="92"/>
      <c r="C36" s="74"/>
      <c r="D36" s="74"/>
      <c r="E36" s="74"/>
      <c r="F36" s="74"/>
      <c r="G36" s="74"/>
      <c r="H36" s="85"/>
      <c r="I36" s="82"/>
      <c r="J36" s="82"/>
      <c r="K36" s="74"/>
      <c r="L36" s="12"/>
      <c r="M36" s="74"/>
      <c r="N36" s="12"/>
      <c r="O36" s="88"/>
      <c r="P36" s="88"/>
      <c r="Q36" s="88"/>
      <c r="R36" s="88"/>
      <c r="S36" s="89"/>
      <c r="T36" s="12"/>
      <c r="U36" s="85"/>
      <c r="V36" s="12"/>
      <c r="AK36" s="12"/>
      <c r="AM36" s="12"/>
      <c r="AN36" s="75"/>
      <c r="AO36" s="75"/>
      <c r="AP36" s="75"/>
      <c r="AQ36" s="75"/>
      <c r="AR36" s="76"/>
      <c r="AT36" s="65"/>
      <c r="AU36" s="77"/>
    </row>
    <row r="37" spans="1:47">
      <c r="A37" s="4"/>
      <c r="B37" s="92"/>
      <c r="C37" s="74"/>
      <c r="D37" s="74"/>
      <c r="E37" s="74"/>
      <c r="F37" s="74"/>
      <c r="G37" s="74"/>
      <c r="H37" s="85"/>
      <c r="I37" s="82"/>
      <c r="J37" s="82"/>
      <c r="K37" s="74"/>
      <c r="L37" s="12"/>
      <c r="M37" s="74"/>
      <c r="N37" s="12"/>
      <c r="O37" s="88"/>
      <c r="P37" s="88"/>
      <c r="Q37" s="88"/>
      <c r="R37" s="88"/>
      <c r="S37" s="89"/>
      <c r="T37" s="12"/>
      <c r="U37" s="85"/>
      <c r="V37" s="12"/>
      <c r="AK37" s="12"/>
      <c r="AM37" s="12"/>
      <c r="AN37" s="75"/>
      <c r="AO37" s="75"/>
      <c r="AP37" s="75"/>
      <c r="AQ37" s="75"/>
      <c r="AR37" s="76"/>
      <c r="AT37" s="65"/>
      <c r="AU37" s="77"/>
    </row>
    <row r="38" spans="1:47">
      <c r="A38" s="4"/>
      <c r="B38" s="92"/>
      <c r="C38" s="74"/>
      <c r="D38" s="74"/>
      <c r="E38" s="74"/>
      <c r="F38" s="74"/>
      <c r="G38" s="74"/>
      <c r="H38" s="85"/>
      <c r="I38" s="82"/>
      <c r="J38" s="82"/>
      <c r="K38" s="74"/>
      <c r="L38" s="12"/>
      <c r="M38" s="74"/>
      <c r="N38" s="12"/>
      <c r="O38" s="88"/>
      <c r="P38" s="88"/>
      <c r="Q38" s="88"/>
      <c r="R38" s="88"/>
      <c r="S38" s="89"/>
      <c r="T38" s="12"/>
      <c r="U38" s="85"/>
      <c r="V38" s="12"/>
      <c r="AK38" s="12"/>
      <c r="AM38" s="12"/>
      <c r="AN38" s="75"/>
      <c r="AO38" s="75"/>
      <c r="AP38" s="75"/>
      <c r="AQ38" s="75"/>
      <c r="AR38" s="76"/>
      <c r="AT38" s="65"/>
      <c r="AU38" s="77"/>
    </row>
    <row r="39" spans="1:47">
      <c r="A39" s="4"/>
      <c r="B39" s="92"/>
      <c r="C39" s="74"/>
      <c r="D39" s="74"/>
      <c r="E39" s="74"/>
      <c r="F39" s="74"/>
      <c r="G39" s="74"/>
      <c r="H39" s="85"/>
      <c r="I39" s="82"/>
      <c r="J39" s="82"/>
      <c r="K39" s="74"/>
      <c r="L39" s="12"/>
      <c r="M39" s="74"/>
      <c r="N39" s="12"/>
      <c r="O39" s="88"/>
      <c r="P39" s="88"/>
      <c r="Q39" s="88"/>
      <c r="R39" s="88"/>
      <c r="S39" s="89"/>
      <c r="T39" s="12"/>
      <c r="U39" s="85"/>
      <c r="V39" s="12"/>
      <c r="AK39" s="12"/>
      <c r="AM39" s="12"/>
      <c r="AN39" s="75"/>
      <c r="AO39" s="75"/>
      <c r="AP39" s="75"/>
      <c r="AQ39" s="75"/>
      <c r="AR39" s="76"/>
      <c r="AT39" s="65"/>
      <c r="AU39" s="77"/>
    </row>
    <row r="40" spans="1:47">
      <c r="A40" s="4"/>
      <c r="B40" s="92"/>
      <c r="C40" s="74"/>
      <c r="D40" s="74"/>
      <c r="E40" s="74"/>
      <c r="F40" s="74"/>
      <c r="G40" s="74"/>
      <c r="H40" s="85"/>
      <c r="I40" s="82"/>
      <c r="J40" s="82"/>
      <c r="K40" s="74"/>
      <c r="L40" s="12"/>
      <c r="M40" s="74"/>
      <c r="N40" s="12"/>
      <c r="O40" s="88"/>
      <c r="P40" s="88"/>
      <c r="Q40" s="88"/>
      <c r="R40" s="88"/>
      <c r="S40" s="89"/>
      <c r="T40" s="12"/>
      <c r="U40" s="85"/>
      <c r="V40" s="12"/>
      <c r="AK40" s="12"/>
      <c r="AM40" s="12"/>
      <c r="AN40" s="75"/>
      <c r="AO40" s="75"/>
      <c r="AP40" s="75"/>
      <c r="AQ40" s="75"/>
      <c r="AR40" s="76"/>
      <c r="AT40" s="65"/>
      <c r="AU40" s="77"/>
    </row>
    <row r="41" spans="1:47">
      <c r="A41" s="4"/>
      <c r="B41" s="92"/>
      <c r="C41" s="74"/>
      <c r="D41" s="74"/>
      <c r="E41" s="74"/>
      <c r="F41" s="74"/>
      <c r="G41" s="74"/>
      <c r="H41" s="85"/>
      <c r="I41" s="82"/>
      <c r="J41" s="82"/>
      <c r="K41" s="74"/>
      <c r="L41" s="12"/>
      <c r="M41" s="74"/>
      <c r="N41" s="12"/>
      <c r="O41" s="88"/>
      <c r="P41" s="88"/>
      <c r="Q41" s="88"/>
      <c r="R41" s="88"/>
      <c r="S41" s="89"/>
      <c r="T41" s="12"/>
      <c r="U41" s="85"/>
      <c r="V41" s="12"/>
      <c r="AK41" s="12"/>
      <c r="AM41" s="12"/>
      <c r="AN41" s="75"/>
      <c r="AO41" s="75"/>
      <c r="AP41" s="75"/>
      <c r="AQ41" s="75"/>
      <c r="AR41" s="76"/>
      <c r="AT41" s="65"/>
      <c r="AU41" s="77"/>
    </row>
    <row r="42" spans="1:47">
      <c r="A42" s="4"/>
      <c r="B42" s="92"/>
      <c r="C42" s="74"/>
      <c r="D42" s="74"/>
      <c r="E42" s="74"/>
      <c r="F42" s="74"/>
      <c r="G42" s="74"/>
      <c r="H42" s="85"/>
      <c r="I42" s="82"/>
      <c r="J42" s="82"/>
      <c r="K42" s="74"/>
      <c r="L42" s="12"/>
      <c r="M42" s="74"/>
      <c r="N42" s="12"/>
      <c r="O42" s="88"/>
      <c r="P42" s="88"/>
      <c r="Q42" s="88"/>
      <c r="R42" s="88"/>
      <c r="S42" s="89"/>
      <c r="T42" s="12"/>
      <c r="U42" s="85"/>
      <c r="V42" s="12"/>
      <c r="AK42" s="12"/>
      <c r="AM42" s="12"/>
      <c r="AN42" s="75"/>
      <c r="AO42" s="75"/>
      <c r="AP42" s="75"/>
      <c r="AQ42" s="75"/>
      <c r="AR42" s="76"/>
      <c r="AT42" s="65"/>
      <c r="AU42" s="77"/>
    </row>
    <row r="43" spans="1:47">
      <c r="A43" s="4"/>
      <c r="B43" s="92"/>
      <c r="C43" s="74"/>
      <c r="D43" s="74"/>
      <c r="E43" s="74"/>
      <c r="F43" s="74"/>
      <c r="G43" s="74"/>
      <c r="H43" s="85"/>
      <c r="I43" s="82"/>
      <c r="J43" s="82"/>
      <c r="K43" s="74"/>
      <c r="L43" s="12"/>
      <c r="M43" s="74"/>
      <c r="N43" s="12"/>
      <c r="O43" s="88"/>
      <c r="P43" s="88"/>
      <c r="Q43" s="88"/>
      <c r="R43" s="88"/>
      <c r="S43" s="89"/>
      <c r="T43" s="12"/>
      <c r="U43" s="85"/>
      <c r="V43" s="12"/>
      <c r="AK43" s="12"/>
      <c r="AM43" s="12"/>
      <c r="AN43" s="75"/>
      <c r="AO43" s="75"/>
      <c r="AP43" s="75"/>
      <c r="AQ43" s="75"/>
      <c r="AR43" s="76"/>
      <c r="AT43" s="65"/>
      <c r="AU43" s="77"/>
    </row>
    <row r="44" spans="1:47">
      <c r="A44" s="4"/>
      <c r="B44" s="92"/>
      <c r="C44" s="74"/>
      <c r="D44" s="74"/>
      <c r="E44" s="74"/>
      <c r="F44" s="74"/>
      <c r="G44" s="74"/>
      <c r="H44" s="85"/>
      <c r="I44" s="82"/>
      <c r="J44" s="82"/>
      <c r="K44" s="74"/>
      <c r="L44" s="12"/>
      <c r="M44" s="74"/>
      <c r="N44" s="12"/>
      <c r="O44" s="88"/>
      <c r="P44" s="88"/>
      <c r="Q44" s="88"/>
      <c r="R44" s="88"/>
      <c r="S44" s="89"/>
      <c r="T44" s="12"/>
      <c r="U44" s="85"/>
      <c r="V44" s="12"/>
      <c r="AK44" s="12"/>
      <c r="AM44" s="12"/>
      <c r="AN44" s="75"/>
      <c r="AO44" s="75"/>
      <c r="AP44" s="75"/>
      <c r="AQ44" s="75"/>
      <c r="AR44" s="76"/>
      <c r="AT44" s="65"/>
      <c r="AU44" s="77"/>
    </row>
    <row r="45" spans="1:47">
      <c r="A45" s="4"/>
      <c r="B45" s="92"/>
      <c r="C45" s="74"/>
      <c r="D45" s="74"/>
      <c r="E45" s="74"/>
      <c r="F45" s="74"/>
      <c r="G45" s="74"/>
      <c r="H45" s="85"/>
      <c r="I45" s="82"/>
      <c r="J45" s="82"/>
      <c r="K45" s="74"/>
      <c r="L45" s="12"/>
      <c r="M45" s="74"/>
      <c r="N45" s="12"/>
      <c r="O45" s="88"/>
      <c r="P45" s="88"/>
      <c r="Q45" s="88"/>
      <c r="R45" s="88"/>
      <c r="S45" s="89"/>
      <c r="T45" s="12"/>
      <c r="U45" s="85"/>
      <c r="V45" s="12"/>
      <c r="AK45" s="12"/>
      <c r="AM45" s="12"/>
      <c r="AN45" s="75"/>
      <c r="AO45" s="75"/>
      <c r="AP45" s="75"/>
      <c r="AQ45" s="75"/>
      <c r="AR45" s="76"/>
      <c r="AT45" s="65"/>
      <c r="AU45" s="77"/>
    </row>
    <row r="46" spans="1:47">
      <c r="A46" s="4"/>
      <c r="B46" s="92"/>
      <c r="C46" s="74"/>
      <c r="D46" s="74"/>
      <c r="E46" s="74"/>
      <c r="F46" s="74"/>
      <c r="G46" s="74"/>
      <c r="H46" s="85"/>
      <c r="I46" s="82"/>
      <c r="J46" s="82"/>
      <c r="K46" s="74"/>
      <c r="L46" s="12"/>
      <c r="M46" s="74"/>
      <c r="N46" s="12"/>
      <c r="O46" s="88"/>
      <c r="P46" s="88"/>
      <c r="Q46" s="88"/>
      <c r="R46" s="88"/>
      <c r="S46" s="89"/>
      <c r="T46" s="12"/>
      <c r="U46" s="85"/>
      <c r="V46" s="12"/>
      <c r="AK46" s="12"/>
      <c r="AM46" s="12"/>
      <c r="AN46" s="75"/>
      <c r="AO46" s="75"/>
      <c r="AP46" s="75"/>
      <c r="AQ46" s="75"/>
      <c r="AR46" s="76"/>
      <c r="AT46" s="65"/>
      <c r="AU46" s="77"/>
    </row>
    <row r="47" spans="1:47">
      <c r="A47" s="4"/>
      <c r="B47" s="92"/>
      <c r="C47" s="74"/>
      <c r="D47" s="74"/>
      <c r="E47" s="74"/>
      <c r="F47" s="74"/>
      <c r="G47" s="74"/>
      <c r="H47" s="85"/>
      <c r="I47" s="82"/>
      <c r="J47" s="82"/>
      <c r="K47" s="74"/>
      <c r="L47" s="12"/>
      <c r="M47" s="74"/>
      <c r="N47" s="12"/>
      <c r="O47" s="88"/>
      <c r="P47" s="88"/>
      <c r="Q47" s="88"/>
      <c r="R47" s="88"/>
      <c r="S47" s="89"/>
      <c r="T47" s="12"/>
      <c r="U47" s="85"/>
      <c r="V47" s="12"/>
      <c r="AK47" s="12"/>
      <c r="AM47" s="12"/>
      <c r="AN47" s="75"/>
      <c r="AO47" s="75"/>
      <c r="AP47" s="75"/>
      <c r="AQ47" s="75"/>
      <c r="AR47" s="76"/>
      <c r="AT47" s="65"/>
      <c r="AU47" s="77"/>
    </row>
    <row r="48" spans="1:47">
      <c r="A48" s="4"/>
      <c r="B48" s="92"/>
      <c r="C48" s="74"/>
      <c r="D48" s="74"/>
      <c r="E48" s="74"/>
      <c r="F48" s="74"/>
      <c r="G48" s="74"/>
      <c r="H48" s="85"/>
      <c r="I48" s="82"/>
      <c r="J48" s="82"/>
      <c r="K48" s="74"/>
      <c r="L48" s="12"/>
      <c r="M48" s="74"/>
      <c r="N48" s="12"/>
      <c r="O48" s="88"/>
      <c r="P48" s="88"/>
      <c r="Q48" s="88"/>
      <c r="R48" s="88"/>
      <c r="S48" s="89"/>
      <c r="T48" s="12"/>
      <c r="U48" s="85"/>
      <c r="V48" s="12"/>
      <c r="AK48" s="12"/>
      <c r="AM48" s="12"/>
      <c r="AN48" s="75"/>
      <c r="AO48" s="75"/>
      <c r="AP48" s="75"/>
      <c r="AQ48" s="75"/>
      <c r="AR48" s="76"/>
      <c r="AT48" s="65"/>
      <c r="AU48" s="77"/>
    </row>
    <row r="49" spans="1:47">
      <c r="A49" s="4"/>
      <c r="B49" s="92"/>
      <c r="C49" s="74"/>
      <c r="D49" s="74"/>
      <c r="E49" s="74"/>
      <c r="F49" s="74"/>
      <c r="G49" s="74"/>
      <c r="H49" s="85"/>
      <c r="I49" s="82"/>
      <c r="J49" s="82"/>
      <c r="K49" s="74"/>
      <c r="L49" s="12"/>
      <c r="M49" s="74"/>
      <c r="N49" s="12"/>
      <c r="O49" s="88"/>
      <c r="P49" s="88"/>
      <c r="Q49" s="88"/>
      <c r="R49" s="88"/>
      <c r="S49" s="89"/>
      <c r="T49" s="12"/>
      <c r="U49" s="85"/>
      <c r="V49" s="12"/>
      <c r="AK49" s="12"/>
      <c r="AM49" s="12"/>
      <c r="AN49" s="75"/>
      <c r="AO49" s="75"/>
      <c r="AP49" s="75"/>
      <c r="AQ49" s="75"/>
      <c r="AR49" s="76"/>
      <c r="AT49" s="65"/>
      <c r="AU49" s="77"/>
    </row>
    <row r="50" spans="1:47">
      <c r="A50" s="4"/>
      <c r="B50" s="92"/>
      <c r="C50" s="74"/>
      <c r="D50" s="74"/>
      <c r="E50" s="74"/>
      <c r="F50" s="74"/>
      <c r="G50" s="74"/>
      <c r="H50" s="85"/>
      <c r="I50" s="82"/>
      <c r="J50" s="82"/>
      <c r="K50" s="74"/>
      <c r="L50" s="12"/>
      <c r="M50" s="74"/>
      <c r="N50" s="12"/>
      <c r="O50" s="88"/>
      <c r="P50" s="88"/>
      <c r="Q50" s="88"/>
      <c r="R50" s="88"/>
      <c r="S50" s="89"/>
      <c r="T50" s="12"/>
      <c r="U50" s="85"/>
      <c r="V50" s="12"/>
      <c r="AK50" s="12"/>
      <c r="AM50" s="12"/>
      <c r="AN50" s="75"/>
      <c r="AO50" s="75"/>
      <c r="AP50" s="75"/>
      <c r="AQ50" s="75"/>
      <c r="AR50" s="76"/>
      <c r="AT50" s="65"/>
      <c r="AU50" s="77"/>
    </row>
    <row r="51" spans="1:47">
      <c r="A51" s="4"/>
      <c r="B51" s="92"/>
      <c r="C51" s="74"/>
      <c r="D51" s="74"/>
      <c r="E51" s="74"/>
      <c r="F51" s="74"/>
      <c r="G51" s="74"/>
      <c r="H51" s="85"/>
      <c r="I51" s="82"/>
      <c r="J51" s="82"/>
      <c r="K51" s="74"/>
      <c r="L51" s="12"/>
      <c r="M51" s="74"/>
      <c r="N51" s="12"/>
      <c r="O51" s="88"/>
      <c r="P51" s="88"/>
      <c r="Q51" s="88"/>
      <c r="R51" s="88"/>
      <c r="S51" s="89"/>
      <c r="T51" s="12"/>
      <c r="U51" s="85"/>
      <c r="V51" s="12"/>
      <c r="AK51" s="12"/>
      <c r="AM51" s="12"/>
      <c r="AN51" s="75"/>
      <c r="AO51" s="75"/>
      <c r="AP51" s="75"/>
      <c r="AQ51" s="75"/>
      <c r="AR51" s="76"/>
      <c r="AT51" s="65"/>
      <c r="AU51" s="77"/>
    </row>
    <row r="52" spans="1:47">
      <c r="A52" s="4"/>
      <c r="B52" s="92"/>
      <c r="C52" s="74"/>
      <c r="D52" s="74"/>
      <c r="E52" s="74"/>
      <c r="F52" s="74"/>
      <c r="G52" s="74"/>
      <c r="H52" s="85"/>
      <c r="I52" s="82"/>
      <c r="J52" s="82"/>
      <c r="K52" s="74"/>
      <c r="L52" s="12"/>
      <c r="M52" s="74"/>
      <c r="N52" s="12"/>
      <c r="O52" s="88"/>
      <c r="P52" s="88"/>
      <c r="Q52" s="88"/>
      <c r="R52" s="88"/>
      <c r="S52" s="89"/>
      <c r="T52" s="12"/>
      <c r="U52" s="85"/>
      <c r="V52" s="12"/>
      <c r="AK52" s="12"/>
      <c r="AM52" s="12"/>
      <c r="AN52" s="75"/>
      <c r="AO52" s="75"/>
      <c r="AP52" s="75"/>
      <c r="AQ52" s="75"/>
      <c r="AR52" s="76"/>
      <c r="AT52" s="65"/>
      <c r="AU52" s="77"/>
    </row>
    <row r="53" spans="1:47">
      <c r="A53" s="4"/>
      <c r="B53" s="92"/>
      <c r="C53" s="74"/>
      <c r="D53" s="74"/>
      <c r="E53" s="74"/>
      <c r="F53" s="74"/>
      <c r="G53" s="74"/>
      <c r="H53" s="85"/>
      <c r="I53" s="82"/>
      <c r="J53" s="82"/>
      <c r="K53" s="74"/>
      <c r="L53" s="12"/>
      <c r="M53" s="74"/>
      <c r="N53" s="12"/>
      <c r="O53" s="88"/>
      <c r="P53" s="88"/>
      <c r="Q53" s="88"/>
      <c r="R53" s="88"/>
      <c r="S53" s="89"/>
      <c r="T53" s="12"/>
      <c r="U53" s="85"/>
      <c r="V53" s="12"/>
      <c r="AK53" s="12"/>
      <c r="AM53" s="12"/>
      <c r="AN53" s="75"/>
      <c r="AO53" s="75"/>
      <c r="AP53" s="75"/>
      <c r="AQ53" s="75"/>
      <c r="AR53" s="76"/>
      <c r="AT53" s="65"/>
      <c r="AU53" s="77"/>
    </row>
    <row r="54" spans="1:47">
      <c r="A54" s="4"/>
      <c r="B54" s="92"/>
      <c r="C54" s="74"/>
      <c r="D54" s="74"/>
      <c r="E54" s="74"/>
      <c r="F54" s="74"/>
      <c r="G54" s="74"/>
      <c r="H54" s="86"/>
      <c r="I54" s="82"/>
      <c r="J54" s="82"/>
      <c r="K54" s="74"/>
      <c r="L54" s="86"/>
      <c r="M54" s="74"/>
      <c r="N54" s="86"/>
      <c r="O54" s="86"/>
      <c r="P54" s="86"/>
      <c r="Q54" s="86"/>
      <c r="R54" s="86"/>
      <c r="S54" s="86"/>
      <c r="T54" s="12"/>
      <c r="U54" s="86"/>
      <c r="V54" s="90"/>
      <c r="AK54" s="12"/>
      <c r="AM54" s="12"/>
      <c r="AN54" s="75"/>
      <c r="AO54" s="75"/>
      <c r="AP54" s="75"/>
      <c r="AQ54" s="75"/>
      <c r="AR54" s="76"/>
      <c r="AT54" s="65"/>
      <c r="AU54" s="77"/>
    </row>
    <row r="55" spans="1:47">
      <c r="A55" s="4"/>
      <c r="B55" s="92"/>
      <c r="C55" s="74"/>
      <c r="D55" s="74"/>
      <c r="E55" s="74"/>
      <c r="F55" s="74"/>
      <c r="G55" s="74"/>
      <c r="H55" s="86"/>
      <c r="I55" s="82"/>
      <c r="J55" s="82"/>
      <c r="K55" s="74"/>
      <c r="L55" s="86"/>
      <c r="M55" s="74"/>
      <c r="N55" s="86"/>
      <c r="O55" s="86"/>
      <c r="P55" s="86"/>
      <c r="Q55" s="86"/>
      <c r="R55" s="86"/>
      <c r="S55" s="86"/>
      <c r="T55" s="12"/>
      <c r="U55" s="86"/>
      <c r="V55" s="90"/>
      <c r="AK55" s="12"/>
      <c r="AM55" s="12"/>
      <c r="AN55" s="75"/>
      <c r="AO55" s="75"/>
      <c r="AP55" s="75"/>
      <c r="AQ55" s="75"/>
      <c r="AR55" s="76"/>
      <c r="AT55" s="65"/>
      <c r="AU55" s="77"/>
    </row>
    <row r="56" spans="1:47">
      <c r="A56" s="4"/>
      <c r="B56" s="92"/>
      <c r="C56" s="74"/>
      <c r="D56" s="74"/>
      <c r="E56" s="74"/>
      <c r="F56" s="74"/>
      <c r="G56" s="74"/>
      <c r="H56" s="86"/>
      <c r="I56" s="82"/>
      <c r="J56" s="82"/>
      <c r="K56" s="74"/>
      <c r="L56" s="86"/>
      <c r="M56" s="74"/>
      <c r="N56" s="86"/>
      <c r="O56" s="86"/>
      <c r="P56" s="86"/>
      <c r="Q56" s="86"/>
      <c r="R56" s="86"/>
      <c r="S56" s="86"/>
      <c r="T56" s="12"/>
      <c r="U56" s="86"/>
      <c r="V56" s="90"/>
      <c r="AK56" s="12"/>
      <c r="AM56" s="12"/>
      <c r="AN56" s="75"/>
      <c r="AO56" s="75"/>
      <c r="AP56" s="75"/>
      <c r="AQ56" s="75"/>
      <c r="AR56" s="76"/>
      <c r="AT56" s="65"/>
      <c r="AU56" s="77"/>
    </row>
    <row r="57" spans="1:47">
      <c r="A57" s="4"/>
      <c r="B57" s="92"/>
      <c r="C57" s="74"/>
      <c r="D57" s="74"/>
      <c r="E57" s="74"/>
      <c r="F57" s="74"/>
      <c r="G57" s="74"/>
      <c r="H57" s="86"/>
      <c r="I57" s="82"/>
      <c r="J57" s="82"/>
      <c r="K57" s="74"/>
      <c r="L57" s="86"/>
      <c r="M57" s="74"/>
      <c r="N57" s="86"/>
      <c r="O57" s="86"/>
      <c r="P57" s="86"/>
      <c r="Q57" s="86"/>
      <c r="R57" s="86"/>
      <c r="S57" s="86"/>
      <c r="T57" s="12"/>
      <c r="U57" s="86"/>
      <c r="V57" s="90"/>
      <c r="AK57" s="12"/>
      <c r="AM57" s="12"/>
      <c r="AN57" s="75"/>
      <c r="AO57" s="75"/>
      <c r="AP57" s="75"/>
      <c r="AQ57" s="75"/>
      <c r="AR57" s="76"/>
      <c r="AT57" s="65"/>
      <c r="AU57" s="77"/>
    </row>
    <row r="58" spans="1:47">
      <c r="A58" s="4"/>
      <c r="B58" s="92"/>
      <c r="C58" s="74"/>
      <c r="D58" s="74"/>
      <c r="E58" s="74"/>
      <c r="F58" s="74"/>
      <c r="G58" s="74"/>
      <c r="H58" s="86"/>
      <c r="I58" s="82"/>
      <c r="J58" s="82"/>
      <c r="K58" s="74"/>
      <c r="L58" s="86"/>
      <c r="M58" s="74"/>
      <c r="N58" s="86"/>
      <c r="O58" s="86"/>
      <c r="P58" s="86"/>
      <c r="Q58" s="86"/>
      <c r="R58" s="86"/>
      <c r="S58" s="86"/>
      <c r="T58" s="12"/>
      <c r="U58" s="86"/>
      <c r="V58" s="90"/>
      <c r="AK58" s="12"/>
      <c r="AM58" s="12"/>
      <c r="AN58" s="75"/>
      <c r="AO58" s="75"/>
      <c r="AP58" s="75"/>
      <c r="AQ58" s="75"/>
      <c r="AR58" s="76"/>
      <c r="AT58" s="65"/>
      <c r="AU58" s="77"/>
    </row>
    <row r="59" spans="1:47">
      <c r="A59" s="4"/>
      <c r="B59" s="92"/>
      <c r="C59" s="74"/>
      <c r="D59" s="74"/>
      <c r="E59" s="74"/>
      <c r="F59" s="74"/>
      <c r="G59" s="74"/>
      <c r="H59" s="86"/>
      <c r="I59" s="82"/>
      <c r="J59" s="82"/>
      <c r="K59" s="74"/>
      <c r="L59" s="86"/>
      <c r="M59" s="74"/>
      <c r="N59" s="86"/>
      <c r="O59" s="86"/>
      <c r="P59" s="86"/>
      <c r="Q59" s="86"/>
      <c r="R59" s="86"/>
      <c r="S59" s="86"/>
      <c r="T59" s="12"/>
      <c r="U59" s="86"/>
      <c r="V59" s="90"/>
      <c r="AK59" s="12"/>
      <c r="AM59" s="12"/>
      <c r="AN59" s="75"/>
      <c r="AO59" s="75"/>
      <c r="AP59" s="75"/>
      <c r="AQ59" s="75"/>
      <c r="AR59" s="76"/>
      <c r="AT59" s="65"/>
      <c r="AU59" s="77"/>
    </row>
    <row r="60" spans="1:47">
      <c r="A60" s="4"/>
      <c r="B60" s="92"/>
      <c r="C60" s="74"/>
      <c r="D60" s="74"/>
      <c r="E60" s="74"/>
      <c r="F60" s="74"/>
      <c r="G60" s="74"/>
      <c r="H60" s="86"/>
      <c r="I60" s="82"/>
      <c r="J60" s="82"/>
      <c r="K60" s="74"/>
      <c r="L60" s="86"/>
      <c r="M60" s="74"/>
      <c r="N60" s="86"/>
      <c r="O60" s="86"/>
      <c r="P60" s="86"/>
      <c r="Q60" s="86"/>
      <c r="R60" s="86"/>
      <c r="S60" s="86"/>
      <c r="T60" s="12"/>
      <c r="U60" s="86"/>
      <c r="V60" s="90"/>
      <c r="AK60" s="12"/>
      <c r="AM60" s="12"/>
      <c r="AN60" s="75"/>
      <c r="AO60" s="75"/>
      <c r="AP60" s="75"/>
      <c r="AQ60" s="75"/>
      <c r="AR60" s="76"/>
      <c r="AT60" s="65"/>
      <c r="AU60" s="77"/>
    </row>
    <row r="61" spans="1:47">
      <c r="A61" s="4"/>
      <c r="B61" s="92"/>
      <c r="C61" s="74"/>
      <c r="D61" s="74"/>
      <c r="E61" s="74"/>
      <c r="F61" s="74"/>
      <c r="G61" s="74"/>
      <c r="H61" s="86"/>
      <c r="I61" s="82"/>
      <c r="J61" s="82"/>
      <c r="K61" s="74"/>
      <c r="L61" s="86"/>
      <c r="M61" s="74"/>
      <c r="N61" s="86"/>
      <c r="O61" s="86"/>
      <c r="P61" s="86"/>
      <c r="Q61" s="86"/>
      <c r="R61" s="86"/>
      <c r="S61" s="86"/>
      <c r="T61" s="12"/>
      <c r="U61" s="86"/>
      <c r="V61" s="90"/>
      <c r="AK61" s="12"/>
      <c r="AM61" s="12"/>
      <c r="AN61" s="75"/>
      <c r="AO61" s="75"/>
      <c r="AP61" s="75"/>
      <c r="AQ61" s="75"/>
      <c r="AR61" s="76"/>
      <c r="AT61" s="65"/>
      <c r="AU61" s="77"/>
    </row>
    <row r="62" spans="1:47">
      <c r="A62" s="4"/>
      <c r="B62" s="92"/>
      <c r="C62" s="74"/>
      <c r="D62" s="74"/>
      <c r="E62" s="74"/>
      <c r="F62" s="74"/>
      <c r="G62" s="74"/>
      <c r="H62" s="86"/>
      <c r="I62" s="82"/>
      <c r="J62" s="82"/>
      <c r="K62" s="74"/>
      <c r="L62" s="86"/>
      <c r="M62" s="74"/>
      <c r="N62" s="86"/>
      <c r="O62" s="86"/>
      <c r="P62" s="86"/>
      <c r="Q62" s="86"/>
      <c r="R62" s="86"/>
      <c r="S62" s="86"/>
      <c r="T62" s="12"/>
      <c r="U62" s="86"/>
      <c r="V62" s="90"/>
      <c r="AK62" s="12"/>
      <c r="AM62" s="12"/>
      <c r="AN62" s="75"/>
      <c r="AO62" s="75"/>
      <c r="AP62" s="75"/>
      <c r="AQ62" s="75"/>
      <c r="AR62" s="76"/>
      <c r="AT62" s="65"/>
      <c r="AU62" s="77"/>
    </row>
    <row r="63" spans="1:47">
      <c r="A63" s="4"/>
      <c r="B63" s="92"/>
      <c r="C63" s="74"/>
      <c r="D63" s="74"/>
      <c r="E63" s="74"/>
      <c r="F63" s="74"/>
      <c r="G63" s="74"/>
      <c r="H63" s="86"/>
      <c r="I63" s="82"/>
      <c r="J63" s="82"/>
      <c r="K63" s="74"/>
      <c r="L63" s="86"/>
      <c r="M63" s="74"/>
      <c r="N63" s="86"/>
      <c r="O63" s="86"/>
      <c r="P63" s="86"/>
      <c r="Q63" s="86"/>
      <c r="R63" s="86"/>
      <c r="S63" s="86"/>
      <c r="T63" s="12"/>
      <c r="U63" s="86"/>
      <c r="V63" s="90"/>
      <c r="AK63" s="12"/>
      <c r="AM63" s="12"/>
      <c r="AN63" s="75"/>
      <c r="AO63" s="75"/>
      <c r="AP63" s="75"/>
      <c r="AQ63" s="75"/>
      <c r="AR63" s="76"/>
      <c r="AT63" s="65"/>
      <c r="AU63" s="77"/>
    </row>
    <row r="64" spans="1:47">
      <c r="A64" s="4"/>
      <c r="B64" s="92"/>
      <c r="C64" s="74"/>
      <c r="D64" s="74"/>
      <c r="E64" s="74"/>
      <c r="F64" s="74"/>
      <c r="G64" s="74"/>
      <c r="H64" s="86"/>
      <c r="I64" s="82"/>
      <c r="J64" s="82"/>
      <c r="K64" s="74"/>
      <c r="L64" s="86"/>
      <c r="M64" s="74"/>
      <c r="N64" s="86"/>
      <c r="O64" s="86"/>
      <c r="P64" s="86"/>
      <c r="Q64" s="86"/>
      <c r="R64" s="86"/>
      <c r="S64" s="86"/>
      <c r="T64" s="12"/>
      <c r="U64" s="86"/>
      <c r="V64" s="90"/>
      <c r="AK64" s="12"/>
      <c r="AM64" s="12"/>
      <c r="AN64" s="75"/>
      <c r="AO64" s="75"/>
      <c r="AP64" s="75"/>
      <c r="AQ64" s="75"/>
      <c r="AR64" s="76"/>
      <c r="AT64" s="65"/>
      <c r="AU64" s="77"/>
    </row>
    <row r="65" spans="1:47">
      <c r="A65" s="4"/>
      <c r="B65" s="92"/>
      <c r="C65" s="74"/>
      <c r="D65" s="74"/>
      <c r="E65" s="74"/>
      <c r="F65" s="74"/>
      <c r="G65" s="74"/>
      <c r="H65" s="86"/>
      <c r="I65" s="82"/>
      <c r="J65" s="82"/>
      <c r="K65" s="74"/>
      <c r="L65" s="86"/>
      <c r="M65" s="74"/>
      <c r="N65" s="86"/>
      <c r="O65" s="86"/>
      <c r="P65" s="86"/>
      <c r="Q65" s="86"/>
      <c r="R65" s="86"/>
      <c r="S65" s="86"/>
      <c r="T65" s="12"/>
      <c r="U65" s="86"/>
      <c r="V65" s="90"/>
      <c r="AK65" s="12"/>
      <c r="AM65" s="12"/>
      <c r="AN65" s="75"/>
      <c r="AO65" s="75"/>
      <c r="AP65" s="75"/>
      <c r="AQ65" s="75"/>
      <c r="AR65" s="76"/>
      <c r="AT65" s="65"/>
      <c r="AU65" s="77"/>
    </row>
    <row r="66" spans="1:47">
      <c r="A66" s="4"/>
      <c r="B66" s="92"/>
      <c r="C66" s="74"/>
      <c r="D66" s="74"/>
      <c r="E66" s="74"/>
      <c r="F66" s="74"/>
      <c r="G66" s="74"/>
      <c r="H66" s="86"/>
      <c r="I66" s="82"/>
      <c r="J66" s="82"/>
      <c r="K66" s="74"/>
      <c r="L66" s="86"/>
      <c r="M66" s="74"/>
      <c r="N66" s="86"/>
      <c r="O66" s="86"/>
      <c r="P66" s="86"/>
      <c r="Q66" s="86"/>
      <c r="R66" s="86"/>
      <c r="S66" s="86"/>
      <c r="T66" s="12"/>
      <c r="U66" s="86"/>
      <c r="V66" s="90"/>
      <c r="AK66" s="12"/>
      <c r="AM66" s="12"/>
      <c r="AN66" s="75"/>
      <c r="AO66" s="75"/>
      <c r="AP66" s="75"/>
      <c r="AQ66" s="75"/>
      <c r="AR66" s="76"/>
      <c r="AT66" s="65"/>
      <c r="AU66" s="77"/>
    </row>
    <row r="67" spans="1:47">
      <c r="A67" s="4"/>
      <c r="B67" s="92"/>
      <c r="C67" s="74"/>
      <c r="D67" s="74"/>
      <c r="E67" s="74"/>
      <c r="F67" s="74"/>
      <c r="G67" s="74"/>
      <c r="H67" s="86"/>
      <c r="I67" s="82"/>
      <c r="J67" s="82"/>
      <c r="K67" s="74"/>
      <c r="L67" s="86"/>
      <c r="M67" s="74"/>
      <c r="N67" s="86"/>
      <c r="O67" s="86"/>
      <c r="P67" s="86"/>
      <c r="Q67" s="86"/>
      <c r="R67" s="86"/>
      <c r="S67" s="86"/>
      <c r="T67" s="12"/>
      <c r="U67" s="86"/>
      <c r="V67" s="90"/>
      <c r="AK67" s="12"/>
      <c r="AM67" s="12"/>
      <c r="AN67" s="75"/>
      <c r="AO67" s="75"/>
      <c r="AP67" s="75"/>
      <c r="AQ67" s="75"/>
      <c r="AR67" s="76"/>
      <c r="AT67" s="65"/>
      <c r="AU67" s="77"/>
    </row>
    <row r="68" spans="1:47">
      <c r="A68" s="4"/>
      <c r="B68" s="92"/>
      <c r="C68" s="74"/>
      <c r="D68" s="74"/>
      <c r="E68" s="74"/>
      <c r="F68" s="74"/>
      <c r="G68" s="74"/>
      <c r="H68" s="86"/>
      <c r="I68" s="82"/>
      <c r="J68" s="82"/>
      <c r="K68" s="74"/>
      <c r="L68" s="86"/>
      <c r="M68" s="74"/>
      <c r="N68" s="86"/>
      <c r="O68" s="86"/>
      <c r="P68" s="86"/>
      <c r="Q68" s="86"/>
      <c r="R68" s="86"/>
      <c r="S68" s="86"/>
      <c r="T68" s="12"/>
      <c r="U68" s="86"/>
      <c r="V68" s="90"/>
      <c r="AK68" s="12"/>
      <c r="AM68" s="12"/>
      <c r="AN68" s="75"/>
      <c r="AO68" s="75"/>
      <c r="AP68" s="75"/>
      <c r="AQ68" s="75"/>
      <c r="AR68" s="76"/>
      <c r="AT68" s="65"/>
      <c r="AU68" s="77"/>
    </row>
    <row r="69" spans="1:47">
      <c r="A69" s="4"/>
      <c r="B69" s="92"/>
      <c r="C69" s="74"/>
      <c r="D69" s="74"/>
      <c r="E69" s="74"/>
      <c r="F69" s="74"/>
      <c r="G69" s="74"/>
      <c r="H69" s="86"/>
      <c r="I69" s="82"/>
      <c r="J69" s="82"/>
      <c r="K69" s="74"/>
      <c r="L69" s="86"/>
      <c r="M69" s="74"/>
      <c r="N69" s="86"/>
      <c r="O69" s="86"/>
      <c r="P69" s="86"/>
      <c r="Q69" s="86"/>
      <c r="R69" s="86"/>
      <c r="S69" s="86"/>
      <c r="T69" s="12"/>
      <c r="U69" s="86"/>
      <c r="V69" s="90"/>
      <c r="AK69" s="12"/>
      <c r="AM69" s="12"/>
      <c r="AN69" s="75"/>
      <c r="AO69" s="75"/>
      <c r="AP69" s="75"/>
      <c r="AQ69" s="75"/>
      <c r="AR69" s="76"/>
      <c r="AT69" s="65"/>
      <c r="AU69" s="77"/>
    </row>
    <row r="70" spans="1:47">
      <c r="A70" s="4"/>
      <c r="B70" s="92"/>
      <c r="C70" s="74"/>
      <c r="D70" s="74"/>
      <c r="E70" s="74"/>
      <c r="F70" s="74"/>
      <c r="G70" s="74"/>
      <c r="H70" s="86"/>
      <c r="I70" s="82"/>
      <c r="J70" s="82"/>
      <c r="K70" s="74"/>
      <c r="L70" s="86"/>
      <c r="M70" s="74"/>
      <c r="N70" s="86"/>
      <c r="O70" s="86"/>
      <c r="P70" s="86"/>
      <c r="Q70" s="86"/>
      <c r="R70" s="86"/>
      <c r="S70" s="86"/>
      <c r="T70" s="12"/>
      <c r="U70" s="86"/>
      <c r="V70" s="90"/>
      <c r="AK70" s="12"/>
      <c r="AM70" s="12"/>
      <c r="AN70" s="75"/>
      <c r="AO70" s="75"/>
      <c r="AP70" s="75"/>
      <c r="AQ70" s="75"/>
      <c r="AR70" s="76"/>
      <c r="AT70" s="65"/>
      <c r="AU70" s="77"/>
    </row>
    <row r="71" spans="1:47">
      <c r="A71" s="4"/>
      <c r="B71" s="92"/>
      <c r="C71" s="74"/>
      <c r="D71" s="74"/>
      <c r="E71" s="74"/>
      <c r="F71" s="74"/>
      <c r="G71" s="74"/>
      <c r="H71" s="86"/>
      <c r="I71" s="82"/>
      <c r="J71" s="82"/>
      <c r="K71" s="74"/>
      <c r="L71" s="86"/>
      <c r="M71" s="74"/>
      <c r="N71" s="86"/>
      <c r="O71" s="86"/>
      <c r="P71" s="86"/>
      <c r="Q71" s="86"/>
      <c r="R71" s="86"/>
      <c r="S71" s="86"/>
      <c r="T71" s="12"/>
      <c r="U71" s="86"/>
      <c r="V71" s="90"/>
      <c r="AK71" s="12"/>
      <c r="AM71" s="12"/>
      <c r="AN71" s="75"/>
      <c r="AO71" s="75"/>
      <c r="AP71" s="75"/>
      <c r="AQ71" s="75"/>
      <c r="AR71" s="76"/>
      <c r="AT71" s="65"/>
      <c r="AU71" s="77"/>
    </row>
    <row r="72" spans="1:47">
      <c r="AK72" s="12"/>
      <c r="AM72" s="12"/>
      <c r="AN72" s="75"/>
      <c r="AO72" s="75"/>
      <c r="AP72" s="75"/>
      <c r="AQ72" s="75"/>
      <c r="AR72" s="76"/>
      <c r="AT72" s="65"/>
      <c r="AU72" s="77"/>
    </row>
    <row r="73" spans="1:47">
      <c r="AK73" s="12"/>
      <c r="AM73" s="12"/>
      <c r="AN73" s="75"/>
      <c r="AO73" s="75"/>
      <c r="AP73" s="75"/>
      <c r="AQ73" s="75"/>
      <c r="AR73" s="76"/>
      <c r="AT73" s="65"/>
      <c r="AU73" s="77"/>
    </row>
    <row r="74" spans="1:47">
      <c r="AK74" s="12"/>
      <c r="AM74" s="12"/>
      <c r="AN74" s="75"/>
      <c r="AO74" s="75"/>
      <c r="AP74" s="75"/>
      <c r="AQ74" s="75"/>
      <c r="AR74" s="76"/>
      <c r="AT74" s="65"/>
      <c r="AU74" s="77"/>
    </row>
    <row r="75" spans="1:47">
      <c r="AK75" s="12"/>
      <c r="AM75" s="12"/>
      <c r="AN75" s="75"/>
      <c r="AO75" s="75"/>
      <c r="AP75" s="75"/>
      <c r="AQ75" s="75"/>
      <c r="AR75" s="76"/>
      <c r="AT75" s="65"/>
      <c r="AU75" s="77"/>
    </row>
    <row r="76" spans="1:47">
      <c r="AK76" s="12"/>
      <c r="AM76" s="12"/>
      <c r="AN76" s="75"/>
      <c r="AO76" s="75"/>
      <c r="AP76" s="75"/>
      <c r="AQ76" s="75"/>
      <c r="AR76" s="76"/>
      <c r="AT76" s="65"/>
      <c r="AU76" s="77"/>
    </row>
    <row r="77" spans="1:47">
      <c r="AK77" s="12"/>
      <c r="AM77" s="12"/>
      <c r="AN77" s="75"/>
      <c r="AO77" s="75"/>
      <c r="AP77" s="75"/>
      <c r="AQ77" s="75"/>
      <c r="AR77" s="76"/>
      <c r="AT77" s="65"/>
      <c r="AU77" s="77"/>
    </row>
    <row r="78" spans="1:47">
      <c r="AK78" s="12"/>
      <c r="AM78" s="12"/>
      <c r="AN78" s="75"/>
      <c r="AO78" s="75"/>
      <c r="AP78" s="75"/>
      <c r="AQ78" s="75"/>
      <c r="AR78" s="76"/>
      <c r="AT78" s="65"/>
      <c r="AU78" s="77"/>
    </row>
    <row r="79" spans="1:47">
      <c r="AK79" s="12"/>
      <c r="AM79" s="12"/>
      <c r="AN79" s="75"/>
      <c r="AO79" s="75"/>
      <c r="AP79" s="75"/>
      <c r="AQ79" s="75"/>
      <c r="AR79" s="76"/>
      <c r="AT79" s="65"/>
      <c r="AU79" s="77"/>
    </row>
    <row r="80" spans="1:47">
      <c r="AK80" s="12"/>
      <c r="AM80" s="12"/>
      <c r="AN80" s="75"/>
      <c r="AO80" s="75"/>
      <c r="AP80" s="75"/>
      <c r="AQ80" s="75"/>
      <c r="AR80" s="76"/>
      <c r="AT80" s="65"/>
      <c r="AU80" s="77"/>
    </row>
    <row r="81" spans="37:47">
      <c r="AK81" s="12"/>
      <c r="AM81" s="12"/>
      <c r="AN81" s="75"/>
      <c r="AO81" s="75"/>
      <c r="AP81" s="75"/>
      <c r="AQ81" s="75"/>
      <c r="AR81" s="76"/>
      <c r="AT81" s="65"/>
      <c r="AU81" s="77"/>
    </row>
    <row r="82" spans="37:47">
      <c r="AK82" s="12"/>
      <c r="AM82" s="12"/>
      <c r="AN82" s="75"/>
      <c r="AO82" s="75"/>
      <c r="AP82" s="75"/>
      <c r="AQ82" s="75"/>
      <c r="AR82" s="76"/>
      <c r="AT82" s="65"/>
      <c r="AU82" s="77"/>
    </row>
    <row r="83" spans="37:47">
      <c r="AK83" s="12"/>
      <c r="AM83" s="12"/>
      <c r="AN83" s="75"/>
      <c r="AO83" s="75"/>
      <c r="AP83" s="75"/>
      <c r="AQ83" s="75"/>
      <c r="AR83" s="76"/>
      <c r="AT83" s="65"/>
      <c r="AU83" s="77"/>
    </row>
    <row r="84" spans="37:47">
      <c r="AK84" s="12"/>
      <c r="AM84" s="12"/>
      <c r="AN84" s="75"/>
      <c r="AO84" s="75"/>
      <c r="AP84" s="75"/>
      <c r="AQ84" s="75"/>
      <c r="AR84" s="76"/>
      <c r="AT84" s="65"/>
      <c r="AU84" s="77"/>
    </row>
    <row r="85" spans="37:47">
      <c r="AK85" s="12"/>
      <c r="AM85" s="12"/>
      <c r="AN85" s="75"/>
      <c r="AO85" s="75"/>
      <c r="AP85" s="75"/>
      <c r="AQ85" s="75"/>
      <c r="AR85" s="76"/>
      <c r="AT85" s="65"/>
      <c r="AU85" s="77"/>
    </row>
    <row r="86" spans="37:47">
      <c r="AK86" s="12"/>
      <c r="AM86" s="12"/>
      <c r="AN86" s="75"/>
      <c r="AO86" s="75"/>
      <c r="AP86" s="75"/>
      <c r="AQ86" s="75"/>
      <c r="AR86" s="76"/>
      <c r="AT86" s="65"/>
      <c r="AU86" s="77"/>
    </row>
    <row r="87" spans="37:47">
      <c r="AK87" s="12"/>
      <c r="AM87" s="12"/>
      <c r="AN87" s="75"/>
      <c r="AO87" s="75"/>
      <c r="AP87" s="75"/>
      <c r="AQ87" s="75"/>
      <c r="AR87" s="76"/>
      <c r="AT87" s="65"/>
      <c r="AU87" s="77"/>
    </row>
    <row r="88" spans="37:47">
      <c r="AK88" s="12"/>
      <c r="AM88" s="12"/>
      <c r="AN88" s="75"/>
      <c r="AO88" s="75"/>
      <c r="AP88" s="75"/>
      <c r="AQ88" s="75"/>
      <c r="AR88" s="76"/>
      <c r="AT88" s="65"/>
      <c r="AU88" s="77"/>
    </row>
    <row r="89" spans="37:47">
      <c r="AK89" s="12"/>
      <c r="AM89" s="12"/>
      <c r="AN89" s="75"/>
      <c r="AO89" s="75"/>
      <c r="AP89" s="75"/>
      <c r="AQ89" s="75"/>
      <c r="AR89" s="76"/>
      <c r="AT89" s="65"/>
      <c r="AU89" s="77"/>
    </row>
    <row r="90" spans="37:47">
      <c r="AK90" s="12"/>
      <c r="AM90" s="12"/>
      <c r="AN90" s="75"/>
      <c r="AO90" s="75"/>
      <c r="AP90" s="75"/>
      <c r="AQ90" s="75"/>
      <c r="AR90" s="76"/>
      <c r="AT90" s="65"/>
      <c r="AU90" s="77"/>
    </row>
    <row r="91" spans="37:47">
      <c r="AK91" s="12"/>
      <c r="AM91" s="12"/>
      <c r="AN91" s="75"/>
      <c r="AO91" s="75"/>
      <c r="AP91" s="75"/>
      <c r="AQ91" s="75"/>
      <c r="AR91" s="76"/>
      <c r="AT91" s="65"/>
      <c r="AU91" s="77"/>
    </row>
    <row r="92" spans="37:47">
      <c r="AK92" s="12"/>
      <c r="AM92" s="12"/>
      <c r="AN92" s="75"/>
      <c r="AO92" s="75"/>
      <c r="AP92" s="75"/>
      <c r="AQ92" s="75"/>
      <c r="AR92" s="76"/>
      <c r="AT92" s="65"/>
      <c r="AU92" s="77"/>
    </row>
    <row r="93" spans="37:47">
      <c r="AK93" s="12"/>
      <c r="AM93" s="12"/>
      <c r="AN93" s="75"/>
      <c r="AO93" s="75"/>
      <c r="AP93" s="75"/>
      <c r="AQ93" s="75"/>
      <c r="AR93" s="76"/>
      <c r="AT93" s="65"/>
      <c r="AU93" s="77"/>
    </row>
    <row r="94" spans="37:47">
      <c r="AK94" s="12"/>
      <c r="AM94" s="12"/>
      <c r="AN94" s="75"/>
      <c r="AO94" s="75"/>
      <c r="AP94" s="75"/>
      <c r="AQ94" s="75"/>
      <c r="AR94" s="76"/>
      <c r="AT94" s="65"/>
      <c r="AU94" s="77"/>
    </row>
    <row r="95" spans="37:47">
      <c r="AK95" s="12"/>
      <c r="AM95" s="12"/>
      <c r="AN95" s="75"/>
      <c r="AO95" s="75"/>
      <c r="AP95" s="75"/>
      <c r="AQ95" s="75"/>
      <c r="AR95" s="76"/>
      <c r="AT95" s="65"/>
      <c r="AU95" s="77"/>
    </row>
    <row r="96" spans="37:47">
      <c r="AK96" s="12"/>
      <c r="AM96" s="12"/>
      <c r="AN96" s="75"/>
      <c r="AO96" s="75"/>
      <c r="AP96" s="75"/>
      <c r="AQ96" s="75"/>
      <c r="AR96" s="76"/>
      <c r="AT96" s="65"/>
      <c r="AU96" s="77"/>
    </row>
    <row r="97" spans="37:47">
      <c r="AK97" s="12"/>
      <c r="AM97" s="12"/>
      <c r="AN97" s="75"/>
      <c r="AO97" s="75"/>
      <c r="AP97" s="75"/>
      <c r="AQ97" s="75"/>
      <c r="AR97" s="76"/>
      <c r="AT97" s="65"/>
      <c r="AU97" s="77"/>
    </row>
    <row r="98" spans="37:47">
      <c r="AK98" s="12"/>
      <c r="AM98" s="12"/>
      <c r="AN98" s="75"/>
      <c r="AO98" s="75"/>
      <c r="AP98" s="75"/>
      <c r="AQ98" s="75"/>
      <c r="AR98" s="76"/>
      <c r="AT98" s="65"/>
      <c r="AU98" s="77"/>
    </row>
    <row r="99" spans="37:47">
      <c r="AK99" s="12"/>
      <c r="AM99" s="12"/>
      <c r="AN99" s="75"/>
      <c r="AO99" s="75"/>
      <c r="AP99" s="75"/>
      <c r="AQ99" s="75"/>
      <c r="AR99" s="76"/>
      <c r="AT99" s="65"/>
      <c r="AU99" s="77"/>
    </row>
    <row r="100" spans="37:47">
      <c r="AK100" s="12"/>
      <c r="AM100" s="12"/>
      <c r="AN100" s="75"/>
      <c r="AO100" s="75"/>
      <c r="AP100" s="75"/>
      <c r="AQ100" s="75"/>
      <c r="AR100" s="76"/>
      <c r="AT100" s="65"/>
      <c r="AU100" s="77"/>
    </row>
    <row r="101" spans="37:47">
      <c r="AK101" s="12"/>
      <c r="AM101" s="12"/>
      <c r="AN101" s="75"/>
      <c r="AO101" s="75"/>
      <c r="AP101" s="75"/>
      <c r="AQ101" s="75"/>
      <c r="AR101" s="76"/>
      <c r="AT101" s="65"/>
      <c r="AU101" s="77"/>
    </row>
    <row r="102" spans="37:47">
      <c r="AK102" s="12"/>
      <c r="AM102" s="12"/>
      <c r="AN102" s="75"/>
      <c r="AO102" s="75"/>
      <c r="AP102" s="75"/>
      <c r="AQ102" s="75"/>
      <c r="AR102" s="76"/>
      <c r="AT102" s="65"/>
      <c r="AU102" s="77"/>
    </row>
    <row r="103" spans="37:47">
      <c r="AK103" s="12"/>
      <c r="AM103" s="12"/>
      <c r="AN103" s="75"/>
      <c r="AO103" s="75"/>
      <c r="AP103" s="75"/>
      <c r="AQ103" s="75"/>
      <c r="AR103" s="76"/>
      <c r="AT103" s="65"/>
      <c r="AU103" s="77"/>
    </row>
    <row r="104" spans="37:47">
      <c r="AK104" s="12"/>
      <c r="AM104" s="12"/>
      <c r="AN104" s="75"/>
      <c r="AO104" s="75"/>
      <c r="AP104" s="75"/>
      <c r="AQ104" s="75"/>
      <c r="AR104" s="76"/>
      <c r="AT104" s="65"/>
      <c r="AU104" s="77"/>
    </row>
    <row r="105" spans="37:47">
      <c r="AK105" s="12"/>
      <c r="AM105" s="12"/>
      <c r="AN105" s="75"/>
      <c r="AO105" s="75"/>
      <c r="AP105" s="75"/>
      <c r="AQ105" s="75"/>
      <c r="AR105" s="76"/>
      <c r="AT105" s="65"/>
      <c r="AU105" s="77"/>
    </row>
    <row r="106" spans="37:47">
      <c r="AK106" s="12"/>
      <c r="AM106" s="12"/>
      <c r="AN106" s="75"/>
      <c r="AO106" s="75"/>
      <c r="AP106" s="75"/>
      <c r="AQ106" s="75"/>
      <c r="AR106" s="76"/>
      <c r="AT106" s="65"/>
      <c r="AU106" s="77"/>
    </row>
    <row r="107" spans="37:47">
      <c r="AK107" s="12"/>
      <c r="AM107" s="12"/>
      <c r="AN107" s="75"/>
      <c r="AO107" s="75"/>
      <c r="AP107" s="75"/>
      <c r="AQ107" s="75"/>
      <c r="AR107" s="76"/>
      <c r="AT107" s="65"/>
      <c r="AU107" s="77"/>
    </row>
    <row r="108" spans="37:47">
      <c r="AK108" s="12"/>
      <c r="AM108" s="12"/>
      <c r="AN108" s="75"/>
      <c r="AO108" s="75"/>
      <c r="AP108" s="75"/>
      <c r="AQ108" s="75"/>
      <c r="AR108" s="76"/>
      <c r="AT108" s="65"/>
      <c r="AU108" s="77"/>
    </row>
    <row r="109" spans="37:47">
      <c r="AK109" s="12"/>
      <c r="AM109" s="12"/>
      <c r="AN109" s="75"/>
      <c r="AO109" s="75"/>
      <c r="AP109" s="75"/>
      <c r="AQ109" s="75"/>
      <c r="AR109" s="76"/>
      <c r="AT109" s="65"/>
      <c r="AU109" s="77"/>
    </row>
    <row r="110" spans="37:47">
      <c r="AK110" s="12"/>
      <c r="AM110" s="12"/>
      <c r="AN110" s="75"/>
      <c r="AO110" s="75"/>
      <c r="AP110" s="75"/>
      <c r="AQ110" s="75"/>
      <c r="AR110" s="76"/>
      <c r="AT110" s="65"/>
      <c r="AU110" s="77"/>
    </row>
    <row r="111" spans="37:47">
      <c r="AK111" s="12"/>
      <c r="AM111" s="12"/>
      <c r="AN111" s="75"/>
      <c r="AO111" s="75"/>
      <c r="AP111" s="75"/>
      <c r="AQ111" s="75"/>
      <c r="AR111" s="76"/>
      <c r="AT111" s="65"/>
      <c r="AU111" s="77"/>
    </row>
    <row r="112" spans="37:47">
      <c r="AK112" s="12"/>
      <c r="AM112" s="12"/>
      <c r="AN112" s="75"/>
      <c r="AO112" s="75"/>
      <c r="AP112" s="75"/>
      <c r="AQ112" s="75"/>
      <c r="AR112" s="76"/>
      <c r="AT112" s="65"/>
      <c r="AU112" s="77"/>
    </row>
    <row r="113" spans="37:47">
      <c r="AK113" s="12"/>
      <c r="AM113" s="12"/>
      <c r="AN113" s="75"/>
      <c r="AO113" s="75"/>
      <c r="AP113" s="75"/>
      <c r="AQ113" s="75"/>
      <c r="AR113" s="76"/>
      <c r="AT113" s="65"/>
      <c r="AU113" s="77"/>
    </row>
    <row r="114" spans="37:47">
      <c r="AK114" s="12"/>
      <c r="AM114" s="12"/>
      <c r="AN114" s="75"/>
      <c r="AO114" s="75"/>
      <c r="AP114" s="75"/>
      <c r="AQ114" s="75"/>
      <c r="AR114" s="76"/>
      <c r="AT114" s="65"/>
      <c r="AU114" s="77"/>
    </row>
    <row r="115" spans="37:47">
      <c r="AK115" s="12"/>
      <c r="AM115" s="12"/>
      <c r="AN115" s="75"/>
      <c r="AO115" s="75"/>
      <c r="AP115" s="75"/>
      <c r="AQ115" s="75"/>
      <c r="AR115" s="76"/>
      <c r="AT115" s="65"/>
      <c r="AU115" s="77"/>
    </row>
    <row r="116" spans="37:47">
      <c r="AK116" s="12"/>
      <c r="AM116" s="12"/>
      <c r="AN116" s="75"/>
      <c r="AO116" s="75"/>
      <c r="AP116" s="75"/>
      <c r="AQ116" s="75"/>
      <c r="AR116" s="76"/>
      <c r="AT116" s="65"/>
      <c r="AU116" s="77"/>
    </row>
    <row r="117" spans="37:47">
      <c r="AK117" s="12"/>
      <c r="AM117" s="12"/>
      <c r="AN117" s="75"/>
      <c r="AO117" s="75"/>
      <c r="AP117" s="75"/>
      <c r="AQ117" s="75"/>
      <c r="AR117" s="76"/>
      <c r="AT117" s="65"/>
      <c r="AU117" s="77"/>
    </row>
    <row r="118" spans="37:47">
      <c r="AK118" s="12"/>
      <c r="AM118" s="12"/>
      <c r="AN118" s="75"/>
      <c r="AO118" s="75"/>
      <c r="AP118" s="75"/>
      <c r="AQ118" s="75"/>
      <c r="AR118" s="76"/>
      <c r="AT118" s="65"/>
      <c r="AU118" s="77"/>
    </row>
    <row r="119" spans="37:47">
      <c r="AK119" s="12"/>
      <c r="AM119" s="12"/>
      <c r="AN119" s="75"/>
      <c r="AO119" s="75"/>
      <c r="AP119" s="75"/>
      <c r="AQ119" s="75"/>
      <c r="AR119" s="76"/>
      <c r="AT119" s="65"/>
      <c r="AU119" s="77"/>
    </row>
    <row r="120" spans="37:47">
      <c r="AK120" s="12"/>
      <c r="AM120" s="12"/>
      <c r="AN120" s="75"/>
      <c r="AO120" s="75"/>
      <c r="AP120" s="75"/>
      <c r="AQ120" s="75"/>
      <c r="AR120" s="76"/>
      <c r="AT120" s="65"/>
      <c r="AU120" s="77"/>
    </row>
    <row r="121" spans="37:47">
      <c r="AK121" s="12"/>
      <c r="AM121" s="12"/>
      <c r="AN121" s="75"/>
      <c r="AO121" s="75"/>
      <c r="AP121" s="75"/>
      <c r="AQ121" s="75"/>
      <c r="AR121" s="76"/>
      <c r="AT121" s="65"/>
      <c r="AU121" s="77"/>
    </row>
    <row r="122" spans="37:47">
      <c r="AK122" s="12"/>
      <c r="AM122" s="12"/>
      <c r="AN122" s="75"/>
      <c r="AO122" s="75"/>
      <c r="AP122" s="75"/>
      <c r="AQ122" s="75"/>
      <c r="AR122" s="76"/>
      <c r="AT122" s="65"/>
      <c r="AU122" s="77"/>
    </row>
    <row r="123" spans="37:47">
      <c r="AK123" s="12"/>
      <c r="AM123" s="12"/>
      <c r="AN123" s="75"/>
      <c r="AO123" s="75"/>
      <c r="AP123" s="75"/>
      <c r="AQ123" s="75"/>
      <c r="AR123" s="76"/>
      <c r="AT123" s="65"/>
      <c r="AU123" s="77"/>
    </row>
    <row r="124" spans="37:47">
      <c r="AK124" s="12"/>
      <c r="AM124" s="12"/>
      <c r="AN124" s="75"/>
      <c r="AO124" s="75"/>
      <c r="AP124" s="75"/>
      <c r="AQ124" s="75"/>
      <c r="AR124" s="76"/>
      <c r="AT124" s="65"/>
      <c r="AU124" s="77"/>
    </row>
    <row r="125" spans="37:47">
      <c r="AK125" s="12"/>
      <c r="AM125" s="12"/>
      <c r="AN125" s="75"/>
      <c r="AO125" s="75"/>
      <c r="AP125" s="75"/>
      <c r="AQ125" s="75"/>
      <c r="AR125" s="76"/>
      <c r="AT125" s="65"/>
      <c r="AU125" s="77"/>
    </row>
    <row r="126" spans="37:47">
      <c r="AK126" s="12"/>
      <c r="AM126" s="12"/>
      <c r="AN126" s="75"/>
      <c r="AO126" s="75"/>
      <c r="AP126" s="75"/>
      <c r="AQ126" s="75"/>
      <c r="AR126" s="76"/>
      <c r="AT126" s="65"/>
      <c r="AU126" s="77"/>
    </row>
    <row r="127" spans="37:47">
      <c r="AK127" s="12"/>
      <c r="AM127" s="12"/>
      <c r="AN127" s="75"/>
      <c r="AO127" s="75"/>
      <c r="AP127" s="75"/>
      <c r="AQ127" s="75"/>
      <c r="AR127" s="76"/>
      <c r="AT127" s="65"/>
      <c r="AU127" s="77"/>
    </row>
    <row r="128" spans="37:47">
      <c r="AK128" s="12"/>
      <c r="AM128" s="12"/>
      <c r="AN128" s="75"/>
      <c r="AO128" s="75"/>
      <c r="AP128" s="75"/>
      <c r="AQ128" s="75"/>
      <c r="AR128" s="76"/>
      <c r="AT128" s="65"/>
      <c r="AU128" s="77"/>
    </row>
    <row r="129" spans="37:47">
      <c r="AK129" s="12"/>
      <c r="AM129" s="12"/>
      <c r="AN129" s="75"/>
      <c r="AO129" s="75"/>
      <c r="AP129" s="75"/>
      <c r="AQ129" s="75"/>
      <c r="AR129" s="76"/>
      <c r="AT129" s="65"/>
      <c r="AU129" s="77"/>
    </row>
    <row r="130" spans="37:47">
      <c r="AK130" s="12"/>
      <c r="AM130" s="12"/>
      <c r="AN130" s="75"/>
      <c r="AO130" s="75"/>
      <c r="AP130" s="75"/>
      <c r="AQ130" s="75"/>
      <c r="AR130" s="76"/>
      <c r="AT130" s="65"/>
      <c r="AU130" s="77"/>
    </row>
    <row r="131" spans="37:47">
      <c r="AK131" s="12"/>
      <c r="AM131" s="12"/>
      <c r="AN131" s="75"/>
      <c r="AO131" s="75"/>
      <c r="AP131" s="75"/>
      <c r="AQ131" s="75"/>
      <c r="AR131" s="76"/>
      <c r="AT131" s="65"/>
      <c r="AU131" s="77"/>
    </row>
    <row r="132" spans="37:47">
      <c r="AK132" s="12"/>
      <c r="AM132" s="12"/>
      <c r="AN132" s="75"/>
      <c r="AO132" s="75"/>
      <c r="AP132" s="75"/>
      <c r="AQ132" s="75"/>
      <c r="AR132" s="76"/>
      <c r="AT132" s="65"/>
      <c r="AU132" s="77"/>
    </row>
    <row r="133" spans="37:47">
      <c r="AK133" s="12"/>
      <c r="AM133" s="12"/>
      <c r="AN133" s="75"/>
      <c r="AO133" s="75"/>
      <c r="AP133" s="75"/>
      <c r="AQ133" s="75"/>
      <c r="AR133" s="76"/>
      <c r="AT133" s="65"/>
      <c r="AU133" s="77"/>
    </row>
    <row r="134" spans="37:47">
      <c r="AK134" s="12"/>
      <c r="AM134" s="12"/>
      <c r="AN134" s="75"/>
      <c r="AO134" s="75"/>
      <c r="AP134" s="75"/>
      <c r="AQ134" s="75"/>
      <c r="AR134" s="76"/>
      <c r="AT134" s="65"/>
      <c r="AU134" s="77"/>
    </row>
    <row r="135" spans="37:47">
      <c r="AK135" s="12"/>
      <c r="AM135" s="12"/>
      <c r="AN135" s="75"/>
      <c r="AO135" s="75"/>
      <c r="AP135" s="75"/>
      <c r="AQ135" s="75"/>
      <c r="AR135" s="76"/>
      <c r="AT135" s="65"/>
      <c r="AU135" s="77"/>
    </row>
    <row r="136" spans="37:47">
      <c r="AK136" s="12"/>
      <c r="AM136" s="12"/>
      <c r="AN136" s="75"/>
      <c r="AO136" s="75"/>
      <c r="AP136" s="75"/>
      <c r="AQ136" s="75"/>
      <c r="AR136" s="76"/>
      <c r="AT136" s="65"/>
      <c r="AU136" s="77"/>
    </row>
    <row r="137" spans="37:47">
      <c r="AK137" s="12"/>
      <c r="AM137" s="12"/>
      <c r="AN137" s="75"/>
      <c r="AO137" s="75"/>
      <c r="AP137" s="75"/>
      <c r="AQ137" s="75"/>
      <c r="AR137" s="76"/>
      <c r="AT137" s="65"/>
      <c r="AU137" s="77"/>
    </row>
    <row r="138" spans="37:47">
      <c r="AK138" s="12"/>
      <c r="AM138" s="12"/>
      <c r="AN138" s="75"/>
      <c r="AO138" s="75"/>
      <c r="AP138" s="75"/>
      <c r="AQ138" s="75"/>
      <c r="AR138" s="76"/>
      <c r="AT138" s="65"/>
      <c r="AU138" s="77"/>
    </row>
    <row r="139" spans="37:47">
      <c r="AK139" s="12"/>
      <c r="AM139" s="12"/>
      <c r="AN139" s="75"/>
      <c r="AO139" s="75"/>
      <c r="AP139" s="75"/>
      <c r="AQ139" s="75"/>
      <c r="AR139" s="76"/>
      <c r="AT139" s="65"/>
      <c r="AU139" s="77"/>
    </row>
    <row r="140" spans="37:47">
      <c r="AK140" s="12"/>
      <c r="AM140" s="12"/>
      <c r="AN140" s="75"/>
      <c r="AO140" s="75"/>
      <c r="AP140" s="75"/>
      <c r="AQ140" s="75"/>
      <c r="AR140" s="76"/>
      <c r="AT140" s="65"/>
      <c r="AU140" s="77"/>
    </row>
    <row r="141" spans="37:47">
      <c r="AK141" s="12"/>
      <c r="AM141" s="12"/>
      <c r="AN141" s="75"/>
      <c r="AO141" s="75"/>
      <c r="AP141" s="75"/>
      <c r="AQ141" s="75"/>
      <c r="AR141" s="76"/>
      <c r="AT141" s="65"/>
      <c r="AU141" s="77"/>
    </row>
    <row r="142" spans="37:47">
      <c r="AK142" s="12"/>
      <c r="AM142" s="12"/>
      <c r="AN142" s="75"/>
      <c r="AO142" s="75"/>
      <c r="AP142" s="75"/>
      <c r="AQ142" s="75"/>
      <c r="AR142" s="76"/>
      <c r="AT142" s="65"/>
      <c r="AU142" s="77"/>
    </row>
    <row r="143" spans="37:47">
      <c r="AK143" s="12"/>
      <c r="AM143" s="12"/>
      <c r="AN143" s="75"/>
      <c r="AO143" s="75"/>
      <c r="AP143" s="75"/>
      <c r="AQ143" s="75"/>
      <c r="AR143" s="76"/>
      <c r="AT143" s="65"/>
      <c r="AU143" s="77"/>
    </row>
    <row r="144" spans="37:47">
      <c r="AK144" s="12"/>
      <c r="AM144" s="12"/>
      <c r="AN144" s="75"/>
      <c r="AO144" s="75"/>
      <c r="AP144" s="75"/>
      <c r="AQ144" s="75"/>
      <c r="AR144" s="76"/>
      <c r="AT144" s="65"/>
      <c r="AU144" s="77"/>
    </row>
    <row r="145" spans="37:47">
      <c r="AK145" s="12"/>
      <c r="AM145" s="12"/>
      <c r="AN145" s="75"/>
      <c r="AO145" s="75"/>
      <c r="AP145" s="75"/>
      <c r="AQ145" s="75"/>
      <c r="AR145" s="76"/>
      <c r="AT145" s="65"/>
      <c r="AU145" s="77"/>
    </row>
    <row r="146" spans="37:47">
      <c r="AK146" s="12"/>
      <c r="AM146" s="12"/>
      <c r="AN146" s="75"/>
      <c r="AO146" s="75"/>
      <c r="AP146" s="75"/>
      <c r="AQ146" s="75"/>
      <c r="AR146" s="76"/>
      <c r="AT146" s="65"/>
      <c r="AU146" s="77"/>
    </row>
    <row r="147" spans="37:47">
      <c r="AK147" s="12"/>
      <c r="AM147" s="12"/>
      <c r="AN147" s="75"/>
      <c r="AO147" s="75"/>
      <c r="AP147" s="75"/>
      <c r="AQ147" s="75"/>
      <c r="AR147" s="76"/>
      <c r="AT147" s="65"/>
      <c r="AU147" s="77"/>
    </row>
    <row r="148" spans="37:47">
      <c r="AK148" s="12"/>
      <c r="AM148" s="12"/>
      <c r="AN148" s="75"/>
      <c r="AO148" s="75"/>
      <c r="AP148" s="75"/>
      <c r="AQ148" s="75"/>
      <c r="AR148" s="76"/>
      <c r="AT148" s="65"/>
      <c r="AU148" s="77"/>
    </row>
    <row r="149" spans="37:47">
      <c r="AK149" s="12"/>
      <c r="AM149" s="12"/>
      <c r="AN149" s="75"/>
      <c r="AO149" s="75"/>
      <c r="AP149" s="75"/>
      <c r="AQ149" s="75"/>
      <c r="AR149" s="76"/>
      <c r="AT149" s="65"/>
      <c r="AU149" s="77"/>
    </row>
    <row r="150" spans="37:47">
      <c r="AK150" s="12"/>
      <c r="AM150" s="12"/>
      <c r="AN150" s="75"/>
      <c r="AO150" s="75"/>
      <c r="AP150" s="75"/>
      <c r="AQ150" s="75"/>
      <c r="AR150" s="76"/>
      <c r="AT150" s="65"/>
      <c r="AU150" s="77"/>
    </row>
    <row r="151" spans="37:47">
      <c r="AK151" s="12"/>
      <c r="AM151" s="12"/>
      <c r="AN151" s="75"/>
      <c r="AO151" s="75"/>
      <c r="AP151" s="75"/>
      <c r="AQ151" s="75"/>
      <c r="AR151" s="76"/>
      <c r="AT151" s="65"/>
      <c r="AU151" s="77"/>
    </row>
    <row r="152" spans="37:47">
      <c r="AK152" s="12"/>
      <c r="AM152" s="12"/>
      <c r="AN152" s="75"/>
      <c r="AO152" s="75"/>
      <c r="AP152" s="75"/>
      <c r="AQ152" s="75"/>
      <c r="AR152" s="76"/>
      <c r="AT152" s="65"/>
      <c r="AU152" s="77"/>
    </row>
    <row r="153" spans="37:47">
      <c r="AK153" s="12"/>
      <c r="AM153" s="12"/>
      <c r="AN153" s="75"/>
      <c r="AO153" s="75"/>
      <c r="AP153" s="75"/>
      <c r="AQ153" s="75"/>
      <c r="AR153" s="76"/>
      <c r="AT153" s="65"/>
      <c r="AU153" s="77"/>
    </row>
    <row r="154" spans="37:47">
      <c r="AK154" s="12"/>
      <c r="AM154" s="12"/>
      <c r="AN154" s="75"/>
      <c r="AO154" s="75"/>
      <c r="AP154" s="75"/>
      <c r="AQ154" s="75"/>
      <c r="AR154" s="76"/>
      <c r="AT154" s="65"/>
      <c r="AU154" s="77"/>
    </row>
    <row r="155" spans="37:47">
      <c r="AK155" s="12"/>
      <c r="AM155" s="12"/>
      <c r="AN155" s="75"/>
      <c r="AO155" s="75"/>
      <c r="AP155" s="75"/>
      <c r="AQ155" s="75"/>
      <c r="AR155" s="76"/>
      <c r="AT155" s="65"/>
      <c r="AU155" s="77"/>
    </row>
    <row r="156" spans="37:47">
      <c r="AK156" s="12"/>
      <c r="AM156" s="12"/>
      <c r="AN156" s="75"/>
      <c r="AO156" s="75"/>
      <c r="AP156" s="75"/>
      <c r="AQ156" s="75"/>
      <c r="AR156" s="76"/>
      <c r="AT156" s="65"/>
      <c r="AU156" s="77"/>
    </row>
    <row r="157" spans="37:47">
      <c r="AK157" s="12"/>
      <c r="AM157" s="12"/>
      <c r="AN157" s="75"/>
      <c r="AO157" s="75"/>
      <c r="AP157" s="75"/>
      <c r="AQ157" s="75"/>
      <c r="AR157" s="76"/>
      <c r="AT157" s="65"/>
      <c r="AU157" s="77"/>
    </row>
    <row r="158" spans="37:47">
      <c r="AK158" s="12"/>
      <c r="AM158" s="12"/>
      <c r="AN158" s="75"/>
      <c r="AO158" s="75"/>
      <c r="AP158" s="75"/>
      <c r="AQ158" s="75"/>
      <c r="AR158" s="76"/>
      <c r="AT158" s="65"/>
      <c r="AU158" s="77"/>
    </row>
    <row r="159" spans="37:47">
      <c r="AK159" s="12"/>
      <c r="AM159" s="12"/>
      <c r="AN159" s="75"/>
      <c r="AO159" s="75"/>
      <c r="AP159" s="75"/>
      <c r="AQ159" s="75"/>
      <c r="AR159" s="76"/>
      <c r="AT159" s="65"/>
      <c r="AU159" s="77"/>
    </row>
    <row r="160" spans="37:47">
      <c r="AK160" s="12"/>
      <c r="AM160" s="12"/>
      <c r="AN160" s="75"/>
      <c r="AO160" s="75"/>
      <c r="AP160" s="75"/>
      <c r="AQ160" s="75"/>
      <c r="AR160" s="76"/>
      <c r="AT160" s="65"/>
      <c r="AU160" s="77"/>
    </row>
    <row r="161" spans="37:47">
      <c r="AK161" s="12"/>
      <c r="AM161" s="12"/>
      <c r="AN161" s="75"/>
      <c r="AO161" s="75"/>
      <c r="AP161" s="75"/>
      <c r="AQ161" s="75"/>
      <c r="AR161" s="76"/>
      <c r="AT161" s="65"/>
      <c r="AU161" s="77"/>
    </row>
    <row r="162" spans="37:47">
      <c r="AK162" s="12"/>
      <c r="AM162" s="12"/>
      <c r="AN162" s="75"/>
      <c r="AO162" s="75"/>
      <c r="AP162" s="75"/>
      <c r="AQ162" s="75"/>
      <c r="AR162" s="76"/>
      <c r="AT162" s="65"/>
      <c r="AU162" s="77"/>
    </row>
    <row r="163" spans="37:47">
      <c r="AK163" s="12"/>
      <c r="AM163" s="12"/>
      <c r="AN163" s="75"/>
      <c r="AO163" s="75"/>
      <c r="AP163" s="75"/>
      <c r="AQ163" s="75"/>
      <c r="AR163" s="76"/>
      <c r="AT163" s="65"/>
      <c r="AU163" s="77"/>
    </row>
    <row r="164" spans="37:47">
      <c r="AK164" s="12"/>
      <c r="AM164" s="12"/>
      <c r="AN164" s="75"/>
      <c r="AO164" s="75"/>
      <c r="AP164" s="75"/>
      <c r="AQ164" s="75"/>
      <c r="AR164" s="76"/>
      <c r="AT164" s="65"/>
      <c r="AU164" s="77"/>
    </row>
    <row r="165" spans="37:47">
      <c r="AK165" s="12"/>
      <c r="AM165" s="12"/>
      <c r="AN165" s="75"/>
      <c r="AO165" s="75"/>
      <c r="AP165" s="75"/>
      <c r="AQ165" s="75"/>
      <c r="AR165" s="76"/>
      <c r="AT165" s="65"/>
      <c r="AU165" s="77"/>
    </row>
    <row r="166" spans="37:47">
      <c r="AK166" s="12"/>
      <c r="AM166" s="12"/>
      <c r="AN166" s="75"/>
      <c r="AO166" s="75"/>
      <c r="AP166" s="75"/>
      <c r="AQ166" s="75"/>
      <c r="AR166" s="76"/>
      <c r="AT166" s="65"/>
      <c r="AU166" s="77"/>
    </row>
    <row r="167" spans="37:47">
      <c r="AK167" s="12"/>
      <c r="AM167" s="12"/>
      <c r="AN167" s="75"/>
      <c r="AO167" s="75"/>
      <c r="AP167" s="75"/>
      <c r="AQ167" s="75"/>
      <c r="AR167" s="76"/>
      <c r="AT167" s="65"/>
      <c r="AU167" s="77"/>
    </row>
    <row r="168" spans="37:47">
      <c r="AK168" s="12"/>
      <c r="AM168" s="12"/>
      <c r="AN168" s="75"/>
      <c r="AO168" s="75"/>
      <c r="AP168" s="75"/>
      <c r="AQ168" s="75"/>
      <c r="AR168" s="76"/>
      <c r="AT168" s="65"/>
      <c r="AU168" s="77"/>
    </row>
    <row r="169" spans="37:47">
      <c r="AK169" s="12"/>
      <c r="AM169" s="12"/>
      <c r="AN169" s="75"/>
      <c r="AO169" s="75"/>
      <c r="AP169" s="75"/>
      <c r="AQ169" s="75"/>
      <c r="AR169" s="76"/>
      <c r="AT169" s="65"/>
      <c r="AU169" s="77"/>
    </row>
    <row r="170" spans="37:47">
      <c r="AK170" s="12"/>
      <c r="AM170" s="12"/>
      <c r="AN170" s="75"/>
      <c r="AO170" s="75"/>
      <c r="AP170" s="75"/>
      <c r="AQ170" s="75"/>
      <c r="AR170" s="76"/>
      <c r="AT170" s="65"/>
      <c r="AU170" s="77"/>
    </row>
    <row r="171" spans="37:47">
      <c r="AK171" s="12"/>
      <c r="AM171" s="12"/>
      <c r="AN171" s="75"/>
      <c r="AO171" s="75"/>
      <c r="AP171" s="75"/>
      <c r="AQ171" s="75"/>
      <c r="AR171" s="76"/>
      <c r="AT171" s="65"/>
      <c r="AU171" s="77"/>
    </row>
    <row r="172" spans="37:47">
      <c r="AK172" s="12"/>
      <c r="AM172" s="12"/>
      <c r="AN172" s="75"/>
      <c r="AO172" s="75"/>
      <c r="AP172" s="75"/>
      <c r="AQ172" s="75"/>
      <c r="AR172" s="76"/>
      <c r="AT172" s="65"/>
      <c r="AU172" s="77"/>
    </row>
    <row r="173" spans="37:47">
      <c r="AK173" s="12"/>
      <c r="AM173" s="12"/>
      <c r="AN173" s="75"/>
      <c r="AO173" s="75"/>
      <c r="AP173" s="75"/>
      <c r="AQ173" s="75"/>
      <c r="AR173" s="76"/>
      <c r="AT173" s="65"/>
      <c r="AU173" s="77"/>
    </row>
    <row r="174" spans="37:47">
      <c r="AK174" s="12"/>
      <c r="AM174" s="12"/>
      <c r="AN174" s="75"/>
      <c r="AO174" s="75"/>
      <c r="AP174" s="75"/>
      <c r="AQ174" s="75"/>
      <c r="AR174" s="76"/>
      <c r="AT174" s="65"/>
      <c r="AU174" s="77"/>
    </row>
    <row r="175" spans="37:47">
      <c r="AK175" s="12"/>
      <c r="AM175" s="12"/>
      <c r="AN175" s="75"/>
      <c r="AO175" s="75"/>
      <c r="AP175" s="75"/>
      <c r="AQ175" s="75"/>
      <c r="AR175" s="76"/>
      <c r="AT175" s="65"/>
      <c r="AU175" s="77"/>
    </row>
    <row r="176" spans="37:47">
      <c r="AK176" s="12"/>
      <c r="AM176" s="12"/>
      <c r="AN176" s="75"/>
      <c r="AO176" s="75"/>
      <c r="AP176" s="75"/>
      <c r="AQ176" s="75"/>
      <c r="AR176" s="76"/>
      <c r="AT176" s="65"/>
      <c r="AU176" s="77"/>
    </row>
    <row r="177" spans="37:47">
      <c r="AK177" s="12"/>
      <c r="AM177" s="12"/>
      <c r="AN177" s="75"/>
      <c r="AO177" s="75"/>
      <c r="AP177" s="75"/>
      <c r="AQ177" s="75"/>
      <c r="AR177" s="76"/>
      <c r="AT177" s="65"/>
      <c r="AU177" s="77"/>
    </row>
    <row r="178" spans="37:47">
      <c r="AK178" s="12"/>
      <c r="AM178" s="12"/>
      <c r="AN178" s="75"/>
      <c r="AO178" s="75"/>
      <c r="AP178" s="75"/>
      <c r="AQ178" s="75"/>
      <c r="AR178" s="76"/>
      <c r="AT178" s="65"/>
      <c r="AU178" s="77"/>
    </row>
    <row r="179" spans="37:47">
      <c r="AK179" s="12"/>
      <c r="AM179" s="12"/>
      <c r="AN179" s="75"/>
      <c r="AO179" s="75"/>
      <c r="AP179" s="75"/>
      <c r="AQ179" s="75"/>
      <c r="AR179" s="76"/>
      <c r="AT179" s="65"/>
      <c r="AU179" s="77"/>
    </row>
    <row r="180" spans="37:47">
      <c r="AK180" s="12"/>
      <c r="AM180" s="12"/>
      <c r="AN180" s="75"/>
      <c r="AO180" s="75"/>
      <c r="AP180" s="75"/>
      <c r="AQ180" s="75"/>
      <c r="AR180" s="76"/>
      <c r="AT180" s="65"/>
      <c r="AU180" s="77"/>
    </row>
    <row r="181" spans="37:47">
      <c r="AK181" s="12"/>
      <c r="AM181" s="12"/>
      <c r="AN181" s="75"/>
      <c r="AO181" s="75"/>
      <c r="AP181" s="75"/>
      <c r="AQ181" s="75"/>
      <c r="AR181" s="76"/>
      <c r="AT181" s="65"/>
      <c r="AU181" s="77"/>
    </row>
    <row r="182" spans="37:47">
      <c r="AK182" s="12"/>
      <c r="AM182" s="12"/>
      <c r="AN182" s="75"/>
      <c r="AO182" s="75"/>
      <c r="AP182" s="75"/>
      <c r="AQ182" s="75"/>
      <c r="AR182" s="76"/>
      <c r="AT182" s="65"/>
      <c r="AU182" s="77"/>
    </row>
    <row r="183" spans="37:47">
      <c r="AK183" s="12"/>
      <c r="AM183" s="12"/>
      <c r="AN183" s="75"/>
      <c r="AO183" s="75"/>
      <c r="AP183" s="75"/>
      <c r="AQ183" s="75"/>
      <c r="AR183" s="76"/>
      <c r="AT183" s="65"/>
      <c r="AU183" s="77"/>
    </row>
    <row r="184" spans="37:47">
      <c r="AK184" s="12"/>
      <c r="AM184" s="12"/>
      <c r="AN184" s="75"/>
      <c r="AO184" s="75"/>
      <c r="AP184" s="75"/>
      <c r="AQ184" s="75"/>
      <c r="AR184" s="76"/>
      <c r="AT184" s="65"/>
      <c r="AU184" s="77"/>
    </row>
    <row r="185" spans="37:47">
      <c r="AK185" s="12"/>
      <c r="AM185" s="12"/>
      <c r="AN185" s="75"/>
      <c r="AO185" s="75"/>
      <c r="AP185" s="75"/>
      <c r="AQ185" s="75"/>
      <c r="AR185" s="76"/>
      <c r="AT185" s="65"/>
      <c r="AU185" s="77"/>
    </row>
    <row r="186" spans="37:47">
      <c r="AK186" s="12"/>
      <c r="AM186" s="12"/>
      <c r="AN186" s="75"/>
      <c r="AO186" s="75"/>
      <c r="AP186" s="75"/>
      <c r="AQ186" s="75"/>
      <c r="AR186" s="76"/>
      <c r="AT186" s="65"/>
      <c r="AU186" s="77"/>
    </row>
    <row r="187" spans="37:47">
      <c r="AK187" s="12"/>
      <c r="AM187" s="12"/>
      <c r="AN187" s="75"/>
      <c r="AO187" s="75"/>
      <c r="AP187" s="75"/>
      <c r="AQ187" s="75"/>
      <c r="AR187" s="76"/>
      <c r="AT187" s="65"/>
      <c r="AU187" s="77"/>
    </row>
    <row r="188" spans="37:47">
      <c r="AK188" s="12"/>
      <c r="AM188" s="12"/>
      <c r="AN188" s="75"/>
      <c r="AO188" s="75"/>
      <c r="AP188" s="75"/>
      <c r="AQ188" s="75"/>
      <c r="AR188" s="76"/>
      <c r="AT188" s="65"/>
      <c r="AU188" s="77"/>
    </row>
    <row r="189" spans="37:47">
      <c r="AK189" s="12"/>
      <c r="AM189" s="12"/>
      <c r="AN189" s="75"/>
      <c r="AO189" s="75"/>
      <c r="AP189" s="75"/>
      <c r="AQ189" s="75"/>
      <c r="AR189" s="76"/>
      <c r="AT189" s="65"/>
      <c r="AU189" s="77"/>
    </row>
    <row r="190" spans="37:47">
      <c r="AK190" s="12"/>
      <c r="AM190" s="12"/>
      <c r="AN190" s="75"/>
      <c r="AO190" s="75"/>
      <c r="AP190" s="75"/>
      <c r="AQ190" s="75"/>
      <c r="AR190" s="76"/>
      <c r="AT190" s="65"/>
      <c r="AU190" s="77"/>
    </row>
    <row r="191" spans="37:47">
      <c r="AK191" s="12"/>
      <c r="AM191" s="12"/>
      <c r="AN191" s="75"/>
      <c r="AO191" s="75"/>
      <c r="AP191" s="75"/>
      <c r="AQ191" s="75"/>
      <c r="AR191" s="76"/>
      <c r="AT191" s="65"/>
      <c r="AU191" s="77"/>
    </row>
    <row r="192" spans="37:47">
      <c r="AK192" s="12"/>
      <c r="AM192" s="12"/>
      <c r="AN192" s="75"/>
      <c r="AO192" s="75"/>
      <c r="AP192" s="75"/>
      <c r="AQ192" s="75"/>
      <c r="AR192" s="76"/>
      <c r="AT192" s="65"/>
      <c r="AU192" s="77"/>
    </row>
    <row r="193" spans="37:47">
      <c r="AK193" s="12"/>
      <c r="AM193" s="12"/>
      <c r="AN193" s="75"/>
      <c r="AO193" s="75"/>
      <c r="AP193" s="75"/>
      <c r="AQ193" s="75"/>
      <c r="AR193" s="76"/>
      <c r="AT193" s="65"/>
      <c r="AU193" s="77"/>
    </row>
    <row r="194" spans="37:47">
      <c r="AK194" s="12"/>
      <c r="AM194" s="12"/>
      <c r="AN194" s="75"/>
      <c r="AO194" s="75"/>
      <c r="AP194" s="75"/>
      <c r="AQ194" s="75"/>
      <c r="AR194" s="76"/>
      <c r="AT194" s="65"/>
      <c r="AU194" s="77"/>
    </row>
    <row r="195" spans="37:47">
      <c r="AK195" s="12"/>
      <c r="AM195" s="12"/>
      <c r="AN195" s="75"/>
      <c r="AO195" s="75"/>
      <c r="AP195" s="75"/>
      <c r="AQ195" s="75"/>
      <c r="AR195" s="76"/>
      <c r="AT195" s="65"/>
      <c r="AU195" s="77"/>
    </row>
    <row r="196" spans="37:47">
      <c r="AK196" s="12"/>
      <c r="AM196" s="12"/>
      <c r="AN196" s="75"/>
      <c r="AO196" s="75"/>
      <c r="AP196" s="75"/>
      <c r="AQ196" s="75"/>
      <c r="AR196" s="76"/>
      <c r="AT196" s="65"/>
      <c r="AU196" s="77"/>
    </row>
    <row r="197" spans="37:47">
      <c r="AK197" s="12"/>
      <c r="AM197" s="12"/>
      <c r="AN197" s="75"/>
      <c r="AO197" s="75"/>
      <c r="AP197" s="75"/>
      <c r="AQ197" s="75"/>
      <c r="AR197" s="76"/>
      <c r="AT197" s="65"/>
      <c r="AU197" s="77"/>
    </row>
    <row r="198" spans="37:47">
      <c r="AK198" s="12"/>
      <c r="AM198" s="12"/>
      <c r="AN198" s="75"/>
      <c r="AO198" s="75"/>
      <c r="AP198" s="75"/>
      <c r="AQ198" s="75"/>
      <c r="AR198" s="76"/>
      <c r="AT198" s="65"/>
      <c r="AU198" s="77"/>
    </row>
    <row r="199" spans="37:47">
      <c r="AK199" s="12"/>
      <c r="AM199" s="12"/>
      <c r="AN199" s="75"/>
      <c r="AO199" s="75"/>
      <c r="AP199" s="75"/>
      <c r="AQ199" s="75"/>
      <c r="AR199" s="76"/>
      <c r="AT199" s="65"/>
      <c r="AU199" s="77"/>
    </row>
    <row r="200" spans="37:47">
      <c r="AK200" s="12"/>
      <c r="AM200" s="12"/>
      <c r="AN200" s="75"/>
      <c r="AO200" s="75"/>
      <c r="AP200" s="75"/>
      <c r="AQ200" s="75"/>
      <c r="AR200" s="76"/>
      <c r="AT200" s="65"/>
      <c r="AU200" s="77"/>
    </row>
    <row r="201" spans="37:47">
      <c r="AK201" s="12"/>
      <c r="AM201" s="12"/>
      <c r="AN201" s="75"/>
      <c r="AO201" s="75"/>
      <c r="AP201" s="75"/>
      <c r="AQ201" s="75"/>
      <c r="AR201" s="76"/>
      <c r="AT201" s="65"/>
      <c r="AU201" s="77"/>
    </row>
    <row r="202" spans="37:47">
      <c r="AK202" s="12"/>
      <c r="AM202" s="12"/>
      <c r="AN202" s="75"/>
      <c r="AO202" s="75"/>
      <c r="AP202" s="75"/>
      <c r="AQ202" s="75"/>
      <c r="AR202" s="76"/>
      <c r="AT202" s="65"/>
      <c r="AU202" s="77"/>
    </row>
    <row r="203" spans="37:47">
      <c r="AK203" s="12"/>
      <c r="AM203" s="12"/>
      <c r="AN203" s="75"/>
      <c r="AO203" s="75"/>
      <c r="AP203" s="75"/>
      <c r="AQ203" s="75"/>
      <c r="AR203" s="76"/>
      <c r="AT203" s="65"/>
      <c r="AU203" s="77"/>
    </row>
    <row r="204" spans="37:47">
      <c r="AK204" s="12"/>
      <c r="AM204" s="12"/>
      <c r="AN204" s="75"/>
      <c r="AO204" s="75"/>
      <c r="AP204" s="75"/>
      <c r="AQ204" s="75"/>
      <c r="AR204" s="76"/>
      <c r="AT204" s="65"/>
      <c r="AU204" s="77"/>
    </row>
    <row r="205" spans="37:47">
      <c r="AK205" s="12"/>
      <c r="AM205" s="12"/>
      <c r="AN205" s="75"/>
      <c r="AO205" s="75"/>
      <c r="AP205" s="75"/>
      <c r="AQ205" s="75"/>
      <c r="AR205" s="76"/>
      <c r="AT205" s="65"/>
      <c r="AU205" s="77"/>
    </row>
    <row r="206" spans="37:47">
      <c r="AK206" s="12"/>
      <c r="AM206" s="12"/>
      <c r="AN206" s="75"/>
      <c r="AO206" s="75"/>
      <c r="AP206" s="75"/>
      <c r="AQ206" s="75"/>
      <c r="AR206" s="76"/>
      <c r="AT206" s="65"/>
      <c r="AU206" s="77"/>
    </row>
    <row r="207" spans="37:47">
      <c r="AK207" s="12"/>
      <c r="AM207" s="12"/>
      <c r="AN207" s="75"/>
      <c r="AO207" s="75"/>
      <c r="AP207" s="75"/>
      <c r="AQ207" s="75"/>
      <c r="AR207" s="76"/>
      <c r="AT207" s="65"/>
      <c r="AU207" s="77"/>
    </row>
    <row r="208" spans="37:47">
      <c r="AK208" s="12"/>
      <c r="AM208" s="12"/>
      <c r="AN208" s="75"/>
      <c r="AO208" s="75"/>
      <c r="AP208" s="75"/>
      <c r="AQ208" s="75"/>
      <c r="AR208" s="76"/>
      <c r="AT208" s="65"/>
      <c r="AU208" s="77"/>
    </row>
    <row r="209" spans="37:47">
      <c r="AK209" s="12"/>
      <c r="AM209" s="12"/>
      <c r="AN209" s="75"/>
      <c r="AO209" s="75"/>
      <c r="AP209" s="75"/>
      <c r="AQ209" s="75"/>
      <c r="AR209" s="76"/>
      <c r="AT209" s="65"/>
      <c r="AU209" s="77"/>
    </row>
    <row r="210" spans="37:47">
      <c r="AK210" s="12"/>
      <c r="AM210" s="12"/>
      <c r="AN210" s="75"/>
      <c r="AO210" s="75"/>
      <c r="AP210" s="75"/>
      <c r="AQ210" s="75"/>
      <c r="AR210" s="76"/>
      <c r="AT210" s="65"/>
      <c r="AU210" s="77"/>
    </row>
    <row r="211" spans="37:47">
      <c r="AK211" s="12"/>
      <c r="AM211" s="12"/>
      <c r="AN211" s="75"/>
      <c r="AO211" s="75"/>
      <c r="AP211" s="75"/>
      <c r="AQ211" s="75"/>
      <c r="AR211" s="76"/>
      <c r="AT211" s="65"/>
      <c r="AU211" s="77"/>
    </row>
    <row r="212" spans="37:47">
      <c r="AK212" s="12"/>
      <c r="AM212" s="12"/>
      <c r="AN212" s="75"/>
      <c r="AO212" s="75"/>
      <c r="AP212" s="75"/>
      <c r="AQ212" s="75"/>
      <c r="AR212" s="76"/>
      <c r="AT212" s="65"/>
      <c r="AU212" s="77"/>
    </row>
    <row r="213" spans="37:47">
      <c r="AK213" s="12"/>
      <c r="AM213" s="12"/>
      <c r="AN213" s="75"/>
      <c r="AO213" s="75"/>
      <c r="AP213" s="75"/>
      <c r="AQ213" s="75"/>
      <c r="AR213" s="76"/>
      <c r="AT213" s="65"/>
      <c r="AU213" s="77"/>
    </row>
    <row r="214" spans="37:47">
      <c r="AK214" s="12"/>
      <c r="AM214" s="12"/>
      <c r="AN214" s="75"/>
      <c r="AO214" s="75"/>
      <c r="AP214" s="75"/>
      <c r="AQ214" s="75"/>
      <c r="AR214" s="76"/>
      <c r="AT214" s="65"/>
      <c r="AU214" s="77"/>
    </row>
    <row r="215" spans="37:47">
      <c r="AK215" s="12"/>
      <c r="AM215" s="12"/>
      <c r="AN215" s="75"/>
      <c r="AO215" s="75"/>
      <c r="AP215" s="75"/>
      <c r="AQ215" s="75"/>
      <c r="AR215" s="76"/>
      <c r="AT215" s="65"/>
      <c r="AU215" s="77"/>
    </row>
    <row r="216" spans="37:47">
      <c r="AK216" s="12"/>
      <c r="AM216" s="12"/>
      <c r="AN216" s="75"/>
      <c r="AO216" s="75"/>
      <c r="AP216" s="75"/>
      <c r="AQ216" s="75"/>
      <c r="AR216" s="76"/>
      <c r="AT216" s="65"/>
      <c r="AU216" s="77"/>
    </row>
    <row r="217" spans="37:47">
      <c r="AK217" s="12"/>
      <c r="AM217" s="12"/>
      <c r="AN217" s="75"/>
      <c r="AO217" s="75"/>
      <c r="AP217" s="75"/>
      <c r="AQ217" s="75"/>
      <c r="AR217" s="76"/>
      <c r="AT217" s="65"/>
      <c r="AU217" s="77"/>
    </row>
    <row r="218" spans="37:47">
      <c r="AK218" s="12"/>
      <c r="AM218" s="12"/>
      <c r="AN218" s="75"/>
      <c r="AO218" s="75"/>
      <c r="AP218" s="75"/>
      <c r="AQ218" s="75"/>
      <c r="AR218" s="76"/>
      <c r="AT218" s="65"/>
      <c r="AU218" s="77"/>
    </row>
    <row r="219" spans="37:47">
      <c r="AK219" s="12"/>
      <c r="AM219" s="12"/>
      <c r="AN219" s="75"/>
      <c r="AO219" s="75"/>
      <c r="AP219" s="75"/>
      <c r="AQ219" s="75"/>
      <c r="AR219" s="76"/>
      <c r="AT219" s="65"/>
      <c r="AU219" s="77"/>
    </row>
    <row r="220" spans="37:47">
      <c r="AK220" s="12"/>
      <c r="AM220" s="12"/>
      <c r="AN220" s="75"/>
      <c r="AO220" s="75"/>
      <c r="AP220" s="75"/>
      <c r="AQ220" s="75"/>
      <c r="AR220" s="76"/>
      <c r="AT220" s="65"/>
      <c r="AU220" s="77"/>
    </row>
    <row r="221" spans="37:47">
      <c r="AK221" s="12"/>
      <c r="AM221" s="12"/>
      <c r="AN221" s="75"/>
      <c r="AO221" s="75"/>
      <c r="AP221" s="75"/>
      <c r="AQ221" s="75"/>
      <c r="AR221" s="76"/>
      <c r="AT221" s="65"/>
      <c r="AU221" s="77"/>
    </row>
    <row r="222" spans="37:47">
      <c r="AK222" s="12"/>
      <c r="AM222" s="12"/>
      <c r="AN222" s="75"/>
      <c r="AO222" s="75"/>
      <c r="AP222" s="75"/>
      <c r="AQ222" s="75"/>
      <c r="AR222" s="76"/>
      <c r="AT222" s="65"/>
      <c r="AU222" s="77"/>
    </row>
    <row r="223" spans="37:47">
      <c r="AK223" s="12"/>
      <c r="AM223" s="12"/>
      <c r="AN223" s="75"/>
      <c r="AO223" s="75"/>
      <c r="AP223" s="75"/>
      <c r="AQ223" s="75"/>
      <c r="AR223" s="76"/>
      <c r="AT223" s="65"/>
      <c r="AU223" s="77"/>
    </row>
    <row r="224" spans="37:47">
      <c r="AK224" s="12"/>
      <c r="AM224" s="12"/>
      <c r="AN224" s="75"/>
      <c r="AO224" s="75"/>
      <c r="AP224" s="75"/>
      <c r="AQ224" s="75"/>
      <c r="AR224" s="76"/>
      <c r="AT224" s="65"/>
      <c r="AU224" s="77"/>
    </row>
    <row r="225" spans="37:47">
      <c r="AK225" s="12"/>
      <c r="AM225" s="12"/>
      <c r="AN225" s="75"/>
      <c r="AO225" s="75"/>
      <c r="AP225" s="75"/>
      <c r="AQ225" s="75"/>
      <c r="AR225" s="76"/>
      <c r="AT225" s="65"/>
      <c r="AU225" s="77"/>
    </row>
    <row r="226" spans="37:47">
      <c r="AK226" s="12"/>
      <c r="AM226" s="12"/>
      <c r="AN226" s="75"/>
      <c r="AO226" s="75"/>
      <c r="AP226" s="75"/>
      <c r="AQ226" s="75"/>
      <c r="AR226" s="76"/>
      <c r="AT226" s="65"/>
      <c r="AU226" s="77"/>
    </row>
    <row r="227" spans="37:47">
      <c r="AK227" s="12"/>
      <c r="AM227" s="12"/>
      <c r="AN227" s="75"/>
      <c r="AO227" s="75"/>
      <c r="AP227" s="75"/>
      <c r="AQ227" s="75"/>
      <c r="AR227" s="76"/>
      <c r="AT227" s="65"/>
      <c r="AU227" s="77"/>
    </row>
    <row r="228" spans="37:47">
      <c r="AK228" s="12"/>
      <c r="AM228" s="12"/>
      <c r="AN228" s="75"/>
      <c r="AO228" s="75"/>
      <c r="AP228" s="75"/>
      <c r="AQ228" s="75"/>
      <c r="AR228" s="76"/>
      <c r="AT228" s="65"/>
      <c r="AU228" s="77"/>
    </row>
    <row r="229" spans="37:47">
      <c r="AK229" s="12"/>
      <c r="AM229" s="12"/>
      <c r="AN229" s="75"/>
      <c r="AO229" s="75"/>
      <c r="AP229" s="75"/>
      <c r="AQ229" s="75"/>
      <c r="AR229" s="76"/>
      <c r="AT229" s="65"/>
      <c r="AU229" s="77"/>
    </row>
    <row r="230" spans="37:47">
      <c r="AK230" s="12"/>
      <c r="AM230" s="12"/>
      <c r="AN230" s="75"/>
      <c r="AO230" s="75"/>
      <c r="AP230" s="75"/>
      <c r="AQ230" s="75"/>
      <c r="AR230" s="76"/>
      <c r="AT230" s="65"/>
      <c r="AU230" s="77"/>
    </row>
    <row r="231" spans="37:47">
      <c r="AK231" s="12"/>
      <c r="AM231" s="12"/>
      <c r="AN231" s="75"/>
      <c r="AO231" s="75"/>
      <c r="AP231" s="75"/>
      <c r="AQ231" s="75"/>
      <c r="AR231" s="76"/>
      <c r="AT231" s="65"/>
      <c r="AU231" s="77"/>
    </row>
    <row r="232" spans="37:47">
      <c r="AK232" s="12"/>
      <c r="AM232" s="12"/>
      <c r="AN232" s="75"/>
      <c r="AO232" s="75"/>
      <c r="AP232" s="75"/>
      <c r="AQ232" s="75"/>
      <c r="AR232" s="76"/>
      <c r="AT232" s="65"/>
      <c r="AU232" s="77"/>
    </row>
    <row r="233" spans="37:47">
      <c r="AK233" s="12"/>
      <c r="AM233" s="12"/>
      <c r="AN233" s="75"/>
      <c r="AO233" s="75"/>
      <c r="AP233" s="75"/>
      <c r="AQ233" s="75"/>
      <c r="AR233" s="76"/>
      <c r="AT233" s="65"/>
      <c r="AU233" s="77"/>
    </row>
    <row r="234" spans="37:47">
      <c r="AK234" s="12"/>
      <c r="AM234" s="12"/>
      <c r="AN234" s="75"/>
      <c r="AO234" s="75"/>
      <c r="AP234" s="75"/>
      <c r="AQ234" s="75"/>
      <c r="AR234" s="76"/>
      <c r="AT234" s="65"/>
      <c r="AU234" s="77"/>
    </row>
    <row r="235" spans="37:47">
      <c r="AK235" s="12"/>
      <c r="AM235" s="12"/>
      <c r="AN235" s="75"/>
      <c r="AO235" s="75"/>
      <c r="AP235" s="75"/>
      <c r="AQ235" s="75"/>
      <c r="AR235" s="76"/>
      <c r="AT235" s="65"/>
      <c r="AU235" s="77"/>
    </row>
    <row r="236" spans="37:47">
      <c r="AK236" s="12"/>
      <c r="AM236" s="12"/>
      <c r="AN236" s="75"/>
      <c r="AO236" s="75"/>
      <c r="AP236" s="75"/>
      <c r="AQ236" s="75"/>
      <c r="AR236" s="76"/>
      <c r="AT236" s="65"/>
      <c r="AU236" s="77"/>
    </row>
    <row r="237" spans="37:47">
      <c r="AK237" s="12"/>
      <c r="AM237" s="12"/>
      <c r="AN237" s="75"/>
      <c r="AO237" s="75"/>
      <c r="AP237" s="75"/>
      <c r="AQ237" s="75"/>
      <c r="AR237" s="76"/>
      <c r="AT237" s="65"/>
      <c r="AU237" s="77"/>
    </row>
    <row r="238" spans="37:47">
      <c r="AK238" s="12"/>
      <c r="AM238" s="12"/>
      <c r="AN238" s="75"/>
      <c r="AO238" s="75"/>
      <c r="AP238" s="75"/>
      <c r="AQ238" s="75"/>
      <c r="AR238" s="76"/>
      <c r="AT238" s="65"/>
      <c r="AU238" s="77"/>
    </row>
    <row r="239" spans="37:47">
      <c r="AK239" s="12"/>
      <c r="AM239" s="12"/>
      <c r="AN239" s="75"/>
      <c r="AO239" s="75"/>
      <c r="AP239" s="75"/>
      <c r="AQ239" s="75"/>
      <c r="AR239" s="76"/>
      <c r="AT239" s="65"/>
      <c r="AU239" s="77"/>
    </row>
    <row r="240" spans="37:47">
      <c r="AK240" s="12"/>
      <c r="AM240" s="12"/>
      <c r="AN240" s="75"/>
      <c r="AO240" s="75"/>
      <c r="AP240" s="75"/>
      <c r="AQ240" s="75"/>
      <c r="AR240" s="76"/>
      <c r="AT240" s="65"/>
      <c r="AU240" s="77"/>
    </row>
    <row r="241" spans="37:47">
      <c r="AK241" s="12"/>
      <c r="AM241" s="12"/>
      <c r="AN241" s="75"/>
      <c r="AO241" s="75"/>
      <c r="AP241" s="75"/>
      <c r="AQ241" s="75"/>
      <c r="AR241" s="76"/>
      <c r="AT241" s="65"/>
      <c r="AU241" s="77"/>
    </row>
    <row r="242" spans="37:47">
      <c r="AK242" s="12"/>
      <c r="AM242" s="12"/>
      <c r="AN242" s="75"/>
      <c r="AO242" s="75"/>
      <c r="AP242" s="75"/>
      <c r="AQ242" s="75"/>
      <c r="AR242" s="76"/>
      <c r="AT242" s="65"/>
      <c r="AU242" s="77"/>
    </row>
    <row r="243" spans="37:47">
      <c r="AK243" s="12"/>
      <c r="AM243" s="12"/>
      <c r="AN243" s="75"/>
      <c r="AO243" s="75"/>
      <c r="AP243" s="75"/>
      <c r="AQ243" s="75"/>
      <c r="AR243" s="76"/>
      <c r="AT243" s="65"/>
      <c r="AU243" s="77"/>
    </row>
    <row r="244" spans="37:47">
      <c r="AK244" s="12"/>
      <c r="AM244" s="12"/>
      <c r="AN244" s="75"/>
      <c r="AO244" s="75"/>
      <c r="AP244" s="75"/>
      <c r="AQ244" s="75"/>
      <c r="AR244" s="76"/>
      <c r="AT244" s="65"/>
      <c r="AU244" s="77"/>
    </row>
    <row r="245" spans="37:47">
      <c r="AK245" s="12"/>
      <c r="AM245" s="12"/>
      <c r="AN245" s="75"/>
      <c r="AO245" s="75"/>
      <c r="AP245" s="75"/>
      <c r="AQ245" s="75"/>
      <c r="AR245" s="76"/>
      <c r="AT245" s="65"/>
      <c r="AU245" s="77"/>
    </row>
    <row r="246" spans="37:47">
      <c r="AK246" s="12"/>
      <c r="AM246" s="12"/>
      <c r="AN246" s="75"/>
      <c r="AO246" s="75"/>
      <c r="AP246" s="75"/>
      <c r="AQ246" s="75"/>
      <c r="AR246" s="76"/>
      <c r="AT246" s="65"/>
      <c r="AU246" s="77"/>
    </row>
    <row r="247" spans="37:47">
      <c r="AK247" s="12"/>
      <c r="AM247" s="12"/>
      <c r="AN247" s="75"/>
      <c r="AO247" s="75"/>
      <c r="AP247" s="75"/>
      <c r="AQ247" s="75"/>
      <c r="AR247" s="76"/>
      <c r="AT247" s="65"/>
      <c r="AU247" s="77"/>
    </row>
    <row r="248" spans="37:47">
      <c r="AK248" s="12"/>
      <c r="AM248" s="12"/>
      <c r="AN248" s="75"/>
      <c r="AO248" s="75"/>
      <c r="AP248" s="75"/>
      <c r="AQ248" s="75"/>
      <c r="AR248" s="76"/>
      <c r="AT248" s="65"/>
      <c r="AU248" s="77"/>
    </row>
    <row r="249" spans="37:47">
      <c r="AK249" s="12"/>
      <c r="AM249" s="12"/>
      <c r="AN249" s="75"/>
      <c r="AO249" s="75"/>
      <c r="AP249" s="75"/>
      <c r="AQ249" s="75"/>
      <c r="AR249" s="76"/>
      <c r="AT249" s="65"/>
      <c r="AU249" s="77"/>
    </row>
    <row r="250" spans="37:47">
      <c r="AK250" s="12"/>
      <c r="AM250" s="12"/>
      <c r="AN250" s="75"/>
      <c r="AO250" s="75"/>
      <c r="AP250" s="75"/>
      <c r="AQ250" s="75"/>
      <c r="AR250" s="76"/>
      <c r="AT250" s="65"/>
      <c r="AU250" s="77"/>
    </row>
    <row r="251" spans="37:47">
      <c r="AK251" s="12"/>
      <c r="AM251" s="12"/>
      <c r="AN251" s="75"/>
      <c r="AO251" s="75"/>
      <c r="AP251" s="75"/>
      <c r="AQ251" s="75"/>
      <c r="AR251" s="76"/>
      <c r="AT251" s="65"/>
      <c r="AU251" s="77"/>
    </row>
    <row r="252" spans="37:47">
      <c r="AK252" s="12"/>
      <c r="AM252" s="12"/>
      <c r="AN252" s="75"/>
      <c r="AO252" s="75"/>
      <c r="AP252" s="75"/>
      <c r="AQ252" s="75"/>
      <c r="AR252" s="76"/>
      <c r="AT252" s="65"/>
      <c r="AU252" s="77"/>
    </row>
    <row r="253" spans="37:47">
      <c r="AK253" s="12"/>
      <c r="AM253" s="12"/>
      <c r="AN253" s="75"/>
      <c r="AO253" s="75"/>
      <c r="AP253" s="75"/>
      <c r="AQ253" s="75"/>
      <c r="AR253" s="76"/>
      <c r="AT253" s="65"/>
      <c r="AU253" s="77"/>
    </row>
    <row r="254" spans="37:47">
      <c r="AK254" s="12"/>
      <c r="AM254" s="12"/>
      <c r="AN254" s="75"/>
      <c r="AO254" s="75"/>
      <c r="AP254" s="75"/>
      <c r="AQ254" s="75"/>
      <c r="AR254" s="76"/>
      <c r="AT254" s="65"/>
      <c r="AU254" s="77"/>
    </row>
    <row r="255" spans="37:47">
      <c r="AK255" s="12"/>
      <c r="AM255" s="12"/>
      <c r="AN255" s="75"/>
      <c r="AO255" s="75"/>
      <c r="AP255" s="75"/>
      <c r="AQ255" s="75"/>
      <c r="AR255" s="76"/>
      <c r="AT255" s="65"/>
      <c r="AU255" s="77"/>
    </row>
    <row r="256" spans="37:47">
      <c r="AK256" s="12"/>
      <c r="AM256" s="12"/>
      <c r="AN256" s="75"/>
      <c r="AO256" s="75"/>
      <c r="AP256" s="75"/>
      <c r="AQ256" s="75"/>
      <c r="AR256" s="76"/>
      <c r="AT256" s="65"/>
      <c r="AU256" s="77"/>
    </row>
    <row r="257" spans="37:47">
      <c r="AK257" s="12"/>
      <c r="AM257" s="12"/>
      <c r="AN257" s="75"/>
      <c r="AO257" s="75"/>
      <c r="AP257" s="75"/>
      <c r="AQ257" s="75"/>
      <c r="AR257" s="76"/>
      <c r="AT257" s="65"/>
      <c r="AU257" s="77"/>
    </row>
    <row r="258" spans="37:47">
      <c r="AK258" s="12"/>
      <c r="AM258" s="12"/>
      <c r="AN258" s="75"/>
      <c r="AO258" s="75"/>
      <c r="AP258" s="75"/>
      <c r="AQ258" s="75"/>
      <c r="AR258" s="76"/>
      <c r="AT258" s="65"/>
      <c r="AU258" s="77"/>
    </row>
    <row r="259" spans="37:47">
      <c r="AK259" s="12"/>
      <c r="AM259" s="12"/>
      <c r="AN259" s="75"/>
      <c r="AO259" s="75"/>
      <c r="AP259" s="75"/>
      <c r="AQ259" s="75"/>
      <c r="AR259" s="76"/>
      <c r="AT259" s="65"/>
      <c r="AU259" s="77"/>
    </row>
    <row r="260" spans="37:47">
      <c r="AK260" s="12"/>
      <c r="AM260" s="12"/>
      <c r="AN260" s="75"/>
      <c r="AO260" s="75"/>
      <c r="AP260" s="75"/>
      <c r="AQ260" s="75"/>
      <c r="AR260" s="76"/>
      <c r="AT260" s="65"/>
      <c r="AU260" s="77"/>
    </row>
    <row r="261" spans="37:47">
      <c r="AK261" s="12"/>
      <c r="AM261" s="12"/>
      <c r="AN261" s="75"/>
      <c r="AO261" s="75"/>
      <c r="AP261" s="75"/>
      <c r="AQ261" s="75"/>
      <c r="AR261" s="76"/>
      <c r="AT261" s="65"/>
      <c r="AU261" s="77"/>
    </row>
    <row r="262" spans="37:47">
      <c r="AK262" s="12"/>
      <c r="AM262" s="12"/>
      <c r="AN262" s="75"/>
      <c r="AO262" s="75"/>
      <c r="AP262" s="75"/>
      <c r="AQ262" s="75"/>
      <c r="AR262" s="76"/>
      <c r="AT262" s="65"/>
      <c r="AU262" s="77"/>
    </row>
    <row r="263" spans="37:47">
      <c r="AK263" s="12"/>
      <c r="AM263" s="12"/>
      <c r="AN263" s="75"/>
      <c r="AO263" s="75"/>
      <c r="AP263" s="75"/>
      <c r="AQ263" s="75"/>
      <c r="AR263" s="76"/>
      <c r="AT263" s="65"/>
      <c r="AU263" s="77"/>
    </row>
    <row r="264" spans="37:47">
      <c r="AK264" s="12"/>
      <c r="AM264" s="12"/>
      <c r="AN264" s="75"/>
      <c r="AO264" s="75"/>
      <c r="AP264" s="75"/>
      <c r="AQ264" s="75"/>
      <c r="AR264" s="76"/>
      <c r="AT264" s="65"/>
      <c r="AU264" s="77"/>
    </row>
    <row r="265" spans="37:47">
      <c r="AK265" s="12"/>
      <c r="AM265" s="12"/>
      <c r="AN265" s="75"/>
      <c r="AO265" s="75"/>
      <c r="AP265" s="75"/>
      <c r="AQ265" s="75"/>
      <c r="AR265" s="76"/>
      <c r="AT265" s="65"/>
      <c r="AU265" s="77"/>
    </row>
    <row r="266" spans="37:47">
      <c r="AK266" s="12"/>
      <c r="AM266" s="12"/>
      <c r="AN266" s="75"/>
      <c r="AO266" s="75"/>
      <c r="AP266" s="75"/>
      <c r="AQ266" s="75"/>
      <c r="AR266" s="76"/>
      <c r="AT266" s="65"/>
      <c r="AU266" s="77"/>
    </row>
    <row r="267" spans="37:47">
      <c r="AK267" s="12"/>
      <c r="AM267" s="12"/>
      <c r="AN267" s="75"/>
      <c r="AO267" s="75"/>
      <c r="AP267" s="75"/>
      <c r="AQ267" s="75"/>
      <c r="AR267" s="76"/>
      <c r="AT267" s="65"/>
      <c r="AU267" s="77"/>
    </row>
    <row r="268" spans="37:47">
      <c r="AK268" s="12"/>
      <c r="AM268" s="12"/>
      <c r="AN268" s="75"/>
      <c r="AO268" s="75"/>
      <c r="AP268" s="75"/>
      <c r="AQ268" s="75"/>
      <c r="AR268" s="76"/>
      <c r="AT268" s="65"/>
      <c r="AU268" s="77"/>
    </row>
    <row r="269" spans="37:47">
      <c r="AK269" s="12"/>
      <c r="AM269" s="12"/>
      <c r="AN269" s="75"/>
      <c r="AO269" s="75"/>
      <c r="AP269" s="75"/>
      <c r="AQ269" s="75"/>
      <c r="AR269" s="76"/>
      <c r="AT269" s="65"/>
      <c r="AU269" s="77"/>
    </row>
    <row r="270" spans="37:47">
      <c r="AK270" s="12"/>
      <c r="AM270" s="12"/>
      <c r="AN270" s="75"/>
      <c r="AO270" s="75"/>
      <c r="AP270" s="75"/>
      <c r="AQ270" s="75"/>
      <c r="AR270" s="76"/>
      <c r="AT270" s="65"/>
      <c r="AU270" s="77"/>
    </row>
    <row r="271" spans="37:47">
      <c r="AK271" s="12"/>
      <c r="AM271" s="12"/>
      <c r="AN271" s="75"/>
      <c r="AO271" s="75"/>
      <c r="AP271" s="75"/>
      <c r="AQ271" s="75"/>
      <c r="AR271" s="76"/>
      <c r="AT271" s="65"/>
      <c r="AU271" s="77"/>
    </row>
    <row r="272" spans="37:47">
      <c r="AK272" s="12"/>
      <c r="AM272" s="12"/>
      <c r="AN272" s="75"/>
      <c r="AO272" s="75"/>
      <c r="AP272" s="75"/>
      <c r="AQ272" s="75"/>
      <c r="AR272" s="76"/>
      <c r="AT272" s="65"/>
      <c r="AU272" s="77"/>
    </row>
    <row r="273" spans="37:47">
      <c r="AK273" s="12"/>
      <c r="AM273" s="12"/>
      <c r="AN273" s="75"/>
      <c r="AO273" s="75"/>
      <c r="AP273" s="75"/>
      <c r="AQ273" s="75"/>
      <c r="AR273" s="76"/>
      <c r="AT273" s="65"/>
      <c r="AU273" s="77"/>
    </row>
    <row r="274" spans="37:47">
      <c r="AK274" s="12"/>
      <c r="AM274" s="12"/>
      <c r="AN274" s="75"/>
      <c r="AO274" s="75"/>
      <c r="AP274" s="75"/>
      <c r="AQ274" s="75"/>
      <c r="AR274" s="76"/>
      <c r="AT274" s="65"/>
      <c r="AU274" s="77"/>
    </row>
    <row r="275" spans="37:47">
      <c r="AK275" s="12"/>
      <c r="AM275" s="12"/>
      <c r="AN275" s="75"/>
      <c r="AO275" s="75"/>
      <c r="AP275" s="75"/>
      <c r="AQ275" s="75"/>
      <c r="AR275" s="76"/>
      <c r="AT275" s="65"/>
      <c r="AU275" s="77"/>
    </row>
    <row r="276" spans="37:47">
      <c r="AK276" s="12"/>
      <c r="AM276" s="12"/>
      <c r="AN276" s="75"/>
      <c r="AO276" s="75"/>
      <c r="AP276" s="75"/>
      <c r="AQ276" s="75"/>
      <c r="AR276" s="76"/>
      <c r="AT276" s="65"/>
      <c r="AU276" s="77"/>
    </row>
    <row r="277" spans="37:47">
      <c r="AK277" s="12"/>
      <c r="AM277" s="12"/>
      <c r="AN277" s="75"/>
      <c r="AO277" s="75"/>
      <c r="AP277" s="75"/>
      <c r="AQ277" s="75"/>
      <c r="AR277" s="76"/>
      <c r="AT277" s="65"/>
      <c r="AU277" s="77"/>
    </row>
    <row r="278" spans="37:47">
      <c r="AK278" s="12"/>
      <c r="AM278" s="12"/>
      <c r="AN278" s="75"/>
      <c r="AO278" s="75"/>
      <c r="AP278" s="75"/>
      <c r="AQ278" s="75"/>
      <c r="AR278" s="76"/>
      <c r="AT278" s="65"/>
      <c r="AU278" s="77"/>
    </row>
    <row r="279" spans="37:47">
      <c r="AK279" s="12"/>
      <c r="AM279" s="12"/>
      <c r="AN279" s="75"/>
      <c r="AO279" s="75"/>
      <c r="AP279" s="75"/>
      <c r="AQ279" s="75"/>
      <c r="AR279" s="76"/>
      <c r="AT279" s="65"/>
      <c r="AU279" s="77"/>
    </row>
    <row r="280" spans="37:47">
      <c r="AK280" s="12"/>
      <c r="AM280" s="12"/>
      <c r="AN280" s="75"/>
      <c r="AO280" s="75"/>
      <c r="AP280" s="75"/>
      <c r="AQ280" s="75"/>
      <c r="AR280" s="76"/>
      <c r="AT280" s="65"/>
      <c r="AU280" s="77"/>
    </row>
    <row r="281" spans="37:47">
      <c r="AK281" s="12"/>
      <c r="AM281" s="12"/>
      <c r="AN281" s="75"/>
      <c r="AO281" s="75"/>
      <c r="AP281" s="75"/>
      <c r="AQ281" s="75"/>
      <c r="AR281" s="76"/>
      <c r="AT281" s="65"/>
      <c r="AU281" s="77"/>
    </row>
    <row r="282" spans="37:47">
      <c r="AK282" s="12"/>
      <c r="AM282" s="12"/>
      <c r="AN282" s="75"/>
      <c r="AO282" s="75"/>
      <c r="AP282" s="75"/>
      <c r="AQ282" s="75"/>
      <c r="AR282" s="76"/>
      <c r="AT282" s="65"/>
      <c r="AU282" s="77"/>
    </row>
    <row r="283" spans="37:47">
      <c r="AK283" s="12"/>
      <c r="AM283" s="12"/>
      <c r="AN283" s="75"/>
      <c r="AO283" s="75"/>
      <c r="AP283" s="75"/>
      <c r="AQ283" s="75"/>
      <c r="AR283" s="76"/>
      <c r="AT283" s="65"/>
      <c r="AU283" s="77"/>
    </row>
    <row r="284" spans="37:47">
      <c r="AK284" s="12"/>
      <c r="AM284" s="12"/>
      <c r="AN284" s="75"/>
      <c r="AO284" s="75"/>
      <c r="AP284" s="75"/>
      <c r="AQ284" s="75"/>
      <c r="AR284" s="76"/>
      <c r="AT284" s="65"/>
      <c r="AU284" s="77"/>
    </row>
    <row r="285" spans="37:47">
      <c r="AK285" s="12"/>
      <c r="AM285" s="12"/>
      <c r="AN285" s="75"/>
      <c r="AO285" s="75"/>
      <c r="AP285" s="75"/>
      <c r="AQ285" s="75"/>
      <c r="AR285" s="76"/>
      <c r="AT285" s="65"/>
      <c r="AU285" s="77"/>
    </row>
    <row r="286" spans="37:47">
      <c r="AK286" s="12"/>
      <c r="AM286" s="12"/>
      <c r="AN286" s="75"/>
      <c r="AO286" s="75"/>
      <c r="AP286" s="75"/>
      <c r="AQ286" s="75"/>
      <c r="AR286" s="76"/>
      <c r="AT286" s="65"/>
      <c r="AU286" s="77"/>
    </row>
    <row r="287" spans="37:47">
      <c r="AK287" s="12"/>
      <c r="AM287" s="12"/>
      <c r="AN287" s="75"/>
      <c r="AO287" s="75"/>
      <c r="AP287" s="75"/>
      <c r="AQ287" s="75"/>
      <c r="AR287" s="76"/>
      <c r="AT287" s="65"/>
      <c r="AU287" s="77"/>
    </row>
    <row r="288" spans="37:47">
      <c r="AK288" s="12"/>
      <c r="AM288" s="12"/>
      <c r="AN288" s="75"/>
      <c r="AO288" s="75"/>
      <c r="AP288" s="75"/>
      <c r="AQ288" s="75"/>
      <c r="AR288" s="76"/>
      <c r="AT288" s="65"/>
      <c r="AU288" s="77"/>
    </row>
    <row r="289" spans="37:47">
      <c r="AK289" s="12"/>
      <c r="AM289" s="12"/>
      <c r="AN289" s="75"/>
      <c r="AO289" s="75"/>
      <c r="AP289" s="75"/>
      <c r="AQ289" s="75"/>
      <c r="AR289" s="76"/>
      <c r="AT289" s="65"/>
      <c r="AU289" s="77"/>
    </row>
    <row r="290" spans="37:47">
      <c r="AK290" s="12"/>
      <c r="AM290" s="12"/>
      <c r="AN290" s="75"/>
      <c r="AO290" s="75"/>
      <c r="AP290" s="75"/>
      <c r="AQ290" s="75"/>
      <c r="AR290" s="76"/>
      <c r="AT290" s="65"/>
      <c r="AU290" s="77"/>
    </row>
    <row r="291" spans="37:47">
      <c r="AK291" s="12"/>
      <c r="AM291" s="12"/>
      <c r="AN291" s="75"/>
      <c r="AO291" s="75"/>
      <c r="AP291" s="75"/>
      <c r="AQ291" s="75"/>
      <c r="AR291" s="76"/>
      <c r="AT291" s="65"/>
      <c r="AU291" s="77"/>
    </row>
    <row r="292" spans="37:47">
      <c r="AK292" s="12"/>
      <c r="AM292" s="12"/>
      <c r="AN292" s="75"/>
      <c r="AO292" s="75"/>
      <c r="AP292" s="75"/>
      <c r="AQ292" s="75"/>
      <c r="AR292" s="76"/>
      <c r="AT292" s="65"/>
      <c r="AU292" s="77"/>
    </row>
    <row r="293" spans="37:47">
      <c r="AK293" s="12"/>
      <c r="AM293" s="12"/>
      <c r="AN293" s="75"/>
      <c r="AO293" s="75"/>
      <c r="AP293" s="75"/>
      <c r="AQ293" s="75"/>
      <c r="AR293" s="76"/>
      <c r="AT293" s="65"/>
      <c r="AU293" s="77"/>
    </row>
    <row r="294" spans="37:47">
      <c r="AK294" s="12"/>
      <c r="AM294" s="12"/>
      <c r="AN294" s="75"/>
      <c r="AO294" s="75"/>
      <c r="AP294" s="75"/>
      <c r="AQ294" s="75"/>
      <c r="AR294" s="76"/>
      <c r="AT294" s="65"/>
      <c r="AU294" s="77"/>
    </row>
    <row r="295" spans="37:47">
      <c r="AK295" s="12"/>
      <c r="AM295" s="12"/>
      <c r="AN295" s="75"/>
      <c r="AO295" s="75"/>
      <c r="AP295" s="75"/>
      <c r="AQ295" s="75"/>
      <c r="AR295" s="76"/>
      <c r="AT295" s="65"/>
      <c r="AU295" s="77"/>
    </row>
    <row r="296" spans="37:47">
      <c r="AK296" s="12"/>
      <c r="AM296" s="12"/>
      <c r="AN296" s="75"/>
      <c r="AO296" s="75"/>
      <c r="AP296" s="75"/>
      <c r="AQ296" s="75"/>
      <c r="AR296" s="76"/>
      <c r="AT296" s="65"/>
      <c r="AU296" s="77"/>
    </row>
    <row r="297" spans="37:47">
      <c r="AK297" s="12"/>
      <c r="AM297" s="12"/>
      <c r="AN297" s="75"/>
      <c r="AO297" s="75"/>
      <c r="AP297" s="75"/>
      <c r="AQ297" s="75"/>
      <c r="AR297" s="76"/>
      <c r="AT297" s="65"/>
      <c r="AU297" s="77"/>
    </row>
    <row r="298" spans="37:47">
      <c r="AK298" s="12"/>
      <c r="AM298" s="12"/>
      <c r="AN298" s="75"/>
      <c r="AO298" s="75"/>
      <c r="AP298" s="75"/>
      <c r="AQ298" s="75"/>
      <c r="AR298" s="76"/>
      <c r="AT298" s="65"/>
      <c r="AU298" s="77"/>
    </row>
    <row r="299" spans="37:47">
      <c r="AK299" s="12"/>
      <c r="AM299" s="12"/>
      <c r="AN299" s="75"/>
      <c r="AO299" s="75"/>
      <c r="AP299" s="75"/>
      <c r="AQ299" s="75"/>
      <c r="AR299" s="76"/>
      <c r="AT299" s="65"/>
      <c r="AU299" s="77"/>
    </row>
    <row r="300" spans="37:47">
      <c r="AK300" s="12"/>
      <c r="AM300" s="12"/>
      <c r="AN300" s="75"/>
      <c r="AO300" s="75"/>
      <c r="AP300" s="75"/>
      <c r="AQ300" s="75"/>
      <c r="AR300" s="76"/>
      <c r="AT300" s="65"/>
      <c r="AU300" s="77"/>
    </row>
    <row r="301" spans="37:47">
      <c r="AK301" s="12"/>
      <c r="AM301" s="12"/>
      <c r="AN301" s="75"/>
      <c r="AO301" s="75"/>
      <c r="AP301" s="75"/>
      <c r="AQ301" s="75"/>
      <c r="AR301" s="76"/>
      <c r="AT301" s="65"/>
      <c r="AU301" s="77"/>
    </row>
    <row r="302" spans="37:47">
      <c r="AK302" s="12"/>
      <c r="AM302" s="12"/>
      <c r="AN302" s="75"/>
      <c r="AO302" s="75"/>
      <c r="AP302" s="75"/>
      <c r="AQ302" s="75"/>
      <c r="AR302" s="76"/>
      <c r="AT302" s="65"/>
      <c r="AU302" s="77"/>
    </row>
    <row r="303" spans="37:47">
      <c r="AK303" s="12"/>
      <c r="AM303" s="12"/>
      <c r="AN303" s="75"/>
      <c r="AO303" s="75"/>
      <c r="AP303" s="75"/>
      <c r="AQ303" s="75"/>
      <c r="AR303" s="76"/>
      <c r="AT303" s="65"/>
      <c r="AU303" s="77"/>
    </row>
    <row r="304" spans="37:47">
      <c r="AK304" s="12"/>
      <c r="AM304" s="12"/>
      <c r="AN304" s="75"/>
      <c r="AO304" s="75"/>
      <c r="AP304" s="75"/>
      <c r="AQ304" s="75"/>
      <c r="AR304" s="76"/>
      <c r="AT304" s="65"/>
      <c r="AU304" s="77"/>
    </row>
    <row r="305" spans="37:47">
      <c r="AK305" s="12"/>
      <c r="AM305" s="12"/>
      <c r="AN305" s="75"/>
      <c r="AO305" s="75"/>
      <c r="AP305" s="75"/>
      <c r="AQ305" s="75"/>
      <c r="AR305" s="76"/>
      <c r="AT305" s="65"/>
      <c r="AU305" s="77"/>
    </row>
    <row r="306" spans="37:47">
      <c r="AK306" s="12"/>
      <c r="AM306" s="12"/>
      <c r="AN306" s="75"/>
      <c r="AO306" s="75"/>
      <c r="AP306" s="75"/>
      <c r="AQ306" s="75"/>
      <c r="AR306" s="76"/>
      <c r="AT306" s="65"/>
      <c r="AU306" s="77"/>
    </row>
    <row r="307" spans="37:47">
      <c r="AK307" s="12"/>
      <c r="AM307" s="12"/>
      <c r="AN307" s="75"/>
      <c r="AO307" s="75"/>
      <c r="AP307" s="75"/>
      <c r="AQ307" s="75"/>
      <c r="AR307" s="76"/>
      <c r="AT307" s="65"/>
      <c r="AU307" s="77"/>
    </row>
    <row r="308" spans="37:47">
      <c r="AK308" s="12"/>
      <c r="AM308" s="12"/>
      <c r="AN308" s="75"/>
      <c r="AO308" s="75"/>
      <c r="AP308" s="75"/>
      <c r="AQ308" s="75"/>
      <c r="AR308" s="76"/>
      <c r="AT308" s="65"/>
      <c r="AU308" s="77"/>
    </row>
    <row r="309" spans="37:47">
      <c r="AK309" s="12"/>
      <c r="AM309" s="12"/>
      <c r="AN309" s="75"/>
      <c r="AO309" s="75"/>
      <c r="AP309" s="75"/>
      <c r="AQ309" s="75"/>
      <c r="AR309" s="76"/>
      <c r="AT309" s="65"/>
      <c r="AU309" s="77"/>
    </row>
    <row r="310" spans="37:47">
      <c r="AK310" s="12"/>
      <c r="AM310" s="12"/>
      <c r="AN310" s="75"/>
      <c r="AO310" s="75"/>
      <c r="AP310" s="75"/>
      <c r="AQ310" s="75"/>
      <c r="AR310" s="76"/>
      <c r="AT310" s="65"/>
      <c r="AU310" s="77"/>
    </row>
    <row r="311" spans="37:47">
      <c r="AK311" s="12"/>
      <c r="AM311" s="12"/>
      <c r="AN311" s="75"/>
      <c r="AO311" s="75"/>
      <c r="AP311" s="75"/>
      <c r="AQ311" s="75"/>
      <c r="AR311" s="76"/>
      <c r="AT311" s="65"/>
      <c r="AU311" s="77"/>
    </row>
    <row r="312" spans="37:47">
      <c r="AK312" s="12"/>
      <c r="AM312" s="12"/>
      <c r="AN312" s="75"/>
      <c r="AO312" s="75"/>
      <c r="AP312" s="75"/>
      <c r="AQ312" s="75"/>
      <c r="AR312" s="76"/>
      <c r="AT312" s="65"/>
      <c r="AU312" s="77"/>
    </row>
    <row r="313" spans="37:47">
      <c r="AK313" s="12"/>
      <c r="AM313" s="12"/>
      <c r="AN313" s="75"/>
      <c r="AO313" s="75"/>
      <c r="AP313" s="75"/>
      <c r="AQ313" s="75"/>
      <c r="AR313" s="76"/>
      <c r="AT313" s="65"/>
      <c r="AU313" s="77"/>
    </row>
    <row r="314" spans="37:47">
      <c r="AK314" s="12"/>
      <c r="AM314" s="12"/>
      <c r="AN314" s="75"/>
      <c r="AO314" s="75"/>
      <c r="AP314" s="75"/>
      <c r="AQ314" s="75"/>
      <c r="AR314" s="76"/>
      <c r="AT314" s="65"/>
      <c r="AU314" s="77"/>
    </row>
    <row r="315" spans="37:47">
      <c r="AK315" s="12"/>
      <c r="AM315" s="12"/>
      <c r="AN315" s="75"/>
      <c r="AO315" s="75"/>
      <c r="AP315" s="75"/>
      <c r="AQ315" s="75"/>
      <c r="AR315" s="76"/>
      <c r="AT315" s="65"/>
      <c r="AU315" s="77"/>
    </row>
    <row r="316" spans="37:47">
      <c r="AK316" s="12"/>
      <c r="AM316" s="12"/>
      <c r="AN316" s="75"/>
      <c r="AO316" s="75"/>
      <c r="AP316" s="75"/>
      <c r="AQ316" s="75"/>
      <c r="AR316" s="76"/>
      <c r="AT316" s="65"/>
      <c r="AU316" s="77"/>
    </row>
    <row r="317" spans="37:47">
      <c r="AK317" s="12"/>
      <c r="AM317" s="12"/>
      <c r="AN317" s="75"/>
      <c r="AO317" s="75"/>
      <c r="AP317" s="75"/>
      <c r="AQ317" s="75"/>
      <c r="AR317" s="76"/>
      <c r="AT317" s="65"/>
      <c r="AU317" s="77"/>
    </row>
    <row r="318" spans="37:47">
      <c r="AK318" s="12"/>
      <c r="AM318" s="12"/>
      <c r="AN318" s="75"/>
      <c r="AO318" s="75"/>
      <c r="AP318" s="75"/>
      <c r="AQ318" s="75"/>
      <c r="AR318" s="76"/>
      <c r="AT318" s="65"/>
      <c r="AU318" s="77"/>
    </row>
    <row r="319" spans="37:47">
      <c r="AK319" s="12"/>
      <c r="AM319" s="12"/>
      <c r="AN319" s="75"/>
      <c r="AO319" s="75"/>
      <c r="AP319" s="75"/>
      <c r="AQ319" s="75"/>
      <c r="AR319" s="76"/>
      <c r="AT319" s="65"/>
      <c r="AU319" s="77"/>
    </row>
    <row r="320" spans="37:47">
      <c r="AK320" s="12"/>
      <c r="AM320" s="12"/>
      <c r="AN320" s="75"/>
      <c r="AO320" s="75"/>
      <c r="AP320" s="75"/>
      <c r="AQ320" s="75"/>
      <c r="AR320" s="76"/>
      <c r="AT320" s="65"/>
      <c r="AU320" s="77"/>
    </row>
    <row r="321" spans="37:47">
      <c r="AK321" s="12"/>
      <c r="AM321" s="12"/>
      <c r="AN321" s="75"/>
      <c r="AO321" s="75"/>
      <c r="AP321" s="75"/>
      <c r="AQ321" s="75"/>
      <c r="AR321" s="76"/>
      <c r="AT321" s="65"/>
      <c r="AU321" s="77"/>
    </row>
    <row r="322" spans="37:47">
      <c r="AK322" s="12"/>
      <c r="AM322" s="12"/>
      <c r="AN322" s="75"/>
      <c r="AO322" s="75"/>
      <c r="AP322" s="75"/>
      <c r="AQ322" s="75"/>
      <c r="AR322" s="76"/>
      <c r="AT322" s="65"/>
      <c r="AU322" s="77"/>
    </row>
    <row r="323" spans="37:47">
      <c r="AK323" s="12"/>
      <c r="AM323" s="12"/>
      <c r="AN323" s="75"/>
      <c r="AO323" s="75"/>
      <c r="AP323" s="75"/>
      <c r="AQ323" s="75"/>
      <c r="AR323" s="76"/>
      <c r="AT323" s="65"/>
      <c r="AU323" s="77"/>
    </row>
    <row r="324" spans="37:47">
      <c r="AK324" s="12"/>
      <c r="AM324" s="12"/>
      <c r="AN324" s="75"/>
      <c r="AO324" s="75"/>
      <c r="AP324" s="75"/>
      <c r="AQ324" s="75"/>
      <c r="AR324" s="76"/>
      <c r="AT324" s="65"/>
      <c r="AU324" s="77"/>
    </row>
    <row r="325" spans="37:47">
      <c r="AK325" s="12"/>
      <c r="AM325" s="12"/>
      <c r="AN325" s="75"/>
      <c r="AO325" s="75"/>
      <c r="AP325" s="75"/>
      <c r="AQ325" s="75"/>
      <c r="AR325" s="76"/>
      <c r="AT325" s="65"/>
      <c r="AU325" s="77"/>
    </row>
    <row r="326" spans="37:47">
      <c r="AK326" s="12"/>
      <c r="AM326" s="12"/>
      <c r="AN326" s="75"/>
      <c r="AO326" s="75"/>
      <c r="AP326" s="75"/>
      <c r="AQ326" s="75"/>
      <c r="AR326" s="76"/>
      <c r="AT326" s="65"/>
      <c r="AU326" s="77"/>
    </row>
    <row r="327" spans="37:47">
      <c r="AK327" s="12"/>
      <c r="AM327" s="12"/>
      <c r="AN327" s="75"/>
      <c r="AO327" s="75"/>
      <c r="AP327" s="75"/>
      <c r="AQ327" s="75"/>
      <c r="AR327" s="76"/>
      <c r="AT327" s="65"/>
      <c r="AU327" s="77"/>
    </row>
    <row r="328" spans="37:47">
      <c r="AK328" s="12"/>
      <c r="AM328" s="12"/>
      <c r="AN328" s="75"/>
      <c r="AO328" s="75"/>
      <c r="AP328" s="75"/>
      <c r="AQ328" s="75"/>
      <c r="AR328" s="76"/>
      <c r="AT328" s="65"/>
      <c r="AU328" s="77"/>
    </row>
    <row r="329" spans="37:47">
      <c r="AK329" s="12"/>
      <c r="AM329" s="12"/>
      <c r="AN329" s="75"/>
      <c r="AO329" s="75"/>
      <c r="AP329" s="75"/>
      <c r="AQ329" s="75"/>
      <c r="AR329" s="76"/>
      <c r="AT329" s="65"/>
      <c r="AU329" s="77"/>
    </row>
    <row r="330" spans="37:47">
      <c r="AK330" s="12"/>
      <c r="AM330" s="12"/>
      <c r="AN330" s="75"/>
      <c r="AO330" s="75"/>
      <c r="AP330" s="75"/>
      <c r="AQ330" s="75"/>
      <c r="AR330" s="76"/>
      <c r="AT330" s="65"/>
      <c r="AU330" s="77"/>
    </row>
    <row r="331" spans="37:47">
      <c r="AK331" s="12"/>
      <c r="AM331" s="12"/>
      <c r="AN331" s="75"/>
      <c r="AO331" s="75"/>
      <c r="AP331" s="75"/>
      <c r="AQ331" s="75"/>
      <c r="AR331" s="76"/>
      <c r="AT331" s="65"/>
      <c r="AU331" s="77"/>
    </row>
    <row r="332" spans="37:47">
      <c r="AK332" s="12"/>
      <c r="AM332" s="12"/>
      <c r="AN332" s="75"/>
      <c r="AO332" s="75"/>
      <c r="AP332" s="75"/>
      <c r="AQ332" s="75"/>
      <c r="AR332" s="76"/>
      <c r="AT332" s="65"/>
      <c r="AU332" s="77"/>
    </row>
    <row r="333" spans="37:47">
      <c r="AK333" s="12"/>
      <c r="AM333" s="12"/>
      <c r="AN333" s="75"/>
      <c r="AO333" s="75"/>
      <c r="AP333" s="75"/>
      <c r="AQ333" s="75"/>
      <c r="AR333" s="76"/>
      <c r="AT333" s="65"/>
      <c r="AU333" s="77"/>
    </row>
    <row r="334" spans="37:47">
      <c r="AK334" s="12"/>
      <c r="AM334" s="12"/>
      <c r="AN334" s="75"/>
      <c r="AO334" s="75"/>
      <c r="AP334" s="75"/>
      <c r="AQ334" s="75"/>
      <c r="AR334" s="76"/>
      <c r="AT334" s="65"/>
      <c r="AU334" s="77"/>
    </row>
    <row r="335" spans="37:47">
      <c r="AK335" s="12"/>
      <c r="AM335" s="12"/>
      <c r="AN335" s="75"/>
      <c r="AO335" s="75"/>
      <c r="AP335" s="75"/>
      <c r="AQ335" s="75"/>
      <c r="AR335" s="76"/>
      <c r="AT335" s="65"/>
      <c r="AU335" s="77"/>
    </row>
    <row r="336" spans="37:47">
      <c r="AK336" s="12"/>
      <c r="AM336" s="12"/>
      <c r="AN336" s="75"/>
      <c r="AO336" s="75"/>
      <c r="AP336" s="75"/>
      <c r="AQ336" s="75"/>
      <c r="AR336" s="76"/>
      <c r="AT336" s="65"/>
      <c r="AU336" s="77"/>
    </row>
    <row r="337" spans="37:47">
      <c r="AK337" s="12"/>
      <c r="AM337" s="12"/>
      <c r="AN337" s="75"/>
      <c r="AO337" s="75"/>
      <c r="AP337" s="75"/>
      <c r="AQ337" s="75"/>
      <c r="AR337" s="76"/>
      <c r="AT337" s="65"/>
      <c r="AU337" s="77"/>
    </row>
    <row r="338" spans="37:47">
      <c r="AK338" s="12"/>
      <c r="AM338" s="12"/>
      <c r="AN338" s="75"/>
      <c r="AO338" s="75"/>
      <c r="AP338" s="75"/>
      <c r="AQ338" s="75"/>
      <c r="AR338" s="76"/>
      <c r="AT338" s="65"/>
      <c r="AU338" s="77"/>
    </row>
    <row r="339" spans="37:47">
      <c r="AK339" s="12"/>
      <c r="AM339" s="12"/>
      <c r="AN339" s="75"/>
      <c r="AO339" s="75"/>
      <c r="AP339" s="75"/>
      <c r="AQ339" s="75"/>
      <c r="AR339" s="76"/>
      <c r="AT339" s="65"/>
      <c r="AU339" s="77"/>
    </row>
    <row r="340" spans="37:47">
      <c r="AK340" s="12"/>
      <c r="AM340" s="12"/>
      <c r="AN340" s="75"/>
      <c r="AO340" s="75"/>
      <c r="AP340" s="75"/>
      <c r="AQ340" s="75"/>
      <c r="AR340" s="76"/>
      <c r="AT340" s="65"/>
      <c r="AU340" s="77"/>
    </row>
    <row r="341" spans="37:47">
      <c r="AK341" s="12"/>
      <c r="AM341" s="12"/>
      <c r="AN341" s="75"/>
      <c r="AO341" s="75"/>
      <c r="AP341" s="75"/>
      <c r="AQ341" s="75"/>
      <c r="AR341" s="76"/>
      <c r="AT341" s="65"/>
      <c r="AU341" s="77"/>
    </row>
    <row r="342" spans="37:47">
      <c r="AK342" s="12"/>
      <c r="AM342" s="12"/>
      <c r="AN342" s="75"/>
      <c r="AO342" s="75"/>
      <c r="AP342" s="75"/>
      <c r="AQ342" s="75"/>
      <c r="AR342" s="76"/>
      <c r="AT342" s="65"/>
      <c r="AU342" s="77"/>
    </row>
    <row r="343" spans="37:47">
      <c r="AK343" s="12"/>
      <c r="AM343" s="12"/>
      <c r="AN343" s="75"/>
      <c r="AO343" s="75"/>
      <c r="AP343" s="75"/>
      <c r="AQ343" s="75"/>
      <c r="AR343" s="76"/>
      <c r="AT343" s="65"/>
      <c r="AU343" s="77"/>
    </row>
    <row r="344" spans="37:47">
      <c r="AK344" s="12"/>
      <c r="AM344" s="12"/>
      <c r="AN344" s="75"/>
      <c r="AO344" s="75"/>
      <c r="AP344" s="75"/>
      <c r="AQ344" s="75"/>
      <c r="AR344" s="76"/>
      <c r="AT344" s="65"/>
      <c r="AU344" s="77"/>
    </row>
    <row r="345" spans="37:47">
      <c r="AK345" s="12"/>
      <c r="AM345" s="12"/>
      <c r="AN345" s="75"/>
      <c r="AO345" s="75"/>
      <c r="AP345" s="75"/>
      <c r="AQ345" s="75"/>
      <c r="AR345" s="76"/>
      <c r="AT345" s="65"/>
      <c r="AU345" s="77"/>
    </row>
    <row r="346" spans="37:47">
      <c r="AK346" s="12"/>
      <c r="AM346" s="12"/>
      <c r="AN346" s="75"/>
      <c r="AO346" s="75"/>
      <c r="AP346" s="75"/>
      <c r="AQ346" s="75"/>
      <c r="AR346" s="76"/>
      <c r="AT346" s="65"/>
      <c r="AU346" s="77"/>
    </row>
    <row r="347" spans="37:47">
      <c r="AK347" s="12"/>
      <c r="AM347" s="12"/>
      <c r="AN347" s="75"/>
      <c r="AO347" s="75"/>
      <c r="AP347" s="75"/>
      <c r="AQ347" s="75"/>
      <c r="AR347" s="76"/>
      <c r="AT347" s="65"/>
      <c r="AU347" s="77"/>
    </row>
    <row r="348" spans="37:47">
      <c r="AK348" s="12"/>
      <c r="AM348" s="12"/>
      <c r="AN348" s="75"/>
      <c r="AO348" s="75"/>
      <c r="AP348" s="75"/>
      <c r="AQ348" s="75"/>
      <c r="AR348" s="76"/>
      <c r="AT348" s="65"/>
      <c r="AU348" s="77"/>
    </row>
    <row r="349" spans="37:47">
      <c r="AK349" s="12"/>
      <c r="AM349" s="12"/>
      <c r="AN349" s="75"/>
      <c r="AO349" s="75"/>
      <c r="AP349" s="75"/>
      <c r="AQ349" s="75"/>
      <c r="AR349" s="76"/>
      <c r="AT349" s="65"/>
      <c r="AU349" s="77"/>
    </row>
    <row r="350" spans="37:47">
      <c r="AK350" s="12"/>
      <c r="AM350" s="12"/>
      <c r="AN350" s="75"/>
      <c r="AO350" s="75"/>
      <c r="AP350" s="75"/>
      <c r="AQ350" s="75"/>
      <c r="AR350" s="76"/>
      <c r="AT350" s="65"/>
      <c r="AU350" s="77"/>
    </row>
    <row r="351" spans="37:47">
      <c r="AK351" s="12"/>
      <c r="AM351" s="12"/>
      <c r="AN351" s="75"/>
      <c r="AO351" s="75"/>
      <c r="AP351" s="75"/>
      <c r="AQ351" s="75"/>
      <c r="AR351" s="76"/>
      <c r="AT351" s="65"/>
      <c r="AU351" s="77"/>
    </row>
    <row r="352" spans="37:47">
      <c r="AK352" s="12"/>
      <c r="AM352" s="12"/>
      <c r="AN352" s="75"/>
      <c r="AO352" s="75"/>
      <c r="AP352" s="75"/>
      <c r="AQ352" s="75"/>
      <c r="AR352" s="76"/>
      <c r="AT352" s="65"/>
      <c r="AU352" s="77"/>
    </row>
    <row r="353" spans="37:47">
      <c r="AK353" s="12"/>
      <c r="AM353" s="12"/>
      <c r="AN353" s="75"/>
      <c r="AO353" s="75"/>
      <c r="AP353" s="75"/>
      <c r="AQ353" s="75"/>
      <c r="AR353" s="76"/>
      <c r="AT353" s="65"/>
      <c r="AU353" s="77"/>
    </row>
    <row r="354" spans="37:47">
      <c r="AK354" s="12"/>
      <c r="AM354" s="12"/>
      <c r="AN354" s="75"/>
      <c r="AO354" s="75"/>
      <c r="AP354" s="75"/>
      <c r="AQ354" s="75"/>
      <c r="AR354" s="76"/>
      <c r="AT354" s="65"/>
      <c r="AU354" s="77"/>
    </row>
    <row r="355" spans="37:47">
      <c r="AK355" s="12"/>
      <c r="AM355" s="12"/>
      <c r="AN355" s="75"/>
      <c r="AO355" s="75"/>
      <c r="AP355" s="75"/>
      <c r="AQ355" s="75"/>
      <c r="AR355" s="76"/>
      <c r="AT355" s="65"/>
      <c r="AU355" s="77"/>
    </row>
    <row r="356" spans="37:47">
      <c r="AK356" s="12"/>
      <c r="AM356" s="12"/>
      <c r="AN356" s="75"/>
      <c r="AO356" s="75"/>
      <c r="AP356" s="75"/>
      <c r="AQ356" s="75"/>
      <c r="AR356" s="76"/>
      <c r="AT356" s="65"/>
      <c r="AU356" s="77"/>
    </row>
    <row r="357" spans="37:47">
      <c r="AK357" s="12"/>
      <c r="AM357" s="12"/>
      <c r="AN357" s="75"/>
      <c r="AO357" s="75"/>
      <c r="AP357" s="75"/>
      <c r="AQ357" s="75"/>
      <c r="AR357" s="76"/>
      <c r="AT357" s="65"/>
      <c r="AU357" s="77"/>
    </row>
    <row r="358" spans="37:47">
      <c r="AK358" s="12"/>
      <c r="AM358" s="12"/>
      <c r="AN358" s="75"/>
      <c r="AO358" s="75"/>
      <c r="AP358" s="75"/>
      <c r="AQ358" s="75"/>
      <c r="AR358" s="76"/>
      <c r="AT358" s="65"/>
      <c r="AU358" s="77"/>
    </row>
    <row r="359" spans="37:47">
      <c r="AK359" s="12"/>
      <c r="AM359" s="12"/>
      <c r="AN359" s="75"/>
      <c r="AO359" s="75"/>
      <c r="AP359" s="75"/>
      <c r="AQ359" s="75"/>
      <c r="AR359" s="76"/>
      <c r="AT359" s="65"/>
      <c r="AU359" s="77"/>
    </row>
    <row r="360" spans="37:47">
      <c r="AK360" s="12"/>
      <c r="AM360" s="12"/>
      <c r="AN360" s="75"/>
      <c r="AO360" s="75"/>
      <c r="AP360" s="75"/>
      <c r="AQ360" s="75"/>
      <c r="AR360" s="76"/>
      <c r="AT360" s="65"/>
      <c r="AU360" s="77"/>
    </row>
    <row r="361" spans="37:47">
      <c r="AK361" s="12"/>
      <c r="AM361" s="12"/>
      <c r="AN361" s="75"/>
      <c r="AO361" s="75"/>
      <c r="AP361" s="75"/>
      <c r="AQ361" s="75"/>
      <c r="AR361" s="76"/>
      <c r="AT361" s="65"/>
      <c r="AU361" s="77"/>
    </row>
    <row r="362" spans="37:47">
      <c r="AK362" s="12"/>
      <c r="AM362" s="12"/>
      <c r="AN362" s="75"/>
      <c r="AO362" s="75"/>
      <c r="AP362" s="75"/>
      <c r="AQ362" s="75"/>
      <c r="AR362" s="76"/>
      <c r="AT362" s="65"/>
      <c r="AU362" s="77"/>
    </row>
    <row r="363" spans="37:47">
      <c r="AK363" s="12"/>
      <c r="AM363" s="12"/>
      <c r="AN363" s="75"/>
      <c r="AO363" s="75"/>
      <c r="AP363" s="75"/>
      <c r="AQ363" s="75"/>
      <c r="AR363" s="76"/>
      <c r="AT363" s="65"/>
      <c r="AU363" s="77"/>
    </row>
    <row r="364" spans="37:47">
      <c r="AK364" s="12"/>
      <c r="AM364" s="12"/>
      <c r="AN364" s="75"/>
      <c r="AO364" s="75"/>
      <c r="AP364" s="75"/>
      <c r="AQ364" s="75"/>
      <c r="AR364" s="76"/>
      <c r="AT364" s="65"/>
      <c r="AU364" s="77"/>
    </row>
    <row r="365" spans="37:47">
      <c r="AK365" s="12"/>
      <c r="AM365" s="12"/>
      <c r="AN365" s="75"/>
      <c r="AO365" s="75"/>
      <c r="AP365" s="75"/>
      <c r="AQ365" s="75"/>
      <c r="AR365" s="76"/>
      <c r="AT365" s="65"/>
      <c r="AU365" s="77"/>
    </row>
    <row r="366" spans="37:47">
      <c r="AK366" s="12"/>
      <c r="AM366" s="12"/>
      <c r="AN366" s="75"/>
      <c r="AO366" s="75"/>
      <c r="AP366" s="75"/>
      <c r="AQ366" s="75"/>
      <c r="AR366" s="76"/>
      <c r="AT366" s="65"/>
      <c r="AU366" s="77"/>
    </row>
    <row r="367" spans="37:47">
      <c r="AK367" s="12"/>
      <c r="AM367" s="12"/>
      <c r="AN367" s="75"/>
      <c r="AO367" s="75"/>
      <c r="AP367" s="75"/>
      <c r="AQ367" s="75"/>
      <c r="AR367" s="76"/>
      <c r="AT367" s="65"/>
      <c r="AU367" s="77"/>
    </row>
    <row r="368" spans="37:47">
      <c r="AK368" s="12"/>
      <c r="AM368" s="12"/>
      <c r="AN368" s="75"/>
      <c r="AO368" s="75"/>
      <c r="AP368" s="75"/>
      <c r="AQ368" s="75"/>
      <c r="AR368" s="76"/>
      <c r="AT368" s="65"/>
      <c r="AU368" s="77"/>
    </row>
    <row r="369" spans="37:47">
      <c r="AK369" s="12"/>
      <c r="AM369" s="12"/>
      <c r="AN369" s="75"/>
      <c r="AO369" s="75"/>
      <c r="AP369" s="75"/>
      <c r="AQ369" s="75"/>
      <c r="AR369" s="76"/>
      <c r="AT369" s="65"/>
      <c r="AU369" s="77"/>
    </row>
    <row r="370" spans="37:47">
      <c r="AK370" s="12"/>
      <c r="AM370" s="12"/>
      <c r="AN370" s="75"/>
      <c r="AO370" s="75"/>
      <c r="AP370" s="75"/>
      <c r="AQ370" s="75"/>
      <c r="AR370" s="76"/>
      <c r="AT370" s="65"/>
      <c r="AU370" s="77"/>
    </row>
    <row r="371" spans="37:47">
      <c r="AK371" s="12"/>
      <c r="AM371" s="12"/>
      <c r="AN371" s="75"/>
      <c r="AO371" s="75"/>
      <c r="AP371" s="75"/>
      <c r="AQ371" s="75"/>
      <c r="AR371" s="76"/>
      <c r="AT371" s="65"/>
      <c r="AU371" s="77"/>
    </row>
    <row r="372" spans="37:47">
      <c r="AK372" s="12"/>
      <c r="AM372" s="12"/>
      <c r="AN372" s="75"/>
      <c r="AO372" s="75"/>
      <c r="AP372" s="75"/>
      <c r="AQ372" s="75"/>
      <c r="AR372" s="76"/>
      <c r="AT372" s="65"/>
      <c r="AU372" s="77"/>
    </row>
    <row r="373" spans="37:47">
      <c r="AK373" s="12"/>
      <c r="AM373" s="12"/>
      <c r="AN373" s="75"/>
      <c r="AO373" s="75"/>
      <c r="AP373" s="75"/>
      <c r="AQ373" s="75"/>
      <c r="AR373" s="76"/>
      <c r="AT373" s="65"/>
      <c r="AU373" s="77"/>
    </row>
    <row r="374" spans="37:47">
      <c r="AK374" s="12"/>
      <c r="AM374" s="12"/>
      <c r="AN374" s="75"/>
      <c r="AO374" s="75"/>
      <c r="AP374" s="75"/>
      <c r="AQ374" s="75"/>
      <c r="AR374" s="76"/>
      <c r="AT374" s="65"/>
      <c r="AU374" s="77"/>
    </row>
    <row r="375" spans="37:47">
      <c r="AK375" s="12"/>
      <c r="AM375" s="12"/>
      <c r="AN375" s="75"/>
      <c r="AO375" s="75"/>
      <c r="AP375" s="75"/>
      <c r="AQ375" s="75"/>
      <c r="AR375" s="76"/>
      <c r="AT375" s="65"/>
      <c r="AU375" s="77"/>
    </row>
    <row r="376" spans="37:47">
      <c r="AK376" s="12"/>
      <c r="AM376" s="12"/>
      <c r="AN376" s="75"/>
      <c r="AO376" s="75"/>
      <c r="AP376" s="75"/>
      <c r="AQ376" s="75"/>
      <c r="AR376" s="76"/>
      <c r="AT376" s="65"/>
      <c r="AU376" s="77"/>
    </row>
    <row r="377" spans="37:47">
      <c r="AK377" s="12"/>
      <c r="AM377" s="12"/>
      <c r="AN377" s="75"/>
      <c r="AO377" s="75"/>
      <c r="AP377" s="75"/>
      <c r="AQ377" s="75"/>
      <c r="AR377" s="76"/>
      <c r="AT377" s="65"/>
      <c r="AU377" s="77"/>
    </row>
    <row r="378" spans="37:47">
      <c r="AK378" s="12"/>
      <c r="AM378" s="12"/>
      <c r="AN378" s="75"/>
      <c r="AO378" s="75"/>
      <c r="AP378" s="75"/>
      <c r="AQ378" s="75"/>
      <c r="AR378" s="76"/>
      <c r="AT378" s="65"/>
      <c r="AU378" s="77"/>
    </row>
    <row r="379" spans="37:47">
      <c r="AK379" s="12"/>
      <c r="AM379" s="12"/>
      <c r="AN379" s="75"/>
      <c r="AO379" s="75"/>
      <c r="AP379" s="75"/>
      <c r="AQ379" s="75"/>
      <c r="AR379" s="76"/>
      <c r="AT379" s="65"/>
      <c r="AU379" s="77"/>
    </row>
    <row r="380" spans="37:47">
      <c r="AK380" s="12"/>
      <c r="AM380" s="12"/>
      <c r="AN380" s="75"/>
      <c r="AO380" s="75"/>
      <c r="AP380" s="75"/>
      <c r="AQ380" s="75"/>
      <c r="AR380" s="76"/>
      <c r="AT380" s="65"/>
      <c r="AU380" s="77"/>
    </row>
    <row r="381" spans="37:47">
      <c r="AK381" s="12"/>
      <c r="AM381" s="12"/>
      <c r="AN381" s="75"/>
      <c r="AO381" s="75"/>
      <c r="AP381" s="75"/>
      <c r="AQ381" s="75"/>
      <c r="AR381" s="76"/>
      <c r="AT381" s="65"/>
      <c r="AU381" s="77"/>
    </row>
    <row r="382" spans="37:47">
      <c r="AK382" s="12"/>
      <c r="AM382" s="12"/>
      <c r="AN382" s="75"/>
      <c r="AO382" s="75"/>
      <c r="AP382" s="75"/>
      <c r="AQ382" s="75"/>
      <c r="AR382" s="76"/>
      <c r="AT382" s="65"/>
      <c r="AU382" s="77"/>
    </row>
    <row r="383" spans="37:47">
      <c r="AK383" s="12"/>
      <c r="AM383" s="12"/>
      <c r="AN383" s="75"/>
      <c r="AO383" s="75"/>
      <c r="AP383" s="75"/>
      <c r="AQ383" s="75"/>
      <c r="AR383" s="76"/>
      <c r="AT383" s="65"/>
      <c r="AU383" s="77"/>
    </row>
    <row r="384" spans="37:47">
      <c r="AK384" s="12"/>
      <c r="AM384" s="12"/>
      <c r="AN384" s="75"/>
      <c r="AO384" s="75"/>
      <c r="AP384" s="75"/>
      <c r="AQ384" s="75"/>
      <c r="AR384" s="76"/>
      <c r="AT384" s="65"/>
      <c r="AU384" s="77"/>
    </row>
    <row r="385" spans="37:47">
      <c r="AK385" s="12"/>
      <c r="AM385" s="12"/>
      <c r="AN385" s="75"/>
      <c r="AO385" s="75"/>
      <c r="AP385" s="75"/>
      <c r="AQ385" s="75"/>
      <c r="AR385" s="76"/>
      <c r="AT385" s="65"/>
      <c r="AU385" s="77"/>
    </row>
    <row r="386" spans="37:47">
      <c r="AK386" s="12"/>
      <c r="AM386" s="12"/>
      <c r="AN386" s="75"/>
      <c r="AO386" s="75"/>
      <c r="AP386" s="75"/>
      <c r="AQ386" s="75"/>
      <c r="AR386" s="76"/>
      <c r="AT386" s="65"/>
      <c r="AU386" s="77"/>
    </row>
    <row r="387" spans="37:47">
      <c r="AK387" s="12"/>
      <c r="AM387" s="12"/>
      <c r="AN387" s="75"/>
      <c r="AO387" s="75"/>
      <c r="AP387" s="75"/>
      <c r="AQ387" s="75"/>
      <c r="AR387" s="76"/>
      <c r="AT387" s="65"/>
      <c r="AU387" s="77"/>
    </row>
    <row r="388" spans="37:47">
      <c r="AK388" s="12"/>
      <c r="AM388" s="12"/>
      <c r="AN388" s="75"/>
      <c r="AO388" s="75"/>
      <c r="AP388" s="75"/>
      <c r="AQ388" s="75"/>
      <c r="AR388" s="76"/>
      <c r="AT388" s="65"/>
      <c r="AU388" s="77"/>
    </row>
    <row r="389" spans="37:47">
      <c r="AK389" s="12"/>
      <c r="AM389" s="12"/>
      <c r="AN389" s="75"/>
      <c r="AO389" s="75"/>
      <c r="AP389" s="75"/>
      <c r="AQ389" s="75"/>
      <c r="AR389" s="76"/>
      <c r="AT389" s="65"/>
      <c r="AU389" s="77"/>
    </row>
    <row r="390" spans="37:47">
      <c r="AK390" s="12"/>
      <c r="AM390" s="12"/>
      <c r="AN390" s="75"/>
      <c r="AO390" s="75"/>
      <c r="AP390" s="75"/>
      <c r="AQ390" s="75"/>
      <c r="AR390" s="76"/>
      <c r="AT390" s="65"/>
      <c r="AU390" s="77"/>
    </row>
    <row r="391" spans="37:47">
      <c r="AK391" s="12"/>
      <c r="AM391" s="12"/>
      <c r="AN391" s="75"/>
      <c r="AO391" s="75"/>
      <c r="AP391" s="75"/>
      <c r="AQ391" s="75"/>
      <c r="AR391" s="76"/>
      <c r="AT391" s="65"/>
      <c r="AU391" s="77"/>
    </row>
    <row r="392" spans="37:47">
      <c r="AK392" s="12"/>
      <c r="AM392" s="12"/>
      <c r="AN392" s="75"/>
      <c r="AO392" s="75"/>
      <c r="AP392" s="75"/>
      <c r="AQ392" s="75"/>
      <c r="AR392" s="76"/>
      <c r="AT392" s="65"/>
      <c r="AU392" s="77"/>
    </row>
    <row r="393" spans="37:47">
      <c r="AK393" s="12"/>
      <c r="AM393" s="12"/>
      <c r="AN393" s="75"/>
      <c r="AO393" s="75"/>
      <c r="AP393" s="75"/>
      <c r="AQ393" s="75"/>
      <c r="AR393" s="76"/>
      <c r="AT393" s="65"/>
      <c r="AU393" s="77"/>
    </row>
    <row r="394" spans="37:47">
      <c r="AK394" s="12"/>
      <c r="AM394" s="12"/>
      <c r="AN394" s="75"/>
      <c r="AO394" s="75"/>
      <c r="AP394" s="75"/>
      <c r="AQ394" s="75"/>
      <c r="AR394" s="76"/>
      <c r="AT394" s="65"/>
      <c r="AU394" s="77"/>
    </row>
    <row r="395" spans="37:47">
      <c r="AK395" s="12"/>
      <c r="AM395" s="12"/>
      <c r="AN395" s="75"/>
      <c r="AO395" s="75"/>
      <c r="AP395" s="75"/>
      <c r="AQ395" s="75"/>
      <c r="AR395" s="76"/>
      <c r="AT395" s="65"/>
      <c r="AU395" s="77"/>
    </row>
    <row r="396" spans="37:47">
      <c r="AK396" s="12"/>
      <c r="AM396" s="12"/>
      <c r="AN396" s="75"/>
      <c r="AO396" s="75"/>
      <c r="AP396" s="75"/>
      <c r="AQ396" s="75"/>
      <c r="AR396" s="76"/>
      <c r="AT396" s="65"/>
      <c r="AU396" s="77"/>
    </row>
    <row r="397" spans="37:47">
      <c r="AK397" s="12"/>
      <c r="AM397" s="12"/>
      <c r="AN397" s="75"/>
      <c r="AO397" s="75"/>
      <c r="AP397" s="75"/>
      <c r="AQ397" s="75"/>
      <c r="AR397" s="76"/>
      <c r="AT397" s="65"/>
      <c r="AU397" s="77"/>
    </row>
    <row r="398" spans="37:47">
      <c r="AK398" s="12"/>
      <c r="AM398" s="12"/>
      <c r="AN398" s="75"/>
      <c r="AO398" s="75"/>
      <c r="AP398" s="75"/>
      <c r="AQ398" s="75"/>
      <c r="AR398" s="76"/>
      <c r="AT398" s="65"/>
      <c r="AU398" s="77"/>
    </row>
    <row r="399" spans="37:47">
      <c r="AK399" s="12"/>
      <c r="AM399" s="12"/>
      <c r="AN399" s="75"/>
      <c r="AO399" s="75"/>
      <c r="AP399" s="75"/>
      <c r="AQ399" s="75"/>
      <c r="AR399" s="76"/>
      <c r="AT399" s="65"/>
      <c r="AU399" s="77"/>
    </row>
    <row r="400" spans="37:47">
      <c r="AK400" s="12"/>
      <c r="AM400" s="12"/>
      <c r="AN400" s="75"/>
      <c r="AO400" s="75"/>
      <c r="AP400" s="75"/>
      <c r="AQ400" s="75"/>
      <c r="AR400" s="76"/>
      <c r="AT400" s="65"/>
      <c r="AU400" s="77"/>
    </row>
    <row r="401" spans="37:47">
      <c r="AK401" s="12"/>
      <c r="AM401" s="12"/>
      <c r="AN401" s="75"/>
      <c r="AO401" s="75"/>
      <c r="AP401" s="75"/>
      <c r="AQ401" s="75"/>
      <c r="AR401" s="76"/>
      <c r="AT401" s="65"/>
      <c r="AU401" s="77"/>
    </row>
    <row r="402" spans="37:47">
      <c r="AK402" s="12"/>
      <c r="AM402" s="12"/>
      <c r="AN402" s="75"/>
      <c r="AO402" s="75"/>
      <c r="AP402" s="75"/>
      <c r="AQ402" s="75"/>
      <c r="AR402" s="76"/>
      <c r="AT402" s="65"/>
      <c r="AU402" s="77"/>
    </row>
    <row r="403" spans="37:47">
      <c r="AK403" s="12"/>
      <c r="AM403" s="12"/>
      <c r="AN403" s="75"/>
      <c r="AO403" s="75"/>
      <c r="AP403" s="75"/>
      <c r="AQ403" s="75"/>
      <c r="AR403" s="76"/>
      <c r="AT403" s="65"/>
      <c r="AU403" s="77"/>
    </row>
    <row r="404" spans="37:47">
      <c r="AK404" s="12"/>
      <c r="AM404" s="12"/>
      <c r="AN404" s="75"/>
      <c r="AO404" s="75"/>
      <c r="AP404" s="75"/>
      <c r="AQ404" s="75"/>
      <c r="AR404" s="76"/>
      <c r="AT404" s="65"/>
      <c r="AU404" s="77"/>
    </row>
    <row r="405" spans="37:47">
      <c r="AK405" s="12"/>
      <c r="AM405" s="12"/>
      <c r="AN405" s="75"/>
      <c r="AO405" s="75"/>
      <c r="AP405" s="75"/>
      <c r="AQ405" s="75"/>
      <c r="AR405" s="76"/>
      <c r="AT405" s="65"/>
      <c r="AU405" s="77"/>
    </row>
    <row r="406" spans="37:47">
      <c r="AK406" s="12"/>
      <c r="AM406" s="12"/>
      <c r="AN406" s="75"/>
      <c r="AO406" s="75"/>
      <c r="AP406" s="75"/>
      <c r="AQ406" s="75"/>
      <c r="AR406" s="76"/>
      <c r="AT406" s="65"/>
      <c r="AU406" s="77"/>
    </row>
    <row r="407" spans="37:47">
      <c r="AK407" s="12"/>
      <c r="AM407" s="12"/>
      <c r="AN407" s="75"/>
      <c r="AO407" s="75"/>
      <c r="AP407" s="75"/>
      <c r="AQ407" s="75"/>
      <c r="AR407" s="76"/>
      <c r="AT407" s="65"/>
      <c r="AU407" s="77"/>
    </row>
    <row r="408" spans="37:47">
      <c r="AK408" s="12"/>
      <c r="AM408" s="12"/>
      <c r="AN408" s="75"/>
      <c r="AO408" s="75"/>
      <c r="AP408" s="75"/>
      <c r="AQ408" s="75"/>
      <c r="AR408" s="76"/>
      <c r="AT408" s="65"/>
      <c r="AU408" s="77"/>
    </row>
    <row r="409" spans="37:47">
      <c r="AK409" s="12"/>
      <c r="AM409" s="12"/>
      <c r="AN409" s="75"/>
      <c r="AO409" s="75"/>
      <c r="AP409" s="75"/>
      <c r="AQ409" s="75"/>
      <c r="AR409" s="76"/>
      <c r="AT409" s="65"/>
      <c r="AU409" s="77"/>
    </row>
    <row r="410" spans="37:47">
      <c r="AK410" s="12"/>
      <c r="AM410" s="12"/>
      <c r="AN410" s="75"/>
      <c r="AO410" s="75"/>
      <c r="AP410" s="75"/>
      <c r="AQ410" s="75"/>
      <c r="AR410" s="76"/>
      <c r="AT410" s="65"/>
      <c r="AU410" s="77"/>
    </row>
    <row r="411" spans="37:47">
      <c r="AK411" s="12"/>
      <c r="AM411" s="12"/>
      <c r="AN411" s="75"/>
      <c r="AO411" s="75"/>
      <c r="AP411" s="75"/>
      <c r="AQ411" s="75"/>
      <c r="AR411" s="76"/>
      <c r="AT411" s="65"/>
      <c r="AU411" s="77"/>
    </row>
    <row r="412" spans="37:47">
      <c r="AK412" s="12"/>
      <c r="AM412" s="12"/>
      <c r="AN412" s="75"/>
      <c r="AO412" s="75"/>
      <c r="AP412" s="75"/>
      <c r="AQ412" s="75"/>
      <c r="AR412" s="76"/>
      <c r="AT412" s="65"/>
      <c r="AU412" s="77"/>
    </row>
    <row r="413" spans="37:47">
      <c r="AK413" s="12"/>
      <c r="AM413" s="12"/>
      <c r="AN413" s="75"/>
      <c r="AO413" s="75"/>
      <c r="AP413" s="75"/>
      <c r="AQ413" s="75"/>
      <c r="AR413" s="76"/>
      <c r="AT413" s="65"/>
      <c r="AU413" s="77"/>
    </row>
    <row r="414" spans="37:47">
      <c r="AK414" s="12"/>
      <c r="AM414" s="12"/>
      <c r="AN414" s="75"/>
      <c r="AO414" s="75"/>
      <c r="AP414" s="75"/>
      <c r="AQ414" s="75"/>
      <c r="AR414" s="76"/>
      <c r="AT414" s="65"/>
      <c r="AU414" s="77"/>
    </row>
    <row r="415" spans="37:47">
      <c r="AK415" s="12"/>
      <c r="AM415" s="12"/>
      <c r="AN415" s="75"/>
      <c r="AO415" s="75"/>
      <c r="AP415" s="75"/>
      <c r="AQ415" s="75"/>
      <c r="AR415" s="76"/>
      <c r="AT415" s="65"/>
      <c r="AU415" s="77"/>
    </row>
    <row r="416" spans="37:47">
      <c r="AK416" s="12"/>
      <c r="AM416" s="12"/>
      <c r="AN416" s="75"/>
      <c r="AO416" s="75"/>
      <c r="AP416" s="75"/>
      <c r="AQ416" s="75"/>
      <c r="AR416" s="76"/>
      <c r="AT416" s="65"/>
      <c r="AU416" s="77"/>
    </row>
    <row r="417" spans="37:47">
      <c r="AK417" s="12"/>
      <c r="AM417" s="12"/>
      <c r="AN417" s="75"/>
      <c r="AO417" s="75"/>
      <c r="AP417" s="75"/>
      <c r="AQ417" s="75"/>
      <c r="AR417" s="76"/>
      <c r="AT417" s="65"/>
      <c r="AU417" s="77"/>
    </row>
    <row r="418" spans="37:47">
      <c r="AK418" s="12"/>
      <c r="AM418" s="12"/>
      <c r="AN418" s="75"/>
      <c r="AO418" s="75"/>
      <c r="AP418" s="75"/>
      <c r="AQ418" s="75"/>
      <c r="AR418" s="76"/>
      <c r="AT418" s="65"/>
      <c r="AU418" s="77"/>
    </row>
    <row r="419" spans="37:47">
      <c r="AK419" s="12"/>
      <c r="AM419" s="12"/>
      <c r="AN419" s="75"/>
      <c r="AO419" s="75"/>
      <c r="AP419" s="75"/>
      <c r="AQ419" s="75"/>
      <c r="AR419" s="76"/>
      <c r="AT419" s="65"/>
      <c r="AU419" s="77"/>
    </row>
    <row r="420" spans="37:47">
      <c r="AK420" s="12"/>
      <c r="AM420" s="12"/>
      <c r="AN420" s="75"/>
      <c r="AO420" s="75"/>
      <c r="AP420" s="75"/>
      <c r="AQ420" s="75"/>
      <c r="AR420" s="76"/>
      <c r="AT420" s="65"/>
      <c r="AU420" s="77"/>
    </row>
    <row r="421" spans="37:47">
      <c r="AK421" s="12"/>
      <c r="AM421" s="12"/>
      <c r="AN421" s="75"/>
      <c r="AO421" s="75"/>
      <c r="AP421" s="75"/>
      <c r="AQ421" s="75"/>
      <c r="AR421" s="76"/>
      <c r="AT421" s="65"/>
      <c r="AU421" s="77"/>
    </row>
    <row r="422" spans="37:47">
      <c r="AK422" s="12"/>
      <c r="AM422" s="12"/>
      <c r="AN422" s="75"/>
      <c r="AO422" s="75"/>
      <c r="AP422" s="75"/>
      <c r="AQ422" s="75"/>
      <c r="AR422" s="76"/>
      <c r="AT422" s="65"/>
      <c r="AU422" s="77"/>
    </row>
    <row r="423" spans="37:47">
      <c r="AK423" s="12"/>
      <c r="AM423" s="12"/>
      <c r="AN423" s="75"/>
      <c r="AO423" s="75"/>
      <c r="AP423" s="75"/>
      <c r="AQ423" s="75"/>
      <c r="AR423" s="76"/>
      <c r="AT423" s="65"/>
      <c r="AU423" s="77"/>
    </row>
    <row r="424" spans="37:47">
      <c r="AK424" s="12"/>
      <c r="AM424" s="12"/>
      <c r="AN424" s="75"/>
      <c r="AO424" s="75"/>
      <c r="AP424" s="75"/>
      <c r="AQ424" s="75"/>
      <c r="AR424" s="76"/>
      <c r="AT424" s="65"/>
      <c r="AU424" s="77"/>
    </row>
    <row r="425" spans="37:47">
      <c r="AK425" s="12"/>
      <c r="AM425" s="12"/>
      <c r="AN425" s="75"/>
      <c r="AO425" s="75"/>
      <c r="AP425" s="75"/>
      <c r="AQ425" s="75"/>
      <c r="AR425" s="76"/>
      <c r="AT425" s="65"/>
      <c r="AU425" s="77"/>
    </row>
    <row r="426" spans="37:47">
      <c r="AK426" s="12"/>
      <c r="AM426" s="12"/>
      <c r="AN426" s="75"/>
      <c r="AO426" s="75"/>
      <c r="AP426" s="75"/>
      <c r="AQ426" s="75"/>
      <c r="AR426" s="76"/>
      <c r="AT426" s="65"/>
      <c r="AU426" s="77"/>
    </row>
    <row r="427" spans="37:47">
      <c r="AK427" s="12"/>
      <c r="AM427" s="12"/>
      <c r="AN427" s="75"/>
      <c r="AO427" s="75"/>
      <c r="AP427" s="75"/>
      <c r="AQ427" s="75"/>
      <c r="AR427" s="76"/>
      <c r="AT427" s="65"/>
      <c r="AU427" s="77"/>
    </row>
    <row r="428" spans="37:47">
      <c r="AK428" s="12"/>
      <c r="AM428" s="12"/>
      <c r="AN428" s="75"/>
      <c r="AO428" s="75"/>
      <c r="AP428" s="75"/>
      <c r="AQ428" s="75"/>
      <c r="AR428" s="76"/>
      <c r="AT428" s="65"/>
      <c r="AU428" s="77"/>
    </row>
    <row r="429" spans="37:47">
      <c r="AK429" s="12"/>
      <c r="AM429" s="12"/>
      <c r="AN429" s="75"/>
      <c r="AO429" s="75"/>
      <c r="AP429" s="75"/>
      <c r="AQ429" s="75"/>
      <c r="AR429" s="76"/>
      <c r="AT429" s="65"/>
      <c r="AU429" s="77"/>
    </row>
    <row r="430" spans="37:47">
      <c r="AK430" s="12"/>
      <c r="AM430" s="12"/>
      <c r="AN430" s="75"/>
      <c r="AO430" s="75"/>
      <c r="AP430" s="75"/>
      <c r="AQ430" s="75"/>
      <c r="AR430" s="76"/>
      <c r="AT430" s="65"/>
      <c r="AU430" s="77"/>
    </row>
    <row r="431" spans="37:47">
      <c r="AK431" s="12"/>
      <c r="AM431" s="12"/>
      <c r="AN431" s="75"/>
      <c r="AO431" s="75"/>
      <c r="AP431" s="75"/>
      <c r="AQ431" s="75"/>
      <c r="AR431" s="76"/>
      <c r="AT431" s="65"/>
      <c r="AU431" s="77"/>
    </row>
    <row r="432" spans="37:47">
      <c r="AK432" s="12"/>
      <c r="AM432" s="12"/>
      <c r="AN432" s="75"/>
      <c r="AO432" s="75"/>
      <c r="AP432" s="75"/>
      <c r="AQ432" s="75"/>
      <c r="AR432" s="76"/>
      <c r="AT432" s="65"/>
      <c r="AU432" s="77"/>
    </row>
    <row r="433" spans="37:47">
      <c r="AK433" s="12"/>
      <c r="AM433" s="12"/>
      <c r="AN433" s="75"/>
      <c r="AO433" s="75"/>
      <c r="AP433" s="75"/>
      <c r="AQ433" s="75"/>
      <c r="AR433" s="76"/>
      <c r="AT433" s="65"/>
      <c r="AU433" s="77"/>
    </row>
    <row r="434" spans="37:47">
      <c r="AK434" s="12"/>
      <c r="AM434" s="12"/>
      <c r="AN434" s="75"/>
      <c r="AO434" s="75"/>
      <c r="AP434" s="75"/>
      <c r="AQ434" s="75"/>
      <c r="AR434" s="76"/>
      <c r="AT434" s="65"/>
      <c r="AU434" s="77"/>
    </row>
    <row r="435" spans="37:47">
      <c r="AK435" s="12"/>
      <c r="AM435" s="12"/>
      <c r="AN435" s="75"/>
      <c r="AO435" s="75"/>
      <c r="AP435" s="75"/>
      <c r="AQ435" s="75"/>
      <c r="AR435" s="76"/>
      <c r="AT435" s="65"/>
      <c r="AU435" s="77"/>
    </row>
    <row r="436" spans="37:47">
      <c r="AK436" s="12"/>
      <c r="AM436" s="12"/>
      <c r="AN436" s="75"/>
      <c r="AO436" s="75"/>
      <c r="AP436" s="75"/>
      <c r="AQ436" s="75"/>
      <c r="AR436" s="76"/>
      <c r="AT436" s="65"/>
      <c r="AU436" s="77"/>
    </row>
    <row r="437" spans="37:47">
      <c r="AK437" s="12"/>
      <c r="AM437" s="12"/>
      <c r="AN437" s="75"/>
      <c r="AO437" s="75"/>
      <c r="AP437" s="75"/>
      <c r="AQ437" s="75"/>
      <c r="AR437" s="76"/>
      <c r="AT437" s="65"/>
      <c r="AU437" s="77"/>
    </row>
    <row r="438" spans="37:47">
      <c r="AK438" s="12"/>
      <c r="AM438" s="12"/>
      <c r="AN438" s="75"/>
      <c r="AO438" s="75"/>
      <c r="AP438" s="75"/>
      <c r="AQ438" s="75"/>
      <c r="AR438" s="76"/>
      <c r="AT438" s="65"/>
      <c r="AU438" s="77"/>
    </row>
    <row r="439" spans="37:47">
      <c r="AK439" s="12"/>
      <c r="AM439" s="12"/>
      <c r="AN439" s="75"/>
      <c r="AO439" s="75"/>
      <c r="AP439" s="75"/>
      <c r="AQ439" s="75"/>
      <c r="AR439" s="76"/>
      <c r="AT439" s="65"/>
      <c r="AU439" s="77"/>
    </row>
    <row r="440" spans="37:47">
      <c r="AK440" s="12"/>
      <c r="AM440" s="12"/>
      <c r="AN440" s="75"/>
      <c r="AO440" s="75"/>
      <c r="AP440" s="75"/>
      <c r="AQ440" s="75"/>
      <c r="AR440" s="76"/>
      <c r="AT440" s="65"/>
      <c r="AU440" s="77"/>
    </row>
    <row r="441" spans="37:47">
      <c r="AK441" s="12"/>
      <c r="AM441" s="12"/>
      <c r="AN441" s="75"/>
      <c r="AO441" s="75"/>
      <c r="AP441" s="75"/>
      <c r="AQ441" s="75"/>
      <c r="AR441" s="76"/>
      <c r="AT441" s="65"/>
      <c r="AU441" s="77"/>
    </row>
    <row r="442" spans="37:47">
      <c r="AK442" s="12"/>
      <c r="AM442" s="12"/>
      <c r="AN442" s="75"/>
      <c r="AO442" s="75"/>
      <c r="AP442" s="75"/>
      <c r="AQ442" s="75"/>
      <c r="AR442" s="76"/>
      <c r="AT442" s="65"/>
      <c r="AU442" s="77"/>
    </row>
    <row r="443" spans="37:47">
      <c r="AK443" s="12"/>
      <c r="AM443" s="12"/>
      <c r="AN443" s="75"/>
      <c r="AO443" s="75"/>
      <c r="AP443" s="75"/>
      <c r="AQ443" s="75"/>
      <c r="AR443" s="76"/>
      <c r="AT443" s="65"/>
      <c r="AU443" s="77"/>
    </row>
    <row r="444" spans="37:47">
      <c r="AK444" s="12"/>
      <c r="AM444" s="12"/>
      <c r="AN444" s="75"/>
      <c r="AO444" s="75"/>
      <c r="AP444" s="75"/>
      <c r="AQ444" s="75"/>
      <c r="AR444" s="76"/>
      <c r="AT444" s="65"/>
      <c r="AU444" s="77"/>
    </row>
    <row r="445" spans="37:47">
      <c r="AK445" s="12"/>
      <c r="AM445" s="12"/>
      <c r="AN445" s="75"/>
      <c r="AO445" s="75"/>
      <c r="AP445" s="75"/>
      <c r="AQ445" s="75"/>
      <c r="AR445" s="76"/>
      <c r="AT445" s="65"/>
      <c r="AU445" s="77"/>
    </row>
    <row r="446" spans="37:47">
      <c r="AK446" s="12"/>
      <c r="AM446" s="12"/>
      <c r="AN446" s="75"/>
      <c r="AO446" s="75"/>
      <c r="AP446" s="75"/>
      <c r="AQ446" s="75"/>
      <c r="AR446" s="76"/>
      <c r="AT446" s="65"/>
      <c r="AU446" s="77"/>
    </row>
    <row r="447" spans="37:47">
      <c r="AK447" s="12"/>
      <c r="AM447" s="12"/>
      <c r="AN447" s="75"/>
      <c r="AO447" s="75"/>
      <c r="AP447" s="75"/>
      <c r="AQ447" s="75"/>
      <c r="AR447" s="76"/>
      <c r="AT447" s="65"/>
      <c r="AU447" s="77"/>
    </row>
    <row r="448" spans="37:47">
      <c r="AK448" s="12"/>
      <c r="AM448" s="12"/>
      <c r="AN448" s="75"/>
      <c r="AO448" s="75"/>
      <c r="AP448" s="75"/>
      <c r="AQ448" s="75"/>
      <c r="AR448" s="76"/>
      <c r="AT448" s="65"/>
      <c r="AU448" s="77"/>
    </row>
    <row r="449" spans="37:47">
      <c r="AK449" s="12"/>
      <c r="AM449" s="12"/>
      <c r="AN449" s="75"/>
      <c r="AO449" s="75"/>
      <c r="AP449" s="75"/>
      <c r="AQ449" s="75"/>
      <c r="AR449" s="76"/>
      <c r="AT449" s="65"/>
      <c r="AU449" s="77"/>
    </row>
    <row r="450" spans="37:47">
      <c r="AK450" s="12"/>
      <c r="AM450" s="12"/>
      <c r="AN450" s="75"/>
      <c r="AO450" s="75"/>
      <c r="AP450" s="75"/>
      <c r="AQ450" s="75"/>
      <c r="AR450" s="76"/>
      <c r="AT450" s="65"/>
      <c r="AU450" s="77"/>
    </row>
    <row r="451" spans="37:47">
      <c r="AK451" s="12"/>
      <c r="AM451" s="12"/>
      <c r="AN451" s="75"/>
      <c r="AO451" s="75"/>
      <c r="AP451" s="75"/>
      <c r="AQ451" s="75"/>
      <c r="AR451" s="76"/>
      <c r="AT451" s="65"/>
      <c r="AU451" s="77"/>
    </row>
    <row r="452" spans="37:47">
      <c r="AK452" s="12"/>
      <c r="AM452" s="12"/>
      <c r="AN452" s="75"/>
      <c r="AO452" s="75"/>
      <c r="AP452" s="75"/>
      <c r="AQ452" s="75"/>
      <c r="AR452" s="76"/>
      <c r="AT452" s="65"/>
      <c r="AU452" s="77"/>
    </row>
    <row r="453" spans="37:47">
      <c r="AK453" s="12"/>
      <c r="AM453" s="12"/>
      <c r="AN453" s="75"/>
      <c r="AO453" s="75"/>
      <c r="AP453" s="75"/>
      <c r="AQ453" s="75"/>
      <c r="AR453" s="76"/>
      <c r="AT453" s="65"/>
      <c r="AU453" s="77"/>
    </row>
    <row r="454" spans="37:47">
      <c r="AK454" s="12"/>
      <c r="AM454" s="12"/>
      <c r="AN454" s="75"/>
      <c r="AO454" s="75"/>
      <c r="AP454" s="75"/>
      <c r="AQ454" s="75"/>
      <c r="AR454" s="76"/>
      <c r="AT454" s="65"/>
      <c r="AU454" s="77"/>
    </row>
    <row r="455" spans="37:47">
      <c r="AK455" s="12"/>
      <c r="AM455" s="12"/>
      <c r="AN455" s="75"/>
      <c r="AO455" s="75"/>
      <c r="AP455" s="75"/>
      <c r="AQ455" s="75"/>
      <c r="AR455" s="76"/>
      <c r="AT455" s="65"/>
      <c r="AU455" s="77"/>
    </row>
    <row r="456" spans="37:47">
      <c r="AK456" s="12"/>
      <c r="AM456" s="12"/>
      <c r="AN456" s="75"/>
      <c r="AO456" s="75"/>
      <c r="AP456" s="75"/>
      <c r="AQ456" s="75"/>
      <c r="AR456" s="76"/>
      <c r="AT456" s="65"/>
      <c r="AU456" s="77"/>
    </row>
    <row r="457" spans="37:47">
      <c r="AK457" s="12"/>
      <c r="AM457" s="12"/>
      <c r="AN457" s="75"/>
      <c r="AO457" s="75"/>
      <c r="AP457" s="75"/>
      <c r="AQ457" s="75"/>
      <c r="AR457" s="76"/>
      <c r="AT457" s="65"/>
      <c r="AU457" s="77"/>
    </row>
    <row r="458" spans="37:47">
      <c r="AK458" s="12"/>
      <c r="AM458" s="12"/>
      <c r="AN458" s="75"/>
      <c r="AO458" s="75"/>
      <c r="AP458" s="75"/>
      <c r="AQ458" s="75"/>
      <c r="AR458" s="76"/>
      <c r="AT458" s="65"/>
      <c r="AU458" s="77"/>
    </row>
    <row r="459" spans="37:47">
      <c r="AK459" s="12"/>
      <c r="AM459" s="12"/>
      <c r="AN459" s="75"/>
      <c r="AO459" s="75"/>
      <c r="AP459" s="75"/>
      <c r="AQ459" s="75"/>
      <c r="AR459" s="76"/>
      <c r="AT459" s="65"/>
      <c r="AU459" s="77"/>
    </row>
    <row r="460" spans="37:47">
      <c r="AK460" s="12"/>
      <c r="AM460" s="12"/>
      <c r="AN460" s="75"/>
      <c r="AO460" s="75"/>
      <c r="AP460" s="75"/>
      <c r="AQ460" s="75"/>
      <c r="AR460" s="76"/>
      <c r="AT460" s="65"/>
      <c r="AU460" s="77"/>
    </row>
    <row r="461" spans="37:47">
      <c r="AK461" s="12"/>
      <c r="AM461" s="12"/>
      <c r="AN461" s="75"/>
      <c r="AO461" s="75"/>
      <c r="AP461" s="75"/>
      <c r="AQ461" s="75"/>
      <c r="AR461" s="76"/>
      <c r="AT461" s="65"/>
      <c r="AU461" s="77"/>
    </row>
    <row r="462" spans="37:47">
      <c r="AK462" s="12"/>
      <c r="AM462" s="12"/>
      <c r="AN462" s="75"/>
      <c r="AO462" s="75"/>
      <c r="AP462" s="75"/>
      <c r="AQ462" s="75"/>
      <c r="AR462" s="76"/>
      <c r="AT462" s="65"/>
      <c r="AU462" s="77"/>
    </row>
    <row r="463" spans="37:47">
      <c r="AK463" s="12"/>
      <c r="AM463" s="12"/>
      <c r="AN463" s="75"/>
      <c r="AO463" s="75"/>
      <c r="AP463" s="75"/>
      <c r="AQ463" s="75"/>
      <c r="AR463" s="76"/>
      <c r="AT463" s="65"/>
      <c r="AU463" s="77"/>
    </row>
    <row r="464" spans="37:47">
      <c r="AK464" s="12"/>
      <c r="AM464" s="12"/>
      <c r="AN464" s="75"/>
      <c r="AO464" s="75"/>
      <c r="AP464" s="75"/>
      <c r="AQ464" s="75"/>
      <c r="AR464" s="76"/>
      <c r="AT464" s="65"/>
      <c r="AU464" s="77"/>
    </row>
    <row r="465" spans="37:47">
      <c r="AK465" s="12"/>
      <c r="AM465" s="12"/>
      <c r="AN465" s="75"/>
      <c r="AO465" s="75"/>
      <c r="AP465" s="75"/>
      <c r="AQ465" s="75"/>
      <c r="AR465" s="76"/>
      <c r="AT465" s="65"/>
      <c r="AU465" s="77"/>
    </row>
    <row r="466" spans="37:47">
      <c r="AK466" s="12"/>
      <c r="AM466" s="12"/>
      <c r="AN466" s="75"/>
      <c r="AO466" s="75"/>
      <c r="AP466" s="75"/>
      <c r="AQ466" s="75"/>
      <c r="AR466" s="76"/>
      <c r="AT466" s="65"/>
      <c r="AU466" s="77"/>
    </row>
    <row r="467" spans="37:47">
      <c r="AK467" s="12"/>
      <c r="AM467" s="12"/>
      <c r="AN467" s="75"/>
      <c r="AO467" s="75"/>
      <c r="AP467" s="75"/>
      <c r="AQ467" s="75"/>
      <c r="AR467" s="76"/>
      <c r="AT467" s="65"/>
      <c r="AU467" s="77"/>
    </row>
    <row r="468" spans="37:47">
      <c r="AK468" s="12"/>
      <c r="AM468" s="12"/>
      <c r="AN468" s="75"/>
      <c r="AO468" s="75"/>
      <c r="AP468" s="75"/>
      <c r="AQ468" s="75"/>
      <c r="AR468" s="76"/>
      <c r="AT468" s="65"/>
      <c r="AU468" s="77"/>
    </row>
    <row r="469" spans="37:47">
      <c r="AK469" s="12"/>
      <c r="AM469" s="12"/>
      <c r="AN469" s="75"/>
      <c r="AO469" s="75"/>
      <c r="AP469" s="75"/>
      <c r="AQ469" s="75"/>
      <c r="AR469" s="76"/>
      <c r="AT469" s="65"/>
      <c r="AU469" s="77"/>
    </row>
    <row r="470" spans="37:47">
      <c r="AK470" s="12"/>
      <c r="AM470" s="12"/>
      <c r="AN470" s="75"/>
      <c r="AO470" s="75"/>
      <c r="AP470" s="75"/>
      <c r="AQ470" s="75"/>
      <c r="AR470" s="76"/>
      <c r="AT470" s="65"/>
      <c r="AU470" s="77"/>
    </row>
    <row r="471" spans="37:47">
      <c r="AK471" s="12"/>
      <c r="AM471" s="12"/>
      <c r="AN471" s="75"/>
      <c r="AO471" s="75"/>
      <c r="AP471" s="75"/>
      <c r="AQ471" s="75"/>
      <c r="AR471" s="76"/>
      <c r="AT471" s="65"/>
      <c r="AU471" s="77"/>
    </row>
    <row r="472" spans="37:47">
      <c r="AK472" s="12"/>
      <c r="AM472" s="12"/>
      <c r="AN472" s="75"/>
      <c r="AO472" s="75"/>
      <c r="AP472" s="75"/>
      <c r="AQ472" s="75"/>
      <c r="AR472" s="76"/>
      <c r="AT472" s="65"/>
      <c r="AU472" s="77"/>
    </row>
    <row r="473" spans="37:47">
      <c r="AK473" s="12"/>
      <c r="AM473" s="12"/>
      <c r="AN473" s="75"/>
      <c r="AO473" s="75"/>
      <c r="AP473" s="75"/>
      <c r="AQ473" s="75"/>
      <c r="AR473" s="76"/>
      <c r="AT473" s="65"/>
      <c r="AU473" s="77"/>
    </row>
    <row r="474" spans="37:47">
      <c r="AK474" s="12"/>
      <c r="AM474" s="12"/>
      <c r="AN474" s="75"/>
      <c r="AO474" s="75"/>
      <c r="AP474" s="75"/>
      <c r="AQ474" s="75"/>
      <c r="AR474" s="76"/>
      <c r="AT474" s="65"/>
      <c r="AU474" s="77"/>
    </row>
    <row r="475" spans="37:47">
      <c r="AK475" s="12"/>
      <c r="AM475" s="12"/>
      <c r="AN475" s="75"/>
      <c r="AO475" s="75"/>
      <c r="AP475" s="75"/>
      <c r="AQ475" s="75"/>
      <c r="AR475" s="76"/>
      <c r="AT475" s="65"/>
      <c r="AU475" s="77"/>
    </row>
    <row r="476" spans="37:47">
      <c r="AK476" s="12"/>
      <c r="AM476" s="12"/>
      <c r="AN476" s="75"/>
      <c r="AO476" s="75"/>
      <c r="AP476" s="75"/>
      <c r="AQ476" s="75"/>
      <c r="AR476" s="76"/>
      <c r="AT476" s="65"/>
      <c r="AU476" s="77"/>
    </row>
    <row r="477" spans="37:47">
      <c r="AK477" s="12"/>
      <c r="AM477" s="12"/>
      <c r="AN477" s="75"/>
      <c r="AO477" s="75"/>
      <c r="AP477" s="75"/>
      <c r="AQ477" s="75"/>
      <c r="AR477" s="76"/>
      <c r="AT477" s="65"/>
      <c r="AU477" s="77"/>
    </row>
    <row r="478" spans="37:47">
      <c r="AK478" s="12"/>
      <c r="AM478" s="12"/>
      <c r="AN478" s="75"/>
      <c r="AO478" s="75"/>
      <c r="AP478" s="75"/>
      <c r="AQ478" s="75"/>
      <c r="AR478" s="76"/>
      <c r="AT478" s="65"/>
      <c r="AU478" s="77"/>
    </row>
    <row r="479" spans="37:47">
      <c r="AK479" s="12"/>
      <c r="AM479" s="12"/>
      <c r="AN479" s="75"/>
      <c r="AO479" s="75"/>
      <c r="AP479" s="75"/>
      <c r="AQ479" s="75"/>
      <c r="AR479" s="76"/>
      <c r="AT479" s="65"/>
      <c r="AU479" s="77"/>
    </row>
    <row r="480" spans="37:47">
      <c r="AK480" s="12"/>
      <c r="AM480" s="12"/>
      <c r="AN480" s="75"/>
      <c r="AO480" s="75"/>
      <c r="AP480" s="75"/>
      <c r="AQ480" s="75"/>
      <c r="AR480" s="76"/>
      <c r="AT480" s="65"/>
      <c r="AU480" s="77"/>
    </row>
    <row r="481" spans="37:47">
      <c r="AK481" s="12"/>
      <c r="AM481" s="12"/>
      <c r="AN481" s="75"/>
      <c r="AO481" s="75"/>
      <c r="AP481" s="75"/>
      <c r="AQ481" s="75"/>
      <c r="AR481" s="76"/>
      <c r="AT481" s="65"/>
      <c r="AU481" s="77"/>
    </row>
    <row r="482" spans="37:47">
      <c r="AK482" s="12"/>
      <c r="AM482" s="12"/>
      <c r="AN482" s="75"/>
      <c r="AO482" s="75"/>
      <c r="AP482" s="75"/>
      <c r="AQ482" s="75"/>
      <c r="AR482" s="76"/>
      <c r="AT482" s="65"/>
      <c r="AU482" s="77"/>
    </row>
    <row r="483" spans="37:47">
      <c r="AK483" s="12"/>
      <c r="AM483" s="12"/>
      <c r="AN483" s="75"/>
      <c r="AO483" s="75"/>
      <c r="AP483" s="75"/>
      <c r="AQ483" s="75"/>
      <c r="AR483" s="76"/>
      <c r="AT483" s="65"/>
      <c r="AU483" s="77"/>
    </row>
    <row r="484" spans="37:47">
      <c r="AK484" s="12"/>
      <c r="AM484" s="12"/>
      <c r="AN484" s="75"/>
      <c r="AO484" s="75"/>
      <c r="AP484" s="75"/>
      <c r="AQ484" s="75"/>
      <c r="AR484" s="76"/>
      <c r="AT484" s="65"/>
      <c r="AU484" s="77"/>
    </row>
    <row r="485" spans="37:47">
      <c r="AK485" s="12"/>
      <c r="AM485" s="12"/>
      <c r="AN485" s="75"/>
      <c r="AO485" s="75"/>
      <c r="AP485" s="75"/>
      <c r="AQ485" s="75"/>
      <c r="AR485" s="76"/>
      <c r="AT485" s="65"/>
      <c r="AU485" s="77"/>
    </row>
    <row r="486" spans="37:47">
      <c r="AK486" s="12"/>
      <c r="AM486" s="12"/>
      <c r="AN486" s="75"/>
      <c r="AO486" s="75"/>
      <c r="AP486" s="75"/>
      <c r="AQ486" s="75"/>
      <c r="AR486" s="76"/>
      <c r="AT486" s="65"/>
      <c r="AU486" s="77"/>
    </row>
    <row r="487" spans="37:47">
      <c r="AK487" s="12"/>
      <c r="AM487" s="12"/>
      <c r="AN487" s="75"/>
      <c r="AO487" s="75"/>
      <c r="AP487" s="75"/>
      <c r="AQ487" s="75"/>
      <c r="AR487" s="76"/>
      <c r="AT487" s="65"/>
      <c r="AU487" s="77"/>
    </row>
    <row r="488" spans="37:47">
      <c r="AK488" s="12"/>
      <c r="AM488" s="12"/>
      <c r="AN488" s="75"/>
      <c r="AO488" s="75"/>
      <c r="AP488" s="75"/>
      <c r="AQ488" s="75"/>
      <c r="AR488" s="76"/>
      <c r="AT488" s="65"/>
      <c r="AU488" s="77"/>
    </row>
    <row r="489" spans="37:47">
      <c r="AK489" s="12"/>
      <c r="AM489" s="12"/>
      <c r="AN489" s="75"/>
      <c r="AO489" s="75"/>
      <c r="AP489" s="75"/>
      <c r="AQ489" s="75"/>
      <c r="AR489" s="76"/>
      <c r="AT489" s="65"/>
      <c r="AU489" s="77"/>
    </row>
    <row r="490" spans="37:47">
      <c r="AK490" s="12"/>
      <c r="AM490" s="12"/>
      <c r="AN490" s="75"/>
      <c r="AO490" s="75"/>
      <c r="AP490" s="75"/>
      <c r="AQ490" s="75"/>
      <c r="AR490" s="76"/>
      <c r="AT490" s="65"/>
      <c r="AU490" s="77"/>
    </row>
    <row r="491" spans="37:47">
      <c r="AK491" s="12"/>
      <c r="AM491" s="12"/>
      <c r="AN491" s="75"/>
      <c r="AO491" s="75"/>
      <c r="AP491" s="75"/>
      <c r="AQ491" s="75"/>
      <c r="AR491" s="76"/>
      <c r="AT491" s="65"/>
      <c r="AU491" s="77"/>
    </row>
    <row r="492" spans="37:47">
      <c r="AK492" s="12"/>
      <c r="AM492" s="12"/>
      <c r="AN492" s="75"/>
      <c r="AO492" s="75"/>
      <c r="AP492" s="75"/>
      <c r="AQ492" s="75"/>
      <c r="AR492" s="76"/>
      <c r="AT492" s="65"/>
      <c r="AU492" s="77"/>
    </row>
    <row r="493" spans="37:47">
      <c r="AK493" s="12"/>
      <c r="AM493" s="12"/>
      <c r="AN493" s="75"/>
      <c r="AO493" s="75"/>
      <c r="AP493" s="75"/>
      <c r="AQ493" s="75"/>
      <c r="AR493" s="76"/>
      <c r="AT493" s="65"/>
      <c r="AU493" s="77"/>
    </row>
    <row r="494" spans="37:47">
      <c r="AK494" s="12"/>
      <c r="AM494" s="12"/>
      <c r="AN494" s="75"/>
      <c r="AO494" s="75"/>
      <c r="AP494" s="75"/>
      <c r="AQ494" s="75"/>
      <c r="AR494" s="76"/>
      <c r="AT494" s="65"/>
      <c r="AU494" s="77"/>
    </row>
    <row r="495" spans="37:47">
      <c r="AK495" s="12"/>
      <c r="AM495" s="12"/>
      <c r="AN495" s="75"/>
      <c r="AO495" s="75"/>
      <c r="AP495" s="75"/>
      <c r="AQ495" s="75"/>
      <c r="AR495" s="76"/>
      <c r="AT495" s="65"/>
      <c r="AU495" s="77"/>
    </row>
    <row r="496" spans="37:47">
      <c r="AK496" s="12"/>
      <c r="AM496" s="12"/>
      <c r="AN496" s="75"/>
      <c r="AO496" s="75"/>
      <c r="AP496" s="75"/>
      <c r="AQ496" s="75"/>
      <c r="AR496" s="76"/>
      <c r="AT496" s="65"/>
      <c r="AU496" s="77"/>
    </row>
    <row r="497" spans="37:47">
      <c r="AK497" s="12"/>
      <c r="AM497" s="12"/>
      <c r="AN497" s="75"/>
      <c r="AO497" s="75"/>
      <c r="AP497" s="75"/>
      <c r="AQ497" s="75"/>
      <c r="AR497" s="76"/>
      <c r="AT497" s="65"/>
      <c r="AU497" s="77"/>
    </row>
    <row r="498" spans="37:47">
      <c r="AK498" s="12"/>
      <c r="AM498" s="12"/>
      <c r="AN498" s="75"/>
      <c r="AO498" s="75"/>
      <c r="AP498" s="75"/>
      <c r="AQ498" s="75"/>
      <c r="AR498" s="76"/>
      <c r="AT498" s="65"/>
      <c r="AU498" s="77"/>
    </row>
    <row r="499" spans="37:47">
      <c r="AK499" s="12"/>
      <c r="AM499" s="12"/>
      <c r="AN499" s="75"/>
      <c r="AO499" s="75"/>
      <c r="AP499" s="75"/>
      <c r="AQ499" s="75"/>
      <c r="AR499" s="76"/>
      <c r="AT499" s="65"/>
      <c r="AU499" s="77"/>
    </row>
    <row r="500" spans="37:47">
      <c r="AK500" s="12"/>
      <c r="AM500" s="12"/>
      <c r="AN500" s="75"/>
      <c r="AO500" s="75"/>
      <c r="AP500" s="75"/>
      <c r="AQ500" s="75"/>
      <c r="AR500" s="76"/>
      <c r="AT500" s="65"/>
      <c r="AU500" s="77"/>
    </row>
    <row r="501" spans="37:47">
      <c r="AK501" s="12"/>
      <c r="AM501" s="12"/>
      <c r="AN501" s="75"/>
      <c r="AO501" s="75"/>
      <c r="AP501" s="75"/>
      <c r="AQ501" s="75"/>
      <c r="AR501" s="76"/>
      <c r="AT501" s="65"/>
      <c r="AU501" s="77"/>
    </row>
    <row r="502" spans="37:47">
      <c r="AK502" s="12"/>
      <c r="AM502" s="12"/>
      <c r="AN502" s="75"/>
      <c r="AO502" s="75"/>
      <c r="AP502" s="75"/>
      <c r="AQ502" s="75"/>
      <c r="AR502" s="76"/>
      <c r="AT502" s="65"/>
      <c r="AU502" s="77"/>
    </row>
    <row r="503" spans="37:47">
      <c r="AK503" s="12"/>
      <c r="AM503" s="12"/>
      <c r="AN503" s="75"/>
      <c r="AO503" s="75"/>
      <c r="AP503" s="75"/>
      <c r="AQ503" s="75"/>
      <c r="AR503" s="76"/>
      <c r="AT503" s="65"/>
      <c r="AU503" s="77"/>
    </row>
    <row r="504" spans="37:47">
      <c r="AK504" s="12"/>
      <c r="AM504" s="12"/>
      <c r="AN504" s="75"/>
      <c r="AO504" s="75"/>
      <c r="AP504" s="75"/>
      <c r="AQ504" s="75"/>
      <c r="AR504" s="76"/>
      <c r="AT504" s="65"/>
      <c r="AU504" s="77"/>
    </row>
    <row r="505" spans="37:47">
      <c r="AK505" s="12"/>
      <c r="AM505" s="12"/>
      <c r="AN505" s="75"/>
      <c r="AO505" s="75"/>
      <c r="AP505" s="75"/>
      <c r="AQ505" s="75"/>
      <c r="AR505" s="76"/>
      <c r="AT505" s="65"/>
      <c r="AU505" s="77"/>
    </row>
    <row r="506" spans="37:47">
      <c r="AK506" s="12"/>
      <c r="AM506" s="12"/>
      <c r="AN506" s="75"/>
      <c r="AO506" s="75"/>
      <c r="AP506" s="75"/>
      <c r="AQ506" s="75"/>
      <c r="AR506" s="76"/>
      <c r="AT506" s="65"/>
      <c r="AU506" s="77"/>
    </row>
    <row r="507" spans="37:47">
      <c r="AK507" s="12"/>
      <c r="AM507" s="12"/>
      <c r="AN507" s="75"/>
      <c r="AO507" s="75"/>
      <c r="AP507" s="75"/>
      <c r="AQ507" s="75"/>
      <c r="AR507" s="76"/>
      <c r="AT507" s="65"/>
      <c r="AU507" s="77"/>
    </row>
    <row r="508" spans="37:47">
      <c r="AK508" s="12"/>
      <c r="AM508" s="12"/>
      <c r="AN508" s="75"/>
      <c r="AO508" s="75"/>
      <c r="AP508" s="75"/>
      <c r="AQ508" s="75"/>
      <c r="AR508" s="76"/>
      <c r="AT508" s="65"/>
      <c r="AU508" s="77"/>
    </row>
    <row r="509" spans="37:47">
      <c r="AK509" s="12"/>
      <c r="AM509" s="12"/>
      <c r="AN509" s="75"/>
      <c r="AO509" s="75"/>
      <c r="AP509" s="75"/>
      <c r="AQ509" s="75"/>
      <c r="AR509" s="76"/>
      <c r="AT509" s="65"/>
      <c r="AU509" s="77"/>
    </row>
    <row r="510" spans="37:47">
      <c r="AK510" s="12"/>
      <c r="AM510" s="12"/>
      <c r="AN510" s="75"/>
      <c r="AO510" s="75"/>
      <c r="AP510" s="75"/>
      <c r="AQ510" s="75"/>
      <c r="AR510" s="76"/>
      <c r="AT510" s="65"/>
      <c r="AU510" s="77"/>
    </row>
    <row r="511" spans="37:47">
      <c r="AK511" s="12"/>
      <c r="AM511" s="12"/>
      <c r="AN511" s="75"/>
      <c r="AO511" s="75"/>
      <c r="AP511" s="75"/>
      <c r="AQ511" s="75"/>
      <c r="AR511" s="76"/>
      <c r="AT511" s="65"/>
      <c r="AU511" s="77"/>
    </row>
    <row r="512" spans="37:47">
      <c r="AK512" s="12"/>
      <c r="AM512" s="12"/>
      <c r="AN512" s="75"/>
      <c r="AO512" s="75"/>
      <c r="AP512" s="75"/>
      <c r="AQ512" s="75"/>
      <c r="AR512" s="76"/>
      <c r="AT512" s="65"/>
      <c r="AU512" s="77"/>
    </row>
    <row r="513" spans="37:47">
      <c r="AK513" s="12"/>
      <c r="AM513" s="12"/>
      <c r="AN513" s="75"/>
      <c r="AO513" s="75"/>
      <c r="AP513" s="75"/>
      <c r="AQ513" s="75"/>
      <c r="AR513" s="76"/>
      <c r="AT513" s="65"/>
      <c r="AU513" s="77"/>
    </row>
    <row r="514" spans="37:47">
      <c r="AK514" s="12"/>
      <c r="AM514" s="12"/>
      <c r="AN514" s="75"/>
      <c r="AO514" s="75"/>
      <c r="AP514" s="75"/>
      <c r="AQ514" s="75"/>
      <c r="AR514" s="76"/>
      <c r="AT514" s="65"/>
      <c r="AU514" s="77"/>
    </row>
    <row r="515" spans="37:47">
      <c r="AK515" s="12"/>
      <c r="AM515" s="12"/>
      <c r="AN515" s="75"/>
      <c r="AO515" s="75"/>
      <c r="AP515" s="75"/>
      <c r="AQ515" s="75"/>
      <c r="AR515" s="76"/>
      <c r="AT515" s="65"/>
      <c r="AU515" s="77"/>
    </row>
    <row r="516" spans="37:47">
      <c r="AK516" s="12"/>
      <c r="AM516" s="12"/>
      <c r="AN516" s="75"/>
      <c r="AO516" s="75"/>
      <c r="AP516" s="75"/>
      <c r="AQ516" s="75"/>
      <c r="AR516" s="76"/>
      <c r="AT516" s="65"/>
      <c r="AU516" s="77"/>
    </row>
    <row r="517" spans="37:47">
      <c r="AK517" s="12"/>
      <c r="AM517" s="12"/>
      <c r="AN517" s="75"/>
      <c r="AO517" s="75"/>
      <c r="AP517" s="75"/>
      <c r="AQ517" s="75"/>
      <c r="AR517" s="76"/>
      <c r="AT517" s="65"/>
      <c r="AU517" s="77"/>
    </row>
    <row r="518" spans="37:47">
      <c r="AK518" s="12"/>
      <c r="AM518" s="12"/>
      <c r="AN518" s="75"/>
      <c r="AO518" s="75"/>
      <c r="AP518" s="75"/>
      <c r="AQ518" s="75"/>
      <c r="AR518" s="76"/>
      <c r="AT518" s="65"/>
      <c r="AU518" s="77"/>
    </row>
    <row r="519" spans="37:47">
      <c r="AK519" s="12"/>
      <c r="AM519" s="12"/>
      <c r="AN519" s="75"/>
      <c r="AO519" s="75"/>
      <c r="AP519" s="75"/>
      <c r="AQ519" s="75"/>
      <c r="AR519" s="76"/>
      <c r="AT519" s="65"/>
      <c r="AU519" s="77"/>
    </row>
    <row r="520" spans="37:47">
      <c r="AK520" s="12"/>
      <c r="AM520" s="12"/>
      <c r="AN520" s="75"/>
      <c r="AO520" s="75"/>
      <c r="AP520" s="75"/>
      <c r="AQ520" s="75"/>
      <c r="AR520" s="76"/>
      <c r="AT520" s="65"/>
      <c r="AU520" s="77"/>
    </row>
    <row r="521" spans="37:47">
      <c r="AK521" s="12"/>
      <c r="AM521" s="12"/>
      <c r="AN521" s="75"/>
      <c r="AO521" s="75"/>
      <c r="AP521" s="75"/>
      <c r="AQ521" s="75"/>
      <c r="AR521" s="76"/>
      <c r="AT521" s="65"/>
      <c r="AU521" s="77"/>
    </row>
    <row r="522" spans="37:47">
      <c r="AK522" s="12"/>
      <c r="AM522" s="12"/>
      <c r="AN522" s="75"/>
      <c r="AO522" s="75"/>
      <c r="AP522" s="75"/>
      <c r="AQ522" s="75"/>
      <c r="AR522" s="76"/>
      <c r="AT522" s="65"/>
      <c r="AU522" s="77"/>
    </row>
    <row r="523" spans="37:47">
      <c r="AK523" s="12"/>
      <c r="AM523" s="12"/>
      <c r="AN523" s="75"/>
      <c r="AO523" s="75"/>
      <c r="AP523" s="75"/>
      <c r="AQ523" s="75"/>
      <c r="AR523" s="76"/>
      <c r="AT523" s="65"/>
      <c r="AU523" s="77"/>
    </row>
    <row r="524" spans="37:47">
      <c r="AK524" s="12"/>
      <c r="AM524" s="12"/>
      <c r="AN524" s="75"/>
      <c r="AO524" s="75"/>
      <c r="AP524" s="75"/>
      <c r="AQ524" s="75"/>
      <c r="AR524" s="76"/>
      <c r="AT524" s="65"/>
      <c r="AU524" s="77"/>
    </row>
    <row r="525" spans="37:47">
      <c r="AK525" s="12"/>
      <c r="AM525" s="12"/>
      <c r="AN525" s="75"/>
      <c r="AO525" s="75"/>
      <c r="AP525" s="75"/>
      <c r="AQ525" s="75"/>
      <c r="AR525" s="76"/>
      <c r="AT525" s="65"/>
      <c r="AU525" s="77"/>
    </row>
    <row r="526" spans="37:47">
      <c r="AK526" s="12"/>
      <c r="AM526" s="12"/>
      <c r="AN526" s="75"/>
      <c r="AO526" s="75"/>
      <c r="AP526" s="75"/>
      <c r="AQ526" s="75"/>
      <c r="AR526" s="76"/>
      <c r="AT526" s="65"/>
      <c r="AU526" s="77"/>
    </row>
    <row r="527" spans="37:47">
      <c r="AK527" s="12"/>
      <c r="AM527" s="12"/>
      <c r="AN527" s="75"/>
      <c r="AO527" s="75"/>
      <c r="AP527" s="75"/>
      <c r="AQ527" s="75"/>
      <c r="AR527" s="76"/>
      <c r="AT527" s="65"/>
      <c r="AU527" s="77"/>
    </row>
    <row r="528" spans="37:47">
      <c r="AK528" s="12"/>
      <c r="AM528" s="12"/>
      <c r="AN528" s="75"/>
      <c r="AO528" s="75"/>
      <c r="AP528" s="75"/>
      <c r="AQ528" s="75"/>
      <c r="AR528" s="76"/>
      <c r="AT528" s="65"/>
      <c r="AU528" s="77"/>
    </row>
    <row r="529" spans="37:47">
      <c r="AK529" s="12"/>
      <c r="AM529" s="12"/>
      <c r="AN529" s="75"/>
      <c r="AO529" s="75"/>
      <c r="AP529" s="75"/>
      <c r="AQ529" s="75"/>
      <c r="AR529" s="76"/>
      <c r="AT529" s="65"/>
      <c r="AU529" s="77"/>
    </row>
    <row r="530" spans="37:47">
      <c r="AK530" s="12"/>
      <c r="AM530" s="12"/>
      <c r="AN530" s="75"/>
      <c r="AO530" s="75"/>
      <c r="AP530" s="75"/>
      <c r="AQ530" s="75"/>
      <c r="AR530" s="76"/>
      <c r="AT530" s="65"/>
      <c r="AU530" s="77"/>
    </row>
    <row r="531" spans="37:47">
      <c r="AK531" s="12"/>
      <c r="AM531" s="12"/>
      <c r="AN531" s="75"/>
      <c r="AO531" s="75"/>
      <c r="AP531" s="75"/>
      <c r="AQ531" s="75"/>
      <c r="AR531" s="76"/>
      <c r="AT531" s="65"/>
      <c r="AU531" s="77"/>
    </row>
    <row r="532" spans="37:47">
      <c r="AK532" s="12"/>
      <c r="AM532" s="12"/>
      <c r="AN532" s="75"/>
      <c r="AO532" s="75"/>
      <c r="AP532" s="75"/>
      <c r="AQ532" s="75"/>
      <c r="AR532" s="76"/>
      <c r="AT532" s="65"/>
      <c r="AU532" s="77"/>
    </row>
    <row r="533" spans="37:47">
      <c r="AK533" s="12"/>
      <c r="AM533" s="12"/>
      <c r="AN533" s="75"/>
      <c r="AO533" s="75"/>
      <c r="AP533" s="75"/>
      <c r="AQ533" s="75"/>
      <c r="AR533" s="76"/>
      <c r="AT533" s="65"/>
      <c r="AU533" s="77"/>
    </row>
    <row r="534" spans="37:47">
      <c r="AK534" s="12"/>
      <c r="AM534" s="12"/>
      <c r="AN534" s="75"/>
      <c r="AO534" s="75"/>
      <c r="AP534" s="75"/>
      <c r="AQ534" s="75"/>
      <c r="AR534" s="76"/>
      <c r="AT534" s="65"/>
      <c r="AU534" s="77"/>
    </row>
    <row r="535" spans="37:47">
      <c r="AK535" s="12"/>
      <c r="AM535" s="12"/>
      <c r="AN535" s="75"/>
      <c r="AO535" s="75"/>
      <c r="AP535" s="75"/>
      <c r="AQ535" s="75"/>
      <c r="AR535" s="76"/>
      <c r="AT535" s="65"/>
      <c r="AU535" s="77"/>
    </row>
    <row r="536" spans="37:47">
      <c r="AK536" s="12"/>
      <c r="AM536" s="12"/>
      <c r="AN536" s="75"/>
      <c r="AO536" s="75"/>
      <c r="AP536" s="75"/>
      <c r="AQ536" s="75"/>
      <c r="AR536" s="76"/>
      <c r="AT536" s="65"/>
      <c r="AU536" s="77"/>
    </row>
    <row r="537" spans="37:47">
      <c r="AK537" s="12"/>
      <c r="AM537" s="12"/>
      <c r="AN537" s="75"/>
      <c r="AO537" s="75"/>
      <c r="AP537" s="75"/>
      <c r="AQ537" s="75"/>
      <c r="AR537" s="76"/>
      <c r="AT537" s="65"/>
      <c r="AU537" s="77"/>
    </row>
    <row r="538" spans="37:47">
      <c r="AK538" s="12"/>
      <c r="AM538" s="12"/>
      <c r="AN538" s="75"/>
      <c r="AO538" s="75"/>
      <c r="AP538" s="75"/>
      <c r="AQ538" s="75"/>
      <c r="AR538" s="76"/>
      <c r="AT538" s="65"/>
      <c r="AU538" s="77"/>
    </row>
    <row r="539" spans="37:47">
      <c r="AK539" s="12"/>
      <c r="AM539" s="12"/>
      <c r="AN539" s="75"/>
      <c r="AO539" s="75"/>
      <c r="AP539" s="75"/>
      <c r="AQ539" s="75"/>
      <c r="AR539" s="76"/>
      <c r="AT539" s="65"/>
      <c r="AU539" s="77"/>
    </row>
    <row r="540" spans="37:47">
      <c r="AK540" s="12"/>
      <c r="AM540" s="12"/>
      <c r="AN540" s="75"/>
      <c r="AO540" s="75"/>
      <c r="AP540" s="75"/>
      <c r="AQ540" s="75"/>
      <c r="AR540" s="76"/>
      <c r="AT540" s="65"/>
      <c r="AU540" s="77"/>
    </row>
    <row r="541" spans="37:47">
      <c r="AK541" s="12"/>
      <c r="AM541" s="12"/>
      <c r="AN541" s="75"/>
      <c r="AO541" s="75"/>
      <c r="AP541" s="75"/>
      <c r="AQ541" s="75"/>
      <c r="AR541" s="76"/>
      <c r="AT541" s="65"/>
      <c r="AU541" s="77"/>
    </row>
    <row r="542" spans="37:47">
      <c r="AK542" s="12"/>
      <c r="AM542" s="12"/>
      <c r="AN542" s="75"/>
      <c r="AO542" s="75"/>
      <c r="AP542" s="75"/>
      <c r="AQ542" s="75"/>
      <c r="AR542" s="76"/>
      <c r="AT542" s="65"/>
      <c r="AU542" s="77"/>
    </row>
    <row r="543" spans="37:47">
      <c r="AK543" s="12"/>
      <c r="AM543" s="12"/>
      <c r="AN543" s="75"/>
      <c r="AO543" s="75"/>
      <c r="AP543" s="75"/>
      <c r="AQ543" s="75"/>
      <c r="AR543" s="76"/>
      <c r="AT543" s="65"/>
      <c r="AU543" s="77"/>
    </row>
    <row r="544" spans="37:47">
      <c r="AK544" s="12"/>
      <c r="AM544" s="12"/>
      <c r="AN544" s="75"/>
      <c r="AO544" s="75"/>
      <c r="AP544" s="75"/>
      <c r="AQ544" s="75"/>
      <c r="AR544" s="76"/>
      <c r="AT544" s="65"/>
      <c r="AU544" s="77"/>
    </row>
    <row r="545" spans="37:47">
      <c r="AK545" s="12"/>
      <c r="AM545" s="12"/>
      <c r="AN545" s="75"/>
      <c r="AO545" s="75"/>
      <c r="AP545" s="75"/>
      <c r="AQ545" s="75"/>
      <c r="AR545" s="76"/>
      <c r="AT545" s="65"/>
      <c r="AU545" s="77"/>
    </row>
    <row r="546" spans="37:47">
      <c r="AK546" s="12"/>
      <c r="AM546" s="12"/>
      <c r="AN546" s="75"/>
      <c r="AO546" s="75"/>
      <c r="AP546" s="75"/>
      <c r="AQ546" s="75"/>
      <c r="AR546" s="76"/>
      <c r="AT546" s="65"/>
      <c r="AU546" s="77"/>
    </row>
    <row r="547" spans="37:47">
      <c r="AK547" s="12"/>
      <c r="AM547" s="12"/>
      <c r="AN547" s="75"/>
      <c r="AO547" s="75"/>
      <c r="AP547" s="75"/>
      <c r="AQ547" s="75"/>
      <c r="AR547" s="76"/>
      <c r="AT547" s="65"/>
      <c r="AU547" s="77"/>
    </row>
    <row r="548" spans="37:47">
      <c r="AK548" s="12"/>
      <c r="AM548" s="12"/>
      <c r="AN548" s="75"/>
      <c r="AO548" s="75"/>
      <c r="AP548" s="75"/>
      <c r="AQ548" s="75"/>
      <c r="AR548" s="76"/>
      <c r="AT548" s="65"/>
      <c r="AU548" s="77"/>
    </row>
    <row r="549" spans="37:47">
      <c r="AK549" s="12"/>
      <c r="AM549" s="12"/>
      <c r="AN549" s="75"/>
      <c r="AO549" s="75"/>
      <c r="AP549" s="75"/>
      <c r="AQ549" s="75"/>
      <c r="AR549" s="76"/>
      <c r="AT549" s="65"/>
      <c r="AU549" s="77"/>
    </row>
    <row r="550" spans="37:47">
      <c r="AK550" s="12"/>
      <c r="AM550" s="12"/>
      <c r="AN550" s="75"/>
      <c r="AO550" s="75"/>
      <c r="AP550" s="75"/>
      <c r="AQ550" s="75"/>
      <c r="AR550" s="76"/>
      <c r="AT550" s="65"/>
      <c r="AU550" s="77"/>
    </row>
    <row r="551" spans="37:47">
      <c r="AK551" s="12"/>
      <c r="AM551" s="12"/>
      <c r="AN551" s="75"/>
      <c r="AO551" s="75"/>
      <c r="AP551" s="75"/>
      <c r="AQ551" s="75"/>
      <c r="AR551" s="76"/>
      <c r="AT551" s="65"/>
      <c r="AU551" s="77"/>
    </row>
    <row r="552" spans="37:47">
      <c r="AK552" s="12"/>
      <c r="AM552" s="12"/>
      <c r="AN552" s="75"/>
      <c r="AO552" s="75"/>
      <c r="AP552" s="75"/>
      <c r="AQ552" s="75"/>
      <c r="AR552" s="76"/>
      <c r="AT552" s="65"/>
      <c r="AU552" s="77"/>
    </row>
    <row r="553" spans="37:47">
      <c r="AK553" s="12"/>
      <c r="AM553" s="12"/>
      <c r="AN553" s="75"/>
      <c r="AO553" s="75"/>
      <c r="AP553" s="75"/>
      <c r="AQ553" s="75"/>
      <c r="AR553" s="76"/>
      <c r="AT553" s="65"/>
      <c r="AU553" s="77"/>
    </row>
    <row r="554" spans="37:47">
      <c r="AK554" s="12"/>
      <c r="AM554" s="12"/>
      <c r="AN554" s="75"/>
      <c r="AO554" s="75"/>
      <c r="AP554" s="75"/>
      <c r="AQ554" s="75"/>
      <c r="AR554" s="76"/>
      <c r="AT554" s="65"/>
      <c r="AU554" s="77"/>
    </row>
    <row r="555" spans="37:47">
      <c r="AK555" s="12"/>
      <c r="AM555" s="12"/>
      <c r="AN555" s="75"/>
      <c r="AO555" s="75"/>
      <c r="AP555" s="75"/>
      <c r="AQ555" s="75"/>
      <c r="AR555" s="76"/>
      <c r="AT555" s="65"/>
      <c r="AU555" s="77"/>
    </row>
    <row r="556" spans="37:47">
      <c r="AK556" s="12"/>
      <c r="AM556" s="12"/>
      <c r="AN556" s="75"/>
      <c r="AO556" s="75"/>
      <c r="AP556" s="75"/>
      <c r="AQ556" s="75"/>
      <c r="AR556" s="76"/>
      <c r="AT556" s="65"/>
      <c r="AU556" s="77"/>
    </row>
    <row r="557" spans="37:47">
      <c r="AK557" s="12"/>
      <c r="AM557" s="12"/>
      <c r="AN557" s="75"/>
      <c r="AO557" s="75"/>
      <c r="AP557" s="75"/>
      <c r="AQ557" s="75"/>
      <c r="AR557" s="76"/>
      <c r="AT557" s="65"/>
      <c r="AU557" s="77"/>
    </row>
    <row r="558" spans="37:47">
      <c r="AK558" s="12"/>
      <c r="AM558" s="12"/>
      <c r="AN558" s="75"/>
      <c r="AO558" s="75"/>
      <c r="AP558" s="75"/>
      <c r="AQ558" s="75"/>
      <c r="AR558" s="76"/>
      <c r="AT558" s="65"/>
      <c r="AU558" s="77"/>
    </row>
    <row r="559" spans="37:47">
      <c r="AK559" s="12"/>
      <c r="AM559" s="12"/>
      <c r="AN559" s="75"/>
      <c r="AO559" s="75"/>
      <c r="AP559" s="75"/>
      <c r="AQ559" s="75"/>
      <c r="AR559" s="76"/>
      <c r="AT559" s="65"/>
      <c r="AU559" s="77"/>
    </row>
    <row r="560" spans="37:47">
      <c r="AK560" s="12"/>
      <c r="AM560" s="12"/>
      <c r="AN560" s="75"/>
      <c r="AO560" s="75"/>
      <c r="AP560" s="75"/>
      <c r="AQ560" s="75"/>
      <c r="AR560" s="76"/>
      <c r="AT560" s="65"/>
      <c r="AU560" s="77"/>
    </row>
    <row r="561" spans="37:47">
      <c r="AK561" s="12"/>
      <c r="AM561" s="12"/>
      <c r="AN561" s="75"/>
      <c r="AO561" s="75"/>
      <c r="AP561" s="75"/>
      <c r="AQ561" s="75"/>
      <c r="AR561" s="76"/>
      <c r="AT561" s="65"/>
      <c r="AU561" s="77"/>
    </row>
    <row r="562" spans="37:47">
      <c r="AK562" s="12"/>
      <c r="AM562" s="12"/>
      <c r="AN562" s="75"/>
      <c r="AO562" s="75"/>
      <c r="AP562" s="75"/>
      <c r="AQ562" s="75"/>
      <c r="AR562" s="76"/>
      <c r="AT562" s="65"/>
      <c r="AU562" s="77"/>
    </row>
    <row r="563" spans="37:47">
      <c r="AK563" s="12"/>
      <c r="AM563" s="12"/>
      <c r="AN563" s="75"/>
      <c r="AO563" s="75"/>
      <c r="AP563" s="75"/>
      <c r="AQ563" s="75"/>
      <c r="AR563" s="76"/>
      <c r="AT563" s="65"/>
      <c r="AU563" s="77"/>
    </row>
    <row r="564" spans="37:47">
      <c r="AK564" s="12"/>
      <c r="AM564" s="12"/>
      <c r="AN564" s="75"/>
      <c r="AO564" s="75"/>
      <c r="AP564" s="75"/>
      <c r="AQ564" s="75"/>
      <c r="AR564" s="76"/>
      <c r="AT564" s="65"/>
      <c r="AU564" s="77"/>
    </row>
    <row r="565" spans="37:47">
      <c r="AK565" s="12"/>
      <c r="AM565" s="12"/>
      <c r="AN565" s="75"/>
      <c r="AO565" s="75"/>
      <c r="AP565" s="75"/>
      <c r="AQ565" s="75"/>
      <c r="AR565" s="76"/>
      <c r="AT565" s="65"/>
      <c r="AU565" s="77"/>
    </row>
    <row r="566" spans="37:47">
      <c r="AK566" s="12"/>
      <c r="AM566" s="12"/>
      <c r="AN566" s="75"/>
      <c r="AO566" s="75"/>
      <c r="AP566" s="75"/>
      <c r="AQ566" s="75"/>
      <c r="AR566" s="76"/>
      <c r="AT566" s="65"/>
      <c r="AU566" s="77"/>
    </row>
    <row r="567" spans="37:47">
      <c r="AK567" s="12"/>
      <c r="AM567" s="12"/>
      <c r="AN567" s="75"/>
      <c r="AO567" s="75"/>
      <c r="AP567" s="75"/>
      <c r="AQ567" s="75"/>
      <c r="AR567" s="76"/>
      <c r="AT567" s="65"/>
      <c r="AU567" s="77"/>
    </row>
    <row r="568" spans="37:47">
      <c r="AK568" s="12"/>
      <c r="AM568" s="12"/>
      <c r="AN568" s="75"/>
      <c r="AO568" s="75"/>
      <c r="AP568" s="75"/>
      <c r="AQ568" s="75"/>
      <c r="AR568" s="76"/>
      <c r="AT568" s="65"/>
      <c r="AU568" s="77"/>
    </row>
    <row r="569" spans="37:47">
      <c r="AK569" s="12"/>
      <c r="AM569" s="12"/>
      <c r="AN569" s="75"/>
      <c r="AO569" s="75"/>
      <c r="AP569" s="75"/>
      <c r="AQ569" s="75"/>
      <c r="AR569" s="76"/>
      <c r="AT569" s="65"/>
      <c r="AU569" s="77"/>
    </row>
    <row r="570" spans="37:47">
      <c r="AK570" s="12"/>
      <c r="AM570" s="12"/>
      <c r="AN570" s="75"/>
      <c r="AO570" s="75"/>
      <c r="AP570" s="75"/>
      <c r="AQ570" s="75"/>
      <c r="AR570" s="76"/>
      <c r="AT570" s="65"/>
      <c r="AU570" s="77"/>
    </row>
    <row r="571" spans="37:47">
      <c r="AK571" s="12"/>
      <c r="AM571" s="12"/>
      <c r="AN571" s="75"/>
      <c r="AO571" s="75"/>
      <c r="AP571" s="75"/>
      <c r="AQ571" s="75"/>
      <c r="AR571" s="76"/>
      <c r="AT571" s="65"/>
      <c r="AU571" s="77"/>
    </row>
    <row r="572" spans="37:47">
      <c r="AK572" s="12"/>
      <c r="AM572" s="12"/>
      <c r="AN572" s="75"/>
      <c r="AO572" s="75"/>
      <c r="AP572" s="75"/>
      <c r="AQ572" s="75"/>
      <c r="AR572" s="76"/>
      <c r="AT572" s="65"/>
      <c r="AU572" s="77"/>
    </row>
    <row r="573" spans="37:47">
      <c r="AK573" s="12"/>
      <c r="AM573" s="12"/>
      <c r="AN573" s="75"/>
      <c r="AO573" s="75"/>
      <c r="AP573" s="75"/>
      <c r="AQ573" s="75"/>
      <c r="AR573" s="76"/>
      <c r="AT573" s="65"/>
      <c r="AU573" s="77"/>
    </row>
    <row r="574" spans="37:47">
      <c r="AK574" s="12"/>
      <c r="AM574" s="12"/>
      <c r="AN574" s="75"/>
      <c r="AO574" s="75"/>
      <c r="AP574" s="75"/>
      <c r="AQ574" s="75"/>
      <c r="AR574" s="76"/>
      <c r="AT574" s="65"/>
      <c r="AU574" s="77"/>
    </row>
    <row r="575" spans="37:47">
      <c r="AK575" s="12"/>
      <c r="AM575" s="12"/>
      <c r="AN575" s="75"/>
      <c r="AO575" s="75"/>
      <c r="AP575" s="75"/>
      <c r="AQ575" s="75"/>
      <c r="AR575" s="76"/>
      <c r="AT575" s="65"/>
      <c r="AU575" s="77"/>
    </row>
    <row r="576" spans="37:47">
      <c r="AK576" s="12"/>
      <c r="AM576" s="12"/>
      <c r="AN576" s="75"/>
      <c r="AO576" s="75"/>
      <c r="AP576" s="75"/>
      <c r="AQ576" s="75"/>
      <c r="AR576" s="76"/>
      <c r="AT576" s="65"/>
      <c r="AU576" s="77"/>
    </row>
    <row r="577" spans="37:47">
      <c r="AK577" s="12"/>
      <c r="AM577" s="12"/>
      <c r="AN577" s="75"/>
      <c r="AO577" s="75"/>
      <c r="AP577" s="75"/>
      <c r="AQ577" s="75"/>
      <c r="AR577" s="76"/>
      <c r="AT577" s="65"/>
      <c r="AU577" s="77"/>
    </row>
    <row r="578" spans="37:47">
      <c r="AK578" s="12"/>
      <c r="AM578" s="12"/>
      <c r="AN578" s="75"/>
      <c r="AO578" s="75"/>
      <c r="AP578" s="75"/>
      <c r="AQ578" s="75"/>
      <c r="AR578" s="76"/>
      <c r="AT578" s="65"/>
      <c r="AU578" s="77"/>
    </row>
    <row r="579" spans="37:47">
      <c r="AK579" s="12"/>
      <c r="AM579" s="12"/>
      <c r="AN579" s="75"/>
      <c r="AO579" s="75"/>
      <c r="AP579" s="75"/>
      <c r="AQ579" s="75"/>
      <c r="AR579" s="76"/>
      <c r="AT579" s="65"/>
      <c r="AU579" s="77"/>
    </row>
    <row r="580" spans="37:47">
      <c r="AK580" s="12"/>
      <c r="AM580" s="12"/>
      <c r="AN580" s="75"/>
      <c r="AO580" s="75"/>
      <c r="AP580" s="75"/>
      <c r="AQ580" s="75"/>
      <c r="AR580" s="76"/>
      <c r="AT580" s="65"/>
      <c r="AU580" s="77"/>
    </row>
    <row r="581" spans="37:47">
      <c r="AK581" s="12"/>
      <c r="AM581" s="12"/>
      <c r="AN581" s="75"/>
      <c r="AO581" s="75"/>
      <c r="AP581" s="75"/>
      <c r="AQ581" s="75"/>
      <c r="AR581" s="76"/>
      <c r="AT581" s="65"/>
      <c r="AU581" s="77"/>
    </row>
    <row r="582" spans="37:47">
      <c r="AK582" s="12"/>
      <c r="AM582" s="12"/>
      <c r="AN582" s="75"/>
      <c r="AO582" s="75"/>
      <c r="AP582" s="75"/>
      <c r="AQ582" s="75"/>
      <c r="AR582" s="76"/>
      <c r="AT582" s="65"/>
      <c r="AU582" s="77"/>
    </row>
    <row r="583" spans="37:47">
      <c r="AK583" s="12"/>
      <c r="AM583" s="12"/>
      <c r="AN583" s="75"/>
      <c r="AO583" s="75"/>
      <c r="AP583" s="75"/>
      <c r="AQ583" s="75"/>
      <c r="AR583" s="76"/>
      <c r="AT583" s="65"/>
      <c r="AU583" s="77"/>
    </row>
    <row r="584" spans="37:47">
      <c r="AK584" s="12"/>
      <c r="AM584" s="12"/>
      <c r="AN584" s="75"/>
      <c r="AO584" s="75"/>
      <c r="AP584" s="75"/>
      <c r="AQ584" s="75"/>
      <c r="AR584" s="76"/>
      <c r="AT584" s="65"/>
      <c r="AU584" s="77"/>
    </row>
    <row r="585" spans="37:47">
      <c r="AK585" s="12"/>
      <c r="AM585" s="12"/>
      <c r="AN585" s="75"/>
      <c r="AO585" s="75"/>
      <c r="AP585" s="75"/>
      <c r="AQ585" s="75"/>
      <c r="AR585" s="76"/>
      <c r="AT585" s="65"/>
      <c r="AU585" s="77"/>
    </row>
    <row r="586" spans="37:47">
      <c r="AK586" s="12"/>
      <c r="AM586" s="12"/>
      <c r="AN586" s="75"/>
      <c r="AO586" s="75"/>
      <c r="AP586" s="75"/>
      <c r="AQ586" s="75"/>
      <c r="AR586" s="76"/>
      <c r="AT586" s="65"/>
      <c r="AU586" s="77"/>
    </row>
    <row r="587" spans="37:47">
      <c r="AK587" s="12"/>
      <c r="AM587" s="12"/>
      <c r="AN587" s="75"/>
      <c r="AO587" s="75"/>
      <c r="AP587" s="75"/>
      <c r="AQ587" s="75"/>
      <c r="AR587" s="76"/>
      <c r="AT587" s="65"/>
      <c r="AU587" s="77"/>
    </row>
    <row r="588" spans="37:47">
      <c r="AK588" s="12"/>
      <c r="AM588" s="12"/>
      <c r="AN588" s="75"/>
      <c r="AO588" s="75"/>
      <c r="AP588" s="75"/>
      <c r="AQ588" s="75"/>
      <c r="AR588" s="76"/>
      <c r="AT588" s="65"/>
      <c r="AU588" s="77"/>
    </row>
    <row r="589" spans="37:47">
      <c r="AK589" s="12"/>
      <c r="AM589" s="12"/>
      <c r="AN589" s="75"/>
      <c r="AO589" s="75"/>
      <c r="AP589" s="75"/>
      <c r="AQ589" s="75"/>
      <c r="AR589" s="76"/>
      <c r="AT589" s="65"/>
      <c r="AU589" s="77"/>
    </row>
    <row r="590" spans="37:47">
      <c r="AK590" s="12"/>
      <c r="AM590" s="12"/>
      <c r="AN590" s="75"/>
      <c r="AO590" s="75"/>
      <c r="AP590" s="75"/>
      <c r="AQ590" s="75"/>
      <c r="AR590" s="76"/>
      <c r="AT590" s="65"/>
      <c r="AU590" s="77"/>
    </row>
    <row r="591" spans="37:47">
      <c r="AK591" s="12"/>
      <c r="AM591" s="12"/>
      <c r="AN591" s="75"/>
      <c r="AO591" s="75"/>
      <c r="AP591" s="75"/>
      <c r="AQ591" s="75"/>
      <c r="AR591" s="76"/>
      <c r="AT591" s="65"/>
      <c r="AU591" s="77"/>
    </row>
    <row r="592" spans="37:47">
      <c r="AK592" s="12"/>
      <c r="AM592" s="12"/>
      <c r="AN592" s="75"/>
      <c r="AO592" s="75"/>
      <c r="AP592" s="75"/>
      <c r="AQ592" s="75"/>
      <c r="AR592" s="76"/>
      <c r="AT592" s="65"/>
      <c r="AU592" s="77"/>
    </row>
    <row r="593" spans="37:47">
      <c r="AK593" s="12"/>
      <c r="AM593" s="12"/>
      <c r="AN593" s="75"/>
      <c r="AO593" s="75"/>
      <c r="AP593" s="75"/>
      <c r="AQ593" s="75"/>
      <c r="AR593" s="76"/>
      <c r="AT593" s="65"/>
      <c r="AU593" s="77"/>
    </row>
    <row r="594" spans="37:47">
      <c r="AK594" s="12"/>
      <c r="AM594" s="12"/>
      <c r="AN594" s="75"/>
      <c r="AO594" s="75"/>
      <c r="AP594" s="75"/>
      <c r="AQ594" s="75"/>
      <c r="AR594" s="76"/>
      <c r="AT594" s="65"/>
      <c r="AU594" s="77"/>
    </row>
    <row r="595" spans="37:47">
      <c r="AK595" s="12"/>
      <c r="AM595" s="12"/>
      <c r="AN595" s="75"/>
      <c r="AO595" s="75"/>
      <c r="AP595" s="75"/>
      <c r="AQ595" s="75"/>
      <c r="AR595" s="76"/>
      <c r="AT595" s="65"/>
      <c r="AU595" s="77"/>
    </row>
    <row r="596" spans="37:47">
      <c r="AK596" s="12"/>
      <c r="AM596" s="12"/>
      <c r="AN596" s="75"/>
      <c r="AO596" s="75"/>
      <c r="AP596" s="75"/>
      <c r="AQ596" s="75"/>
      <c r="AR596" s="76"/>
      <c r="AT596" s="65"/>
      <c r="AU596" s="77"/>
    </row>
    <row r="597" spans="37:47">
      <c r="AK597" s="12"/>
      <c r="AM597" s="12"/>
      <c r="AN597" s="75"/>
      <c r="AO597" s="75"/>
      <c r="AP597" s="75"/>
      <c r="AQ597" s="75"/>
      <c r="AR597" s="76"/>
      <c r="AT597" s="65"/>
      <c r="AU597" s="77"/>
    </row>
    <row r="598" spans="37:47">
      <c r="AK598" s="12"/>
      <c r="AM598" s="12"/>
      <c r="AN598" s="75"/>
      <c r="AO598" s="75"/>
      <c r="AP598" s="75"/>
      <c r="AQ598" s="75"/>
      <c r="AR598" s="76"/>
      <c r="AT598" s="65"/>
      <c r="AU598" s="77"/>
    </row>
    <row r="599" spans="37:47">
      <c r="AK599" s="12"/>
      <c r="AM599" s="12"/>
      <c r="AN599" s="75"/>
      <c r="AO599" s="75"/>
      <c r="AP599" s="75"/>
      <c r="AQ599" s="75"/>
      <c r="AR599" s="76"/>
      <c r="AT599" s="65"/>
      <c r="AU599" s="77"/>
    </row>
    <row r="600" spans="37:47">
      <c r="AK600" s="12"/>
      <c r="AM600" s="12"/>
      <c r="AN600" s="75"/>
      <c r="AO600" s="75"/>
      <c r="AP600" s="75"/>
      <c r="AQ600" s="75"/>
      <c r="AR600" s="76"/>
      <c r="AT600" s="65"/>
      <c r="AU600" s="77"/>
    </row>
    <row r="601" spans="37:47">
      <c r="AK601" s="12"/>
      <c r="AM601" s="12"/>
      <c r="AN601" s="75"/>
      <c r="AO601" s="75"/>
      <c r="AP601" s="75"/>
      <c r="AQ601" s="75"/>
      <c r="AR601" s="76"/>
      <c r="AT601" s="65"/>
      <c r="AU601" s="77"/>
    </row>
    <row r="602" spans="37:47">
      <c r="AK602" s="12"/>
      <c r="AM602" s="12"/>
      <c r="AN602" s="75"/>
      <c r="AO602" s="75"/>
      <c r="AP602" s="75"/>
      <c r="AQ602" s="75"/>
      <c r="AR602" s="76"/>
      <c r="AT602" s="65"/>
      <c r="AU602" s="77"/>
    </row>
    <row r="603" spans="37:47">
      <c r="AK603" s="12"/>
      <c r="AM603" s="12"/>
      <c r="AN603" s="75"/>
      <c r="AO603" s="75"/>
      <c r="AP603" s="75"/>
      <c r="AQ603" s="75"/>
      <c r="AR603" s="76"/>
      <c r="AT603" s="65"/>
      <c r="AU603" s="77"/>
    </row>
    <row r="604" spans="37:47">
      <c r="AK604" s="12"/>
      <c r="AM604" s="12"/>
      <c r="AN604" s="75"/>
      <c r="AO604" s="75"/>
      <c r="AP604" s="75"/>
      <c r="AQ604" s="75"/>
      <c r="AR604" s="76"/>
      <c r="AT604" s="65"/>
      <c r="AU604" s="77"/>
    </row>
    <row r="605" spans="37:47">
      <c r="AK605" s="12"/>
      <c r="AM605" s="12"/>
      <c r="AN605" s="75"/>
      <c r="AO605" s="75"/>
      <c r="AP605" s="75"/>
      <c r="AQ605" s="75"/>
      <c r="AR605" s="76"/>
      <c r="AT605" s="65"/>
      <c r="AU605" s="77"/>
    </row>
    <row r="606" spans="37:47">
      <c r="AK606" s="12"/>
      <c r="AM606" s="12"/>
      <c r="AN606" s="75"/>
      <c r="AO606" s="75"/>
      <c r="AP606" s="75"/>
      <c r="AQ606" s="75"/>
      <c r="AR606" s="76"/>
      <c r="AT606" s="65"/>
      <c r="AU606" s="77"/>
    </row>
    <row r="607" spans="37:47">
      <c r="AK607" s="12"/>
      <c r="AM607" s="12"/>
      <c r="AN607" s="75"/>
      <c r="AO607" s="75"/>
      <c r="AP607" s="75"/>
      <c r="AQ607" s="75"/>
      <c r="AR607" s="76"/>
      <c r="AT607" s="65"/>
      <c r="AU607" s="77"/>
    </row>
    <row r="608" spans="37:47">
      <c r="AK608" s="12"/>
      <c r="AM608" s="12"/>
      <c r="AN608" s="75"/>
      <c r="AO608" s="75"/>
      <c r="AP608" s="75"/>
      <c r="AQ608" s="75"/>
      <c r="AR608" s="76"/>
      <c r="AT608" s="65"/>
      <c r="AU608" s="77"/>
    </row>
    <row r="609" spans="37:47">
      <c r="AK609" s="12"/>
      <c r="AM609" s="12"/>
      <c r="AN609" s="75"/>
      <c r="AO609" s="75"/>
      <c r="AP609" s="75"/>
      <c r="AQ609" s="75"/>
      <c r="AR609" s="76"/>
      <c r="AT609" s="65"/>
      <c r="AU609" s="77"/>
    </row>
    <row r="610" spans="37:47">
      <c r="AK610" s="12"/>
      <c r="AM610" s="12"/>
      <c r="AN610" s="75"/>
      <c r="AO610" s="75"/>
      <c r="AP610" s="75"/>
      <c r="AQ610" s="75"/>
      <c r="AR610" s="76"/>
      <c r="AT610" s="65"/>
      <c r="AU610" s="77"/>
    </row>
    <row r="611" spans="37:47">
      <c r="AK611" s="12"/>
      <c r="AM611" s="12"/>
      <c r="AN611" s="75"/>
      <c r="AO611" s="75"/>
      <c r="AP611" s="75"/>
      <c r="AQ611" s="75"/>
      <c r="AR611" s="76"/>
      <c r="AT611" s="65"/>
      <c r="AU611" s="77"/>
    </row>
    <row r="612" spans="37:47">
      <c r="AK612" s="12"/>
      <c r="AM612" s="12"/>
      <c r="AN612" s="75"/>
      <c r="AO612" s="75"/>
      <c r="AP612" s="75"/>
      <c r="AQ612" s="75"/>
      <c r="AR612" s="76"/>
      <c r="AT612" s="65"/>
      <c r="AU612" s="77"/>
    </row>
    <row r="613" spans="37:47">
      <c r="AK613" s="12"/>
      <c r="AM613" s="12"/>
      <c r="AN613" s="75"/>
      <c r="AO613" s="75"/>
      <c r="AP613" s="75"/>
      <c r="AQ613" s="75"/>
      <c r="AR613" s="76"/>
      <c r="AT613" s="65"/>
      <c r="AU613" s="77"/>
    </row>
    <row r="614" spans="37:47">
      <c r="AK614" s="12"/>
      <c r="AM614" s="12"/>
      <c r="AN614" s="75"/>
      <c r="AO614" s="75"/>
      <c r="AP614" s="75"/>
      <c r="AQ614" s="75"/>
      <c r="AR614" s="76"/>
      <c r="AT614" s="65"/>
      <c r="AU614" s="77"/>
    </row>
    <row r="615" spans="37:47">
      <c r="AK615" s="12"/>
      <c r="AM615" s="12"/>
      <c r="AN615" s="75"/>
      <c r="AO615" s="75"/>
      <c r="AP615" s="75"/>
      <c r="AQ615" s="75"/>
      <c r="AR615" s="76"/>
      <c r="AT615" s="65"/>
      <c r="AU615" s="77"/>
    </row>
    <row r="616" spans="37:47">
      <c r="AK616" s="12"/>
      <c r="AM616" s="12"/>
      <c r="AN616" s="75"/>
      <c r="AO616" s="75"/>
      <c r="AP616" s="75"/>
      <c r="AQ616" s="75"/>
      <c r="AR616" s="76"/>
      <c r="AT616" s="65"/>
      <c r="AU616" s="77"/>
    </row>
    <row r="617" spans="37:47">
      <c r="AK617" s="12"/>
      <c r="AM617" s="12"/>
      <c r="AN617" s="75"/>
      <c r="AO617" s="75"/>
      <c r="AP617" s="75"/>
      <c r="AQ617" s="75"/>
      <c r="AR617" s="76"/>
      <c r="AT617" s="65"/>
      <c r="AU617" s="77"/>
    </row>
    <row r="618" spans="37:47">
      <c r="AK618" s="12"/>
      <c r="AM618" s="12"/>
      <c r="AN618" s="75"/>
      <c r="AO618" s="75"/>
      <c r="AP618" s="75"/>
      <c r="AQ618" s="75"/>
      <c r="AR618" s="76"/>
      <c r="AT618" s="65"/>
      <c r="AU618" s="77"/>
    </row>
    <row r="619" spans="37:47">
      <c r="AK619" s="12"/>
      <c r="AM619" s="12"/>
      <c r="AN619" s="75"/>
      <c r="AO619" s="75"/>
      <c r="AP619" s="75"/>
      <c r="AQ619" s="75"/>
      <c r="AR619" s="76"/>
      <c r="AT619" s="65"/>
      <c r="AU619" s="77"/>
    </row>
    <row r="620" spans="37:47">
      <c r="AK620" s="12"/>
      <c r="AM620" s="12"/>
      <c r="AN620" s="75"/>
      <c r="AO620" s="75"/>
      <c r="AP620" s="75"/>
      <c r="AQ620" s="75"/>
      <c r="AR620" s="76"/>
      <c r="AT620" s="65"/>
      <c r="AU620" s="77"/>
    </row>
    <row r="621" spans="37:47">
      <c r="AK621" s="12"/>
      <c r="AM621" s="12"/>
      <c r="AN621" s="75"/>
      <c r="AO621" s="75"/>
      <c r="AP621" s="75"/>
      <c r="AQ621" s="75"/>
      <c r="AR621" s="76"/>
      <c r="AT621" s="65"/>
      <c r="AU621" s="77"/>
    </row>
    <row r="622" spans="37:47">
      <c r="AK622" s="12"/>
      <c r="AM622" s="12"/>
      <c r="AN622" s="75"/>
      <c r="AO622" s="75"/>
      <c r="AP622" s="75"/>
      <c r="AQ622" s="75"/>
      <c r="AR622" s="76"/>
      <c r="AT622" s="65"/>
      <c r="AU622" s="77"/>
    </row>
    <row r="623" spans="37:47">
      <c r="AK623" s="12"/>
      <c r="AM623" s="12"/>
      <c r="AN623" s="75"/>
      <c r="AO623" s="75"/>
      <c r="AP623" s="75"/>
      <c r="AQ623" s="75"/>
      <c r="AR623" s="76"/>
      <c r="AT623" s="65"/>
      <c r="AU623" s="77"/>
    </row>
    <row r="624" spans="37:47">
      <c r="AK624" s="12"/>
      <c r="AM624" s="12"/>
      <c r="AN624" s="75"/>
      <c r="AO624" s="75"/>
      <c r="AP624" s="75"/>
      <c r="AQ624" s="75"/>
      <c r="AR624" s="76"/>
      <c r="AT624" s="65"/>
      <c r="AU624" s="77"/>
    </row>
    <row r="625" spans="37:47">
      <c r="AK625" s="12"/>
      <c r="AM625" s="12"/>
      <c r="AN625" s="75"/>
      <c r="AO625" s="75"/>
      <c r="AP625" s="75"/>
      <c r="AQ625" s="75"/>
      <c r="AR625" s="76"/>
      <c r="AT625" s="65"/>
      <c r="AU625" s="77"/>
    </row>
    <row r="626" spans="37:47">
      <c r="AK626" s="12"/>
      <c r="AM626" s="12"/>
      <c r="AN626" s="75"/>
      <c r="AO626" s="75"/>
      <c r="AP626" s="75"/>
      <c r="AQ626" s="75"/>
      <c r="AR626" s="76"/>
      <c r="AT626" s="65"/>
      <c r="AU626" s="77"/>
    </row>
    <row r="627" spans="37:47">
      <c r="AK627" s="12"/>
      <c r="AM627" s="12"/>
      <c r="AN627" s="75"/>
      <c r="AO627" s="75"/>
      <c r="AP627" s="75"/>
      <c r="AQ627" s="75"/>
      <c r="AR627" s="76"/>
      <c r="AT627" s="65"/>
      <c r="AU627" s="77"/>
    </row>
    <row r="628" spans="37:47">
      <c r="AK628" s="12"/>
      <c r="AM628" s="12"/>
      <c r="AN628" s="75"/>
      <c r="AO628" s="75"/>
      <c r="AP628" s="75"/>
      <c r="AQ628" s="75"/>
      <c r="AR628" s="76"/>
      <c r="AT628" s="65"/>
      <c r="AU628" s="77"/>
    </row>
    <row r="629" spans="37:47">
      <c r="AK629" s="12"/>
      <c r="AM629" s="12"/>
      <c r="AN629" s="75"/>
      <c r="AO629" s="75"/>
      <c r="AP629" s="75"/>
      <c r="AQ629" s="75"/>
      <c r="AR629" s="76"/>
      <c r="AT629" s="65"/>
      <c r="AU629" s="77"/>
    </row>
    <row r="630" spans="37:47">
      <c r="AK630" s="12"/>
      <c r="AM630" s="12"/>
      <c r="AN630" s="75"/>
      <c r="AO630" s="75"/>
      <c r="AP630" s="75"/>
      <c r="AQ630" s="75"/>
      <c r="AR630" s="76"/>
      <c r="AT630" s="65"/>
      <c r="AU630" s="77"/>
    </row>
    <row r="631" spans="37:47">
      <c r="AK631" s="12"/>
      <c r="AM631" s="12"/>
      <c r="AN631" s="75"/>
      <c r="AO631" s="75"/>
      <c r="AP631" s="75"/>
      <c r="AQ631" s="75"/>
      <c r="AR631" s="76"/>
      <c r="AT631" s="65"/>
      <c r="AU631" s="77"/>
    </row>
    <row r="632" spans="37:47">
      <c r="AK632" s="12"/>
      <c r="AM632" s="12"/>
      <c r="AN632" s="75"/>
      <c r="AO632" s="75"/>
      <c r="AP632" s="75"/>
      <c r="AQ632" s="75"/>
      <c r="AR632" s="76"/>
      <c r="AT632" s="65"/>
      <c r="AU632" s="77"/>
    </row>
    <row r="633" spans="37:47">
      <c r="AK633" s="12"/>
      <c r="AM633" s="12"/>
      <c r="AN633" s="75"/>
      <c r="AO633" s="75"/>
      <c r="AP633" s="75"/>
      <c r="AQ633" s="75"/>
      <c r="AR633" s="76"/>
      <c r="AT633" s="65"/>
      <c r="AU633" s="77"/>
    </row>
    <row r="634" spans="37:47">
      <c r="AK634" s="12"/>
      <c r="AM634" s="12"/>
      <c r="AN634" s="75"/>
      <c r="AO634" s="75"/>
      <c r="AP634" s="75"/>
      <c r="AQ634" s="75"/>
      <c r="AR634" s="76"/>
      <c r="AT634" s="65"/>
      <c r="AU634" s="77"/>
    </row>
    <row r="635" spans="37:47">
      <c r="AK635" s="12"/>
      <c r="AM635" s="12"/>
      <c r="AN635" s="75"/>
      <c r="AO635" s="75"/>
      <c r="AP635" s="75"/>
      <c r="AQ635" s="75"/>
      <c r="AR635" s="76"/>
      <c r="AT635" s="65"/>
      <c r="AU635" s="77"/>
    </row>
    <row r="636" spans="37:47">
      <c r="AK636" s="12"/>
      <c r="AM636" s="12"/>
      <c r="AN636" s="75"/>
      <c r="AO636" s="75"/>
      <c r="AP636" s="75"/>
      <c r="AQ636" s="75"/>
      <c r="AR636" s="76"/>
      <c r="AT636" s="65"/>
      <c r="AU636" s="77"/>
    </row>
    <row r="637" spans="37:47">
      <c r="AK637" s="12"/>
      <c r="AM637" s="12"/>
      <c r="AN637" s="75"/>
      <c r="AO637" s="75"/>
      <c r="AP637" s="75"/>
      <c r="AQ637" s="75"/>
      <c r="AR637" s="76"/>
      <c r="AT637" s="65"/>
      <c r="AU637" s="77"/>
    </row>
    <row r="638" spans="37:47">
      <c r="AK638" s="12"/>
      <c r="AM638" s="12"/>
      <c r="AN638" s="75"/>
      <c r="AO638" s="75"/>
      <c r="AP638" s="75"/>
      <c r="AQ638" s="75"/>
      <c r="AR638" s="76"/>
      <c r="AT638" s="65"/>
      <c r="AU638" s="77"/>
    </row>
    <row r="639" spans="37:47">
      <c r="AK639" s="12"/>
      <c r="AM639" s="12"/>
      <c r="AN639" s="75"/>
      <c r="AO639" s="75"/>
      <c r="AP639" s="75"/>
      <c r="AQ639" s="75"/>
      <c r="AR639" s="76"/>
      <c r="AT639" s="65"/>
      <c r="AU639" s="77"/>
    </row>
    <row r="640" spans="37:47">
      <c r="AK640" s="12"/>
      <c r="AM640" s="12"/>
      <c r="AN640" s="75"/>
      <c r="AO640" s="75"/>
      <c r="AP640" s="75"/>
      <c r="AQ640" s="75"/>
      <c r="AR640" s="76"/>
      <c r="AT640" s="65"/>
      <c r="AU640" s="77"/>
    </row>
    <row r="641" spans="37:47">
      <c r="AK641" s="12"/>
      <c r="AM641" s="12"/>
      <c r="AN641" s="75"/>
      <c r="AO641" s="75"/>
      <c r="AP641" s="75"/>
      <c r="AQ641" s="75"/>
      <c r="AR641" s="76"/>
      <c r="AT641" s="65"/>
      <c r="AU641" s="77"/>
    </row>
    <row r="642" spans="37:47">
      <c r="AK642" s="12"/>
      <c r="AM642" s="12"/>
      <c r="AN642" s="75"/>
      <c r="AO642" s="75"/>
      <c r="AP642" s="75"/>
      <c r="AQ642" s="75"/>
      <c r="AR642" s="76"/>
      <c r="AT642" s="65"/>
      <c r="AU642" s="77"/>
    </row>
    <row r="643" spans="37:47">
      <c r="AK643" s="12"/>
      <c r="AM643" s="12"/>
      <c r="AN643" s="75"/>
      <c r="AO643" s="75"/>
      <c r="AP643" s="75"/>
      <c r="AQ643" s="75"/>
      <c r="AR643" s="76"/>
      <c r="AT643" s="65"/>
      <c r="AU643" s="77"/>
    </row>
    <row r="644" spans="37:47">
      <c r="AK644" s="12"/>
      <c r="AM644" s="12"/>
      <c r="AN644" s="75"/>
      <c r="AO644" s="75"/>
      <c r="AP644" s="75"/>
      <c r="AQ644" s="75"/>
      <c r="AR644" s="76"/>
      <c r="AT644" s="65"/>
      <c r="AU644" s="77"/>
    </row>
    <row r="645" spans="37:47">
      <c r="AK645" s="12"/>
      <c r="AM645" s="12"/>
      <c r="AN645" s="75"/>
      <c r="AO645" s="75"/>
      <c r="AP645" s="75"/>
      <c r="AQ645" s="75"/>
      <c r="AR645" s="76"/>
      <c r="AT645" s="65"/>
      <c r="AU645" s="77"/>
    </row>
    <row r="646" spans="37:47">
      <c r="AK646" s="12"/>
      <c r="AM646" s="12"/>
      <c r="AN646" s="75"/>
      <c r="AO646" s="75"/>
      <c r="AP646" s="75"/>
      <c r="AQ646" s="75"/>
      <c r="AR646" s="76"/>
      <c r="AT646" s="65"/>
      <c r="AU646" s="77"/>
    </row>
    <row r="647" spans="37:47">
      <c r="AK647" s="12"/>
      <c r="AM647" s="12"/>
      <c r="AN647" s="75"/>
      <c r="AO647" s="75"/>
      <c r="AP647" s="75"/>
      <c r="AQ647" s="75"/>
      <c r="AR647" s="76"/>
      <c r="AT647" s="65"/>
      <c r="AU647" s="77"/>
    </row>
    <row r="648" spans="37:47">
      <c r="AK648" s="12"/>
      <c r="AM648" s="12"/>
      <c r="AN648" s="75"/>
      <c r="AO648" s="75"/>
      <c r="AP648" s="75"/>
      <c r="AQ648" s="75"/>
      <c r="AR648" s="76"/>
      <c r="AT648" s="65"/>
      <c r="AU648" s="77"/>
    </row>
    <row r="649" spans="37:47">
      <c r="AK649" s="12"/>
      <c r="AM649" s="12"/>
      <c r="AN649" s="75"/>
      <c r="AO649" s="75"/>
      <c r="AP649" s="75"/>
      <c r="AQ649" s="75"/>
      <c r="AR649" s="76"/>
      <c r="AT649" s="65"/>
      <c r="AU649" s="77"/>
    </row>
    <row r="650" spans="37:47">
      <c r="AK650" s="12"/>
      <c r="AM650" s="12"/>
      <c r="AN650" s="75"/>
      <c r="AO650" s="75"/>
      <c r="AP650" s="75"/>
      <c r="AQ650" s="75"/>
      <c r="AR650" s="76"/>
      <c r="AT650" s="65"/>
      <c r="AU650" s="77"/>
    </row>
    <row r="651" spans="37:47">
      <c r="AK651" s="12"/>
      <c r="AM651" s="12"/>
      <c r="AN651" s="75"/>
      <c r="AO651" s="75"/>
      <c r="AP651" s="75"/>
      <c r="AQ651" s="75"/>
      <c r="AR651" s="76"/>
      <c r="AT651" s="65"/>
      <c r="AU651" s="77"/>
    </row>
    <row r="652" spans="37:47">
      <c r="AK652" s="12"/>
      <c r="AM652" s="12"/>
      <c r="AN652" s="75"/>
      <c r="AO652" s="75"/>
      <c r="AP652" s="75"/>
      <c r="AQ652" s="75"/>
      <c r="AR652" s="76"/>
      <c r="AT652" s="65"/>
      <c r="AU652" s="77"/>
    </row>
    <row r="653" spans="37:47">
      <c r="AK653" s="12"/>
      <c r="AM653" s="12"/>
      <c r="AN653" s="75"/>
      <c r="AO653" s="75"/>
      <c r="AP653" s="75"/>
      <c r="AQ653" s="75"/>
      <c r="AR653" s="76"/>
      <c r="AT653" s="65"/>
      <c r="AU653" s="77"/>
    </row>
    <row r="654" spans="37:47">
      <c r="AK654" s="12"/>
      <c r="AM654" s="12"/>
      <c r="AN654" s="75"/>
      <c r="AO654" s="75"/>
      <c r="AP654" s="75"/>
      <c r="AQ654" s="75"/>
      <c r="AR654" s="76"/>
      <c r="AT654" s="65"/>
      <c r="AU654" s="77"/>
    </row>
    <row r="655" spans="37:47">
      <c r="AK655" s="12"/>
      <c r="AM655" s="12"/>
      <c r="AN655" s="75"/>
      <c r="AO655" s="75"/>
      <c r="AP655" s="75"/>
      <c r="AQ655" s="75"/>
      <c r="AR655" s="76"/>
      <c r="AT655" s="65"/>
      <c r="AU655" s="77"/>
    </row>
    <row r="656" spans="37:47">
      <c r="AK656" s="12"/>
      <c r="AM656" s="12"/>
      <c r="AN656" s="75"/>
      <c r="AO656" s="75"/>
      <c r="AP656" s="75"/>
      <c r="AQ656" s="75"/>
      <c r="AR656" s="76"/>
      <c r="AT656" s="65"/>
      <c r="AU656" s="77"/>
    </row>
    <row r="657" spans="37:47">
      <c r="AK657" s="12"/>
      <c r="AM657" s="12"/>
      <c r="AN657" s="75"/>
      <c r="AO657" s="75"/>
      <c r="AP657" s="75"/>
      <c r="AQ657" s="75"/>
      <c r="AR657" s="76"/>
      <c r="AT657" s="65"/>
      <c r="AU657" s="77"/>
    </row>
    <row r="658" spans="37:47">
      <c r="AK658" s="12"/>
      <c r="AM658" s="12"/>
      <c r="AN658" s="75"/>
      <c r="AO658" s="75"/>
      <c r="AP658" s="75"/>
      <c r="AQ658" s="75"/>
      <c r="AR658" s="76"/>
      <c r="AT658" s="65"/>
      <c r="AU658" s="77"/>
    </row>
    <row r="659" spans="37:47">
      <c r="AK659" s="12"/>
      <c r="AM659" s="12"/>
      <c r="AN659" s="75"/>
      <c r="AO659" s="75"/>
      <c r="AP659" s="75"/>
      <c r="AQ659" s="75"/>
      <c r="AR659" s="76"/>
      <c r="AT659" s="65"/>
      <c r="AU659" s="77"/>
    </row>
    <row r="660" spans="37:47">
      <c r="AK660" s="12"/>
      <c r="AM660" s="12"/>
      <c r="AN660" s="75"/>
      <c r="AO660" s="75"/>
      <c r="AP660" s="75"/>
      <c r="AQ660" s="75"/>
      <c r="AR660" s="76"/>
      <c r="AT660" s="65"/>
      <c r="AU660" s="77"/>
    </row>
    <row r="661" spans="37:47">
      <c r="AK661" s="12"/>
      <c r="AM661" s="12"/>
      <c r="AN661" s="75"/>
      <c r="AO661" s="75"/>
      <c r="AP661" s="75"/>
      <c r="AQ661" s="75"/>
      <c r="AR661" s="76"/>
      <c r="AT661" s="65"/>
      <c r="AU661" s="77"/>
    </row>
    <row r="662" spans="37:47">
      <c r="AK662" s="12"/>
      <c r="AM662" s="12"/>
      <c r="AN662" s="75"/>
      <c r="AO662" s="75"/>
      <c r="AP662" s="75"/>
      <c r="AQ662" s="75"/>
      <c r="AR662" s="76"/>
      <c r="AT662" s="65"/>
      <c r="AU662" s="77"/>
    </row>
    <row r="663" spans="37:47">
      <c r="AK663" s="12"/>
      <c r="AM663" s="12"/>
      <c r="AN663" s="75"/>
      <c r="AO663" s="75"/>
      <c r="AP663" s="75"/>
      <c r="AQ663" s="75"/>
      <c r="AR663" s="76"/>
      <c r="AT663" s="65"/>
      <c r="AU663" s="77"/>
    </row>
    <row r="664" spans="37:47">
      <c r="AK664" s="12"/>
      <c r="AM664" s="12"/>
      <c r="AN664" s="75"/>
      <c r="AO664" s="75"/>
      <c r="AP664" s="75"/>
      <c r="AQ664" s="75"/>
      <c r="AR664" s="76"/>
      <c r="AT664" s="65"/>
      <c r="AU664" s="77"/>
    </row>
    <row r="665" spans="37:47">
      <c r="AK665" s="12"/>
      <c r="AM665" s="12"/>
      <c r="AN665" s="75"/>
      <c r="AO665" s="75"/>
      <c r="AP665" s="75"/>
      <c r="AQ665" s="75"/>
      <c r="AR665" s="76"/>
      <c r="AT665" s="65"/>
      <c r="AU665" s="77"/>
    </row>
    <row r="666" spans="37:47">
      <c r="AK666" s="12"/>
      <c r="AM666" s="12"/>
      <c r="AN666" s="75"/>
      <c r="AO666" s="75"/>
      <c r="AP666" s="75"/>
      <c r="AQ666" s="75"/>
      <c r="AR666" s="76"/>
      <c r="AT666" s="65"/>
      <c r="AU666" s="77"/>
    </row>
    <row r="667" spans="37:47">
      <c r="AK667" s="12"/>
      <c r="AM667" s="12"/>
      <c r="AN667" s="75"/>
      <c r="AO667" s="75"/>
      <c r="AP667" s="75"/>
      <c r="AQ667" s="75"/>
      <c r="AR667" s="76"/>
      <c r="AT667" s="65"/>
      <c r="AU667" s="77"/>
    </row>
    <row r="668" spans="37:47">
      <c r="AK668" s="12"/>
      <c r="AM668" s="12"/>
      <c r="AN668" s="75"/>
      <c r="AO668" s="75"/>
      <c r="AP668" s="75"/>
      <c r="AQ668" s="75"/>
      <c r="AR668" s="76"/>
      <c r="AT668" s="65"/>
      <c r="AU668" s="77"/>
    </row>
    <row r="669" spans="37:47">
      <c r="AK669" s="12"/>
      <c r="AM669" s="12"/>
      <c r="AN669" s="75"/>
      <c r="AO669" s="75"/>
      <c r="AP669" s="75"/>
      <c r="AQ669" s="75"/>
      <c r="AR669" s="76"/>
      <c r="AT669" s="65"/>
      <c r="AU669" s="77"/>
    </row>
    <row r="670" spans="37:47">
      <c r="AK670" s="12"/>
      <c r="AM670" s="12"/>
      <c r="AN670" s="75"/>
      <c r="AO670" s="75"/>
      <c r="AP670" s="75"/>
      <c r="AQ670" s="75"/>
      <c r="AR670" s="76"/>
      <c r="AT670" s="65"/>
      <c r="AU670" s="77"/>
    </row>
    <row r="671" spans="37:47">
      <c r="AK671" s="12"/>
      <c r="AM671" s="12"/>
      <c r="AN671" s="75"/>
      <c r="AO671" s="75"/>
      <c r="AP671" s="75"/>
      <c r="AQ671" s="75"/>
      <c r="AR671" s="76"/>
      <c r="AT671" s="65"/>
      <c r="AU671" s="77"/>
    </row>
    <row r="672" spans="37:47">
      <c r="AK672" s="12"/>
      <c r="AM672" s="12"/>
      <c r="AN672" s="75"/>
      <c r="AO672" s="75"/>
      <c r="AP672" s="75"/>
      <c r="AQ672" s="75"/>
      <c r="AR672" s="76"/>
      <c r="AT672" s="65"/>
      <c r="AU672" s="77"/>
    </row>
    <row r="673" spans="37:47">
      <c r="AK673" s="12"/>
      <c r="AM673" s="12"/>
      <c r="AN673" s="75"/>
      <c r="AO673" s="75"/>
      <c r="AP673" s="75"/>
      <c r="AQ673" s="75"/>
      <c r="AR673" s="76"/>
      <c r="AT673" s="65"/>
      <c r="AU673" s="77"/>
    </row>
    <row r="674" spans="37:47">
      <c r="AK674" s="12"/>
      <c r="AM674" s="12"/>
      <c r="AN674" s="75"/>
      <c r="AO674" s="75"/>
      <c r="AP674" s="75"/>
      <c r="AQ674" s="75"/>
      <c r="AR674" s="76"/>
      <c r="AT674" s="65"/>
      <c r="AU674" s="77"/>
    </row>
    <row r="675" spans="37:47">
      <c r="AK675" s="12"/>
      <c r="AM675" s="12"/>
      <c r="AN675" s="75"/>
      <c r="AO675" s="75"/>
      <c r="AP675" s="75"/>
      <c r="AQ675" s="75"/>
      <c r="AR675" s="76"/>
      <c r="AT675" s="65"/>
      <c r="AU675" s="77"/>
    </row>
    <row r="676" spans="37:47">
      <c r="AK676" s="12"/>
      <c r="AM676" s="12"/>
      <c r="AN676" s="75"/>
      <c r="AO676" s="75"/>
      <c r="AP676" s="75"/>
      <c r="AQ676" s="75"/>
      <c r="AR676" s="76"/>
      <c r="AT676" s="65"/>
      <c r="AU676" s="77"/>
    </row>
    <row r="677" spans="37:47">
      <c r="AK677" s="12"/>
      <c r="AM677" s="12"/>
      <c r="AN677" s="75"/>
      <c r="AO677" s="75"/>
      <c r="AP677" s="75"/>
      <c r="AQ677" s="75"/>
      <c r="AR677" s="76"/>
      <c r="AT677" s="65"/>
      <c r="AU677" s="77"/>
    </row>
    <row r="678" spans="37:47">
      <c r="AK678" s="12"/>
      <c r="AM678" s="12"/>
      <c r="AN678" s="75"/>
      <c r="AO678" s="75"/>
      <c r="AP678" s="75"/>
      <c r="AQ678" s="75"/>
      <c r="AR678" s="76"/>
      <c r="AT678" s="65"/>
      <c r="AU678" s="77"/>
    </row>
    <row r="679" spans="37:47">
      <c r="AK679" s="12"/>
      <c r="AM679" s="12"/>
      <c r="AN679" s="75"/>
      <c r="AO679" s="75"/>
      <c r="AP679" s="75"/>
      <c r="AQ679" s="75"/>
      <c r="AR679" s="76"/>
      <c r="AT679" s="65"/>
      <c r="AU679" s="77"/>
    </row>
    <row r="680" spans="37:47">
      <c r="AK680" s="12"/>
      <c r="AM680" s="12"/>
      <c r="AN680" s="75"/>
      <c r="AO680" s="75"/>
      <c r="AP680" s="75"/>
      <c r="AQ680" s="75"/>
      <c r="AR680" s="76"/>
      <c r="AT680" s="65"/>
      <c r="AU680" s="77"/>
    </row>
    <row r="681" spans="37:47">
      <c r="AK681" s="12"/>
      <c r="AM681" s="12"/>
      <c r="AN681" s="75"/>
      <c r="AO681" s="75"/>
      <c r="AP681" s="75"/>
      <c r="AQ681" s="75"/>
      <c r="AR681" s="76"/>
      <c r="AT681" s="65"/>
      <c r="AU681" s="77"/>
    </row>
    <row r="682" spans="37:47">
      <c r="AK682" s="12"/>
      <c r="AM682" s="12"/>
      <c r="AN682" s="75"/>
      <c r="AO682" s="75"/>
      <c r="AP682" s="75"/>
      <c r="AQ682" s="75"/>
      <c r="AR682" s="76"/>
      <c r="AT682" s="65"/>
      <c r="AU682" s="77"/>
    </row>
    <row r="683" spans="37:47">
      <c r="AK683" s="12"/>
      <c r="AM683" s="12"/>
      <c r="AN683" s="75"/>
      <c r="AO683" s="75"/>
      <c r="AP683" s="75"/>
      <c r="AQ683" s="75"/>
      <c r="AR683" s="76"/>
      <c r="AT683" s="65"/>
      <c r="AU683" s="77"/>
    </row>
    <row r="684" spans="37:47">
      <c r="AK684" s="12"/>
      <c r="AM684" s="12"/>
      <c r="AN684" s="75"/>
      <c r="AO684" s="75"/>
      <c r="AP684" s="75"/>
      <c r="AQ684" s="75"/>
      <c r="AR684" s="76"/>
      <c r="AT684" s="65"/>
      <c r="AU684" s="77"/>
    </row>
    <row r="685" spans="37:47">
      <c r="AK685" s="12"/>
      <c r="AM685" s="12"/>
      <c r="AN685" s="75"/>
      <c r="AO685" s="75"/>
      <c r="AP685" s="75"/>
      <c r="AQ685" s="75"/>
      <c r="AR685" s="76"/>
      <c r="AT685" s="65"/>
      <c r="AU685" s="77"/>
    </row>
    <row r="686" spans="37:47">
      <c r="AK686" s="12"/>
      <c r="AM686" s="12"/>
      <c r="AN686" s="75"/>
      <c r="AO686" s="75"/>
      <c r="AP686" s="75"/>
      <c r="AQ686" s="75"/>
      <c r="AR686" s="76"/>
      <c r="AT686" s="65"/>
      <c r="AU686" s="77"/>
    </row>
    <row r="687" spans="37:47">
      <c r="AK687" s="12"/>
      <c r="AM687" s="12"/>
      <c r="AN687" s="75"/>
      <c r="AO687" s="75"/>
      <c r="AP687" s="75"/>
      <c r="AQ687" s="75"/>
      <c r="AR687" s="76"/>
      <c r="AT687" s="65"/>
      <c r="AU687" s="77"/>
    </row>
    <row r="688" spans="37:47">
      <c r="AK688" s="12"/>
      <c r="AM688" s="12"/>
      <c r="AN688" s="75"/>
      <c r="AO688" s="75"/>
      <c r="AP688" s="75"/>
      <c r="AQ688" s="75"/>
      <c r="AR688" s="76"/>
      <c r="AT688" s="65"/>
      <c r="AU688" s="77"/>
    </row>
    <row r="689" spans="37:47">
      <c r="AK689" s="12"/>
      <c r="AM689" s="12"/>
      <c r="AN689" s="75"/>
      <c r="AO689" s="75"/>
      <c r="AP689" s="75"/>
      <c r="AQ689" s="75"/>
      <c r="AR689" s="76"/>
      <c r="AT689" s="65"/>
      <c r="AU689" s="77"/>
    </row>
    <row r="690" spans="37:47">
      <c r="AK690" s="12"/>
      <c r="AM690" s="12"/>
      <c r="AN690" s="75"/>
      <c r="AO690" s="75"/>
      <c r="AP690" s="75"/>
      <c r="AQ690" s="75"/>
      <c r="AR690" s="76"/>
      <c r="AT690" s="65"/>
      <c r="AU690" s="77"/>
    </row>
    <row r="691" spans="37:47">
      <c r="AK691" s="12"/>
      <c r="AM691" s="12"/>
      <c r="AN691" s="75"/>
      <c r="AO691" s="75"/>
      <c r="AP691" s="75"/>
      <c r="AQ691" s="75"/>
      <c r="AR691" s="76"/>
      <c r="AT691" s="65"/>
      <c r="AU691" s="77"/>
    </row>
    <row r="692" spans="37:47">
      <c r="AK692" s="12"/>
      <c r="AM692" s="12"/>
      <c r="AN692" s="75"/>
      <c r="AO692" s="75"/>
      <c r="AP692" s="75"/>
      <c r="AQ692" s="75"/>
      <c r="AR692" s="76"/>
      <c r="AT692" s="65"/>
      <c r="AU692" s="77"/>
    </row>
    <row r="693" spans="37:47">
      <c r="AK693" s="12"/>
      <c r="AM693" s="12"/>
      <c r="AN693" s="75"/>
      <c r="AO693" s="75"/>
      <c r="AP693" s="75"/>
      <c r="AQ693" s="75"/>
      <c r="AR693" s="76"/>
      <c r="AT693" s="65"/>
      <c r="AU693" s="77"/>
    </row>
    <row r="694" spans="37:47">
      <c r="AK694" s="12"/>
      <c r="AM694" s="12"/>
      <c r="AN694" s="75"/>
      <c r="AO694" s="75"/>
      <c r="AP694" s="75"/>
      <c r="AQ694" s="75"/>
      <c r="AR694" s="76"/>
      <c r="AT694" s="65"/>
      <c r="AU694" s="77"/>
    </row>
    <row r="695" spans="37:47">
      <c r="AK695" s="12"/>
      <c r="AM695" s="12"/>
      <c r="AN695" s="75"/>
      <c r="AO695" s="75"/>
      <c r="AP695" s="75"/>
      <c r="AQ695" s="75"/>
      <c r="AR695" s="76"/>
      <c r="AT695" s="65"/>
      <c r="AU695" s="77"/>
    </row>
    <row r="696" spans="37:47">
      <c r="AK696" s="12"/>
      <c r="AM696" s="12"/>
      <c r="AN696" s="75"/>
      <c r="AO696" s="75"/>
      <c r="AP696" s="75"/>
      <c r="AQ696" s="75"/>
      <c r="AR696" s="76"/>
      <c r="AT696" s="65"/>
      <c r="AU696" s="77"/>
    </row>
    <row r="697" spans="37:47">
      <c r="AK697" s="12"/>
      <c r="AM697" s="12"/>
      <c r="AN697" s="75"/>
      <c r="AO697" s="75"/>
      <c r="AP697" s="75"/>
      <c r="AQ697" s="75"/>
      <c r="AR697" s="76"/>
      <c r="AT697" s="65"/>
      <c r="AU697" s="77"/>
    </row>
    <row r="698" spans="37:47">
      <c r="AK698" s="12"/>
      <c r="AM698" s="12"/>
      <c r="AN698" s="75"/>
      <c r="AO698" s="75"/>
      <c r="AP698" s="75"/>
      <c r="AQ698" s="75"/>
      <c r="AR698" s="76"/>
      <c r="AT698" s="65"/>
      <c r="AU698" s="77"/>
    </row>
    <row r="699" spans="37:47">
      <c r="AK699" s="12"/>
      <c r="AM699" s="12"/>
      <c r="AN699" s="75"/>
      <c r="AO699" s="75"/>
      <c r="AP699" s="75"/>
      <c r="AQ699" s="75"/>
      <c r="AR699" s="76"/>
      <c r="AT699" s="65"/>
      <c r="AU699" s="77"/>
    </row>
    <row r="700" spans="37:47">
      <c r="AK700" s="12"/>
      <c r="AM700" s="12"/>
      <c r="AN700" s="75"/>
      <c r="AO700" s="75"/>
      <c r="AP700" s="75"/>
      <c r="AQ700" s="75"/>
      <c r="AR700" s="76"/>
      <c r="AT700" s="65"/>
      <c r="AU700" s="77"/>
    </row>
    <row r="701" spans="37:47">
      <c r="AK701" s="12"/>
      <c r="AM701" s="12"/>
      <c r="AN701" s="75"/>
      <c r="AO701" s="75"/>
      <c r="AP701" s="75"/>
      <c r="AQ701" s="75"/>
      <c r="AR701" s="76"/>
      <c r="AT701" s="65"/>
      <c r="AU701" s="77"/>
    </row>
    <row r="702" spans="37:47">
      <c r="AK702" s="12"/>
      <c r="AM702" s="12"/>
      <c r="AN702" s="75"/>
      <c r="AO702" s="75"/>
      <c r="AP702" s="75"/>
      <c r="AQ702" s="75"/>
      <c r="AR702" s="76"/>
      <c r="AT702" s="65"/>
      <c r="AU702" s="77"/>
    </row>
    <row r="703" spans="37:47">
      <c r="AK703" s="12"/>
      <c r="AM703" s="12"/>
      <c r="AN703" s="75"/>
      <c r="AO703" s="75"/>
      <c r="AP703" s="75"/>
      <c r="AQ703" s="75"/>
      <c r="AR703" s="76"/>
      <c r="AT703" s="65"/>
      <c r="AU703" s="77"/>
    </row>
    <row r="704" spans="37:47">
      <c r="AK704" s="12"/>
      <c r="AM704" s="12"/>
      <c r="AN704" s="75"/>
      <c r="AO704" s="75"/>
      <c r="AP704" s="75"/>
      <c r="AQ704" s="75"/>
      <c r="AR704" s="76"/>
      <c r="AT704" s="65"/>
      <c r="AU704" s="77"/>
    </row>
    <row r="705" spans="37:47">
      <c r="AK705" s="12"/>
      <c r="AM705" s="12"/>
      <c r="AN705" s="75"/>
      <c r="AO705" s="75"/>
      <c r="AP705" s="75"/>
      <c r="AQ705" s="75"/>
      <c r="AR705" s="76"/>
      <c r="AT705" s="65"/>
      <c r="AU705" s="77"/>
    </row>
    <row r="706" spans="37:47">
      <c r="AK706" s="12"/>
      <c r="AM706" s="12"/>
      <c r="AN706" s="75"/>
      <c r="AO706" s="75"/>
      <c r="AP706" s="75"/>
      <c r="AQ706" s="75"/>
      <c r="AR706" s="76"/>
      <c r="AT706" s="65"/>
      <c r="AU706" s="77"/>
    </row>
    <row r="707" spans="37:47">
      <c r="AK707" s="12"/>
      <c r="AM707" s="12"/>
      <c r="AN707" s="75"/>
      <c r="AO707" s="75"/>
      <c r="AP707" s="75"/>
      <c r="AQ707" s="75"/>
      <c r="AR707" s="76"/>
      <c r="AT707" s="65"/>
      <c r="AU707" s="77"/>
    </row>
    <row r="708" spans="37:47">
      <c r="AK708" s="12"/>
      <c r="AM708" s="12"/>
      <c r="AN708" s="75"/>
      <c r="AO708" s="75"/>
      <c r="AP708" s="75"/>
      <c r="AQ708" s="75"/>
      <c r="AR708" s="76"/>
      <c r="AT708" s="65"/>
      <c r="AU708" s="77"/>
    </row>
    <row r="709" spans="37:47">
      <c r="AK709" s="12"/>
      <c r="AM709" s="12"/>
      <c r="AN709" s="75"/>
      <c r="AO709" s="75"/>
      <c r="AP709" s="75"/>
      <c r="AQ709" s="75"/>
      <c r="AR709" s="76"/>
      <c r="AT709" s="65"/>
      <c r="AU709" s="77"/>
    </row>
    <row r="710" spans="37:47">
      <c r="AK710" s="12"/>
      <c r="AM710" s="12"/>
      <c r="AN710" s="75"/>
      <c r="AO710" s="75"/>
      <c r="AP710" s="75"/>
      <c r="AQ710" s="75"/>
      <c r="AR710" s="76"/>
      <c r="AT710" s="65"/>
      <c r="AU710" s="77"/>
    </row>
    <row r="711" spans="37:47">
      <c r="AK711" s="12"/>
      <c r="AM711" s="12"/>
      <c r="AN711" s="75"/>
      <c r="AO711" s="75"/>
      <c r="AP711" s="75"/>
      <c r="AQ711" s="75"/>
      <c r="AR711" s="76"/>
      <c r="AT711" s="65"/>
      <c r="AU711" s="77"/>
    </row>
    <row r="712" spans="37:47">
      <c r="AK712" s="12"/>
      <c r="AM712" s="12"/>
      <c r="AN712" s="75"/>
      <c r="AO712" s="75"/>
      <c r="AP712" s="75"/>
      <c r="AQ712" s="75"/>
      <c r="AR712" s="76"/>
      <c r="AT712" s="65"/>
      <c r="AU712" s="77"/>
    </row>
    <row r="713" spans="37:47">
      <c r="AK713" s="12"/>
      <c r="AM713" s="12"/>
      <c r="AN713" s="75"/>
      <c r="AO713" s="75"/>
      <c r="AP713" s="75"/>
      <c r="AQ713" s="75"/>
      <c r="AR713" s="76"/>
      <c r="AT713" s="65"/>
      <c r="AU713" s="77"/>
    </row>
    <row r="714" spans="37:47">
      <c r="AK714" s="12"/>
      <c r="AM714" s="12"/>
      <c r="AN714" s="75"/>
      <c r="AO714" s="75"/>
      <c r="AP714" s="75"/>
      <c r="AQ714" s="75"/>
      <c r="AR714" s="76"/>
      <c r="AT714" s="65"/>
      <c r="AU714" s="77"/>
    </row>
    <row r="715" spans="37:47">
      <c r="AK715" s="12"/>
      <c r="AM715" s="12"/>
      <c r="AN715" s="75"/>
      <c r="AO715" s="75"/>
      <c r="AP715" s="75"/>
      <c r="AQ715" s="75"/>
      <c r="AR715" s="76"/>
      <c r="AT715" s="65"/>
      <c r="AU715" s="77"/>
    </row>
    <row r="716" spans="37:47">
      <c r="AK716" s="12"/>
      <c r="AM716" s="12"/>
      <c r="AN716" s="75"/>
      <c r="AO716" s="75"/>
      <c r="AP716" s="75"/>
      <c r="AQ716" s="75"/>
      <c r="AR716" s="76"/>
      <c r="AT716" s="65"/>
      <c r="AU716" s="77"/>
    </row>
    <row r="717" spans="37:47">
      <c r="AK717" s="12"/>
      <c r="AM717" s="12"/>
      <c r="AN717" s="75"/>
      <c r="AO717" s="75"/>
      <c r="AP717" s="75"/>
      <c r="AQ717" s="75"/>
      <c r="AR717" s="76"/>
      <c r="AT717" s="65"/>
      <c r="AU717" s="77"/>
    </row>
    <row r="718" spans="37:47">
      <c r="AK718" s="12"/>
      <c r="AM718" s="12"/>
      <c r="AN718" s="75"/>
      <c r="AO718" s="75"/>
      <c r="AP718" s="75"/>
      <c r="AQ718" s="75"/>
      <c r="AR718" s="76"/>
      <c r="AT718" s="65"/>
      <c r="AU718" s="77"/>
    </row>
    <row r="719" spans="37:47">
      <c r="AK719" s="12"/>
      <c r="AM719" s="12"/>
      <c r="AN719" s="75"/>
      <c r="AO719" s="75"/>
      <c r="AP719" s="75"/>
      <c r="AQ719" s="75"/>
      <c r="AR719" s="76"/>
      <c r="AT719" s="65"/>
      <c r="AU719" s="77"/>
    </row>
    <row r="720" spans="37:47">
      <c r="AK720" s="12"/>
      <c r="AM720" s="12"/>
      <c r="AN720" s="75"/>
      <c r="AO720" s="75"/>
      <c r="AP720" s="75"/>
      <c r="AQ720" s="75"/>
      <c r="AR720" s="76"/>
      <c r="AT720" s="65"/>
      <c r="AU720" s="77"/>
    </row>
    <row r="721" spans="37:47">
      <c r="AK721" s="12"/>
      <c r="AM721" s="12"/>
      <c r="AN721" s="75"/>
      <c r="AO721" s="75"/>
      <c r="AP721" s="75"/>
      <c r="AQ721" s="75"/>
      <c r="AR721" s="76"/>
      <c r="AT721" s="65"/>
      <c r="AU721" s="77"/>
    </row>
    <row r="722" spans="37:47">
      <c r="AK722" s="12"/>
      <c r="AM722" s="12"/>
      <c r="AN722" s="75"/>
      <c r="AO722" s="75"/>
      <c r="AP722" s="75"/>
      <c r="AQ722" s="75"/>
      <c r="AR722" s="76"/>
      <c r="AT722" s="65"/>
      <c r="AU722" s="77"/>
    </row>
    <row r="723" spans="37:47">
      <c r="AK723" s="12"/>
      <c r="AM723" s="12"/>
      <c r="AN723" s="75"/>
      <c r="AO723" s="75"/>
      <c r="AP723" s="75"/>
      <c r="AQ723" s="75"/>
      <c r="AR723" s="76"/>
      <c r="AT723" s="65"/>
      <c r="AU723" s="77"/>
    </row>
    <row r="724" spans="37:47">
      <c r="AK724" s="12"/>
      <c r="AM724" s="12"/>
      <c r="AN724" s="75"/>
      <c r="AO724" s="75"/>
      <c r="AP724" s="75"/>
      <c r="AQ724" s="75"/>
      <c r="AR724" s="76"/>
      <c r="AT724" s="65"/>
      <c r="AU724" s="77"/>
    </row>
    <row r="725" spans="37:47">
      <c r="AK725" s="12"/>
      <c r="AM725" s="12"/>
      <c r="AN725" s="75"/>
      <c r="AO725" s="75"/>
      <c r="AP725" s="75"/>
      <c r="AQ725" s="75"/>
      <c r="AR725" s="76"/>
      <c r="AT725" s="65"/>
      <c r="AU725" s="77"/>
    </row>
    <row r="726" spans="37:47">
      <c r="AK726" s="12"/>
      <c r="AM726" s="12"/>
      <c r="AN726" s="75"/>
      <c r="AO726" s="75"/>
      <c r="AP726" s="75"/>
      <c r="AQ726" s="75"/>
      <c r="AR726" s="76"/>
      <c r="AT726" s="65"/>
      <c r="AU726" s="77"/>
    </row>
    <row r="727" spans="37:47">
      <c r="AK727" s="12"/>
      <c r="AM727" s="12"/>
      <c r="AN727" s="75"/>
      <c r="AO727" s="75"/>
      <c r="AP727" s="75"/>
      <c r="AQ727" s="75"/>
      <c r="AR727" s="76"/>
      <c r="AT727" s="65"/>
      <c r="AU727" s="77"/>
    </row>
    <row r="728" spans="37:47">
      <c r="AK728" s="12"/>
      <c r="AM728" s="12"/>
      <c r="AN728" s="75"/>
      <c r="AO728" s="75"/>
      <c r="AP728" s="75"/>
      <c r="AQ728" s="75"/>
      <c r="AR728" s="76"/>
      <c r="AT728" s="65"/>
      <c r="AU728" s="77"/>
    </row>
    <row r="729" spans="37:47">
      <c r="AK729" s="12"/>
      <c r="AM729" s="12"/>
      <c r="AN729" s="75"/>
      <c r="AO729" s="75"/>
      <c r="AP729" s="75"/>
      <c r="AQ729" s="75"/>
      <c r="AR729" s="76"/>
      <c r="AT729" s="65"/>
      <c r="AU729" s="77"/>
    </row>
    <row r="730" spans="37:47">
      <c r="AK730" s="12"/>
      <c r="AM730" s="12"/>
      <c r="AN730" s="75"/>
      <c r="AO730" s="75"/>
      <c r="AP730" s="75"/>
      <c r="AQ730" s="75"/>
      <c r="AR730" s="76"/>
      <c r="AT730" s="65"/>
      <c r="AU730" s="77"/>
    </row>
    <row r="731" spans="37:47">
      <c r="AK731" s="12"/>
      <c r="AM731" s="12"/>
      <c r="AN731" s="75"/>
      <c r="AO731" s="75"/>
      <c r="AP731" s="75"/>
      <c r="AQ731" s="75"/>
      <c r="AR731" s="76"/>
      <c r="AT731" s="65"/>
      <c r="AU731" s="77"/>
    </row>
    <row r="732" spans="37:47">
      <c r="AK732" s="12"/>
      <c r="AM732" s="12"/>
      <c r="AN732" s="75"/>
      <c r="AO732" s="75"/>
      <c r="AP732" s="75"/>
      <c r="AQ732" s="75"/>
      <c r="AR732" s="76"/>
      <c r="AT732" s="65"/>
      <c r="AU732" s="77"/>
    </row>
    <row r="733" spans="37:47">
      <c r="AK733" s="12"/>
      <c r="AM733" s="12"/>
      <c r="AN733" s="75"/>
      <c r="AO733" s="75"/>
      <c r="AP733" s="75"/>
      <c r="AQ733" s="75"/>
      <c r="AR733" s="76"/>
      <c r="AT733" s="65"/>
      <c r="AU733" s="77"/>
    </row>
    <row r="734" spans="37:47">
      <c r="AK734" s="12"/>
      <c r="AM734" s="12"/>
      <c r="AN734" s="75"/>
      <c r="AO734" s="75"/>
      <c r="AP734" s="75"/>
      <c r="AQ734" s="75"/>
      <c r="AR734" s="76"/>
      <c r="AT734" s="65"/>
      <c r="AU734" s="77"/>
    </row>
    <row r="735" spans="37:47">
      <c r="AK735" s="12"/>
      <c r="AM735" s="12"/>
      <c r="AN735" s="75"/>
      <c r="AO735" s="75"/>
      <c r="AP735" s="75"/>
      <c r="AQ735" s="75"/>
      <c r="AR735" s="76"/>
      <c r="AT735" s="65"/>
      <c r="AU735" s="77"/>
    </row>
    <row r="736" spans="37:47">
      <c r="AK736" s="12"/>
      <c r="AM736" s="12"/>
      <c r="AN736" s="75"/>
      <c r="AO736" s="75"/>
      <c r="AP736" s="75"/>
      <c r="AQ736" s="75"/>
      <c r="AR736" s="76"/>
      <c r="AT736" s="65"/>
      <c r="AU736" s="77"/>
    </row>
    <row r="737" spans="37:47">
      <c r="AK737" s="12"/>
      <c r="AM737" s="12"/>
      <c r="AN737" s="75"/>
      <c r="AO737" s="75"/>
      <c r="AP737" s="75"/>
      <c r="AQ737" s="75"/>
      <c r="AR737" s="76"/>
      <c r="AT737" s="65"/>
      <c r="AU737" s="77"/>
    </row>
    <row r="738" spans="37:47">
      <c r="AK738" s="12"/>
      <c r="AM738" s="12"/>
      <c r="AN738" s="75"/>
      <c r="AO738" s="75"/>
      <c r="AP738" s="75"/>
      <c r="AQ738" s="75"/>
      <c r="AR738" s="76"/>
      <c r="AT738" s="65"/>
      <c r="AU738" s="77"/>
    </row>
    <row r="739" spans="37:47">
      <c r="AK739" s="12"/>
      <c r="AM739" s="12"/>
      <c r="AN739" s="75"/>
      <c r="AO739" s="75"/>
      <c r="AP739" s="75"/>
      <c r="AQ739" s="75"/>
      <c r="AR739" s="76"/>
      <c r="AT739" s="65"/>
      <c r="AU739" s="77"/>
    </row>
    <row r="740" spans="37:47">
      <c r="AK740" s="12"/>
      <c r="AM740" s="12"/>
      <c r="AN740" s="75"/>
      <c r="AO740" s="75"/>
      <c r="AP740" s="75"/>
      <c r="AQ740" s="75"/>
      <c r="AR740" s="76"/>
      <c r="AT740" s="65"/>
      <c r="AU740" s="77"/>
    </row>
    <row r="741" spans="37:47">
      <c r="AK741" s="12"/>
      <c r="AM741" s="12"/>
      <c r="AN741" s="75"/>
      <c r="AO741" s="75"/>
      <c r="AP741" s="75"/>
      <c r="AQ741" s="75"/>
      <c r="AR741" s="76"/>
      <c r="AT741" s="65"/>
      <c r="AU741" s="77"/>
    </row>
    <row r="742" spans="37:47">
      <c r="AK742" s="12"/>
      <c r="AM742" s="12"/>
      <c r="AN742" s="75"/>
      <c r="AO742" s="75"/>
      <c r="AP742" s="75"/>
      <c r="AQ742" s="75"/>
      <c r="AR742" s="76"/>
      <c r="AT742" s="65"/>
      <c r="AU742" s="77"/>
    </row>
    <row r="743" spans="37:47">
      <c r="AK743" s="12"/>
      <c r="AM743" s="12"/>
      <c r="AN743" s="75"/>
      <c r="AO743" s="75"/>
      <c r="AP743" s="75"/>
      <c r="AQ743" s="75"/>
      <c r="AR743" s="76"/>
      <c r="AT743" s="65"/>
      <c r="AU743" s="77"/>
    </row>
    <row r="744" spans="37:47">
      <c r="AK744" s="12"/>
      <c r="AM744" s="12"/>
      <c r="AN744" s="75"/>
      <c r="AO744" s="75"/>
      <c r="AP744" s="75"/>
      <c r="AQ744" s="75"/>
      <c r="AR744" s="76"/>
      <c r="AT744" s="65"/>
      <c r="AU744" s="77"/>
    </row>
    <row r="745" spans="37:47">
      <c r="AK745" s="12"/>
      <c r="AM745" s="12"/>
      <c r="AN745" s="75"/>
      <c r="AO745" s="75"/>
      <c r="AP745" s="75"/>
      <c r="AQ745" s="75"/>
      <c r="AR745" s="76"/>
      <c r="AT745" s="65"/>
      <c r="AU745" s="77"/>
    </row>
    <row r="746" spans="37:47">
      <c r="AK746" s="12"/>
      <c r="AM746" s="12"/>
      <c r="AN746" s="75"/>
      <c r="AO746" s="75"/>
      <c r="AP746" s="75"/>
      <c r="AQ746" s="75"/>
      <c r="AR746" s="76"/>
      <c r="AT746" s="65"/>
      <c r="AU746" s="77"/>
    </row>
    <row r="747" spans="37:47">
      <c r="AK747" s="12"/>
      <c r="AM747" s="12"/>
      <c r="AN747" s="75"/>
      <c r="AO747" s="75"/>
      <c r="AP747" s="75"/>
      <c r="AQ747" s="75"/>
      <c r="AR747" s="76"/>
      <c r="AT747" s="65"/>
      <c r="AU747" s="77"/>
    </row>
    <row r="748" spans="37:47">
      <c r="AK748" s="12"/>
      <c r="AM748" s="12"/>
      <c r="AN748" s="75"/>
      <c r="AO748" s="75"/>
      <c r="AP748" s="75"/>
      <c r="AQ748" s="75"/>
      <c r="AR748" s="76"/>
      <c r="AT748" s="65"/>
      <c r="AU748" s="77"/>
    </row>
    <row r="749" spans="37:47">
      <c r="AK749" s="12"/>
      <c r="AM749" s="12"/>
      <c r="AN749" s="75"/>
      <c r="AO749" s="75"/>
      <c r="AP749" s="75"/>
      <c r="AQ749" s="75"/>
      <c r="AR749" s="76"/>
      <c r="AT749" s="65"/>
      <c r="AU749" s="77"/>
    </row>
    <row r="750" spans="37:47">
      <c r="AK750" s="12"/>
      <c r="AM750" s="12"/>
      <c r="AN750" s="75"/>
      <c r="AO750" s="75"/>
      <c r="AP750" s="75"/>
      <c r="AQ750" s="75"/>
      <c r="AR750" s="76"/>
      <c r="AT750" s="65"/>
      <c r="AU750" s="77"/>
    </row>
    <row r="751" spans="37:47">
      <c r="AK751" s="12"/>
      <c r="AM751" s="12"/>
      <c r="AN751" s="75"/>
      <c r="AO751" s="75"/>
      <c r="AP751" s="75"/>
      <c r="AQ751" s="75"/>
      <c r="AR751" s="76"/>
      <c r="AT751" s="65"/>
      <c r="AU751" s="77"/>
    </row>
    <row r="752" spans="37:47">
      <c r="AK752" s="12"/>
      <c r="AM752" s="12"/>
      <c r="AN752" s="75"/>
      <c r="AO752" s="75"/>
      <c r="AP752" s="75"/>
      <c r="AQ752" s="75"/>
      <c r="AR752" s="76"/>
      <c r="AT752" s="65"/>
      <c r="AU752" s="77"/>
    </row>
    <row r="753" spans="37:47">
      <c r="AK753" s="12"/>
      <c r="AM753" s="12"/>
      <c r="AN753" s="75"/>
      <c r="AO753" s="75"/>
      <c r="AP753" s="75"/>
      <c r="AQ753" s="75"/>
      <c r="AR753" s="76"/>
      <c r="AT753" s="65"/>
      <c r="AU753" s="77"/>
    </row>
    <row r="754" spans="37:47">
      <c r="AK754" s="12"/>
      <c r="AM754" s="12"/>
      <c r="AN754" s="75"/>
      <c r="AO754" s="75"/>
      <c r="AP754" s="75"/>
      <c r="AQ754" s="75"/>
      <c r="AR754" s="76"/>
      <c r="AT754" s="65"/>
      <c r="AU754" s="77"/>
    </row>
    <row r="755" spans="37:47">
      <c r="AK755" s="12"/>
      <c r="AM755" s="12"/>
      <c r="AN755" s="75"/>
      <c r="AO755" s="75"/>
      <c r="AP755" s="75"/>
      <c r="AQ755" s="75"/>
      <c r="AR755" s="76"/>
      <c r="AT755" s="65"/>
      <c r="AU755" s="77"/>
    </row>
    <row r="756" spans="37:47">
      <c r="AK756" s="12"/>
      <c r="AM756" s="12"/>
      <c r="AN756" s="75"/>
      <c r="AO756" s="75"/>
      <c r="AP756" s="75"/>
      <c r="AQ756" s="75"/>
      <c r="AR756" s="76"/>
      <c r="AT756" s="65"/>
      <c r="AU756" s="77"/>
    </row>
    <row r="757" spans="37:47">
      <c r="AK757" s="12"/>
      <c r="AM757" s="12"/>
      <c r="AN757" s="75"/>
      <c r="AO757" s="75"/>
      <c r="AP757" s="75"/>
      <c r="AQ757" s="75"/>
      <c r="AR757" s="76"/>
      <c r="AT757" s="65"/>
      <c r="AU757" s="77"/>
    </row>
    <row r="758" spans="37:47">
      <c r="AK758" s="12"/>
      <c r="AM758" s="12"/>
      <c r="AN758" s="75"/>
      <c r="AO758" s="75"/>
      <c r="AP758" s="75"/>
      <c r="AQ758" s="75"/>
      <c r="AR758" s="76"/>
      <c r="AT758" s="65"/>
      <c r="AU758" s="77"/>
    </row>
    <row r="759" spans="37:47">
      <c r="AK759" s="12"/>
      <c r="AM759" s="12"/>
      <c r="AN759" s="75"/>
      <c r="AO759" s="75"/>
      <c r="AP759" s="75"/>
      <c r="AQ759" s="75"/>
      <c r="AR759" s="76"/>
      <c r="AT759" s="65"/>
      <c r="AU759" s="77"/>
    </row>
    <row r="760" spans="37:47">
      <c r="AK760" s="12"/>
      <c r="AM760" s="12"/>
      <c r="AN760" s="75"/>
      <c r="AO760" s="75"/>
      <c r="AP760" s="75"/>
      <c r="AQ760" s="75"/>
      <c r="AR760" s="76"/>
      <c r="AT760" s="65"/>
      <c r="AU760" s="77"/>
    </row>
    <row r="761" spans="37:47">
      <c r="AK761" s="12"/>
      <c r="AM761" s="12"/>
      <c r="AN761" s="75"/>
      <c r="AO761" s="75"/>
      <c r="AP761" s="75"/>
      <c r="AQ761" s="75"/>
      <c r="AR761" s="76"/>
      <c r="AT761" s="65"/>
      <c r="AU761" s="77"/>
    </row>
    <row r="762" spans="37:47">
      <c r="AK762" s="12"/>
      <c r="AM762" s="12"/>
      <c r="AN762" s="75"/>
      <c r="AO762" s="75"/>
      <c r="AP762" s="75"/>
      <c r="AQ762" s="75"/>
      <c r="AR762" s="76"/>
      <c r="AT762" s="65"/>
      <c r="AU762" s="77"/>
    </row>
    <row r="763" spans="37:47">
      <c r="AK763" s="12"/>
      <c r="AM763" s="12"/>
      <c r="AN763" s="75"/>
      <c r="AO763" s="75"/>
      <c r="AP763" s="75"/>
      <c r="AQ763" s="75"/>
      <c r="AR763" s="76"/>
      <c r="AT763" s="65"/>
      <c r="AU763" s="77"/>
    </row>
    <row r="764" spans="37:47">
      <c r="AK764" s="12"/>
      <c r="AM764" s="12"/>
      <c r="AN764" s="75"/>
      <c r="AO764" s="75"/>
      <c r="AP764" s="75"/>
      <c r="AQ764" s="75"/>
      <c r="AR764" s="76"/>
      <c r="AT764" s="65"/>
      <c r="AU764" s="77"/>
    </row>
    <row r="765" spans="37:47">
      <c r="AK765" s="12"/>
      <c r="AM765" s="12"/>
      <c r="AN765" s="75"/>
      <c r="AO765" s="75"/>
      <c r="AP765" s="75"/>
      <c r="AQ765" s="75"/>
      <c r="AR765" s="76"/>
      <c r="AT765" s="65"/>
      <c r="AU765" s="77"/>
    </row>
    <row r="766" spans="37:47">
      <c r="AK766" s="12"/>
      <c r="AM766" s="12"/>
      <c r="AN766" s="75"/>
      <c r="AO766" s="75"/>
      <c r="AP766" s="75"/>
      <c r="AQ766" s="75"/>
      <c r="AR766" s="76"/>
      <c r="AT766" s="65"/>
      <c r="AU766" s="77"/>
    </row>
    <row r="767" spans="37:47">
      <c r="AK767" s="12"/>
      <c r="AM767" s="12"/>
      <c r="AN767" s="75"/>
      <c r="AO767" s="75"/>
      <c r="AP767" s="75"/>
      <c r="AQ767" s="75"/>
      <c r="AR767" s="76"/>
      <c r="AT767" s="65"/>
      <c r="AU767" s="77"/>
    </row>
    <row r="768" spans="37:47">
      <c r="AK768" s="12"/>
      <c r="AM768" s="12"/>
      <c r="AN768" s="75"/>
      <c r="AO768" s="75"/>
      <c r="AP768" s="75"/>
      <c r="AQ768" s="75"/>
      <c r="AR768" s="76"/>
      <c r="AT768" s="65"/>
      <c r="AU768" s="77"/>
    </row>
    <row r="769" spans="37:47">
      <c r="AK769" s="12"/>
      <c r="AM769" s="12"/>
      <c r="AN769" s="75"/>
      <c r="AO769" s="75"/>
      <c r="AP769" s="75"/>
      <c r="AQ769" s="75"/>
      <c r="AR769" s="76"/>
      <c r="AT769" s="65"/>
      <c r="AU769" s="77"/>
    </row>
    <row r="770" spans="37:47">
      <c r="AK770" s="12"/>
      <c r="AM770" s="12"/>
      <c r="AN770" s="75"/>
      <c r="AO770" s="75"/>
      <c r="AP770" s="75"/>
      <c r="AQ770" s="75"/>
      <c r="AR770" s="76"/>
      <c r="AT770" s="65"/>
      <c r="AU770" s="77"/>
    </row>
    <row r="771" spans="37:47">
      <c r="AK771" s="12"/>
      <c r="AM771" s="12"/>
      <c r="AN771" s="75"/>
      <c r="AO771" s="75"/>
      <c r="AP771" s="75"/>
      <c r="AQ771" s="75"/>
      <c r="AR771" s="76"/>
      <c r="AT771" s="65"/>
      <c r="AU771" s="77"/>
    </row>
    <row r="772" spans="37:47">
      <c r="AK772" s="12"/>
      <c r="AM772" s="12"/>
      <c r="AN772" s="75"/>
      <c r="AO772" s="75"/>
      <c r="AP772" s="75"/>
      <c r="AQ772" s="75"/>
      <c r="AR772" s="76"/>
      <c r="AT772" s="65"/>
      <c r="AU772" s="77"/>
    </row>
    <row r="773" spans="37:47">
      <c r="AK773" s="12"/>
      <c r="AM773" s="12"/>
      <c r="AN773" s="75"/>
      <c r="AO773" s="75"/>
      <c r="AP773" s="75"/>
      <c r="AQ773" s="75"/>
      <c r="AR773" s="76"/>
      <c r="AT773" s="65"/>
      <c r="AU773" s="77"/>
    </row>
    <row r="774" spans="37:47">
      <c r="AK774" s="12"/>
      <c r="AM774" s="12"/>
      <c r="AN774" s="75"/>
      <c r="AO774" s="75"/>
      <c r="AP774" s="75"/>
      <c r="AQ774" s="75"/>
      <c r="AR774" s="76"/>
      <c r="AT774" s="65"/>
      <c r="AU774" s="77"/>
    </row>
    <row r="775" spans="37:47">
      <c r="AK775" s="12"/>
      <c r="AM775" s="12"/>
      <c r="AN775" s="75"/>
      <c r="AO775" s="75"/>
      <c r="AP775" s="75"/>
      <c r="AQ775" s="75"/>
      <c r="AR775" s="76"/>
      <c r="AT775" s="65"/>
      <c r="AU775" s="77"/>
    </row>
    <row r="776" spans="37:47">
      <c r="AK776" s="12"/>
      <c r="AM776" s="12"/>
      <c r="AN776" s="75"/>
      <c r="AO776" s="75"/>
      <c r="AP776" s="75"/>
      <c r="AQ776" s="75"/>
      <c r="AR776" s="76"/>
      <c r="AT776" s="65"/>
      <c r="AU776" s="77"/>
    </row>
    <row r="777" spans="37:47">
      <c r="AK777" s="12"/>
      <c r="AM777" s="12"/>
      <c r="AN777" s="75"/>
      <c r="AO777" s="75"/>
      <c r="AP777" s="75"/>
      <c r="AQ777" s="75"/>
      <c r="AR777" s="76"/>
      <c r="AT777" s="65"/>
      <c r="AU777" s="77"/>
    </row>
    <row r="778" spans="37:47">
      <c r="AK778" s="12"/>
      <c r="AM778" s="12"/>
      <c r="AN778" s="75"/>
      <c r="AO778" s="75"/>
      <c r="AP778" s="75"/>
      <c r="AQ778" s="75"/>
      <c r="AR778" s="76"/>
      <c r="AT778" s="65"/>
      <c r="AU778" s="77"/>
    </row>
    <row r="779" spans="37:47">
      <c r="AK779" s="12"/>
      <c r="AM779" s="12"/>
      <c r="AN779" s="75"/>
      <c r="AO779" s="75"/>
      <c r="AP779" s="75"/>
      <c r="AQ779" s="75"/>
      <c r="AR779" s="76"/>
      <c r="AT779" s="65"/>
      <c r="AU779" s="77"/>
    </row>
    <row r="780" spans="37:47">
      <c r="AK780" s="12"/>
      <c r="AM780" s="12"/>
      <c r="AN780" s="75"/>
      <c r="AO780" s="75"/>
      <c r="AP780" s="75"/>
      <c r="AQ780" s="75"/>
      <c r="AR780" s="76"/>
      <c r="AT780" s="65"/>
      <c r="AU780" s="77"/>
    </row>
    <row r="781" spans="37:47">
      <c r="AK781" s="12"/>
      <c r="AM781" s="12"/>
      <c r="AN781" s="75"/>
      <c r="AO781" s="75"/>
      <c r="AP781" s="75"/>
      <c r="AQ781" s="75"/>
      <c r="AR781" s="76"/>
      <c r="AT781" s="65"/>
      <c r="AU781" s="77"/>
    </row>
    <row r="782" spans="37:47">
      <c r="AK782" s="12"/>
      <c r="AM782" s="12"/>
      <c r="AN782" s="75"/>
      <c r="AO782" s="75"/>
      <c r="AP782" s="75"/>
      <c r="AQ782" s="75"/>
      <c r="AR782" s="76"/>
      <c r="AT782" s="65"/>
      <c r="AU782" s="77"/>
    </row>
    <row r="783" spans="37:47">
      <c r="AK783" s="12"/>
      <c r="AM783" s="12"/>
      <c r="AN783" s="75"/>
      <c r="AO783" s="75"/>
      <c r="AP783" s="75"/>
      <c r="AQ783" s="75"/>
      <c r="AR783" s="76"/>
      <c r="AT783" s="65"/>
      <c r="AU783" s="77"/>
    </row>
    <row r="784" spans="37:47">
      <c r="AK784" s="12"/>
      <c r="AM784" s="12"/>
      <c r="AN784" s="75"/>
      <c r="AO784" s="75"/>
      <c r="AP784" s="75"/>
      <c r="AQ784" s="75"/>
      <c r="AR784" s="76"/>
      <c r="AT784" s="65"/>
      <c r="AU784" s="77"/>
    </row>
    <row r="785" spans="37:47">
      <c r="AK785" s="12"/>
      <c r="AM785" s="12"/>
      <c r="AN785" s="75"/>
      <c r="AO785" s="75"/>
      <c r="AP785" s="75"/>
      <c r="AQ785" s="75"/>
      <c r="AR785" s="76"/>
      <c r="AT785" s="65"/>
      <c r="AU785" s="77"/>
    </row>
    <row r="786" spans="37:47">
      <c r="AK786" s="12"/>
      <c r="AM786" s="12"/>
      <c r="AN786" s="75"/>
      <c r="AO786" s="75"/>
      <c r="AP786" s="75"/>
      <c r="AQ786" s="75"/>
      <c r="AR786" s="76"/>
      <c r="AT786" s="65"/>
      <c r="AU786" s="77"/>
    </row>
    <row r="787" spans="37:47">
      <c r="AK787" s="12"/>
      <c r="AM787" s="12"/>
      <c r="AN787" s="75"/>
      <c r="AO787" s="75"/>
      <c r="AP787" s="75"/>
      <c r="AQ787" s="75"/>
      <c r="AR787" s="76"/>
      <c r="AT787" s="65"/>
      <c r="AU787" s="77"/>
    </row>
    <row r="788" spans="37:47">
      <c r="AK788" s="12"/>
      <c r="AM788" s="12"/>
      <c r="AN788" s="75"/>
      <c r="AO788" s="75"/>
      <c r="AP788" s="75"/>
      <c r="AQ788" s="75"/>
      <c r="AR788" s="76"/>
      <c r="AT788" s="65"/>
      <c r="AU788" s="77"/>
    </row>
    <row r="789" spans="37:47">
      <c r="AK789" s="12"/>
      <c r="AM789" s="12"/>
      <c r="AN789" s="75"/>
      <c r="AO789" s="75"/>
      <c r="AP789" s="75"/>
      <c r="AQ789" s="75"/>
      <c r="AR789" s="76"/>
      <c r="AT789" s="65"/>
      <c r="AU789" s="77"/>
    </row>
    <row r="790" spans="37:47">
      <c r="AK790" s="12"/>
      <c r="AM790" s="12"/>
      <c r="AN790" s="75"/>
      <c r="AO790" s="75"/>
      <c r="AP790" s="75"/>
      <c r="AQ790" s="75"/>
      <c r="AR790" s="76"/>
      <c r="AT790" s="65"/>
      <c r="AU790" s="77"/>
    </row>
    <row r="791" spans="37:47">
      <c r="AK791" s="12"/>
      <c r="AM791" s="12"/>
      <c r="AN791" s="75"/>
      <c r="AO791" s="75"/>
      <c r="AP791" s="75"/>
      <c r="AQ791" s="75"/>
      <c r="AR791" s="76"/>
      <c r="AT791" s="65"/>
      <c r="AU791" s="77"/>
    </row>
    <row r="792" spans="37:47">
      <c r="AK792" s="12"/>
      <c r="AM792" s="12"/>
      <c r="AN792" s="75"/>
      <c r="AO792" s="75"/>
      <c r="AP792" s="75"/>
      <c r="AQ792" s="75"/>
      <c r="AR792" s="76"/>
      <c r="AT792" s="65"/>
      <c r="AU792" s="77"/>
    </row>
    <row r="793" spans="37:47">
      <c r="AK793" s="12"/>
      <c r="AM793" s="12"/>
      <c r="AN793" s="75"/>
      <c r="AO793" s="75"/>
      <c r="AP793" s="75"/>
      <c r="AQ793" s="75"/>
      <c r="AR793" s="76"/>
      <c r="AT793" s="65"/>
      <c r="AU793" s="77"/>
    </row>
    <row r="794" spans="37:47">
      <c r="AK794" s="12"/>
      <c r="AM794" s="12"/>
      <c r="AN794" s="75"/>
      <c r="AO794" s="75"/>
      <c r="AP794" s="75"/>
      <c r="AQ794" s="75"/>
      <c r="AR794" s="76"/>
      <c r="AT794" s="65"/>
      <c r="AU794" s="77"/>
    </row>
    <row r="795" spans="37:47">
      <c r="AK795" s="12"/>
      <c r="AM795" s="12"/>
      <c r="AN795" s="75"/>
      <c r="AO795" s="75"/>
      <c r="AP795" s="75"/>
      <c r="AQ795" s="75"/>
      <c r="AR795" s="76"/>
      <c r="AT795" s="65"/>
      <c r="AU795" s="77"/>
    </row>
    <row r="796" spans="37:47">
      <c r="AK796" s="12"/>
      <c r="AM796" s="12"/>
      <c r="AN796" s="75"/>
      <c r="AO796" s="75"/>
      <c r="AP796" s="75"/>
      <c r="AQ796" s="75"/>
      <c r="AR796" s="76"/>
      <c r="AT796" s="65"/>
      <c r="AU796" s="77"/>
    </row>
    <row r="797" spans="37:47">
      <c r="AK797" s="12"/>
      <c r="AM797" s="12"/>
      <c r="AN797" s="75"/>
      <c r="AO797" s="75"/>
      <c r="AP797" s="75"/>
      <c r="AQ797" s="75"/>
      <c r="AR797" s="76"/>
      <c r="AT797" s="65"/>
      <c r="AU797" s="77"/>
    </row>
    <row r="798" spans="37:47">
      <c r="AK798" s="12"/>
      <c r="AM798" s="12"/>
      <c r="AN798" s="75"/>
      <c r="AO798" s="75"/>
      <c r="AP798" s="75"/>
      <c r="AQ798" s="75"/>
      <c r="AR798" s="76"/>
      <c r="AT798" s="65"/>
      <c r="AU798" s="77"/>
    </row>
    <row r="799" spans="37:47">
      <c r="AK799" s="12"/>
      <c r="AM799" s="12"/>
      <c r="AN799" s="75"/>
      <c r="AO799" s="75"/>
      <c r="AP799" s="75"/>
      <c r="AQ799" s="75"/>
      <c r="AR799" s="76"/>
      <c r="AT799" s="65"/>
      <c r="AU799" s="77"/>
    </row>
    <row r="800" spans="37:47">
      <c r="AK800" s="12"/>
      <c r="AM800" s="12"/>
      <c r="AN800" s="75"/>
      <c r="AO800" s="75"/>
      <c r="AP800" s="75"/>
      <c r="AQ800" s="75"/>
      <c r="AR800" s="76"/>
      <c r="AT800" s="65"/>
      <c r="AU800" s="77"/>
    </row>
    <row r="801" spans="37:47">
      <c r="AK801" s="12"/>
      <c r="AM801" s="12"/>
      <c r="AN801" s="75"/>
      <c r="AO801" s="75"/>
      <c r="AP801" s="75"/>
      <c r="AQ801" s="75"/>
      <c r="AR801" s="76"/>
      <c r="AT801" s="65"/>
      <c r="AU801" s="77"/>
    </row>
    <row r="802" spans="37:47">
      <c r="AK802" s="12"/>
      <c r="AM802" s="12"/>
      <c r="AN802" s="75"/>
      <c r="AO802" s="75"/>
      <c r="AP802" s="75"/>
      <c r="AQ802" s="75"/>
      <c r="AR802" s="76"/>
      <c r="AT802" s="65"/>
      <c r="AU802" s="77"/>
    </row>
    <row r="803" spans="37:47">
      <c r="AK803" s="12"/>
      <c r="AM803" s="12"/>
      <c r="AN803" s="75"/>
      <c r="AO803" s="75"/>
      <c r="AP803" s="75"/>
      <c r="AQ803" s="75"/>
      <c r="AR803" s="76"/>
      <c r="AT803" s="65"/>
      <c r="AU803" s="77"/>
    </row>
    <row r="804" spans="37:47">
      <c r="AK804" s="12"/>
      <c r="AM804" s="12"/>
      <c r="AN804" s="75"/>
      <c r="AO804" s="75"/>
      <c r="AP804" s="75"/>
      <c r="AQ804" s="75"/>
      <c r="AR804" s="76"/>
      <c r="AT804" s="65"/>
      <c r="AU804" s="77"/>
    </row>
    <row r="805" spans="37:47">
      <c r="AK805" s="12"/>
      <c r="AM805" s="12"/>
      <c r="AN805" s="75"/>
      <c r="AO805" s="75"/>
      <c r="AP805" s="75"/>
      <c r="AQ805" s="75"/>
      <c r="AR805" s="76"/>
      <c r="AT805" s="65"/>
      <c r="AU805" s="77"/>
    </row>
    <row r="806" spans="37:47">
      <c r="AK806" s="12"/>
      <c r="AM806" s="12"/>
      <c r="AN806" s="75"/>
      <c r="AO806" s="75"/>
      <c r="AP806" s="75"/>
      <c r="AQ806" s="75"/>
      <c r="AR806" s="76"/>
      <c r="AT806" s="65"/>
      <c r="AU806" s="77"/>
    </row>
    <row r="807" spans="37:47">
      <c r="AK807" s="12"/>
      <c r="AM807" s="12"/>
      <c r="AN807" s="75"/>
      <c r="AO807" s="75"/>
      <c r="AP807" s="75"/>
      <c r="AQ807" s="75"/>
      <c r="AR807" s="76"/>
      <c r="AT807" s="65"/>
      <c r="AU807" s="77"/>
    </row>
    <row r="808" spans="37:47">
      <c r="AK808" s="12"/>
      <c r="AM808" s="12"/>
      <c r="AN808" s="75"/>
      <c r="AO808" s="75"/>
      <c r="AP808" s="75"/>
      <c r="AQ808" s="75"/>
      <c r="AR808" s="76"/>
      <c r="AT808" s="65"/>
      <c r="AU808" s="77"/>
    </row>
    <row r="809" spans="37:47">
      <c r="AK809" s="12"/>
      <c r="AM809" s="12"/>
      <c r="AN809" s="75"/>
      <c r="AO809" s="75"/>
      <c r="AP809" s="75"/>
      <c r="AQ809" s="75"/>
      <c r="AR809" s="76"/>
      <c r="AT809" s="65"/>
      <c r="AU809" s="77"/>
    </row>
    <row r="810" spans="37:47">
      <c r="AK810" s="12"/>
      <c r="AM810" s="12"/>
      <c r="AN810" s="75"/>
      <c r="AO810" s="75"/>
      <c r="AP810" s="75"/>
      <c r="AQ810" s="75"/>
      <c r="AR810" s="76"/>
      <c r="AT810" s="65"/>
      <c r="AU810" s="77"/>
    </row>
    <row r="811" spans="37:47">
      <c r="AK811" s="12"/>
      <c r="AM811" s="12"/>
      <c r="AN811" s="75"/>
      <c r="AO811" s="75"/>
      <c r="AP811" s="75"/>
      <c r="AQ811" s="75"/>
      <c r="AR811" s="76"/>
      <c r="AT811" s="65"/>
      <c r="AU811" s="77"/>
    </row>
    <row r="812" spans="37:47">
      <c r="AK812" s="12"/>
      <c r="AM812" s="12"/>
      <c r="AN812" s="75"/>
      <c r="AO812" s="75"/>
      <c r="AP812" s="75"/>
      <c r="AQ812" s="75"/>
      <c r="AR812" s="76"/>
      <c r="AT812" s="65"/>
      <c r="AU812" s="77"/>
    </row>
    <row r="813" spans="37:47">
      <c r="AK813" s="12"/>
      <c r="AM813" s="12"/>
      <c r="AN813" s="75"/>
      <c r="AO813" s="75"/>
      <c r="AP813" s="75"/>
      <c r="AQ813" s="75"/>
      <c r="AR813" s="76"/>
      <c r="AT813" s="65"/>
      <c r="AU813" s="77"/>
    </row>
    <row r="814" spans="37:47">
      <c r="AK814" s="12"/>
      <c r="AM814" s="12"/>
      <c r="AN814" s="75"/>
      <c r="AO814" s="75"/>
      <c r="AP814" s="75"/>
      <c r="AQ814" s="75"/>
      <c r="AR814" s="76"/>
      <c r="AT814" s="65"/>
      <c r="AU814" s="77"/>
    </row>
    <row r="815" spans="37:47">
      <c r="AK815" s="12"/>
      <c r="AM815" s="12"/>
      <c r="AN815" s="75"/>
      <c r="AO815" s="75"/>
      <c r="AP815" s="75"/>
      <c r="AQ815" s="75"/>
      <c r="AR815" s="76"/>
      <c r="AT815" s="65"/>
      <c r="AU815" s="77"/>
    </row>
    <row r="816" spans="37:47">
      <c r="AK816" s="12"/>
      <c r="AM816" s="12"/>
      <c r="AN816" s="75"/>
      <c r="AO816" s="75"/>
      <c r="AP816" s="75"/>
      <c r="AQ816" s="75"/>
      <c r="AR816" s="76"/>
      <c r="AT816" s="65"/>
      <c r="AU816" s="77"/>
    </row>
    <row r="817" spans="37:47">
      <c r="AK817" s="12"/>
      <c r="AM817" s="12"/>
      <c r="AN817" s="75"/>
      <c r="AO817" s="75"/>
      <c r="AP817" s="75"/>
      <c r="AQ817" s="75"/>
      <c r="AR817" s="76"/>
      <c r="AT817" s="65"/>
      <c r="AU817" s="77"/>
    </row>
    <row r="818" spans="37:47">
      <c r="AK818" s="12"/>
      <c r="AM818" s="12"/>
      <c r="AN818" s="75"/>
      <c r="AO818" s="75"/>
      <c r="AP818" s="75"/>
      <c r="AQ818" s="75"/>
      <c r="AR818" s="76"/>
      <c r="AT818" s="65"/>
      <c r="AU818" s="77"/>
    </row>
    <row r="819" spans="37:47">
      <c r="AK819" s="12"/>
      <c r="AM819" s="12"/>
      <c r="AN819" s="75"/>
      <c r="AO819" s="75"/>
      <c r="AP819" s="75"/>
      <c r="AQ819" s="75"/>
      <c r="AR819" s="76"/>
      <c r="AT819" s="65"/>
      <c r="AU819" s="77"/>
    </row>
    <row r="820" spans="37:47">
      <c r="AK820" s="12"/>
      <c r="AM820" s="12"/>
      <c r="AN820" s="75"/>
      <c r="AO820" s="75"/>
      <c r="AP820" s="75"/>
      <c r="AQ820" s="75"/>
      <c r="AR820" s="76"/>
      <c r="AT820" s="65"/>
      <c r="AU820" s="77"/>
    </row>
    <row r="821" spans="37:47">
      <c r="AK821" s="12"/>
      <c r="AM821" s="12"/>
      <c r="AN821" s="75"/>
      <c r="AO821" s="75"/>
      <c r="AP821" s="75"/>
      <c r="AQ821" s="75"/>
      <c r="AR821" s="76"/>
      <c r="AT821" s="65"/>
      <c r="AU821" s="77"/>
    </row>
    <row r="822" spans="37:47">
      <c r="AK822" s="12"/>
      <c r="AM822" s="12"/>
      <c r="AN822" s="75"/>
      <c r="AO822" s="75"/>
      <c r="AP822" s="75"/>
      <c r="AQ822" s="75"/>
      <c r="AR822" s="76"/>
      <c r="AT822" s="65"/>
      <c r="AU822" s="77"/>
    </row>
    <row r="823" spans="37:47">
      <c r="AK823" s="12"/>
      <c r="AM823" s="12"/>
      <c r="AN823" s="75"/>
      <c r="AO823" s="75"/>
      <c r="AP823" s="75"/>
      <c r="AQ823" s="75"/>
      <c r="AR823" s="76"/>
      <c r="AT823" s="65"/>
      <c r="AU823" s="77"/>
    </row>
    <row r="824" spans="37:47">
      <c r="AK824" s="12"/>
      <c r="AM824" s="12"/>
      <c r="AN824" s="75"/>
      <c r="AO824" s="75"/>
      <c r="AP824" s="75"/>
      <c r="AQ824" s="75"/>
      <c r="AR824" s="76"/>
      <c r="AT824" s="65"/>
      <c r="AU824" s="77"/>
    </row>
    <row r="825" spans="37:47">
      <c r="AK825" s="12"/>
      <c r="AM825" s="12"/>
      <c r="AN825" s="75"/>
      <c r="AO825" s="75"/>
      <c r="AP825" s="75"/>
      <c r="AQ825" s="75"/>
      <c r="AR825" s="76"/>
      <c r="AT825" s="65"/>
      <c r="AU825" s="77"/>
    </row>
    <row r="826" spans="37:47">
      <c r="AK826" s="12"/>
      <c r="AM826" s="12"/>
      <c r="AN826" s="75"/>
      <c r="AO826" s="75"/>
      <c r="AP826" s="75"/>
      <c r="AQ826" s="75"/>
      <c r="AR826" s="76"/>
      <c r="AT826" s="65"/>
      <c r="AU826" s="77"/>
    </row>
    <row r="827" spans="37:47">
      <c r="AK827" s="12"/>
      <c r="AM827" s="12"/>
      <c r="AN827" s="75"/>
      <c r="AO827" s="75"/>
      <c r="AP827" s="75"/>
      <c r="AQ827" s="75"/>
      <c r="AR827" s="76"/>
      <c r="AT827" s="65"/>
      <c r="AU827" s="77"/>
    </row>
    <row r="828" spans="37:47">
      <c r="AK828" s="12"/>
      <c r="AM828" s="12"/>
      <c r="AN828" s="75"/>
      <c r="AO828" s="75"/>
      <c r="AP828" s="75"/>
      <c r="AQ828" s="75"/>
      <c r="AR828" s="76"/>
      <c r="AT828" s="65"/>
      <c r="AU828" s="77"/>
    </row>
    <row r="829" spans="37:47">
      <c r="AK829" s="12"/>
      <c r="AM829" s="12"/>
      <c r="AN829" s="75"/>
      <c r="AO829" s="75"/>
      <c r="AP829" s="75"/>
      <c r="AQ829" s="75"/>
      <c r="AR829" s="76"/>
      <c r="AT829" s="65"/>
      <c r="AU829" s="77"/>
    </row>
    <row r="830" spans="37:47">
      <c r="AK830" s="12"/>
      <c r="AM830" s="12"/>
      <c r="AN830" s="75"/>
      <c r="AO830" s="75"/>
      <c r="AP830" s="75"/>
      <c r="AQ830" s="75"/>
      <c r="AR830" s="76"/>
      <c r="AT830" s="65"/>
      <c r="AU830" s="77"/>
    </row>
    <row r="831" spans="37:47">
      <c r="AK831" s="12"/>
      <c r="AM831" s="12"/>
      <c r="AN831" s="75"/>
      <c r="AO831" s="75"/>
      <c r="AP831" s="75"/>
      <c r="AQ831" s="75"/>
      <c r="AR831" s="76"/>
      <c r="AT831" s="65"/>
      <c r="AU831" s="77"/>
    </row>
    <row r="832" spans="37:47">
      <c r="AK832" s="12"/>
      <c r="AM832" s="12"/>
      <c r="AN832" s="75"/>
      <c r="AO832" s="75"/>
      <c r="AP832" s="75"/>
      <c r="AQ832" s="75"/>
      <c r="AR832" s="76"/>
      <c r="AT832" s="65"/>
      <c r="AU832" s="77"/>
    </row>
    <row r="833" spans="37:47">
      <c r="AK833" s="12"/>
      <c r="AM833" s="12"/>
      <c r="AN833" s="75"/>
      <c r="AO833" s="75"/>
      <c r="AP833" s="75"/>
      <c r="AQ833" s="75"/>
      <c r="AR833" s="76"/>
      <c r="AT833" s="65"/>
      <c r="AU833" s="77"/>
    </row>
    <row r="834" spans="37:47">
      <c r="AK834" s="12"/>
      <c r="AM834" s="12"/>
      <c r="AN834" s="75"/>
      <c r="AO834" s="75"/>
      <c r="AP834" s="75"/>
      <c r="AQ834" s="75"/>
      <c r="AR834" s="76"/>
      <c r="AT834" s="65"/>
      <c r="AU834" s="77"/>
    </row>
    <row r="835" spans="37:47">
      <c r="AK835" s="12"/>
      <c r="AM835" s="12"/>
      <c r="AN835" s="75"/>
      <c r="AO835" s="75"/>
      <c r="AP835" s="75"/>
      <c r="AQ835" s="75"/>
      <c r="AR835" s="76"/>
      <c r="AT835" s="65"/>
      <c r="AU835" s="77"/>
    </row>
    <row r="836" spans="37:47">
      <c r="AK836" s="12"/>
      <c r="AM836" s="12"/>
      <c r="AN836" s="75"/>
      <c r="AO836" s="75"/>
      <c r="AP836" s="75"/>
      <c r="AQ836" s="75"/>
      <c r="AR836" s="76"/>
      <c r="AT836" s="65"/>
      <c r="AU836" s="77"/>
    </row>
    <row r="837" spans="37:47">
      <c r="AK837" s="12"/>
      <c r="AM837" s="12"/>
      <c r="AN837" s="75"/>
      <c r="AO837" s="75"/>
      <c r="AP837" s="75"/>
      <c r="AQ837" s="75"/>
      <c r="AR837" s="76"/>
      <c r="AT837" s="65"/>
      <c r="AU837" s="77"/>
    </row>
    <row r="838" spans="37:47">
      <c r="AK838" s="12"/>
      <c r="AM838" s="12"/>
      <c r="AN838" s="75"/>
      <c r="AO838" s="75"/>
      <c r="AP838" s="75"/>
      <c r="AQ838" s="75"/>
      <c r="AR838" s="76"/>
      <c r="AT838" s="65"/>
      <c r="AU838" s="77"/>
    </row>
    <row r="839" spans="37:47">
      <c r="AK839" s="12"/>
      <c r="AM839" s="12"/>
      <c r="AN839" s="75"/>
      <c r="AO839" s="75"/>
      <c r="AP839" s="75"/>
      <c r="AQ839" s="75"/>
      <c r="AR839" s="76"/>
      <c r="AT839" s="65"/>
      <c r="AU839" s="77"/>
    </row>
    <row r="840" spans="37:47">
      <c r="AK840" s="12"/>
      <c r="AM840" s="12"/>
      <c r="AN840" s="75"/>
      <c r="AO840" s="75"/>
      <c r="AP840" s="75"/>
      <c r="AQ840" s="75"/>
      <c r="AR840" s="76"/>
      <c r="AT840" s="65"/>
      <c r="AU840" s="77"/>
    </row>
    <row r="841" spans="37:47">
      <c r="AK841" s="12"/>
      <c r="AM841" s="12"/>
      <c r="AN841" s="75"/>
      <c r="AO841" s="75"/>
      <c r="AP841" s="75"/>
      <c r="AQ841" s="75"/>
      <c r="AR841" s="76"/>
      <c r="AT841" s="65"/>
      <c r="AU841" s="77"/>
    </row>
    <row r="842" spans="37:47">
      <c r="AK842" s="12"/>
      <c r="AM842" s="12"/>
      <c r="AN842" s="75"/>
      <c r="AO842" s="75"/>
      <c r="AP842" s="75"/>
      <c r="AQ842" s="75"/>
      <c r="AR842" s="76"/>
      <c r="AT842" s="65"/>
      <c r="AU842" s="77"/>
    </row>
    <row r="843" spans="37:47">
      <c r="AK843" s="12"/>
      <c r="AM843" s="12"/>
      <c r="AN843" s="75"/>
      <c r="AO843" s="75"/>
      <c r="AP843" s="75"/>
      <c r="AQ843" s="75"/>
      <c r="AR843" s="76"/>
      <c r="AT843" s="65"/>
      <c r="AU843" s="77"/>
    </row>
    <row r="844" spans="37:47">
      <c r="AK844" s="12"/>
      <c r="AM844" s="12"/>
      <c r="AN844" s="75"/>
      <c r="AO844" s="75"/>
      <c r="AP844" s="75"/>
      <c r="AQ844" s="75"/>
      <c r="AR844" s="76"/>
      <c r="AT844" s="65"/>
      <c r="AU844" s="77"/>
    </row>
    <row r="845" spans="37:47">
      <c r="AK845" s="12"/>
      <c r="AM845" s="12"/>
      <c r="AN845" s="75"/>
      <c r="AO845" s="75"/>
      <c r="AP845" s="75"/>
      <c r="AQ845" s="75"/>
      <c r="AR845" s="76"/>
      <c r="AT845" s="65"/>
      <c r="AU845" s="77"/>
    </row>
    <row r="846" spans="37:47">
      <c r="AK846" s="12"/>
      <c r="AM846" s="12"/>
      <c r="AN846" s="75"/>
      <c r="AO846" s="75"/>
      <c r="AP846" s="75"/>
      <c r="AQ846" s="75"/>
      <c r="AR846" s="76"/>
      <c r="AT846" s="65"/>
      <c r="AU846" s="77"/>
    </row>
    <row r="847" spans="37:47">
      <c r="AK847" s="12"/>
      <c r="AM847" s="12"/>
      <c r="AN847" s="75"/>
      <c r="AO847" s="75"/>
      <c r="AP847" s="75"/>
      <c r="AQ847" s="75"/>
      <c r="AR847" s="76"/>
      <c r="AT847" s="65"/>
      <c r="AU847" s="77"/>
    </row>
    <row r="848" spans="37:47">
      <c r="AK848" s="12"/>
      <c r="AM848" s="12"/>
      <c r="AN848" s="75"/>
      <c r="AO848" s="75"/>
      <c r="AP848" s="75"/>
      <c r="AQ848" s="75"/>
      <c r="AR848" s="76"/>
      <c r="AT848" s="65"/>
      <c r="AU848" s="77"/>
    </row>
    <row r="849" spans="37:47">
      <c r="AK849" s="12"/>
      <c r="AM849" s="12"/>
      <c r="AN849" s="75"/>
      <c r="AO849" s="75"/>
      <c r="AP849" s="75"/>
      <c r="AQ849" s="75"/>
      <c r="AR849" s="76"/>
      <c r="AT849" s="65"/>
      <c r="AU849" s="77"/>
    </row>
    <row r="850" spans="37:47">
      <c r="AK850" s="12"/>
      <c r="AM850" s="12"/>
      <c r="AN850" s="75"/>
      <c r="AO850" s="75"/>
      <c r="AP850" s="75"/>
      <c r="AQ850" s="75"/>
      <c r="AR850" s="76"/>
      <c r="AT850" s="65"/>
      <c r="AU850" s="77"/>
    </row>
    <row r="851" spans="37:47">
      <c r="AK851" s="12"/>
      <c r="AM851" s="12"/>
      <c r="AN851" s="75"/>
      <c r="AO851" s="75"/>
      <c r="AP851" s="75"/>
      <c r="AQ851" s="75"/>
      <c r="AR851" s="76"/>
      <c r="AT851" s="65"/>
      <c r="AU851" s="77"/>
    </row>
    <row r="852" spans="37:47">
      <c r="AK852" s="12"/>
      <c r="AM852" s="12"/>
      <c r="AN852" s="75"/>
      <c r="AO852" s="75"/>
      <c r="AP852" s="75"/>
      <c r="AQ852" s="75"/>
      <c r="AR852" s="76"/>
      <c r="AT852" s="65"/>
      <c r="AU852" s="77"/>
    </row>
    <row r="853" spans="37:47">
      <c r="AK853" s="12"/>
      <c r="AM853" s="12"/>
      <c r="AN853" s="75"/>
      <c r="AO853" s="75"/>
      <c r="AP853" s="75"/>
      <c r="AQ853" s="75"/>
      <c r="AR853" s="76"/>
      <c r="AT853" s="65"/>
      <c r="AU853" s="77"/>
    </row>
    <row r="854" spans="37:47">
      <c r="AK854" s="12"/>
      <c r="AM854" s="12"/>
      <c r="AN854" s="75"/>
      <c r="AO854" s="75"/>
      <c r="AP854" s="75"/>
      <c r="AQ854" s="75"/>
      <c r="AR854" s="76"/>
      <c r="AT854" s="65"/>
      <c r="AU854" s="77"/>
    </row>
    <row r="855" spans="37:47">
      <c r="AK855" s="12"/>
      <c r="AM855" s="12"/>
      <c r="AN855" s="75"/>
      <c r="AO855" s="75"/>
      <c r="AP855" s="75"/>
      <c r="AQ855" s="75"/>
      <c r="AR855" s="76"/>
      <c r="AT855" s="65"/>
      <c r="AU855" s="77"/>
    </row>
    <row r="856" spans="37:47">
      <c r="AK856" s="12"/>
      <c r="AM856" s="12"/>
      <c r="AN856" s="75"/>
      <c r="AO856" s="75"/>
      <c r="AP856" s="75"/>
      <c r="AQ856" s="75"/>
      <c r="AR856" s="76"/>
      <c r="AT856" s="65"/>
      <c r="AU856" s="77"/>
    </row>
    <row r="857" spans="37:47">
      <c r="AK857" s="12"/>
      <c r="AM857" s="12"/>
      <c r="AN857" s="75"/>
      <c r="AO857" s="75"/>
      <c r="AP857" s="75"/>
      <c r="AQ857" s="75"/>
      <c r="AR857" s="76"/>
      <c r="AT857" s="65"/>
      <c r="AU857" s="77"/>
    </row>
    <row r="858" spans="37:47">
      <c r="AK858" s="12"/>
      <c r="AM858" s="12"/>
      <c r="AN858" s="75"/>
      <c r="AO858" s="75"/>
      <c r="AP858" s="75"/>
      <c r="AQ858" s="75"/>
      <c r="AR858" s="76"/>
      <c r="AT858" s="65"/>
      <c r="AU858" s="77"/>
    </row>
    <row r="859" spans="37:47">
      <c r="AK859" s="12"/>
      <c r="AM859" s="12"/>
      <c r="AN859" s="75"/>
      <c r="AO859" s="75"/>
      <c r="AP859" s="75"/>
      <c r="AQ859" s="75"/>
      <c r="AR859" s="76"/>
      <c r="AT859" s="65"/>
      <c r="AU859" s="77"/>
    </row>
    <row r="860" spans="37:47">
      <c r="AK860" s="12"/>
      <c r="AM860" s="12"/>
      <c r="AN860" s="75"/>
      <c r="AO860" s="75"/>
      <c r="AP860" s="75"/>
      <c r="AQ860" s="75"/>
      <c r="AR860" s="76"/>
      <c r="AT860" s="65"/>
      <c r="AU860" s="77"/>
    </row>
    <row r="861" spans="37:47">
      <c r="AK861" s="12"/>
      <c r="AM861" s="12"/>
      <c r="AN861" s="75"/>
      <c r="AO861" s="75"/>
      <c r="AP861" s="75"/>
      <c r="AQ861" s="75"/>
      <c r="AR861" s="76"/>
      <c r="AT861" s="65"/>
      <c r="AU861" s="77"/>
    </row>
    <row r="862" spans="37:47">
      <c r="AK862" s="12"/>
      <c r="AM862" s="12"/>
      <c r="AN862" s="75"/>
      <c r="AO862" s="75"/>
      <c r="AP862" s="75"/>
      <c r="AQ862" s="75"/>
      <c r="AR862" s="76"/>
      <c r="AT862" s="65"/>
      <c r="AU862" s="77"/>
    </row>
    <row r="863" spans="37:47">
      <c r="AK863" s="12"/>
      <c r="AM863" s="12"/>
      <c r="AN863" s="75"/>
      <c r="AO863" s="75"/>
      <c r="AP863" s="75"/>
      <c r="AQ863" s="75"/>
      <c r="AR863" s="76"/>
      <c r="AT863" s="65"/>
      <c r="AU863" s="77"/>
    </row>
    <row r="864" spans="37:47">
      <c r="AK864" s="12"/>
      <c r="AM864" s="12"/>
      <c r="AN864" s="75"/>
      <c r="AO864" s="75"/>
      <c r="AP864" s="75"/>
      <c r="AQ864" s="75"/>
      <c r="AR864" s="76"/>
      <c r="AT864" s="65"/>
      <c r="AU864" s="77"/>
    </row>
    <row r="865" spans="37:47">
      <c r="AK865" s="12"/>
      <c r="AM865" s="12"/>
      <c r="AN865" s="75"/>
      <c r="AO865" s="75"/>
      <c r="AP865" s="75"/>
      <c r="AQ865" s="75"/>
      <c r="AR865" s="76"/>
      <c r="AT865" s="65"/>
      <c r="AU865" s="77"/>
    </row>
    <row r="866" spans="37:47">
      <c r="AK866" s="12"/>
      <c r="AM866" s="12"/>
      <c r="AN866" s="75"/>
      <c r="AO866" s="75"/>
      <c r="AP866" s="75"/>
      <c r="AQ866" s="75"/>
      <c r="AR866" s="76"/>
      <c r="AT866" s="65"/>
      <c r="AU866" s="77"/>
    </row>
    <row r="867" spans="37:47">
      <c r="AK867" s="12"/>
      <c r="AM867" s="12"/>
      <c r="AN867" s="75"/>
      <c r="AO867" s="75"/>
      <c r="AP867" s="75"/>
      <c r="AQ867" s="75"/>
      <c r="AR867" s="76"/>
      <c r="AT867" s="65"/>
      <c r="AU867" s="77"/>
    </row>
    <row r="868" spans="37:47">
      <c r="AK868" s="12"/>
      <c r="AM868" s="12"/>
      <c r="AN868" s="75"/>
      <c r="AO868" s="75"/>
      <c r="AP868" s="75"/>
      <c r="AQ868" s="75"/>
      <c r="AR868" s="76"/>
      <c r="AT868" s="65"/>
      <c r="AU868" s="77"/>
    </row>
    <row r="869" spans="37:47">
      <c r="AK869" s="12"/>
      <c r="AM869" s="12"/>
      <c r="AN869" s="75"/>
      <c r="AO869" s="75"/>
      <c r="AP869" s="75"/>
      <c r="AQ869" s="75"/>
      <c r="AR869" s="76"/>
      <c r="AT869" s="65"/>
      <c r="AU869" s="77"/>
    </row>
    <row r="870" spans="37:47">
      <c r="AK870" s="12"/>
      <c r="AM870" s="12"/>
      <c r="AN870" s="75"/>
      <c r="AO870" s="75"/>
      <c r="AP870" s="75"/>
      <c r="AQ870" s="75"/>
      <c r="AR870" s="76"/>
      <c r="AT870" s="65"/>
      <c r="AU870" s="77"/>
    </row>
    <row r="871" spans="37:47">
      <c r="AK871" s="12"/>
      <c r="AM871" s="12"/>
      <c r="AN871" s="75"/>
      <c r="AO871" s="75"/>
      <c r="AP871" s="75"/>
      <c r="AQ871" s="75"/>
      <c r="AR871" s="76"/>
      <c r="AT871" s="65"/>
      <c r="AU871" s="77"/>
    </row>
    <row r="872" spans="37:47">
      <c r="AK872" s="12"/>
      <c r="AM872" s="12"/>
      <c r="AN872" s="75"/>
      <c r="AO872" s="75"/>
      <c r="AP872" s="75"/>
      <c r="AQ872" s="75"/>
      <c r="AR872" s="76"/>
      <c r="AT872" s="65"/>
      <c r="AU872" s="77"/>
    </row>
    <row r="873" spans="37:47">
      <c r="AK873" s="12"/>
      <c r="AM873" s="12"/>
      <c r="AN873" s="75"/>
      <c r="AO873" s="75"/>
      <c r="AP873" s="75"/>
      <c r="AQ873" s="75"/>
      <c r="AR873" s="76"/>
      <c r="AT873" s="65"/>
      <c r="AU873" s="77"/>
    </row>
    <row r="874" spans="37:47">
      <c r="AK874" s="12"/>
      <c r="AM874" s="12"/>
      <c r="AN874" s="75"/>
      <c r="AO874" s="75"/>
      <c r="AP874" s="75"/>
      <c r="AQ874" s="75"/>
      <c r="AR874" s="76"/>
      <c r="AT874" s="65"/>
      <c r="AU874" s="77"/>
    </row>
    <row r="875" spans="37:47">
      <c r="AK875" s="12"/>
      <c r="AM875" s="12"/>
      <c r="AN875" s="75"/>
      <c r="AO875" s="75"/>
      <c r="AP875" s="75"/>
      <c r="AQ875" s="75"/>
      <c r="AR875" s="76"/>
      <c r="AT875" s="65"/>
      <c r="AU875" s="77"/>
    </row>
    <row r="876" spans="37:47">
      <c r="AK876" s="12"/>
      <c r="AM876" s="12"/>
      <c r="AN876" s="75"/>
      <c r="AO876" s="75"/>
      <c r="AP876" s="75"/>
      <c r="AQ876" s="75"/>
      <c r="AR876" s="76"/>
      <c r="AT876" s="65"/>
      <c r="AU876" s="77"/>
    </row>
    <row r="877" spans="37:47">
      <c r="AK877" s="12"/>
      <c r="AM877" s="12"/>
      <c r="AN877" s="75"/>
      <c r="AO877" s="75"/>
      <c r="AP877" s="75"/>
      <c r="AQ877" s="75"/>
      <c r="AR877" s="76"/>
      <c r="AT877" s="65"/>
      <c r="AU877" s="77"/>
    </row>
    <row r="878" spans="37:47">
      <c r="AK878" s="12"/>
      <c r="AM878" s="12"/>
      <c r="AN878" s="75"/>
      <c r="AO878" s="75"/>
      <c r="AP878" s="75"/>
      <c r="AQ878" s="75"/>
      <c r="AR878" s="76"/>
      <c r="AT878" s="65"/>
      <c r="AU878" s="77"/>
    </row>
    <row r="879" spans="37:47">
      <c r="AK879" s="12"/>
      <c r="AM879" s="12"/>
      <c r="AN879" s="75"/>
      <c r="AO879" s="75"/>
      <c r="AP879" s="75"/>
      <c r="AQ879" s="75"/>
      <c r="AR879" s="76"/>
      <c r="AT879" s="65"/>
      <c r="AU879" s="77"/>
    </row>
    <row r="880" spans="37:47">
      <c r="AK880" s="12"/>
      <c r="AM880" s="12"/>
      <c r="AN880" s="75"/>
      <c r="AO880" s="75"/>
      <c r="AP880" s="75"/>
      <c r="AQ880" s="75"/>
      <c r="AR880" s="76"/>
      <c r="AT880" s="65"/>
      <c r="AU880" s="77"/>
    </row>
    <row r="881" spans="37:47">
      <c r="AK881" s="12"/>
      <c r="AM881" s="12"/>
      <c r="AN881" s="75"/>
      <c r="AO881" s="75"/>
      <c r="AP881" s="75"/>
      <c r="AQ881" s="75"/>
      <c r="AR881" s="76"/>
      <c r="AT881" s="65"/>
      <c r="AU881" s="77"/>
    </row>
    <row r="882" spans="37:47">
      <c r="AK882" s="12"/>
      <c r="AM882" s="12"/>
      <c r="AN882" s="75"/>
      <c r="AO882" s="75"/>
      <c r="AP882" s="75"/>
      <c r="AQ882" s="75"/>
      <c r="AR882" s="76"/>
      <c r="AT882" s="65"/>
      <c r="AU882" s="77"/>
    </row>
    <row r="883" spans="37:47">
      <c r="AK883" s="12"/>
      <c r="AM883" s="12"/>
      <c r="AN883" s="75"/>
      <c r="AO883" s="75"/>
      <c r="AP883" s="75"/>
      <c r="AQ883" s="75"/>
      <c r="AR883" s="76"/>
      <c r="AT883" s="65"/>
      <c r="AU883" s="77"/>
    </row>
    <row r="884" spans="37:47">
      <c r="AK884" s="12"/>
      <c r="AM884" s="12"/>
      <c r="AN884" s="75"/>
      <c r="AO884" s="75"/>
      <c r="AP884" s="75"/>
      <c r="AQ884" s="75"/>
      <c r="AR884" s="76"/>
      <c r="AT884" s="65"/>
      <c r="AU884" s="77"/>
    </row>
    <row r="885" spans="37:47">
      <c r="AK885" s="12"/>
      <c r="AM885" s="12"/>
      <c r="AN885" s="75"/>
      <c r="AO885" s="75"/>
      <c r="AP885" s="75"/>
      <c r="AQ885" s="75"/>
      <c r="AR885" s="76"/>
      <c r="AT885" s="65"/>
      <c r="AU885" s="77"/>
    </row>
    <row r="886" spans="37:47">
      <c r="AK886" s="12"/>
      <c r="AM886" s="12"/>
      <c r="AN886" s="75"/>
      <c r="AO886" s="75"/>
      <c r="AP886" s="75"/>
      <c r="AQ886" s="75"/>
      <c r="AR886" s="76"/>
      <c r="AT886" s="65"/>
      <c r="AU886" s="77"/>
    </row>
    <row r="887" spans="37:47">
      <c r="AK887" s="12"/>
      <c r="AM887" s="12"/>
      <c r="AN887" s="75"/>
      <c r="AO887" s="75"/>
      <c r="AP887" s="75"/>
      <c r="AQ887" s="75"/>
      <c r="AR887" s="76"/>
      <c r="AT887" s="65"/>
      <c r="AU887" s="77"/>
    </row>
    <row r="888" spans="37:47">
      <c r="AK888" s="12"/>
      <c r="AM888" s="12"/>
      <c r="AN888" s="75"/>
      <c r="AO888" s="75"/>
      <c r="AP888" s="75"/>
      <c r="AQ888" s="75"/>
      <c r="AR888" s="76"/>
      <c r="AT888" s="65"/>
      <c r="AU888" s="77"/>
    </row>
    <row r="889" spans="37:47">
      <c r="AK889" s="12"/>
      <c r="AM889" s="12"/>
      <c r="AN889" s="75"/>
      <c r="AO889" s="75"/>
      <c r="AP889" s="75"/>
      <c r="AQ889" s="75"/>
      <c r="AR889" s="76"/>
      <c r="AT889" s="65"/>
      <c r="AU889" s="77"/>
    </row>
    <row r="890" spans="37:47">
      <c r="AK890" s="12"/>
      <c r="AM890" s="12"/>
      <c r="AN890" s="75"/>
      <c r="AO890" s="75"/>
      <c r="AP890" s="75"/>
      <c r="AQ890" s="75"/>
      <c r="AR890" s="76"/>
      <c r="AT890" s="65"/>
      <c r="AU890" s="77"/>
    </row>
    <row r="891" spans="37:47">
      <c r="AK891" s="12"/>
      <c r="AM891" s="12"/>
      <c r="AN891" s="75"/>
      <c r="AO891" s="75"/>
      <c r="AP891" s="75"/>
      <c r="AQ891" s="75"/>
      <c r="AR891" s="76"/>
      <c r="AT891" s="65"/>
      <c r="AU891" s="77"/>
    </row>
    <row r="892" spans="37:47">
      <c r="AK892" s="12"/>
      <c r="AM892" s="12"/>
      <c r="AN892" s="75"/>
      <c r="AO892" s="75"/>
      <c r="AP892" s="75"/>
      <c r="AQ892" s="75"/>
      <c r="AR892" s="76"/>
      <c r="AT892" s="65"/>
      <c r="AU892" s="77"/>
    </row>
    <row r="893" spans="37:47">
      <c r="AK893" s="12"/>
      <c r="AM893" s="12"/>
      <c r="AN893" s="75"/>
      <c r="AO893" s="75"/>
      <c r="AP893" s="75"/>
      <c r="AQ893" s="75"/>
      <c r="AR893" s="76"/>
      <c r="AT893" s="65"/>
      <c r="AU893" s="77"/>
    </row>
    <row r="894" spans="37:47">
      <c r="AK894" s="12"/>
      <c r="AM894" s="12"/>
      <c r="AN894" s="75"/>
      <c r="AO894" s="75"/>
      <c r="AP894" s="75"/>
      <c r="AQ894" s="75"/>
      <c r="AR894" s="76"/>
      <c r="AT894" s="65"/>
      <c r="AU894" s="77"/>
    </row>
    <row r="895" spans="37:47">
      <c r="AK895" s="12"/>
      <c r="AM895" s="12"/>
      <c r="AN895" s="75"/>
      <c r="AO895" s="75"/>
      <c r="AP895" s="75"/>
      <c r="AQ895" s="75"/>
      <c r="AR895" s="76"/>
      <c r="AT895" s="65"/>
      <c r="AU895" s="77"/>
    </row>
    <row r="896" spans="37:47">
      <c r="AK896" s="12"/>
      <c r="AM896" s="12"/>
      <c r="AN896" s="75"/>
      <c r="AO896" s="75"/>
      <c r="AP896" s="75"/>
      <c r="AQ896" s="75"/>
      <c r="AR896" s="76"/>
      <c r="AT896" s="65"/>
      <c r="AU896" s="77"/>
    </row>
    <row r="897" spans="37:47">
      <c r="AK897" s="12"/>
      <c r="AM897" s="12"/>
      <c r="AN897" s="75"/>
      <c r="AO897" s="75"/>
      <c r="AP897" s="75"/>
      <c r="AQ897" s="75"/>
      <c r="AR897" s="76"/>
      <c r="AT897" s="65"/>
      <c r="AU897" s="77"/>
    </row>
    <row r="898" spans="37:47">
      <c r="AK898" s="12"/>
      <c r="AM898" s="12"/>
      <c r="AN898" s="75"/>
      <c r="AO898" s="75"/>
      <c r="AP898" s="75"/>
      <c r="AQ898" s="75"/>
      <c r="AR898" s="76"/>
      <c r="AT898" s="65"/>
      <c r="AU898" s="77"/>
    </row>
    <row r="899" spans="37:47">
      <c r="AK899" s="12"/>
      <c r="AM899" s="12"/>
      <c r="AN899" s="75"/>
      <c r="AO899" s="75"/>
      <c r="AP899" s="75"/>
      <c r="AQ899" s="75"/>
      <c r="AR899" s="76"/>
      <c r="AT899" s="65"/>
      <c r="AU899" s="77"/>
    </row>
    <row r="900" spans="37:47">
      <c r="AK900" s="12"/>
      <c r="AM900" s="12"/>
      <c r="AN900" s="75"/>
      <c r="AO900" s="75"/>
      <c r="AP900" s="75"/>
      <c r="AQ900" s="75"/>
      <c r="AR900" s="76"/>
      <c r="AT900" s="65"/>
      <c r="AU900" s="77"/>
    </row>
    <row r="901" spans="37:47">
      <c r="AK901" s="12"/>
      <c r="AM901" s="12"/>
      <c r="AN901" s="75"/>
      <c r="AO901" s="75"/>
      <c r="AP901" s="75"/>
      <c r="AQ901" s="75"/>
      <c r="AR901" s="76"/>
      <c r="AT901" s="65"/>
      <c r="AU901" s="77"/>
    </row>
    <row r="902" spans="37:47">
      <c r="AK902" s="12"/>
      <c r="AM902" s="12"/>
      <c r="AN902" s="75"/>
      <c r="AO902" s="75"/>
      <c r="AP902" s="75"/>
      <c r="AQ902" s="75"/>
      <c r="AR902" s="76"/>
      <c r="AT902" s="65"/>
      <c r="AU902" s="77"/>
    </row>
    <row r="903" spans="37:47">
      <c r="AK903" s="12"/>
      <c r="AM903" s="12"/>
      <c r="AN903" s="75"/>
      <c r="AO903" s="75"/>
      <c r="AP903" s="75"/>
      <c r="AQ903" s="75"/>
      <c r="AR903" s="76"/>
      <c r="AT903" s="65"/>
      <c r="AU903" s="77"/>
    </row>
    <row r="904" spans="37:47">
      <c r="AK904" s="12"/>
      <c r="AM904" s="12"/>
      <c r="AN904" s="75"/>
      <c r="AO904" s="75"/>
      <c r="AP904" s="75"/>
      <c r="AQ904" s="75"/>
      <c r="AR904" s="76"/>
      <c r="AT904" s="65"/>
      <c r="AU904" s="77"/>
    </row>
    <row r="905" spans="37:47">
      <c r="AK905" s="12"/>
      <c r="AM905" s="12"/>
      <c r="AN905" s="75"/>
      <c r="AO905" s="75"/>
      <c r="AP905" s="75"/>
      <c r="AQ905" s="75"/>
      <c r="AR905" s="76"/>
      <c r="AT905" s="65"/>
      <c r="AU905" s="77"/>
    </row>
    <row r="906" spans="37:47">
      <c r="AK906" s="12"/>
      <c r="AM906" s="12"/>
      <c r="AN906" s="75"/>
      <c r="AO906" s="75"/>
      <c r="AP906" s="75"/>
      <c r="AQ906" s="75"/>
      <c r="AR906" s="76"/>
      <c r="AT906" s="65"/>
      <c r="AU906" s="77"/>
    </row>
    <row r="907" spans="37:47">
      <c r="AK907" s="12"/>
      <c r="AM907" s="12"/>
      <c r="AN907" s="75"/>
      <c r="AO907" s="75"/>
      <c r="AP907" s="75"/>
      <c r="AQ907" s="75"/>
      <c r="AR907" s="76"/>
      <c r="AT907" s="65"/>
      <c r="AU907" s="77"/>
    </row>
    <row r="908" spans="37:47">
      <c r="AK908" s="12"/>
      <c r="AM908" s="12"/>
      <c r="AN908" s="75"/>
      <c r="AO908" s="75"/>
      <c r="AP908" s="75"/>
      <c r="AQ908" s="75"/>
      <c r="AR908" s="76"/>
      <c r="AT908" s="65"/>
      <c r="AU908" s="77"/>
    </row>
    <row r="909" spans="37:47">
      <c r="AK909" s="12"/>
      <c r="AM909" s="12"/>
      <c r="AN909" s="75"/>
      <c r="AO909" s="75"/>
      <c r="AP909" s="75"/>
      <c r="AQ909" s="75"/>
      <c r="AR909" s="76"/>
      <c r="AT909" s="65"/>
      <c r="AU909" s="77"/>
    </row>
    <row r="910" spans="37:47">
      <c r="AK910" s="12"/>
      <c r="AM910" s="12"/>
      <c r="AN910" s="75"/>
      <c r="AO910" s="75"/>
      <c r="AP910" s="75"/>
      <c r="AQ910" s="75"/>
      <c r="AR910" s="76"/>
      <c r="AT910" s="65"/>
      <c r="AU910" s="77"/>
    </row>
    <row r="911" spans="37:47">
      <c r="AK911" s="12"/>
      <c r="AM911" s="12"/>
      <c r="AN911" s="75"/>
      <c r="AO911" s="75"/>
      <c r="AP911" s="75"/>
      <c r="AQ911" s="75"/>
      <c r="AR911" s="76"/>
      <c r="AT911" s="65"/>
      <c r="AU911" s="77"/>
    </row>
    <row r="912" spans="37:47">
      <c r="AK912" s="12"/>
      <c r="AM912" s="12"/>
      <c r="AN912" s="75"/>
      <c r="AO912" s="75"/>
      <c r="AP912" s="75"/>
      <c r="AQ912" s="75"/>
      <c r="AR912" s="76"/>
      <c r="AT912" s="65"/>
      <c r="AU912" s="77"/>
    </row>
    <row r="913" spans="37:47">
      <c r="AK913" s="12"/>
      <c r="AM913" s="12"/>
      <c r="AN913" s="75"/>
      <c r="AO913" s="75"/>
      <c r="AP913" s="75"/>
      <c r="AQ913" s="75"/>
      <c r="AR913" s="76"/>
      <c r="AT913" s="65"/>
      <c r="AU913" s="77"/>
    </row>
    <row r="914" spans="37:47">
      <c r="AK914" s="12"/>
      <c r="AM914" s="12"/>
      <c r="AN914" s="75"/>
      <c r="AO914" s="75"/>
      <c r="AP914" s="75"/>
      <c r="AQ914" s="75"/>
      <c r="AR914" s="76"/>
      <c r="AT914" s="65"/>
      <c r="AU914" s="77"/>
    </row>
    <row r="915" spans="37:47">
      <c r="AK915" s="12"/>
      <c r="AM915" s="12"/>
      <c r="AN915" s="75"/>
      <c r="AO915" s="75"/>
      <c r="AP915" s="75"/>
      <c r="AQ915" s="75"/>
      <c r="AR915" s="76"/>
      <c r="AT915" s="65"/>
      <c r="AU915" s="77"/>
    </row>
    <row r="916" spans="37:47">
      <c r="AK916" s="12"/>
      <c r="AM916" s="12"/>
      <c r="AN916" s="75"/>
      <c r="AO916" s="75"/>
      <c r="AP916" s="75"/>
      <c r="AQ916" s="75"/>
      <c r="AR916" s="76"/>
      <c r="AT916" s="65"/>
      <c r="AU916" s="77"/>
    </row>
    <row r="917" spans="37:47">
      <c r="AK917" s="12"/>
      <c r="AM917" s="12"/>
      <c r="AN917" s="75"/>
      <c r="AO917" s="75"/>
      <c r="AP917" s="75"/>
      <c r="AQ917" s="75"/>
      <c r="AR917" s="76"/>
      <c r="AT917" s="65"/>
      <c r="AU917" s="77"/>
    </row>
    <row r="918" spans="37:47">
      <c r="AK918" s="12"/>
      <c r="AM918" s="12"/>
      <c r="AN918" s="75"/>
      <c r="AO918" s="75"/>
      <c r="AP918" s="75"/>
      <c r="AQ918" s="75"/>
      <c r="AR918" s="76"/>
      <c r="AT918" s="65"/>
      <c r="AU918" s="77"/>
    </row>
    <row r="919" spans="37:47">
      <c r="AK919" s="12"/>
      <c r="AM919" s="12"/>
      <c r="AN919" s="75"/>
      <c r="AO919" s="75"/>
      <c r="AP919" s="75"/>
      <c r="AQ919" s="75"/>
      <c r="AR919" s="76"/>
      <c r="AT919" s="65"/>
      <c r="AU919" s="77"/>
    </row>
    <row r="920" spans="37:47">
      <c r="AK920" s="12"/>
      <c r="AM920" s="12"/>
      <c r="AN920" s="75"/>
      <c r="AO920" s="75"/>
      <c r="AP920" s="75"/>
      <c r="AQ920" s="75"/>
      <c r="AR920" s="76"/>
      <c r="AT920" s="65"/>
      <c r="AU920" s="77"/>
    </row>
    <row r="921" spans="37:47">
      <c r="AK921" s="12"/>
      <c r="AM921" s="12"/>
      <c r="AN921" s="75"/>
      <c r="AO921" s="75"/>
      <c r="AP921" s="75"/>
      <c r="AQ921" s="75"/>
      <c r="AR921" s="76"/>
      <c r="AT921" s="65"/>
      <c r="AU921" s="77"/>
    </row>
    <row r="922" spans="37:47">
      <c r="AK922" s="12"/>
      <c r="AM922" s="12"/>
      <c r="AN922" s="75"/>
      <c r="AO922" s="75"/>
      <c r="AP922" s="75"/>
      <c r="AQ922" s="75"/>
      <c r="AR922" s="76"/>
      <c r="AT922" s="65"/>
      <c r="AU922" s="77"/>
    </row>
    <row r="923" spans="37:47">
      <c r="AK923" s="12"/>
      <c r="AM923" s="12"/>
      <c r="AN923" s="75"/>
      <c r="AO923" s="75"/>
      <c r="AP923" s="75"/>
      <c r="AQ923" s="75"/>
      <c r="AR923" s="76"/>
      <c r="AT923" s="65"/>
      <c r="AU923" s="77"/>
    </row>
    <row r="924" spans="37:47">
      <c r="AK924" s="12"/>
      <c r="AM924" s="12"/>
      <c r="AN924" s="75"/>
      <c r="AO924" s="75"/>
      <c r="AP924" s="75"/>
      <c r="AQ924" s="75"/>
      <c r="AR924" s="76"/>
      <c r="AT924" s="65"/>
      <c r="AU924" s="77"/>
    </row>
    <row r="925" spans="37:47">
      <c r="AK925" s="12"/>
      <c r="AM925" s="12"/>
      <c r="AN925" s="75"/>
      <c r="AO925" s="75"/>
      <c r="AP925" s="75"/>
      <c r="AQ925" s="75"/>
      <c r="AR925" s="76"/>
      <c r="AT925" s="65"/>
      <c r="AU925" s="77"/>
    </row>
    <row r="926" spans="37:47">
      <c r="AK926" s="12"/>
      <c r="AM926" s="12"/>
      <c r="AN926" s="75"/>
      <c r="AO926" s="75"/>
      <c r="AP926" s="75"/>
      <c r="AQ926" s="75"/>
      <c r="AR926" s="76"/>
      <c r="AT926" s="65"/>
      <c r="AU926" s="77"/>
    </row>
    <row r="927" spans="37:47">
      <c r="AK927" s="12"/>
      <c r="AM927" s="12"/>
      <c r="AN927" s="75"/>
      <c r="AO927" s="75"/>
      <c r="AP927" s="75"/>
      <c r="AQ927" s="75"/>
      <c r="AR927" s="76"/>
      <c r="AT927" s="65"/>
      <c r="AU927" s="77"/>
    </row>
    <row r="928" spans="37:47">
      <c r="AK928" s="12"/>
      <c r="AM928" s="12"/>
      <c r="AN928" s="75"/>
      <c r="AO928" s="75"/>
      <c r="AP928" s="75"/>
      <c r="AQ928" s="75"/>
      <c r="AR928" s="76"/>
      <c r="AT928" s="65"/>
      <c r="AU928" s="77"/>
    </row>
    <row r="929" spans="37:47">
      <c r="AK929" s="12"/>
      <c r="AM929" s="12"/>
      <c r="AN929" s="75"/>
      <c r="AO929" s="75"/>
      <c r="AP929" s="75"/>
      <c r="AQ929" s="75"/>
      <c r="AR929" s="76"/>
      <c r="AT929" s="65"/>
      <c r="AU929" s="77"/>
    </row>
    <row r="930" spans="37:47">
      <c r="AK930" s="12"/>
      <c r="AM930" s="12"/>
      <c r="AN930" s="75"/>
      <c r="AO930" s="75"/>
      <c r="AP930" s="75"/>
      <c r="AQ930" s="75"/>
      <c r="AR930" s="76"/>
      <c r="AT930" s="65"/>
      <c r="AU930" s="77"/>
    </row>
    <row r="931" spans="37:47">
      <c r="AK931" s="12"/>
      <c r="AM931" s="12"/>
      <c r="AN931" s="75"/>
      <c r="AO931" s="75"/>
      <c r="AP931" s="75"/>
      <c r="AQ931" s="75"/>
      <c r="AR931" s="76"/>
      <c r="AT931" s="65"/>
      <c r="AU931" s="77"/>
    </row>
    <row r="932" spans="37:47">
      <c r="AK932" s="12"/>
      <c r="AM932" s="12"/>
      <c r="AN932" s="75"/>
      <c r="AO932" s="75"/>
      <c r="AP932" s="75"/>
      <c r="AQ932" s="75"/>
      <c r="AR932" s="76"/>
      <c r="AT932" s="65"/>
      <c r="AU932" s="77"/>
    </row>
    <row r="933" spans="37:47">
      <c r="AK933" s="12"/>
      <c r="AM933" s="12"/>
      <c r="AN933" s="75"/>
      <c r="AO933" s="75"/>
      <c r="AP933" s="75"/>
      <c r="AQ933" s="75"/>
      <c r="AR933" s="76"/>
      <c r="AT933" s="65"/>
      <c r="AU933" s="77"/>
    </row>
    <row r="934" spans="37:47">
      <c r="AK934" s="12"/>
      <c r="AM934" s="12"/>
      <c r="AN934" s="75"/>
      <c r="AO934" s="75"/>
      <c r="AP934" s="75"/>
      <c r="AQ934" s="75"/>
      <c r="AR934" s="76"/>
      <c r="AT934" s="65"/>
      <c r="AU934" s="77"/>
    </row>
    <row r="935" spans="37:47">
      <c r="AK935" s="12"/>
      <c r="AM935" s="12"/>
      <c r="AN935" s="75"/>
      <c r="AO935" s="75"/>
      <c r="AP935" s="75"/>
      <c r="AQ935" s="75"/>
      <c r="AR935" s="76"/>
      <c r="AT935" s="65"/>
      <c r="AU935" s="77"/>
    </row>
    <row r="936" spans="37:47">
      <c r="AK936" s="12"/>
      <c r="AM936" s="12"/>
      <c r="AN936" s="75"/>
      <c r="AO936" s="75"/>
      <c r="AP936" s="75"/>
      <c r="AQ936" s="75"/>
      <c r="AR936" s="76"/>
      <c r="AT936" s="65"/>
      <c r="AU936" s="77"/>
    </row>
    <row r="937" spans="37:47">
      <c r="AK937" s="12"/>
      <c r="AM937" s="12"/>
      <c r="AN937" s="75"/>
      <c r="AO937" s="75"/>
      <c r="AP937" s="75"/>
      <c r="AQ937" s="75"/>
      <c r="AR937" s="76"/>
      <c r="AT937" s="65"/>
      <c r="AU937" s="77"/>
    </row>
    <row r="938" spans="37:47">
      <c r="AK938" s="12"/>
      <c r="AM938" s="12"/>
      <c r="AN938" s="75"/>
      <c r="AO938" s="75"/>
      <c r="AP938" s="75"/>
      <c r="AQ938" s="75"/>
      <c r="AR938" s="76"/>
      <c r="AT938" s="65"/>
      <c r="AU938" s="77"/>
    </row>
    <row r="939" spans="37:47">
      <c r="AK939" s="12"/>
      <c r="AM939" s="12"/>
      <c r="AN939" s="75"/>
      <c r="AO939" s="75"/>
      <c r="AP939" s="75"/>
      <c r="AQ939" s="75"/>
      <c r="AR939" s="76"/>
      <c r="AT939" s="65"/>
      <c r="AU939" s="77"/>
    </row>
    <row r="940" spans="37:47">
      <c r="AK940" s="12"/>
      <c r="AM940" s="12"/>
      <c r="AN940" s="75"/>
      <c r="AO940" s="75"/>
      <c r="AP940" s="75"/>
      <c r="AQ940" s="75"/>
      <c r="AR940" s="76"/>
      <c r="AT940" s="65"/>
      <c r="AU940" s="77"/>
    </row>
    <row r="941" spans="37:47">
      <c r="AK941" s="12"/>
      <c r="AM941" s="12"/>
      <c r="AN941" s="75"/>
      <c r="AO941" s="75"/>
      <c r="AP941" s="75"/>
      <c r="AQ941" s="75"/>
      <c r="AR941" s="76"/>
      <c r="AT941" s="65"/>
      <c r="AU941" s="77"/>
    </row>
    <row r="942" spans="37:47">
      <c r="AK942" s="12"/>
      <c r="AM942" s="12"/>
      <c r="AN942" s="75"/>
      <c r="AO942" s="75"/>
      <c r="AP942" s="75"/>
      <c r="AQ942" s="75"/>
      <c r="AR942" s="76"/>
      <c r="AT942" s="65"/>
      <c r="AU942" s="77"/>
    </row>
    <row r="943" spans="37:47">
      <c r="AK943" s="12"/>
      <c r="AM943" s="12"/>
      <c r="AN943" s="75"/>
      <c r="AO943" s="75"/>
      <c r="AP943" s="75"/>
      <c r="AQ943" s="75"/>
      <c r="AR943" s="76"/>
      <c r="AT943" s="65"/>
      <c r="AU943" s="77"/>
    </row>
    <row r="944" spans="37:47">
      <c r="AK944" s="12"/>
      <c r="AM944" s="12"/>
      <c r="AN944" s="75"/>
      <c r="AO944" s="75"/>
      <c r="AP944" s="75"/>
      <c r="AQ944" s="75"/>
      <c r="AR944" s="76"/>
      <c r="AT944" s="65"/>
      <c r="AU944" s="77"/>
    </row>
    <row r="945" spans="37:47">
      <c r="AK945" s="12"/>
      <c r="AM945" s="12"/>
      <c r="AN945" s="75"/>
      <c r="AO945" s="75"/>
      <c r="AP945" s="75"/>
      <c r="AQ945" s="75"/>
      <c r="AR945" s="76"/>
      <c r="AT945" s="65"/>
      <c r="AU945" s="77"/>
    </row>
    <row r="946" spans="37:47">
      <c r="AK946" s="12"/>
      <c r="AM946" s="12"/>
      <c r="AN946" s="75"/>
      <c r="AO946" s="75"/>
      <c r="AP946" s="75"/>
      <c r="AQ946" s="75"/>
      <c r="AR946" s="76"/>
      <c r="AT946" s="65"/>
      <c r="AU946" s="77"/>
    </row>
    <row r="947" spans="37:47">
      <c r="AK947" s="12"/>
      <c r="AM947" s="12"/>
      <c r="AN947" s="75"/>
      <c r="AO947" s="75"/>
      <c r="AP947" s="75"/>
      <c r="AQ947" s="75"/>
      <c r="AR947" s="76"/>
      <c r="AT947" s="65"/>
      <c r="AU947" s="77"/>
    </row>
    <row r="948" spans="37:47">
      <c r="AK948" s="12"/>
      <c r="AM948" s="12"/>
      <c r="AN948" s="75"/>
      <c r="AO948" s="75"/>
      <c r="AP948" s="75"/>
      <c r="AQ948" s="75"/>
      <c r="AR948" s="76"/>
      <c r="AT948" s="65"/>
      <c r="AU948" s="77"/>
    </row>
    <row r="949" spans="37:47">
      <c r="AK949" s="12"/>
      <c r="AM949" s="12"/>
      <c r="AN949" s="75"/>
      <c r="AO949" s="75"/>
      <c r="AP949" s="75"/>
      <c r="AQ949" s="75"/>
      <c r="AR949" s="76"/>
      <c r="AT949" s="65"/>
      <c r="AU949" s="77"/>
    </row>
    <row r="950" spans="37:47">
      <c r="AK950" s="12"/>
      <c r="AM950" s="12"/>
      <c r="AN950" s="75"/>
      <c r="AO950" s="75"/>
      <c r="AP950" s="75"/>
      <c r="AQ950" s="75"/>
      <c r="AR950" s="76"/>
      <c r="AT950" s="65"/>
      <c r="AU950" s="77"/>
    </row>
    <row r="951" spans="37:47">
      <c r="AK951" s="12"/>
      <c r="AM951" s="12"/>
      <c r="AN951" s="75"/>
      <c r="AO951" s="75"/>
      <c r="AP951" s="75"/>
      <c r="AQ951" s="75"/>
      <c r="AR951" s="76"/>
      <c r="AT951" s="65"/>
      <c r="AU951" s="77"/>
    </row>
    <row r="952" spans="37:47">
      <c r="AK952" s="12"/>
      <c r="AM952" s="12"/>
      <c r="AN952" s="75"/>
      <c r="AO952" s="75"/>
      <c r="AP952" s="75"/>
      <c r="AQ952" s="75"/>
      <c r="AR952" s="76"/>
      <c r="AT952" s="65"/>
      <c r="AU952" s="77"/>
    </row>
    <row r="953" spans="37:47">
      <c r="AK953" s="12"/>
      <c r="AM953" s="12"/>
      <c r="AN953" s="75"/>
      <c r="AO953" s="75"/>
      <c r="AP953" s="75"/>
      <c r="AQ953" s="75"/>
      <c r="AR953" s="76"/>
      <c r="AT953" s="65"/>
      <c r="AU953" s="77"/>
    </row>
    <row r="954" spans="37:47">
      <c r="AK954" s="12"/>
      <c r="AM954" s="12"/>
      <c r="AN954" s="75"/>
      <c r="AO954" s="75"/>
      <c r="AP954" s="75"/>
      <c r="AQ954" s="75"/>
      <c r="AR954" s="76"/>
      <c r="AT954" s="65"/>
      <c r="AU954" s="77"/>
    </row>
    <row r="955" spans="37:47">
      <c r="AK955" s="12"/>
      <c r="AM955" s="12"/>
      <c r="AN955" s="75"/>
      <c r="AO955" s="75"/>
      <c r="AP955" s="75"/>
      <c r="AQ955" s="75"/>
      <c r="AR955" s="76"/>
      <c r="AT955" s="65"/>
      <c r="AU955" s="77"/>
    </row>
    <row r="956" spans="37:47">
      <c r="AK956" s="12"/>
      <c r="AM956" s="12"/>
      <c r="AN956" s="75"/>
      <c r="AO956" s="75"/>
      <c r="AP956" s="75"/>
      <c r="AQ956" s="75"/>
      <c r="AR956" s="76"/>
      <c r="AT956" s="65"/>
      <c r="AU956" s="77"/>
    </row>
    <row r="957" spans="37:47">
      <c r="AK957" s="12"/>
      <c r="AM957" s="12"/>
      <c r="AN957" s="75"/>
      <c r="AO957" s="75"/>
      <c r="AP957" s="75"/>
      <c r="AQ957" s="75"/>
      <c r="AR957" s="76"/>
      <c r="AT957" s="65"/>
      <c r="AU957" s="77"/>
    </row>
    <row r="958" spans="37:47">
      <c r="AK958" s="12"/>
      <c r="AM958" s="12"/>
      <c r="AN958" s="75"/>
      <c r="AO958" s="75"/>
      <c r="AP958" s="75"/>
      <c r="AQ958" s="75"/>
      <c r="AR958" s="76"/>
      <c r="AT958" s="65"/>
      <c r="AU958" s="77"/>
    </row>
    <row r="959" spans="37:47">
      <c r="AK959" s="12"/>
      <c r="AM959" s="12"/>
      <c r="AN959" s="75"/>
      <c r="AO959" s="75"/>
      <c r="AP959" s="75"/>
      <c r="AQ959" s="75"/>
      <c r="AR959" s="76"/>
      <c r="AT959" s="65"/>
      <c r="AU959" s="77"/>
    </row>
    <row r="960" spans="37:47">
      <c r="AK960" s="12"/>
      <c r="AM960" s="12"/>
      <c r="AN960" s="75"/>
      <c r="AO960" s="75"/>
      <c r="AP960" s="75"/>
      <c r="AQ960" s="75"/>
      <c r="AR960" s="76"/>
      <c r="AT960" s="65"/>
      <c r="AU960" s="77"/>
    </row>
    <row r="961" spans="37:47">
      <c r="AK961" s="12"/>
      <c r="AM961" s="12"/>
      <c r="AN961" s="75"/>
      <c r="AO961" s="75"/>
      <c r="AP961" s="75"/>
      <c r="AQ961" s="75"/>
      <c r="AR961" s="76"/>
      <c r="AT961" s="65"/>
      <c r="AU961" s="77"/>
    </row>
    <row r="962" spans="37:47">
      <c r="AK962" s="12"/>
      <c r="AM962" s="12"/>
      <c r="AN962" s="75"/>
      <c r="AO962" s="75"/>
      <c r="AP962" s="75"/>
      <c r="AQ962" s="75"/>
      <c r="AR962" s="76"/>
      <c r="AT962" s="65"/>
      <c r="AU962" s="77"/>
    </row>
    <row r="963" spans="37:47">
      <c r="AK963" s="12"/>
      <c r="AM963" s="12"/>
      <c r="AN963" s="75"/>
      <c r="AO963" s="75"/>
      <c r="AP963" s="75"/>
      <c r="AQ963" s="75"/>
      <c r="AR963" s="76"/>
      <c r="AT963" s="65"/>
      <c r="AU963" s="77"/>
    </row>
    <row r="964" spans="37:47">
      <c r="AK964" s="12"/>
      <c r="AM964" s="12"/>
      <c r="AN964" s="75"/>
      <c r="AO964" s="75"/>
      <c r="AP964" s="75"/>
      <c r="AQ964" s="75"/>
      <c r="AR964" s="76"/>
      <c r="AT964" s="65"/>
      <c r="AU964" s="77"/>
    </row>
    <row r="965" spans="37:47">
      <c r="AK965" s="12"/>
      <c r="AM965" s="12"/>
      <c r="AN965" s="75"/>
      <c r="AO965" s="75"/>
      <c r="AP965" s="75"/>
      <c r="AQ965" s="75"/>
      <c r="AR965" s="76"/>
      <c r="AT965" s="65"/>
      <c r="AU965" s="77"/>
    </row>
    <row r="966" spans="37:47">
      <c r="AK966" s="12"/>
      <c r="AM966" s="12"/>
      <c r="AN966" s="75"/>
      <c r="AO966" s="75"/>
      <c r="AP966" s="75"/>
      <c r="AQ966" s="75"/>
      <c r="AR966" s="76"/>
      <c r="AT966" s="65"/>
      <c r="AU966" s="77"/>
    </row>
    <row r="967" spans="37:47">
      <c r="AK967" s="12"/>
      <c r="AM967" s="12"/>
      <c r="AN967" s="75"/>
      <c r="AO967" s="75"/>
      <c r="AP967" s="75"/>
      <c r="AQ967" s="75"/>
      <c r="AR967" s="76"/>
      <c r="AT967" s="65"/>
      <c r="AU967" s="77"/>
    </row>
    <row r="968" spans="37:47">
      <c r="AK968" s="12"/>
      <c r="AM968" s="12"/>
      <c r="AN968" s="75"/>
      <c r="AO968" s="75"/>
      <c r="AP968" s="75"/>
      <c r="AQ968" s="75"/>
      <c r="AR968" s="76"/>
      <c r="AT968" s="65"/>
      <c r="AU968" s="77"/>
    </row>
    <row r="969" spans="37:47">
      <c r="AK969" s="12"/>
      <c r="AM969" s="12"/>
      <c r="AN969" s="75"/>
      <c r="AO969" s="75"/>
      <c r="AP969" s="75"/>
      <c r="AQ969" s="75"/>
      <c r="AR969" s="76"/>
      <c r="AT969" s="65"/>
      <c r="AU969" s="77"/>
    </row>
    <row r="970" spans="37:47">
      <c r="AK970" s="12"/>
      <c r="AM970" s="12"/>
      <c r="AN970" s="75"/>
      <c r="AO970" s="75"/>
      <c r="AP970" s="75"/>
      <c r="AQ970" s="75"/>
      <c r="AR970" s="76"/>
      <c r="AT970" s="65"/>
      <c r="AU970" s="77"/>
    </row>
    <row r="971" spans="37:47">
      <c r="AK971" s="12"/>
      <c r="AM971" s="12"/>
      <c r="AN971" s="75"/>
      <c r="AO971" s="75"/>
      <c r="AP971" s="75"/>
      <c r="AQ971" s="75"/>
      <c r="AR971" s="76"/>
      <c r="AT971" s="65"/>
      <c r="AU971" s="77"/>
    </row>
    <row r="972" spans="37:47">
      <c r="AK972" s="12"/>
      <c r="AM972" s="12"/>
      <c r="AN972" s="75"/>
      <c r="AO972" s="75"/>
      <c r="AP972" s="75"/>
      <c r="AQ972" s="75"/>
      <c r="AR972" s="76"/>
      <c r="AT972" s="65"/>
      <c r="AU972" s="77"/>
    </row>
    <row r="973" spans="37:47">
      <c r="AK973" s="12"/>
      <c r="AM973" s="12"/>
      <c r="AN973" s="75"/>
      <c r="AO973" s="75"/>
      <c r="AP973" s="75"/>
      <c r="AQ973" s="75"/>
      <c r="AR973" s="76"/>
      <c r="AT973" s="65"/>
      <c r="AU973" s="77"/>
    </row>
    <row r="974" spans="37:47">
      <c r="AK974" s="12"/>
      <c r="AM974" s="12"/>
      <c r="AN974" s="75"/>
      <c r="AO974" s="75"/>
      <c r="AP974" s="75"/>
      <c r="AQ974" s="75"/>
      <c r="AR974" s="76"/>
      <c r="AT974" s="65"/>
      <c r="AU974" s="77"/>
    </row>
    <row r="975" spans="37:47">
      <c r="AK975" s="12"/>
      <c r="AM975" s="12"/>
      <c r="AN975" s="75"/>
      <c r="AO975" s="75"/>
      <c r="AP975" s="75"/>
      <c r="AQ975" s="75"/>
      <c r="AR975" s="76"/>
      <c r="AT975" s="65"/>
      <c r="AU975" s="77"/>
    </row>
    <row r="976" spans="37:47">
      <c r="AK976" s="12"/>
      <c r="AM976" s="12"/>
      <c r="AN976" s="75"/>
      <c r="AO976" s="75"/>
      <c r="AP976" s="75"/>
      <c r="AQ976" s="75"/>
      <c r="AR976" s="76"/>
      <c r="AT976" s="65"/>
      <c r="AU976" s="77"/>
    </row>
    <row r="977" spans="37:47">
      <c r="AK977" s="12"/>
      <c r="AM977" s="12"/>
      <c r="AN977" s="75"/>
      <c r="AO977" s="75"/>
      <c r="AP977" s="75"/>
      <c r="AQ977" s="75"/>
      <c r="AR977" s="76"/>
      <c r="AT977" s="65"/>
      <c r="AU977" s="77"/>
    </row>
    <row r="978" spans="37:47">
      <c r="AK978" s="12"/>
      <c r="AM978" s="12"/>
      <c r="AN978" s="75"/>
      <c r="AO978" s="75"/>
      <c r="AP978" s="75"/>
      <c r="AQ978" s="75"/>
      <c r="AR978" s="76"/>
      <c r="AT978" s="65"/>
      <c r="AU978" s="77"/>
    </row>
    <row r="979" spans="37:47">
      <c r="AK979" s="12"/>
      <c r="AM979" s="12"/>
      <c r="AN979" s="75"/>
      <c r="AO979" s="75"/>
      <c r="AP979" s="75"/>
      <c r="AQ979" s="75"/>
      <c r="AR979" s="76"/>
      <c r="AT979" s="65"/>
      <c r="AU979" s="77"/>
    </row>
    <row r="980" spans="37:47">
      <c r="AK980" s="12"/>
      <c r="AM980" s="12"/>
      <c r="AN980" s="75"/>
      <c r="AO980" s="75"/>
      <c r="AP980" s="75"/>
      <c r="AQ980" s="75"/>
      <c r="AR980" s="76"/>
      <c r="AT980" s="65"/>
      <c r="AU980" s="77"/>
    </row>
    <row r="981" spans="37:47">
      <c r="AK981" s="12"/>
      <c r="AM981" s="12"/>
      <c r="AN981" s="75"/>
      <c r="AO981" s="75"/>
      <c r="AP981" s="75"/>
      <c r="AQ981" s="75"/>
      <c r="AR981" s="76"/>
      <c r="AT981" s="65"/>
      <c r="AU981" s="77"/>
    </row>
    <row r="982" spans="37:47">
      <c r="AK982" s="12"/>
      <c r="AM982" s="12"/>
      <c r="AN982" s="75"/>
      <c r="AO982" s="75"/>
      <c r="AP982" s="75"/>
      <c r="AQ982" s="75"/>
      <c r="AR982" s="76"/>
      <c r="AT982" s="65"/>
      <c r="AU982" s="77"/>
    </row>
    <row r="983" spans="37:47">
      <c r="AK983" s="12"/>
      <c r="AM983" s="12"/>
      <c r="AN983" s="75"/>
      <c r="AO983" s="75"/>
      <c r="AP983" s="75"/>
      <c r="AQ983" s="75"/>
      <c r="AR983" s="76"/>
      <c r="AT983" s="65"/>
      <c r="AU983" s="77"/>
    </row>
    <row r="984" spans="37:47">
      <c r="AK984" s="12"/>
      <c r="AM984" s="12"/>
      <c r="AN984" s="75"/>
      <c r="AO984" s="75"/>
      <c r="AP984" s="75"/>
      <c r="AQ984" s="75"/>
      <c r="AR984" s="76"/>
      <c r="AT984" s="65"/>
      <c r="AU984" s="77"/>
    </row>
    <row r="985" spans="37:47">
      <c r="AK985" s="12"/>
      <c r="AM985" s="12"/>
      <c r="AN985" s="75"/>
      <c r="AO985" s="75"/>
      <c r="AP985" s="75"/>
      <c r="AQ985" s="75"/>
      <c r="AR985" s="76"/>
      <c r="AT985" s="65"/>
      <c r="AU985" s="77"/>
    </row>
    <row r="986" spans="37:47">
      <c r="AK986" s="12"/>
      <c r="AM986" s="12"/>
      <c r="AN986" s="75"/>
      <c r="AO986" s="75"/>
      <c r="AP986" s="75"/>
      <c r="AQ986" s="75"/>
      <c r="AR986" s="76"/>
      <c r="AT986" s="65"/>
      <c r="AU986" s="77"/>
    </row>
    <row r="987" spans="37:47">
      <c r="AK987" s="12"/>
      <c r="AM987" s="12"/>
      <c r="AN987" s="75"/>
      <c r="AO987" s="75"/>
      <c r="AP987" s="75"/>
      <c r="AQ987" s="75"/>
      <c r="AR987" s="76"/>
      <c r="AT987" s="65"/>
      <c r="AU987" s="77"/>
    </row>
    <row r="988" spans="37:47">
      <c r="AK988" s="12"/>
      <c r="AM988" s="12"/>
      <c r="AN988" s="75"/>
      <c r="AO988" s="75"/>
      <c r="AP988" s="75"/>
      <c r="AQ988" s="75"/>
      <c r="AR988" s="76"/>
      <c r="AT988" s="65"/>
      <c r="AU988" s="77"/>
    </row>
    <row r="989" spans="37:47">
      <c r="AK989" s="12"/>
      <c r="AM989" s="12"/>
      <c r="AN989" s="75"/>
      <c r="AO989" s="75"/>
      <c r="AP989" s="75"/>
      <c r="AQ989" s="75"/>
      <c r="AR989" s="76"/>
      <c r="AT989" s="65"/>
      <c r="AU989" s="77"/>
    </row>
    <row r="990" spans="37:47">
      <c r="AK990" s="12"/>
      <c r="AM990" s="12"/>
      <c r="AN990" s="75"/>
      <c r="AO990" s="75"/>
      <c r="AP990" s="75"/>
      <c r="AQ990" s="75"/>
      <c r="AR990" s="76"/>
      <c r="AT990" s="65"/>
      <c r="AU990" s="77"/>
    </row>
    <row r="991" spans="37:47">
      <c r="AK991" s="12"/>
      <c r="AM991" s="12"/>
      <c r="AN991" s="75"/>
      <c r="AO991" s="75"/>
      <c r="AP991" s="75"/>
      <c r="AQ991" s="75"/>
      <c r="AR991" s="76"/>
      <c r="AT991" s="65"/>
      <c r="AU991" s="77"/>
    </row>
    <row r="992" spans="37:47">
      <c r="AK992" s="12"/>
      <c r="AM992" s="12"/>
      <c r="AN992" s="75"/>
      <c r="AO992" s="75"/>
      <c r="AP992" s="75"/>
      <c r="AQ992" s="75"/>
      <c r="AR992" s="76"/>
      <c r="AT992" s="65"/>
      <c r="AU992" s="77"/>
    </row>
    <row r="993" spans="37:47">
      <c r="AK993" s="12"/>
      <c r="AM993" s="12"/>
      <c r="AN993" s="75"/>
      <c r="AO993" s="75"/>
      <c r="AP993" s="75"/>
      <c r="AQ993" s="75"/>
      <c r="AR993" s="76"/>
      <c r="AT993" s="65"/>
      <c r="AU993" s="77"/>
    </row>
    <row r="994" spans="37:47">
      <c r="AK994" s="12"/>
      <c r="AM994" s="12"/>
      <c r="AN994" s="75"/>
      <c r="AO994" s="75"/>
      <c r="AP994" s="75"/>
      <c r="AQ994" s="75"/>
      <c r="AR994" s="76"/>
      <c r="AT994" s="65"/>
      <c r="AU994" s="77"/>
    </row>
    <row r="995" spans="37:47">
      <c r="AK995" s="12"/>
      <c r="AM995" s="12"/>
      <c r="AN995" s="75"/>
      <c r="AO995" s="75"/>
      <c r="AP995" s="75"/>
      <c r="AQ995" s="75"/>
      <c r="AR995" s="76"/>
      <c r="AT995" s="65"/>
      <c r="AU995" s="77"/>
    </row>
    <row r="996" spans="37:47">
      <c r="AK996" s="12"/>
      <c r="AM996" s="12"/>
      <c r="AN996" s="75"/>
      <c r="AO996" s="75"/>
      <c r="AP996" s="75"/>
      <c r="AQ996" s="75"/>
      <c r="AR996" s="76"/>
      <c r="AT996" s="65"/>
      <c r="AU996" s="77"/>
    </row>
    <row r="997" spans="37:47">
      <c r="AK997" s="12"/>
      <c r="AM997" s="12"/>
      <c r="AN997" s="75"/>
      <c r="AO997" s="75"/>
      <c r="AP997" s="75"/>
      <c r="AQ997" s="75"/>
      <c r="AR997" s="76"/>
      <c r="AT997" s="65"/>
      <c r="AU997" s="77"/>
    </row>
    <row r="998" spans="37:47">
      <c r="AK998" s="12"/>
      <c r="AM998" s="12"/>
      <c r="AN998" s="75"/>
      <c r="AO998" s="75"/>
      <c r="AP998" s="75"/>
      <c r="AQ998" s="75"/>
      <c r="AR998" s="76"/>
      <c r="AT998" s="65"/>
      <c r="AU998" s="77"/>
    </row>
    <row r="999" spans="37:47">
      <c r="AK999" s="12"/>
      <c r="AM999" s="12"/>
      <c r="AN999" s="75"/>
      <c r="AO999" s="75"/>
      <c r="AP999" s="75"/>
      <c r="AQ999" s="75"/>
      <c r="AR999" s="76"/>
      <c r="AT999" s="65"/>
      <c r="AU999" s="77"/>
    </row>
    <row r="1000" spans="37:47">
      <c r="AK1000" s="12"/>
      <c r="AM1000" s="12"/>
      <c r="AN1000" s="75"/>
      <c r="AO1000" s="75"/>
      <c r="AP1000" s="75"/>
      <c r="AQ1000" s="75"/>
      <c r="AR1000" s="76"/>
      <c r="AT1000" s="65"/>
      <c r="AU1000" s="77"/>
    </row>
    <row r="1001" spans="37:47">
      <c r="AK1001" s="12"/>
      <c r="AM1001" s="12"/>
      <c r="AN1001" s="75"/>
      <c r="AO1001" s="75"/>
      <c r="AP1001" s="75"/>
      <c r="AQ1001" s="75"/>
      <c r="AR1001" s="76"/>
      <c r="AT1001" s="65"/>
      <c r="AU1001" s="77"/>
    </row>
    <row r="1002" spans="37:47">
      <c r="AK1002" s="12"/>
      <c r="AM1002" s="12"/>
      <c r="AN1002" s="75"/>
      <c r="AO1002" s="75"/>
      <c r="AP1002" s="75"/>
      <c r="AQ1002" s="75"/>
      <c r="AR1002" s="76"/>
      <c r="AT1002" s="65"/>
      <c r="AU1002" s="77"/>
    </row>
    <row r="1003" spans="37:47">
      <c r="AK1003" s="12"/>
      <c r="AM1003" s="12"/>
      <c r="AN1003" s="75"/>
      <c r="AO1003" s="75"/>
      <c r="AP1003" s="75"/>
      <c r="AQ1003" s="75"/>
      <c r="AR1003" s="76"/>
      <c r="AT1003" s="65"/>
      <c r="AU1003" s="77"/>
    </row>
    <row r="1004" spans="37:47">
      <c r="AK1004" s="12"/>
      <c r="AM1004" s="12"/>
      <c r="AN1004" s="75"/>
      <c r="AO1004" s="75"/>
      <c r="AP1004" s="75"/>
      <c r="AQ1004" s="75"/>
      <c r="AR1004" s="76"/>
      <c r="AT1004" s="65"/>
      <c r="AU1004" s="77"/>
    </row>
    <row r="1005" spans="37:47">
      <c r="AK1005" s="12"/>
      <c r="AM1005" s="12"/>
      <c r="AN1005" s="75"/>
      <c r="AO1005" s="75"/>
      <c r="AP1005" s="75"/>
      <c r="AQ1005" s="75"/>
      <c r="AR1005" s="76"/>
      <c r="AT1005" s="65"/>
      <c r="AU1005" s="77"/>
    </row>
    <row r="1006" spans="37:47">
      <c r="AK1006" s="12"/>
      <c r="AM1006" s="12"/>
      <c r="AN1006" s="75"/>
      <c r="AO1006" s="75"/>
      <c r="AP1006" s="75"/>
      <c r="AQ1006" s="75"/>
      <c r="AR1006" s="76"/>
      <c r="AT1006" s="65"/>
      <c r="AU1006" s="77"/>
    </row>
    <row r="1007" spans="37:47">
      <c r="AK1007" s="12"/>
      <c r="AM1007" s="12"/>
      <c r="AN1007" s="75"/>
      <c r="AO1007" s="75"/>
      <c r="AP1007" s="75"/>
      <c r="AQ1007" s="75"/>
      <c r="AR1007" s="76"/>
      <c r="AT1007" s="65"/>
      <c r="AU1007" s="77"/>
    </row>
    <row r="1008" spans="37:47">
      <c r="AK1008" s="12"/>
      <c r="AM1008" s="12"/>
      <c r="AN1008" s="75"/>
      <c r="AO1008" s="75"/>
      <c r="AP1008" s="75"/>
      <c r="AQ1008" s="75"/>
      <c r="AR1008" s="76"/>
      <c r="AT1008" s="65"/>
      <c r="AU1008" s="77"/>
    </row>
    <row r="1009" spans="37:47">
      <c r="AK1009" s="12"/>
      <c r="AM1009" s="12"/>
      <c r="AN1009" s="75"/>
      <c r="AO1009" s="75"/>
      <c r="AP1009" s="75"/>
      <c r="AQ1009" s="75"/>
      <c r="AR1009" s="76"/>
      <c r="AT1009" s="65"/>
      <c r="AU1009" s="77"/>
    </row>
    <row r="1010" spans="37:47">
      <c r="AK1010" s="12"/>
      <c r="AM1010" s="12"/>
      <c r="AN1010" s="75"/>
      <c r="AO1010" s="75"/>
      <c r="AP1010" s="75"/>
      <c r="AQ1010" s="75"/>
      <c r="AR1010" s="76"/>
      <c r="AT1010" s="65"/>
      <c r="AU1010" s="77"/>
    </row>
    <row r="1011" spans="37:47">
      <c r="AK1011" s="12"/>
      <c r="AM1011" s="12"/>
      <c r="AN1011" s="75"/>
      <c r="AO1011" s="75"/>
      <c r="AP1011" s="75"/>
      <c r="AQ1011" s="75"/>
      <c r="AR1011" s="76"/>
      <c r="AT1011" s="65"/>
      <c r="AU1011" s="77"/>
    </row>
    <row r="1012" spans="37:47">
      <c r="AK1012" s="12"/>
      <c r="AM1012" s="12"/>
      <c r="AN1012" s="75"/>
      <c r="AO1012" s="75"/>
      <c r="AP1012" s="75"/>
      <c r="AQ1012" s="75"/>
      <c r="AR1012" s="76"/>
      <c r="AT1012" s="65"/>
      <c r="AU1012" s="77"/>
    </row>
    <row r="1013" spans="37:47">
      <c r="AK1013" s="12"/>
      <c r="AM1013" s="12"/>
      <c r="AN1013" s="75"/>
      <c r="AO1013" s="75"/>
      <c r="AP1013" s="75"/>
      <c r="AQ1013" s="75"/>
      <c r="AR1013" s="76"/>
      <c r="AT1013" s="65"/>
      <c r="AU1013" s="77"/>
    </row>
    <row r="1014" spans="37:47">
      <c r="AK1014" s="12"/>
      <c r="AM1014" s="12"/>
      <c r="AN1014" s="75"/>
      <c r="AO1014" s="75"/>
      <c r="AP1014" s="75"/>
      <c r="AQ1014" s="75"/>
      <c r="AR1014" s="76"/>
      <c r="AT1014" s="65"/>
      <c r="AU1014" s="77"/>
    </row>
    <row r="1015" spans="37:47">
      <c r="AK1015" s="12"/>
      <c r="AM1015" s="12"/>
      <c r="AN1015" s="75"/>
      <c r="AO1015" s="75"/>
      <c r="AP1015" s="75"/>
      <c r="AQ1015" s="75"/>
      <c r="AR1015" s="76"/>
      <c r="AT1015" s="65"/>
      <c r="AU1015" s="77"/>
    </row>
    <row r="1016" spans="37:47">
      <c r="AK1016" s="12"/>
      <c r="AM1016" s="12"/>
      <c r="AN1016" s="75"/>
      <c r="AO1016" s="75"/>
      <c r="AP1016" s="75"/>
      <c r="AQ1016" s="75"/>
      <c r="AR1016" s="76"/>
      <c r="AT1016" s="65"/>
      <c r="AU1016" s="77"/>
    </row>
    <row r="1017" spans="37:47">
      <c r="AK1017" s="12"/>
      <c r="AM1017" s="12"/>
      <c r="AN1017" s="75"/>
      <c r="AO1017" s="75"/>
      <c r="AP1017" s="75"/>
      <c r="AQ1017" s="75"/>
      <c r="AR1017" s="76"/>
      <c r="AT1017" s="65"/>
      <c r="AU1017" s="77"/>
    </row>
    <row r="1018" spans="37:47">
      <c r="AK1018" s="12"/>
      <c r="AM1018" s="12"/>
      <c r="AN1018" s="75"/>
      <c r="AO1018" s="75"/>
      <c r="AP1018" s="75"/>
      <c r="AQ1018" s="75"/>
      <c r="AR1018" s="76"/>
      <c r="AT1018" s="65"/>
      <c r="AU1018" s="77"/>
    </row>
    <row r="1019" spans="37:47">
      <c r="AK1019" s="12"/>
      <c r="AM1019" s="12"/>
      <c r="AN1019" s="75"/>
      <c r="AO1019" s="75"/>
      <c r="AP1019" s="75"/>
      <c r="AQ1019" s="75"/>
      <c r="AR1019" s="76"/>
      <c r="AT1019" s="65"/>
      <c r="AU1019" s="77"/>
    </row>
    <row r="1020" spans="37:47">
      <c r="AK1020" s="12"/>
      <c r="AM1020" s="12"/>
      <c r="AN1020" s="75"/>
      <c r="AO1020" s="75"/>
      <c r="AP1020" s="75"/>
      <c r="AQ1020" s="75"/>
      <c r="AR1020" s="76"/>
      <c r="AT1020" s="65"/>
      <c r="AU1020" s="77"/>
    </row>
    <row r="1021" spans="37:47">
      <c r="AK1021" s="12"/>
      <c r="AM1021" s="12"/>
      <c r="AN1021" s="75"/>
      <c r="AO1021" s="75"/>
      <c r="AP1021" s="75"/>
      <c r="AQ1021" s="75"/>
      <c r="AR1021" s="76"/>
      <c r="AT1021" s="65"/>
      <c r="AU1021" s="77"/>
    </row>
    <row r="1022" spans="37:47">
      <c r="AK1022" s="12"/>
      <c r="AM1022" s="12"/>
      <c r="AN1022" s="75"/>
      <c r="AO1022" s="75"/>
      <c r="AP1022" s="75"/>
      <c r="AQ1022" s="75"/>
      <c r="AR1022" s="76"/>
      <c r="AT1022" s="65"/>
      <c r="AU1022" s="77"/>
    </row>
    <row r="1023" spans="37:47">
      <c r="AK1023" s="12"/>
      <c r="AM1023" s="12"/>
      <c r="AN1023" s="75"/>
      <c r="AO1023" s="75"/>
      <c r="AP1023" s="75"/>
      <c r="AQ1023" s="75"/>
      <c r="AR1023" s="76"/>
      <c r="AT1023" s="65"/>
      <c r="AU1023" s="77"/>
    </row>
    <row r="1024" spans="37:47">
      <c r="AK1024" s="12"/>
      <c r="AM1024" s="12"/>
      <c r="AN1024" s="75"/>
      <c r="AO1024" s="75"/>
      <c r="AP1024" s="75"/>
      <c r="AQ1024" s="75"/>
      <c r="AR1024" s="76"/>
      <c r="AT1024" s="65"/>
      <c r="AU1024" s="77"/>
    </row>
    <row r="1025" spans="37:47">
      <c r="AK1025" s="12"/>
      <c r="AM1025" s="12"/>
      <c r="AN1025" s="75"/>
      <c r="AO1025" s="75"/>
      <c r="AP1025" s="75"/>
      <c r="AQ1025" s="75"/>
      <c r="AR1025" s="76"/>
      <c r="AT1025" s="65"/>
      <c r="AU1025" s="77"/>
    </row>
    <row r="1026" spans="37:47">
      <c r="AK1026" s="12"/>
      <c r="AM1026" s="12"/>
      <c r="AN1026" s="75"/>
      <c r="AO1026" s="75"/>
      <c r="AP1026" s="75"/>
      <c r="AQ1026" s="75"/>
      <c r="AR1026" s="76"/>
      <c r="AT1026" s="65"/>
      <c r="AU1026" s="77"/>
    </row>
    <row r="1027" spans="37:47">
      <c r="AK1027" s="12"/>
      <c r="AM1027" s="12"/>
      <c r="AN1027" s="75"/>
      <c r="AO1027" s="75"/>
      <c r="AP1027" s="75"/>
      <c r="AQ1027" s="75"/>
      <c r="AR1027" s="76"/>
      <c r="AT1027" s="65"/>
      <c r="AU1027" s="77"/>
    </row>
    <row r="1028" spans="37:47">
      <c r="AK1028" s="12"/>
      <c r="AM1028" s="12"/>
      <c r="AN1028" s="75"/>
      <c r="AO1028" s="75"/>
      <c r="AP1028" s="75"/>
      <c r="AQ1028" s="75"/>
      <c r="AR1028" s="76"/>
      <c r="AT1028" s="65"/>
      <c r="AU1028" s="77"/>
    </row>
    <row r="1029" spans="37:47">
      <c r="AK1029" s="12"/>
      <c r="AM1029" s="12"/>
      <c r="AN1029" s="75"/>
      <c r="AO1029" s="75"/>
      <c r="AP1029" s="75"/>
      <c r="AQ1029" s="75"/>
      <c r="AR1029" s="76"/>
      <c r="AT1029" s="65"/>
      <c r="AU1029" s="77"/>
    </row>
    <row r="1030" spans="37:47">
      <c r="AK1030" s="12"/>
      <c r="AM1030" s="12"/>
      <c r="AN1030" s="75"/>
      <c r="AO1030" s="75"/>
      <c r="AP1030" s="75"/>
      <c r="AQ1030" s="75"/>
      <c r="AR1030" s="76"/>
      <c r="AT1030" s="65"/>
      <c r="AU1030" s="77"/>
    </row>
    <row r="1031" spans="37:47">
      <c r="AK1031" s="12"/>
      <c r="AM1031" s="12"/>
      <c r="AN1031" s="75"/>
      <c r="AO1031" s="75"/>
      <c r="AP1031" s="75"/>
      <c r="AQ1031" s="75"/>
      <c r="AR1031" s="76"/>
      <c r="AT1031" s="65"/>
      <c r="AU1031" s="77"/>
    </row>
    <row r="1032" spans="37:47">
      <c r="AK1032" s="12"/>
      <c r="AM1032" s="12"/>
      <c r="AN1032" s="75"/>
      <c r="AO1032" s="75"/>
      <c r="AP1032" s="75"/>
      <c r="AQ1032" s="75"/>
      <c r="AR1032" s="76"/>
      <c r="AT1032" s="65"/>
      <c r="AU1032" s="77"/>
    </row>
    <row r="1033" spans="37:47">
      <c r="AK1033" s="12"/>
      <c r="AM1033" s="12"/>
      <c r="AN1033" s="75"/>
      <c r="AO1033" s="75"/>
      <c r="AP1033" s="75"/>
      <c r="AQ1033" s="75"/>
      <c r="AR1033" s="76"/>
      <c r="AT1033" s="65"/>
      <c r="AU1033" s="77"/>
    </row>
    <row r="1034" spans="37:47">
      <c r="AK1034" s="12"/>
      <c r="AM1034" s="12"/>
      <c r="AN1034" s="75"/>
      <c r="AO1034" s="75"/>
      <c r="AP1034" s="75"/>
      <c r="AQ1034" s="75"/>
      <c r="AR1034" s="76"/>
      <c r="AT1034" s="65"/>
      <c r="AU1034" s="77"/>
    </row>
    <row r="1035" spans="37:47">
      <c r="AK1035" s="12"/>
      <c r="AM1035" s="12"/>
      <c r="AN1035" s="75"/>
      <c r="AO1035" s="75"/>
      <c r="AP1035" s="75"/>
      <c r="AQ1035" s="75"/>
      <c r="AR1035" s="76"/>
      <c r="AT1035" s="65"/>
      <c r="AU1035" s="77"/>
    </row>
    <row r="1036" spans="37:47">
      <c r="AK1036" s="12"/>
      <c r="AM1036" s="12"/>
      <c r="AN1036" s="75"/>
      <c r="AO1036" s="75"/>
      <c r="AP1036" s="75"/>
      <c r="AQ1036" s="75"/>
      <c r="AR1036" s="76"/>
      <c r="AT1036" s="65"/>
      <c r="AU1036" s="77"/>
    </row>
    <row r="1037" spans="37:47">
      <c r="AK1037" s="12"/>
      <c r="AM1037" s="12"/>
      <c r="AN1037" s="75"/>
      <c r="AO1037" s="75"/>
      <c r="AP1037" s="75"/>
      <c r="AQ1037" s="75"/>
      <c r="AR1037" s="76"/>
      <c r="AT1037" s="65"/>
      <c r="AU1037" s="77"/>
    </row>
    <row r="1038" spans="37:47">
      <c r="AK1038" s="12"/>
      <c r="AM1038" s="12"/>
      <c r="AN1038" s="75"/>
      <c r="AO1038" s="75"/>
      <c r="AP1038" s="75"/>
      <c r="AQ1038" s="75"/>
      <c r="AR1038" s="76"/>
      <c r="AT1038" s="65"/>
      <c r="AU1038" s="77"/>
    </row>
    <row r="1039" spans="37:47">
      <c r="AK1039" s="12"/>
      <c r="AM1039" s="12"/>
      <c r="AN1039" s="75"/>
      <c r="AO1039" s="75"/>
      <c r="AP1039" s="75"/>
      <c r="AQ1039" s="75"/>
      <c r="AR1039" s="76"/>
      <c r="AT1039" s="65"/>
      <c r="AU1039" s="77"/>
    </row>
    <row r="1040" spans="37:47">
      <c r="AK1040" s="12"/>
      <c r="AM1040" s="12"/>
      <c r="AN1040" s="75"/>
      <c r="AO1040" s="75"/>
      <c r="AP1040" s="75"/>
      <c r="AQ1040" s="75"/>
      <c r="AR1040" s="76"/>
      <c r="AT1040" s="65"/>
      <c r="AU1040" s="77"/>
    </row>
    <row r="1041" spans="37:47">
      <c r="AK1041" s="12"/>
      <c r="AM1041" s="12"/>
      <c r="AN1041" s="75"/>
      <c r="AO1041" s="75"/>
      <c r="AP1041" s="75"/>
      <c r="AQ1041" s="75"/>
      <c r="AR1041" s="76"/>
      <c r="AT1041" s="65"/>
      <c r="AU1041" s="77"/>
    </row>
    <row r="1042" spans="37:47">
      <c r="AK1042" s="12"/>
      <c r="AM1042" s="12"/>
      <c r="AN1042" s="75"/>
      <c r="AO1042" s="75"/>
      <c r="AP1042" s="75"/>
      <c r="AQ1042" s="75"/>
      <c r="AR1042" s="76"/>
      <c r="AT1042" s="65"/>
      <c r="AU1042" s="77"/>
    </row>
    <row r="1043" spans="37:47">
      <c r="AK1043" s="12"/>
      <c r="AM1043" s="12"/>
      <c r="AN1043" s="75"/>
      <c r="AO1043" s="75"/>
      <c r="AP1043" s="75"/>
      <c r="AQ1043" s="75"/>
      <c r="AR1043" s="76"/>
      <c r="AT1043" s="65"/>
      <c r="AU1043" s="77"/>
    </row>
    <row r="1044" spans="37:47">
      <c r="AK1044" s="12"/>
      <c r="AM1044" s="12"/>
      <c r="AN1044" s="75"/>
      <c r="AO1044" s="75"/>
      <c r="AP1044" s="75"/>
      <c r="AQ1044" s="75"/>
      <c r="AR1044" s="76"/>
      <c r="AT1044" s="65"/>
      <c r="AU1044" s="77"/>
    </row>
    <row r="1045" spans="37:47">
      <c r="AK1045" s="12"/>
      <c r="AM1045" s="12"/>
      <c r="AN1045" s="75"/>
      <c r="AO1045" s="75"/>
      <c r="AP1045" s="75"/>
      <c r="AQ1045" s="75"/>
      <c r="AR1045" s="76"/>
      <c r="AT1045" s="65"/>
      <c r="AU1045" s="77"/>
    </row>
    <row r="1046" spans="37:47">
      <c r="AK1046" s="12"/>
      <c r="AM1046" s="12"/>
      <c r="AN1046" s="75"/>
      <c r="AO1046" s="75"/>
      <c r="AP1046" s="75"/>
      <c r="AQ1046" s="75"/>
      <c r="AR1046" s="76"/>
      <c r="AT1046" s="65"/>
      <c r="AU1046" s="77"/>
    </row>
    <row r="1047" spans="37:47">
      <c r="AK1047" s="12"/>
      <c r="AM1047" s="12"/>
      <c r="AN1047" s="75"/>
      <c r="AO1047" s="75"/>
      <c r="AP1047" s="75"/>
      <c r="AQ1047" s="75"/>
      <c r="AR1047" s="76"/>
      <c r="AT1047" s="65"/>
      <c r="AU1047" s="77"/>
    </row>
    <row r="1048" spans="37:47">
      <c r="AK1048" s="12"/>
      <c r="AM1048" s="12"/>
      <c r="AN1048" s="75"/>
      <c r="AO1048" s="75"/>
      <c r="AP1048" s="75"/>
      <c r="AQ1048" s="75"/>
      <c r="AR1048" s="76"/>
      <c r="AT1048" s="65"/>
      <c r="AU1048" s="77"/>
    </row>
    <row r="1049" spans="37:47">
      <c r="AK1049" s="12"/>
      <c r="AM1049" s="12"/>
      <c r="AN1049" s="75"/>
      <c r="AO1049" s="75"/>
      <c r="AP1049" s="75"/>
      <c r="AQ1049" s="75"/>
      <c r="AR1049" s="76"/>
      <c r="AT1049" s="65"/>
      <c r="AU1049" s="77"/>
    </row>
    <row r="1050" spans="37:47">
      <c r="AK1050" s="12"/>
      <c r="AM1050" s="12"/>
      <c r="AN1050" s="75"/>
      <c r="AO1050" s="75"/>
      <c r="AP1050" s="75"/>
      <c r="AQ1050" s="75"/>
      <c r="AR1050" s="76"/>
      <c r="AT1050" s="65"/>
      <c r="AU1050" s="77"/>
    </row>
    <row r="1051" spans="37:47">
      <c r="AK1051" s="12"/>
      <c r="AM1051" s="12"/>
      <c r="AN1051" s="75"/>
      <c r="AO1051" s="75"/>
      <c r="AP1051" s="75"/>
      <c r="AQ1051" s="75"/>
      <c r="AR1051" s="76"/>
      <c r="AT1051" s="65"/>
      <c r="AU1051" s="77"/>
    </row>
    <row r="1052" spans="37:47">
      <c r="AK1052" s="12"/>
      <c r="AM1052" s="12"/>
      <c r="AN1052" s="75"/>
      <c r="AO1052" s="75"/>
      <c r="AP1052" s="75"/>
      <c r="AQ1052" s="75"/>
      <c r="AR1052" s="76"/>
      <c r="AT1052" s="65"/>
      <c r="AU1052" s="77"/>
    </row>
    <row r="1053" spans="37:47">
      <c r="AK1053" s="12"/>
      <c r="AM1053" s="12"/>
      <c r="AN1053" s="75"/>
      <c r="AO1053" s="75"/>
      <c r="AP1053" s="75"/>
      <c r="AQ1053" s="75"/>
      <c r="AR1053" s="76"/>
      <c r="AT1053" s="65"/>
      <c r="AU1053" s="77"/>
    </row>
    <row r="1054" spans="37:47">
      <c r="AK1054" s="12"/>
      <c r="AM1054" s="12"/>
      <c r="AN1054" s="75"/>
      <c r="AO1054" s="75"/>
      <c r="AP1054" s="75"/>
      <c r="AQ1054" s="75"/>
      <c r="AR1054" s="76"/>
      <c r="AT1054" s="65"/>
      <c r="AU1054" s="77"/>
    </row>
    <row r="1055" spans="37:47">
      <c r="AK1055" s="12"/>
      <c r="AM1055" s="12"/>
      <c r="AN1055" s="75"/>
      <c r="AO1055" s="75"/>
      <c r="AP1055" s="75"/>
      <c r="AQ1055" s="75"/>
      <c r="AR1055" s="76"/>
      <c r="AT1055" s="65"/>
      <c r="AU1055" s="77"/>
    </row>
    <row r="1056" spans="37:47">
      <c r="AK1056" s="12"/>
      <c r="AM1056" s="12"/>
      <c r="AN1056" s="75"/>
      <c r="AO1056" s="75"/>
      <c r="AP1056" s="75"/>
      <c r="AQ1056" s="75"/>
      <c r="AR1056" s="76"/>
      <c r="AT1056" s="65"/>
      <c r="AU1056" s="77"/>
    </row>
    <row r="1057" spans="37:47">
      <c r="AK1057" s="12"/>
      <c r="AM1057" s="12"/>
      <c r="AN1057" s="75"/>
      <c r="AO1057" s="75"/>
      <c r="AP1057" s="75"/>
      <c r="AQ1057" s="75"/>
      <c r="AR1057" s="76"/>
      <c r="AT1057" s="65"/>
      <c r="AU1057" s="77"/>
    </row>
    <row r="1058" spans="37:47">
      <c r="AK1058" s="12"/>
      <c r="AM1058" s="12"/>
      <c r="AN1058" s="75"/>
      <c r="AO1058" s="75"/>
      <c r="AP1058" s="75"/>
      <c r="AQ1058" s="75"/>
      <c r="AR1058" s="76"/>
      <c r="AT1058" s="65"/>
      <c r="AU1058" s="77"/>
    </row>
    <row r="1059" spans="37:47">
      <c r="AK1059" s="12"/>
      <c r="AM1059" s="12"/>
      <c r="AN1059" s="75"/>
      <c r="AO1059" s="75"/>
      <c r="AP1059" s="75"/>
      <c r="AQ1059" s="75"/>
      <c r="AR1059" s="76"/>
      <c r="AT1059" s="65"/>
      <c r="AU1059" s="77"/>
    </row>
    <row r="1060" spans="37:47">
      <c r="AK1060" s="12"/>
      <c r="AM1060" s="12"/>
      <c r="AN1060" s="75"/>
      <c r="AO1060" s="75"/>
      <c r="AP1060" s="75"/>
      <c r="AQ1060" s="75"/>
      <c r="AR1060" s="76"/>
      <c r="AT1060" s="65"/>
      <c r="AU1060" s="77"/>
    </row>
    <row r="1061" spans="37:47">
      <c r="AK1061" s="12"/>
      <c r="AM1061" s="12"/>
      <c r="AN1061" s="75"/>
      <c r="AO1061" s="75"/>
      <c r="AP1061" s="75"/>
      <c r="AQ1061" s="75"/>
      <c r="AR1061" s="76"/>
      <c r="AT1061" s="65"/>
      <c r="AU1061" s="77"/>
    </row>
    <row r="1062" spans="37:47">
      <c r="AK1062" s="12"/>
      <c r="AM1062" s="12"/>
      <c r="AN1062" s="75"/>
      <c r="AO1062" s="75"/>
      <c r="AP1062" s="75"/>
      <c r="AQ1062" s="75"/>
      <c r="AR1062" s="76"/>
      <c r="AT1062" s="65"/>
      <c r="AU1062" s="77"/>
    </row>
    <row r="1063" spans="37:47">
      <c r="AK1063" s="12"/>
      <c r="AM1063" s="12"/>
      <c r="AN1063" s="75"/>
      <c r="AO1063" s="75"/>
      <c r="AP1063" s="75"/>
      <c r="AQ1063" s="75"/>
      <c r="AR1063" s="76"/>
      <c r="AT1063" s="65"/>
      <c r="AU1063" s="77"/>
    </row>
    <row r="1064" spans="37:47">
      <c r="AK1064" s="12"/>
      <c r="AM1064" s="12"/>
      <c r="AN1064" s="75"/>
      <c r="AO1064" s="75"/>
      <c r="AP1064" s="75"/>
      <c r="AQ1064" s="75"/>
      <c r="AR1064" s="76"/>
      <c r="AT1064" s="65"/>
      <c r="AU1064" s="77"/>
    </row>
    <row r="1065" spans="37:47">
      <c r="AK1065" s="12"/>
      <c r="AM1065" s="12"/>
      <c r="AN1065" s="75"/>
      <c r="AO1065" s="75"/>
      <c r="AP1065" s="75"/>
      <c r="AQ1065" s="75"/>
      <c r="AR1065" s="76"/>
      <c r="AT1065" s="65"/>
      <c r="AU1065" s="77"/>
    </row>
    <row r="1066" spans="37:47">
      <c r="AK1066" s="12"/>
      <c r="AM1066" s="12"/>
      <c r="AN1066" s="75"/>
      <c r="AO1066" s="75"/>
      <c r="AP1066" s="75"/>
      <c r="AQ1066" s="75"/>
      <c r="AR1066" s="76"/>
      <c r="AT1066" s="65"/>
      <c r="AU1066" s="77"/>
    </row>
    <row r="1067" spans="37:47">
      <c r="AK1067" s="12"/>
      <c r="AM1067" s="12"/>
      <c r="AN1067" s="75"/>
      <c r="AO1067" s="75"/>
      <c r="AP1067" s="75"/>
      <c r="AQ1067" s="75"/>
      <c r="AR1067" s="76"/>
      <c r="AT1067" s="65"/>
      <c r="AU1067" s="77"/>
    </row>
    <row r="1068" spans="37:47">
      <c r="AK1068" s="12"/>
      <c r="AM1068" s="12"/>
      <c r="AN1068" s="75"/>
      <c r="AO1068" s="75"/>
      <c r="AP1068" s="75"/>
      <c r="AQ1068" s="75"/>
      <c r="AR1068" s="76"/>
      <c r="AT1068" s="65"/>
      <c r="AU1068" s="77"/>
    </row>
    <row r="1069" spans="37:47">
      <c r="AK1069" s="12"/>
      <c r="AM1069" s="12"/>
      <c r="AN1069" s="75"/>
      <c r="AO1069" s="75"/>
      <c r="AP1069" s="75"/>
      <c r="AQ1069" s="75"/>
      <c r="AR1069" s="76"/>
      <c r="AT1069" s="65"/>
      <c r="AU1069" s="77"/>
    </row>
    <row r="1070" spans="37:47">
      <c r="AK1070" s="12"/>
      <c r="AM1070" s="12"/>
      <c r="AN1070" s="75"/>
      <c r="AO1070" s="75"/>
      <c r="AP1070" s="75"/>
      <c r="AQ1070" s="75"/>
      <c r="AR1070" s="76"/>
      <c r="AT1070" s="65"/>
      <c r="AU1070" s="77"/>
    </row>
    <row r="1071" spans="37:47">
      <c r="AK1071" s="12"/>
      <c r="AM1071" s="12"/>
      <c r="AN1071" s="75"/>
      <c r="AO1071" s="75"/>
      <c r="AP1071" s="75"/>
      <c r="AQ1071" s="75"/>
      <c r="AR1071" s="76"/>
      <c r="AT1071" s="65"/>
      <c r="AU1071" s="77"/>
    </row>
    <row r="1072" spans="37:47">
      <c r="AK1072" s="12"/>
      <c r="AM1072" s="12"/>
      <c r="AN1072" s="75"/>
      <c r="AO1072" s="75"/>
      <c r="AP1072" s="75"/>
      <c r="AQ1072" s="75"/>
      <c r="AR1072" s="76"/>
      <c r="AT1072" s="65"/>
      <c r="AU1072" s="77"/>
    </row>
    <row r="1073" spans="37:47">
      <c r="AK1073" s="12"/>
      <c r="AM1073" s="12"/>
      <c r="AN1073" s="75"/>
      <c r="AO1073" s="75"/>
      <c r="AP1073" s="75"/>
      <c r="AQ1073" s="75"/>
      <c r="AR1073" s="76"/>
      <c r="AT1073" s="65"/>
      <c r="AU1073" s="77"/>
    </row>
    <row r="1074" spans="37:47">
      <c r="AK1074" s="12"/>
      <c r="AM1074" s="12"/>
      <c r="AN1074" s="75"/>
      <c r="AO1074" s="75"/>
      <c r="AP1074" s="75"/>
      <c r="AQ1074" s="75"/>
      <c r="AR1074" s="76"/>
      <c r="AT1074" s="65"/>
      <c r="AU1074" s="77"/>
    </row>
    <row r="1075" spans="37:47">
      <c r="AK1075" s="12"/>
      <c r="AM1075" s="12"/>
      <c r="AN1075" s="75"/>
      <c r="AO1075" s="75"/>
      <c r="AP1075" s="75"/>
      <c r="AQ1075" s="75"/>
      <c r="AR1075" s="76"/>
      <c r="AT1075" s="65"/>
      <c r="AU1075" s="77"/>
    </row>
    <row r="1076" spans="37:47">
      <c r="AK1076" s="12"/>
      <c r="AM1076" s="12"/>
      <c r="AN1076" s="75"/>
      <c r="AO1076" s="75"/>
      <c r="AP1076" s="75"/>
      <c r="AQ1076" s="75"/>
      <c r="AR1076" s="76"/>
      <c r="AT1076" s="65"/>
      <c r="AU1076" s="77"/>
    </row>
    <row r="1077" spans="37:47">
      <c r="AK1077" s="12"/>
      <c r="AM1077" s="12"/>
      <c r="AN1077" s="75"/>
      <c r="AO1077" s="75"/>
      <c r="AP1077" s="75"/>
      <c r="AQ1077" s="75"/>
      <c r="AR1077" s="76"/>
      <c r="AT1077" s="65"/>
      <c r="AU1077" s="77"/>
    </row>
    <row r="1078" spans="37:47">
      <c r="AK1078" s="12"/>
      <c r="AM1078" s="12"/>
      <c r="AN1078" s="75"/>
      <c r="AO1078" s="75"/>
      <c r="AP1078" s="75"/>
      <c r="AQ1078" s="75"/>
      <c r="AR1078" s="76"/>
      <c r="AT1078" s="65"/>
      <c r="AU1078" s="77"/>
    </row>
    <row r="1079" spans="37:47">
      <c r="AK1079" s="12"/>
      <c r="AM1079" s="12"/>
      <c r="AN1079" s="75"/>
      <c r="AO1079" s="75"/>
      <c r="AP1079" s="75"/>
      <c r="AQ1079" s="75"/>
      <c r="AR1079" s="76"/>
      <c r="AT1079" s="65"/>
      <c r="AU1079" s="77"/>
    </row>
    <row r="1080" spans="37:47">
      <c r="AK1080" s="12"/>
      <c r="AM1080" s="12"/>
      <c r="AN1080" s="75"/>
      <c r="AO1080" s="75"/>
      <c r="AP1080" s="75"/>
      <c r="AQ1080" s="75"/>
      <c r="AR1080" s="76"/>
      <c r="AT1080" s="65"/>
      <c r="AU1080" s="77"/>
    </row>
    <row r="1081" spans="37:47">
      <c r="AK1081" s="12"/>
      <c r="AM1081" s="12"/>
      <c r="AN1081" s="75"/>
      <c r="AO1081" s="75"/>
      <c r="AP1081" s="75"/>
      <c r="AQ1081" s="75"/>
      <c r="AR1081" s="76"/>
      <c r="AT1081" s="65"/>
      <c r="AU1081" s="77"/>
    </row>
    <row r="1082" spans="37:47">
      <c r="AK1082" s="12"/>
      <c r="AM1082" s="12"/>
      <c r="AN1082" s="75"/>
      <c r="AO1082" s="75"/>
      <c r="AP1082" s="75"/>
      <c r="AQ1082" s="75"/>
      <c r="AR1082" s="76"/>
      <c r="AT1082" s="65"/>
      <c r="AU1082" s="77"/>
    </row>
    <row r="1083" spans="37:47">
      <c r="AK1083" s="12"/>
      <c r="AM1083" s="12"/>
      <c r="AN1083" s="75"/>
      <c r="AO1083" s="75"/>
      <c r="AP1083" s="75"/>
      <c r="AQ1083" s="75"/>
      <c r="AR1083" s="76"/>
      <c r="AT1083" s="65"/>
      <c r="AU1083" s="77"/>
    </row>
    <row r="1084" spans="37:47">
      <c r="AK1084" s="12"/>
      <c r="AM1084" s="12"/>
      <c r="AN1084" s="75"/>
      <c r="AO1084" s="75"/>
      <c r="AP1084" s="75"/>
      <c r="AQ1084" s="75"/>
      <c r="AR1084" s="76"/>
      <c r="AT1084" s="65"/>
      <c r="AU1084" s="77"/>
    </row>
    <row r="1085" spans="37:47">
      <c r="AK1085" s="12"/>
      <c r="AM1085" s="12"/>
      <c r="AN1085" s="75"/>
      <c r="AO1085" s="75"/>
      <c r="AP1085" s="75"/>
      <c r="AQ1085" s="75"/>
      <c r="AR1085" s="76"/>
      <c r="AT1085" s="65"/>
      <c r="AU1085" s="77"/>
    </row>
    <row r="1086" spans="37:47">
      <c r="AK1086" s="12"/>
      <c r="AM1086" s="12"/>
      <c r="AN1086" s="75"/>
      <c r="AO1086" s="75"/>
      <c r="AP1086" s="75"/>
      <c r="AQ1086" s="75"/>
      <c r="AR1086" s="76"/>
      <c r="AT1086" s="65"/>
      <c r="AU1086" s="77"/>
    </row>
    <row r="1087" spans="37:47">
      <c r="AK1087" s="12"/>
      <c r="AM1087" s="12"/>
      <c r="AN1087" s="75"/>
      <c r="AO1087" s="75"/>
      <c r="AP1087" s="75"/>
      <c r="AQ1087" s="75"/>
      <c r="AR1087" s="76"/>
      <c r="AT1087" s="65"/>
      <c r="AU1087" s="77"/>
    </row>
    <row r="1088" spans="37:47">
      <c r="AK1088" s="12"/>
      <c r="AM1088" s="12"/>
      <c r="AN1088" s="75"/>
      <c r="AO1088" s="75"/>
      <c r="AP1088" s="75"/>
      <c r="AQ1088" s="75"/>
      <c r="AR1088" s="76"/>
      <c r="AT1088" s="65"/>
      <c r="AU1088" s="77"/>
    </row>
    <row r="1089" spans="37:47">
      <c r="AK1089" s="12"/>
      <c r="AM1089" s="12"/>
      <c r="AN1089" s="75"/>
      <c r="AO1089" s="75"/>
      <c r="AP1089" s="75"/>
      <c r="AQ1089" s="75"/>
      <c r="AR1089" s="76"/>
      <c r="AT1089" s="65"/>
      <c r="AU1089" s="77"/>
    </row>
    <row r="1090" spans="37:47">
      <c r="AK1090" s="12"/>
      <c r="AM1090" s="12"/>
      <c r="AN1090" s="75"/>
      <c r="AO1090" s="75"/>
      <c r="AP1090" s="75"/>
      <c r="AQ1090" s="75"/>
      <c r="AR1090" s="76"/>
      <c r="AT1090" s="65"/>
      <c r="AU1090" s="77"/>
    </row>
    <row r="1091" spans="37:47">
      <c r="AK1091" s="12"/>
      <c r="AM1091" s="12"/>
      <c r="AN1091" s="75"/>
      <c r="AO1091" s="75"/>
      <c r="AP1091" s="75"/>
      <c r="AQ1091" s="75"/>
      <c r="AR1091" s="76"/>
      <c r="AT1091" s="65"/>
      <c r="AU1091" s="77"/>
    </row>
    <row r="1092" spans="37:47">
      <c r="AK1092" s="12"/>
      <c r="AM1092" s="12"/>
      <c r="AN1092" s="75"/>
      <c r="AO1092" s="75"/>
      <c r="AP1092" s="75"/>
      <c r="AQ1092" s="75"/>
      <c r="AR1092" s="76"/>
      <c r="AT1092" s="65"/>
      <c r="AU1092" s="77"/>
    </row>
    <row r="1093" spans="37:47">
      <c r="AK1093" s="12"/>
      <c r="AM1093" s="12"/>
      <c r="AN1093" s="75"/>
      <c r="AO1093" s="75"/>
      <c r="AP1093" s="75"/>
      <c r="AQ1093" s="75"/>
      <c r="AR1093" s="76"/>
      <c r="AT1093" s="65"/>
      <c r="AU1093" s="77"/>
    </row>
    <row r="1094" spans="37:47">
      <c r="AK1094" s="12"/>
      <c r="AM1094" s="12"/>
      <c r="AN1094" s="75"/>
      <c r="AO1094" s="75"/>
      <c r="AP1094" s="75"/>
      <c r="AQ1094" s="75"/>
      <c r="AR1094" s="76"/>
      <c r="AT1094" s="65"/>
      <c r="AU1094" s="77"/>
    </row>
    <row r="1095" spans="37:47">
      <c r="AK1095" s="12"/>
      <c r="AM1095" s="12"/>
      <c r="AN1095" s="75"/>
      <c r="AO1095" s="75"/>
      <c r="AP1095" s="75"/>
      <c r="AQ1095" s="75"/>
      <c r="AR1095" s="76"/>
      <c r="AT1095" s="65"/>
      <c r="AU1095" s="77"/>
    </row>
    <row r="1096" spans="37:47">
      <c r="AK1096" s="12"/>
      <c r="AM1096" s="12"/>
      <c r="AN1096" s="75"/>
      <c r="AO1096" s="75"/>
      <c r="AP1096" s="75"/>
      <c r="AQ1096" s="75"/>
      <c r="AR1096" s="76"/>
      <c r="AT1096" s="65"/>
      <c r="AU1096" s="77"/>
    </row>
    <row r="1097" spans="37:47">
      <c r="AK1097" s="12"/>
      <c r="AM1097" s="12"/>
      <c r="AN1097" s="75"/>
      <c r="AO1097" s="75"/>
      <c r="AP1097" s="75"/>
      <c r="AQ1097" s="75"/>
      <c r="AR1097" s="76"/>
      <c r="AT1097" s="65"/>
      <c r="AU1097" s="77"/>
    </row>
    <row r="1098" spans="37:47">
      <c r="AK1098" s="12"/>
      <c r="AM1098" s="12"/>
      <c r="AN1098" s="75"/>
      <c r="AO1098" s="75"/>
      <c r="AP1098" s="75"/>
      <c r="AQ1098" s="75"/>
      <c r="AR1098" s="76"/>
      <c r="AT1098" s="65"/>
      <c r="AU1098" s="77"/>
    </row>
    <row r="1099" spans="37:47">
      <c r="AK1099" s="12"/>
      <c r="AM1099" s="12"/>
      <c r="AN1099" s="75"/>
      <c r="AO1099" s="75"/>
      <c r="AP1099" s="75"/>
      <c r="AQ1099" s="75"/>
      <c r="AR1099" s="76"/>
      <c r="AT1099" s="65"/>
      <c r="AU1099" s="77"/>
    </row>
    <row r="1100" spans="37:47">
      <c r="AK1100" s="12"/>
      <c r="AM1100" s="12"/>
      <c r="AN1100" s="75"/>
      <c r="AO1100" s="75"/>
      <c r="AP1100" s="75"/>
      <c r="AQ1100" s="75"/>
      <c r="AR1100" s="76"/>
      <c r="AT1100" s="65"/>
      <c r="AU1100" s="77"/>
    </row>
    <row r="1101" spans="37:47">
      <c r="AK1101" s="12"/>
      <c r="AM1101" s="12"/>
      <c r="AN1101" s="75"/>
      <c r="AO1101" s="75"/>
      <c r="AP1101" s="75"/>
      <c r="AQ1101" s="75"/>
      <c r="AR1101" s="76"/>
      <c r="AT1101" s="65"/>
      <c r="AU1101" s="77"/>
    </row>
    <row r="1102" spans="37:47">
      <c r="AK1102" s="12"/>
      <c r="AM1102" s="12"/>
      <c r="AN1102" s="75"/>
      <c r="AO1102" s="75"/>
      <c r="AP1102" s="75"/>
      <c r="AQ1102" s="75"/>
      <c r="AR1102" s="76"/>
      <c r="AT1102" s="65"/>
      <c r="AU1102" s="77"/>
    </row>
    <row r="1103" spans="37:47">
      <c r="AK1103" s="12"/>
      <c r="AM1103" s="12"/>
      <c r="AN1103" s="75"/>
      <c r="AO1103" s="75"/>
      <c r="AP1103" s="75"/>
      <c r="AQ1103" s="75"/>
      <c r="AR1103" s="76"/>
      <c r="AT1103" s="65"/>
      <c r="AU1103" s="77"/>
    </row>
    <row r="1104" spans="37:47">
      <c r="AK1104" s="12"/>
      <c r="AM1104" s="12"/>
      <c r="AN1104" s="75"/>
      <c r="AO1104" s="75"/>
      <c r="AP1104" s="75"/>
      <c r="AQ1104" s="75"/>
      <c r="AR1104" s="76"/>
      <c r="AT1104" s="65"/>
      <c r="AU1104" s="77"/>
    </row>
    <row r="1105" spans="37:47">
      <c r="AK1105" s="12"/>
      <c r="AM1105" s="12"/>
      <c r="AN1105" s="75"/>
      <c r="AO1105" s="75"/>
      <c r="AP1105" s="75"/>
      <c r="AQ1105" s="75"/>
      <c r="AR1105" s="76"/>
      <c r="AT1105" s="65"/>
      <c r="AU1105" s="77"/>
    </row>
    <row r="1106" spans="37:47">
      <c r="AK1106" s="12"/>
      <c r="AM1106" s="12"/>
      <c r="AN1106" s="75"/>
      <c r="AO1106" s="75"/>
      <c r="AP1106" s="75"/>
      <c r="AQ1106" s="75"/>
      <c r="AR1106" s="76"/>
      <c r="AT1106" s="65"/>
      <c r="AU1106" s="77"/>
    </row>
    <row r="1107" spans="37:47">
      <c r="AK1107" s="12"/>
      <c r="AM1107" s="12"/>
      <c r="AN1107" s="75"/>
      <c r="AO1107" s="75"/>
      <c r="AP1107" s="75"/>
      <c r="AQ1107" s="75"/>
      <c r="AR1107" s="76"/>
      <c r="AT1107" s="65"/>
      <c r="AU1107" s="77"/>
    </row>
    <row r="1108" spans="37:47">
      <c r="AK1108" s="12"/>
      <c r="AM1108" s="12"/>
      <c r="AN1108" s="75"/>
      <c r="AO1108" s="75"/>
      <c r="AP1108" s="75"/>
      <c r="AQ1108" s="75"/>
      <c r="AR1108" s="76"/>
      <c r="AT1108" s="65"/>
      <c r="AU1108" s="77"/>
    </row>
    <row r="1109" spans="37:47">
      <c r="AK1109" s="12"/>
      <c r="AM1109" s="12"/>
      <c r="AN1109" s="75"/>
      <c r="AO1109" s="75"/>
      <c r="AP1109" s="75"/>
      <c r="AQ1109" s="75"/>
      <c r="AR1109" s="76"/>
      <c r="AT1109" s="65"/>
      <c r="AU1109" s="77"/>
    </row>
    <row r="1110" spans="37:47">
      <c r="AK1110" s="12"/>
      <c r="AM1110" s="12"/>
      <c r="AN1110" s="75"/>
      <c r="AO1110" s="75"/>
      <c r="AP1110" s="75"/>
      <c r="AQ1110" s="75"/>
      <c r="AR1110" s="76"/>
      <c r="AT1110" s="65"/>
      <c r="AU1110" s="77"/>
    </row>
    <row r="1111" spans="37:47">
      <c r="AK1111" s="12"/>
      <c r="AM1111" s="12"/>
      <c r="AN1111" s="75"/>
      <c r="AO1111" s="75"/>
      <c r="AP1111" s="75"/>
      <c r="AQ1111" s="75"/>
      <c r="AR1111" s="76"/>
      <c r="AT1111" s="65"/>
      <c r="AU1111" s="77"/>
    </row>
    <row r="1112" spans="37:47">
      <c r="AK1112" s="12"/>
      <c r="AM1112" s="12"/>
      <c r="AN1112" s="75"/>
      <c r="AO1112" s="75"/>
      <c r="AP1112" s="75"/>
      <c r="AQ1112" s="75"/>
      <c r="AR1112" s="76"/>
      <c r="AT1112" s="65"/>
      <c r="AU1112" s="77"/>
    </row>
    <row r="1113" spans="37:47">
      <c r="AK1113" s="12"/>
      <c r="AM1113" s="12"/>
      <c r="AN1113" s="75"/>
      <c r="AO1113" s="75"/>
      <c r="AP1113" s="75"/>
      <c r="AQ1113" s="75"/>
      <c r="AR1113" s="76"/>
      <c r="AT1113" s="65"/>
      <c r="AU1113" s="77"/>
    </row>
    <row r="1114" spans="37:47">
      <c r="AK1114" s="12"/>
      <c r="AM1114" s="12"/>
      <c r="AN1114" s="75"/>
      <c r="AO1114" s="75"/>
      <c r="AP1114" s="75"/>
      <c r="AQ1114" s="75"/>
      <c r="AR1114" s="76"/>
      <c r="AT1114" s="65"/>
      <c r="AU1114" s="77"/>
    </row>
    <row r="1115" spans="37:47">
      <c r="AK1115" s="12"/>
      <c r="AM1115" s="12"/>
      <c r="AN1115" s="75"/>
      <c r="AO1115" s="75"/>
      <c r="AP1115" s="75"/>
      <c r="AQ1115" s="75"/>
      <c r="AR1115" s="76"/>
      <c r="AT1115" s="65"/>
      <c r="AU1115" s="77"/>
    </row>
    <row r="1116" spans="37:47">
      <c r="AK1116" s="12"/>
      <c r="AM1116" s="12"/>
      <c r="AN1116" s="75"/>
      <c r="AO1116" s="75"/>
      <c r="AP1116" s="75"/>
      <c r="AQ1116" s="75"/>
      <c r="AR1116" s="76"/>
      <c r="AT1116" s="65"/>
      <c r="AU1116" s="77"/>
    </row>
    <row r="1117" spans="37:47">
      <c r="AK1117" s="12"/>
      <c r="AM1117" s="12"/>
      <c r="AN1117" s="75"/>
      <c r="AO1117" s="75"/>
      <c r="AP1117" s="75"/>
      <c r="AQ1117" s="75"/>
      <c r="AR1117" s="76"/>
      <c r="AT1117" s="65"/>
      <c r="AU1117" s="77"/>
    </row>
    <row r="1118" spans="37:47">
      <c r="AK1118" s="12"/>
      <c r="AM1118" s="12"/>
      <c r="AN1118" s="75"/>
      <c r="AO1118" s="75"/>
      <c r="AP1118" s="75"/>
      <c r="AQ1118" s="75"/>
      <c r="AR1118" s="76"/>
      <c r="AT1118" s="65"/>
      <c r="AU1118" s="77"/>
    </row>
    <row r="1119" spans="37:47">
      <c r="AK1119" s="12"/>
      <c r="AM1119" s="12"/>
      <c r="AN1119" s="75"/>
      <c r="AO1119" s="75"/>
      <c r="AP1119" s="75"/>
      <c r="AQ1119" s="75"/>
      <c r="AR1119" s="76"/>
      <c r="AT1119" s="65"/>
      <c r="AU1119" s="77"/>
    </row>
    <row r="1120" spans="37:47">
      <c r="AK1120" s="12"/>
      <c r="AM1120" s="12"/>
      <c r="AN1120" s="75"/>
      <c r="AO1120" s="75"/>
      <c r="AP1120" s="75"/>
      <c r="AQ1120" s="75"/>
      <c r="AR1120" s="76"/>
      <c r="AT1120" s="65"/>
      <c r="AU1120" s="77"/>
    </row>
    <row r="1121" spans="37:47">
      <c r="AK1121" s="12"/>
      <c r="AM1121" s="12"/>
      <c r="AN1121" s="75"/>
      <c r="AO1121" s="75"/>
      <c r="AP1121" s="75"/>
      <c r="AQ1121" s="75"/>
      <c r="AR1121" s="76"/>
      <c r="AT1121" s="65"/>
      <c r="AU1121" s="77"/>
    </row>
    <row r="1122" spans="37:47">
      <c r="AK1122" s="12"/>
      <c r="AM1122" s="12"/>
      <c r="AN1122" s="75"/>
      <c r="AO1122" s="75"/>
      <c r="AP1122" s="75"/>
      <c r="AQ1122" s="75"/>
      <c r="AR1122" s="76"/>
      <c r="AT1122" s="65"/>
      <c r="AU1122" s="77"/>
    </row>
    <row r="1123" spans="37:47">
      <c r="AK1123" s="12"/>
      <c r="AM1123" s="12"/>
      <c r="AN1123" s="75"/>
      <c r="AO1123" s="75"/>
      <c r="AP1123" s="75"/>
      <c r="AQ1123" s="75"/>
      <c r="AR1123" s="76"/>
      <c r="AT1123" s="65"/>
      <c r="AU1123" s="77"/>
    </row>
    <row r="1124" spans="37:47">
      <c r="AK1124" s="12"/>
      <c r="AM1124" s="12"/>
      <c r="AN1124" s="75"/>
      <c r="AO1124" s="75"/>
      <c r="AP1124" s="75"/>
      <c r="AQ1124" s="75"/>
      <c r="AR1124" s="76"/>
      <c r="AT1124" s="65"/>
      <c r="AU1124" s="77"/>
    </row>
    <row r="1125" spans="37:47">
      <c r="AK1125" s="12"/>
      <c r="AM1125" s="12"/>
      <c r="AN1125" s="75"/>
      <c r="AO1125" s="75"/>
      <c r="AP1125" s="75"/>
      <c r="AQ1125" s="75"/>
      <c r="AR1125" s="76"/>
      <c r="AT1125" s="65"/>
      <c r="AU1125" s="77"/>
    </row>
    <row r="1126" spans="37:47">
      <c r="AK1126" s="12"/>
      <c r="AM1126" s="12"/>
      <c r="AN1126" s="75"/>
      <c r="AO1126" s="75"/>
      <c r="AP1126" s="75"/>
      <c r="AQ1126" s="75"/>
      <c r="AR1126" s="76"/>
      <c r="AT1126" s="65"/>
      <c r="AU1126" s="77"/>
    </row>
    <row r="1127" spans="37:47">
      <c r="AK1127" s="12"/>
      <c r="AM1127" s="12"/>
      <c r="AN1127" s="75"/>
      <c r="AO1127" s="75"/>
      <c r="AP1127" s="75"/>
      <c r="AQ1127" s="75"/>
      <c r="AR1127" s="76"/>
      <c r="AT1127" s="65"/>
      <c r="AU1127" s="77"/>
    </row>
    <row r="1128" spans="37:47">
      <c r="AK1128" s="12"/>
      <c r="AM1128" s="12"/>
      <c r="AN1128" s="75"/>
      <c r="AO1128" s="75"/>
      <c r="AP1128" s="75"/>
      <c r="AQ1128" s="75"/>
      <c r="AR1128" s="76"/>
      <c r="AT1128" s="65"/>
      <c r="AU1128" s="77"/>
    </row>
    <row r="1129" spans="37:47">
      <c r="AK1129" s="12"/>
      <c r="AM1129" s="12"/>
      <c r="AN1129" s="75"/>
      <c r="AO1129" s="75"/>
      <c r="AP1129" s="75"/>
      <c r="AQ1129" s="75"/>
      <c r="AR1129" s="76"/>
      <c r="AT1129" s="65"/>
      <c r="AU1129" s="77"/>
    </row>
    <row r="1130" spans="37:47">
      <c r="AK1130" s="12"/>
      <c r="AM1130" s="12"/>
      <c r="AN1130" s="75"/>
      <c r="AO1130" s="75"/>
      <c r="AP1130" s="75"/>
      <c r="AQ1130" s="75"/>
      <c r="AR1130" s="76"/>
      <c r="AT1130" s="65"/>
      <c r="AU1130" s="77"/>
    </row>
    <row r="1131" spans="37:47">
      <c r="AK1131" s="12"/>
      <c r="AM1131" s="12"/>
      <c r="AN1131" s="75"/>
      <c r="AO1131" s="75"/>
      <c r="AP1131" s="75"/>
      <c r="AQ1131" s="75"/>
      <c r="AR1131" s="76"/>
      <c r="AT1131" s="65"/>
      <c r="AU1131" s="77"/>
    </row>
    <row r="1132" spans="37:47">
      <c r="AK1132" s="12"/>
      <c r="AM1132" s="12"/>
      <c r="AN1132" s="75"/>
      <c r="AO1132" s="75"/>
      <c r="AP1132" s="75"/>
      <c r="AQ1132" s="75"/>
      <c r="AR1132" s="76"/>
      <c r="AT1132" s="65"/>
      <c r="AU1132" s="77"/>
    </row>
    <row r="1133" spans="37:47">
      <c r="AK1133" s="12"/>
      <c r="AM1133" s="12"/>
      <c r="AN1133" s="75"/>
      <c r="AO1133" s="75"/>
      <c r="AP1133" s="75"/>
      <c r="AQ1133" s="75"/>
      <c r="AR1133" s="76"/>
      <c r="AT1133" s="65"/>
      <c r="AU1133" s="77"/>
    </row>
    <row r="1134" spans="37:47">
      <c r="AK1134" s="12"/>
      <c r="AM1134" s="12"/>
      <c r="AN1134" s="75"/>
      <c r="AO1134" s="75"/>
      <c r="AP1134" s="75"/>
      <c r="AQ1134" s="75"/>
      <c r="AR1134" s="76"/>
      <c r="AT1134" s="65"/>
      <c r="AU1134" s="77"/>
    </row>
    <row r="1135" spans="37:47">
      <c r="AK1135" s="12"/>
      <c r="AM1135" s="12"/>
      <c r="AN1135" s="75"/>
      <c r="AO1135" s="75"/>
      <c r="AP1135" s="75"/>
      <c r="AQ1135" s="75"/>
      <c r="AR1135" s="76"/>
      <c r="AT1135" s="65"/>
      <c r="AU1135" s="77"/>
    </row>
    <row r="1136" spans="37:47">
      <c r="AK1136" s="12"/>
      <c r="AM1136" s="12"/>
      <c r="AN1136" s="75"/>
      <c r="AO1136" s="75"/>
      <c r="AP1136" s="75"/>
      <c r="AQ1136" s="75"/>
      <c r="AR1136" s="76"/>
      <c r="AT1136" s="65"/>
      <c r="AU1136" s="77"/>
    </row>
    <row r="1137" spans="37:47">
      <c r="AK1137" s="12"/>
      <c r="AM1137" s="12"/>
      <c r="AN1137" s="75"/>
      <c r="AO1137" s="75"/>
      <c r="AP1137" s="75"/>
      <c r="AQ1137" s="75"/>
      <c r="AR1137" s="76"/>
      <c r="AT1137" s="65"/>
      <c r="AU1137" s="77"/>
    </row>
    <row r="1138" spans="37:47">
      <c r="AK1138" s="12"/>
      <c r="AM1138" s="12"/>
      <c r="AN1138" s="75"/>
      <c r="AO1138" s="75"/>
      <c r="AP1138" s="75"/>
      <c r="AQ1138" s="75"/>
      <c r="AR1138" s="76"/>
      <c r="AT1138" s="65"/>
      <c r="AU1138" s="77"/>
    </row>
    <row r="1139" spans="37:47">
      <c r="AK1139" s="12"/>
      <c r="AM1139" s="12"/>
      <c r="AN1139" s="75"/>
      <c r="AO1139" s="75"/>
      <c r="AP1139" s="75"/>
      <c r="AQ1139" s="75"/>
      <c r="AR1139" s="76"/>
      <c r="AT1139" s="65"/>
      <c r="AU1139" s="77"/>
    </row>
    <row r="1140" spans="37:47">
      <c r="AK1140" s="12"/>
      <c r="AM1140" s="12"/>
      <c r="AN1140" s="75"/>
      <c r="AO1140" s="75"/>
      <c r="AP1140" s="75"/>
      <c r="AQ1140" s="75"/>
      <c r="AR1140" s="76"/>
      <c r="AT1140" s="65"/>
      <c r="AU1140" s="77"/>
    </row>
    <row r="1141" spans="37:47">
      <c r="AK1141" s="12"/>
      <c r="AM1141" s="12"/>
      <c r="AN1141" s="75"/>
      <c r="AO1141" s="75"/>
      <c r="AP1141" s="75"/>
      <c r="AQ1141" s="75"/>
      <c r="AR1141" s="76"/>
      <c r="AT1141" s="65"/>
      <c r="AU1141" s="77"/>
    </row>
    <row r="1142" spans="37:47">
      <c r="AK1142" s="12"/>
      <c r="AM1142" s="12"/>
      <c r="AN1142" s="75"/>
      <c r="AO1142" s="75"/>
      <c r="AP1142" s="75"/>
      <c r="AQ1142" s="75"/>
      <c r="AR1142" s="76"/>
      <c r="AT1142" s="65"/>
      <c r="AU1142" s="77"/>
    </row>
    <row r="1143" spans="37:47">
      <c r="AK1143" s="12"/>
      <c r="AM1143" s="12"/>
      <c r="AN1143" s="75"/>
      <c r="AO1143" s="75"/>
      <c r="AP1143" s="75"/>
      <c r="AQ1143" s="75"/>
      <c r="AR1143" s="76"/>
      <c r="AT1143" s="65"/>
      <c r="AU1143" s="77"/>
    </row>
    <row r="1144" spans="37:47">
      <c r="AK1144" s="12"/>
      <c r="AM1144" s="12"/>
      <c r="AN1144" s="75"/>
      <c r="AO1144" s="75"/>
      <c r="AP1144" s="75"/>
      <c r="AQ1144" s="75"/>
      <c r="AR1144" s="76"/>
      <c r="AT1144" s="65"/>
      <c r="AU1144" s="77"/>
    </row>
    <row r="1145" spans="37:47">
      <c r="AK1145" s="12"/>
      <c r="AM1145" s="12"/>
      <c r="AN1145" s="75"/>
      <c r="AO1145" s="75"/>
      <c r="AP1145" s="75"/>
      <c r="AQ1145" s="75"/>
      <c r="AR1145" s="76"/>
      <c r="AT1145" s="65"/>
      <c r="AU1145" s="77"/>
    </row>
    <row r="1146" spans="37:47">
      <c r="AK1146" s="12"/>
      <c r="AM1146" s="12"/>
      <c r="AN1146" s="75"/>
      <c r="AO1146" s="75"/>
      <c r="AP1146" s="75"/>
      <c r="AQ1146" s="75"/>
      <c r="AR1146" s="76"/>
      <c r="AT1146" s="65"/>
      <c r="AU1146" s="77"/>
    </row>
    <row r="1147" spans="37:47">
      <c r="AK1147" s="12"/>
      <c r="AM1147" s="12"/>
      <c r="AN1147" s="75"/>
      <c r="AO1147" s="75"/>
      <c r="AP1147" s="75"/>
      <c r="AQ1147" s="75"/>
      <c r="AR1147" s="76"/>
      <c r="AT1147" s="65"/>
      <c r="AU1147" s="77"/>
    </row>
    <row r="1148" spans="37:47">
      <c r="AK1148" s="12"/>
      <c r="AM1148" s="12"/>
      <c r="AN1148" s="75"/>
      <c r="AO1148" s="75"/>
      <c r="AP1148" s="75"/>
      <c r="AQ1148" s="75"/>
      <c r="AR1148" s="76"/>
      <c r="AT1148" s="65"/>
      <c r="AU1148" s="77"/>
    </row>
    <row r="1149" spans="37:47">
      <c r="AK1149" s="12"/>
      <c r="AM1149" s="12"/>
      <c r="AN1149" s="75"/>
      <c r="AO1149" s="75"/>
      <c r="AP1149" s="75"/>
      <c r="AQ1149" s="75"/>
      <c r="AR1149" s="76"/>
      <c r="AT1149" s="65"/>
      <c r="AU1149" s="77"/>
    </row>
    <row r="1150" spans="37:47">
      <c r="AK1150" s="12"/>
      <c r="AM1150" s="12"/>
      <c r="AN1150" s="75"/>
      <c r="AO1150" s="75"/>
      <c r="AP1150" s="75"/>
      <c r="AQ1150" s="75"/>
      <c r="AR1150" s="76"/>
      <c r="AT1150" s="65"/>
      <c r="AU1150" s="77"/>
    </row>
    <row r="1151" spans="37:47">
      <c r="AK1151" s="12"/>
      <c r="AM1151" s="12"/>
      <c r="AN1151" s="75"/>
      <c r="AO1151" s="75"/>
      <c r="AP1151" s="75"/>
      <c r="AQ1151" s="75"/>
      <c r="AR1151" s="76"/>
      <c r="AT1151" s="65"/>
      <c r="AU1151" s="77"/>
    </row>
    <row r="1152" spans="37:47">
      <c r="AK1152" s="12"/>
      <c r="AM1152" s="12"/>
      <c r="AN1152" s="75"/>
      <c r="AO1152" s="75"/>
      <c r="AP1152" s="75"/>
      <c r="AQ1152" s="75"/>
      <c r="AR1152" s="76"/>
      <c r="AT1152" s="65"/>
      <c r="AU1152" s="77"/>
    </row>
    <row r="1153" spans="37:47">
      <c r="AK1153" s="12"/>
      <c r="AM1153" s="12"/>
      <c r="AN1153" s="75"/>
      <c r="AO1153" s="75"/>
      <c r="AP1153" s="75"/>
      <c r="AQ1153" s="75"/>
      <c r="AR1153" s="76"/>
      <c r="AT1153" s="65"/>
      <c r="AU1153" s="77"/>
    </row>
    <row r="1154" spans="37:47">
      <c r="AK1154" s="12"/>
      <c r="AM1154" s="12"/>
      <c r="AN1154" s="75"/>
      <c r="AO1154" s="75"/>
      <c r="AP1154" s="75"/>
      <c r="AQ1154" s="75"/>
      <c r="AR1154" s="76"/>
      <c r="AT1154" s="65"/>
      <c r="AU1154" s="77"/>
    </row>
    <row r="1155" spans="37:47">
      <c r="AK1155" s="12"/>
      <c r="AM1155" s="12"/>
      <c r="AN1155" s="75"/>
      <c r="AO1155" s="75"/>
      <c r="AP1155" s="75"/>
      <c r="AQ1155" s="75"/>
      <c r="AR1155" s="76"/>
      <c r="AT1155" s="65"/>
      <c r="AU1155" s="77"/>
    </row>
    <row r="1156" spans="37:47">
      <c r="AK1156" s="12"/>
      <c r="AM1156" s="12"/>
      <c r="AN1156" s="75"/>
      <c r="AO1156" s="75"/>
      <c r="AP1156" s="75"/>
      <c r="AQ1156" s="75"/>
      <c r="AR1156" s="76"/>
      <c r="AT1156" s="65"/>
      <c r="AU1156" s="77"/>
    </row>
    <row r="1157" spans="37:47">
      <c r="AK1157" s="12"/>
      <c r="AM1157" s="12"/>
      <c r="AN1157" s="75"/>
      <c r="AO1157" s="75"/>
      <c r="AP1157" s="75"/>
      <c r="AQ1157" s="75"/>
      <c r="AR1157" s="76"/>
      <c r="AT1157" s="65"/>
      <c r="AU1157" s="77"/>
    </row>
    <row r="1158" spans="37:47">
      <c r="AK1158" s="12"/>
      <c r="AM1158" s="12"/>
      <c r="AN1158" s="75"/>
      <c r="AO1158" s="75"/>
      <c r="AP1158" s="75"/>
      <c r="AQ1158" s="75"/>
      <c r="AR1158" s="76"/>
      <c r="AT1158" s="65"/>
      <c r="AU1158" s="77"/>
    </row>
    <row r="1159" spans="37:47">
      <c r="AK1159" s="12"/>
      <c r="AM1159" s="12"/>
      <c r="AN1159" s="75"/>
      <c r="AO1159" s="75"/>
      <c r="AP1159" s="75"/>
      <c r="AQ1159" s="75"/>
      <c r="AR1159" s="76"/>
      <c r="AT1159" s="65"/>
      <c r="AU1159" s="77"/>
    </row>
    <row r="1160" spans="37:47">
      <c r="AK1160" s="12"/>
      <c r="AM1160" s="12"/>
      <c r="AN1160" s="75"/>
      <c r="AO1160" s="75"/>
      <c r="AP1160" s="75"/>
      <c r="AQ1160" s="75"/>
      <c r="AR1160" s="76"/>
      <c r="AT1160" s="65"/>
      <c r="AU1160" s="77"/>
    </row>
    <row r="1161" spans="37:47">
      <c r="AK1161" s="12"/>
      <c r="AM1161" s="12"/>
      <c r="AN1161" s="75"/>
      <c r="AO1161" s="75"/>
      <c r="AP1161" s="75"/>
      <c r="AQ1161" s="75"/>
      <c r="AR1161" s="76"/>
      <c r="AT1161" s="65"/>
      <c r="AU1161" s="77"/>
    </row>
    <row r="1162" spans="37:47">
      <c r="AK1162" s="12"/>
      <c r="AM1162" s="12"/>
      <c r="AN1162" s="75"/>
      <c r="AO1162" s="75"/>
      <c r="AP1162" s="75"/>
      <c r="AQ1162" s="75"/>
      <c r="AR1162" s="76"/>
      <c r="AT1162" s="65"/>
      <c r="AU1162" s="77"/>
    </row>
    <row r="1163" spans="37:47">
      <c r="AK1163" s="12"/>
      <c r="AM1163" s="12"/>
      <c r="AN1163" s="75"/>
      <c r="AO1163" s="75"/>
      <c r="AP1163" s="75"/>
      <c r="AQ1163" s="75"/>
      <c r="AR1163" s="76"/>
      <c r="AT1163" s="65"/>
      <c r="AU1163" s="77"/>
    </row>
    <row r="1164" spans="37:47">
      <c r="AK1164" s="12"/>
      <c r="AM1164" s="12"/>
      <c r="AN1164" s="75"/>
      <c r="AO1164" s="75"/>
      <c r="AP1164" s="75"/>
      <c r="AQ1164" s="75"/>
      <c r="AR1164" s="76"/>
      <c r="AT1164" s="65"/>
      <c r="AU1164" s="77"/>
    </row>
    <row r="1165" spans="37:47">
      <c r="AK1165" s="12"/>
      <c r="AM1165" s="12"/>
      <c r="AN1165" s="75"/>
      <c r="AO1165" s="75"/>
      <c r="AP1165" s="75"/>
      <c r="AQ1165" s="75"/>
      <c r="AR1165" s="76"/>
      <c r="AT1165" s="65"/>
      <c r="AU1165" s="77"/>
    </row>
    <row r="1166" spans="37:47">
      <c r="AK1166" s="12"/>
      <c r="AM1166" s="12"/>
      <c r="AN1166" s="75"/>
      <c r="AO1166" s="75"/>
      <c r="AP1166" s="75"/>
      <c r="AQ1166" s="75"/>
      <c r="AR1166" s="76"/>
      <c r="AT1166" s="65"/>
      <c r="AU1166" s="77"/>
    </row>
    <row r="1167" spans="37:47">
      <c r="AK1167" s="12"/>
      <c r="AM1167" s="12"/>
      <c r="AN1167" s="75"/>
      <c r="AO1167" s="75"/>
      <c r="AP1167" s="75"/>
      <c r="AQ1167" s="75"/>
      <c r="AR1167" s="76"/>
      <c r="AT1167" s="65"/>
      <c r="AU1167" s="77"/>
    </row>
    <row r="1168" spans="37:47">
      <c r="AK1168" s="12"/>
      <c r="AM1168" s="12"/>
      <c r="AN1168" s="75"/>
      <c r="AO1168" s="75"/>
      <c r="AP1168" s="75"/>
      <c r="AQ1168" s="75"/>
      <c r="AR1168" s="76"/>
      <c r="AT1168" s="65"/>
      <c r="AU1168" s="77"/>
    </row>
    <row r="1169" spans="37:47">
      <c r="AK1169" s="12"/>
      <c r="AM1169" s="12"/>
      <c r="AN1169" s="75"/>
      <c r="AO1169" s="75"/>
      <c r="AP1169" s="75"/>
      <c r="AQ1169" s="75"/>
      <c r="AR1169" s="76"/>
      <c r="AT1169" s="65"/>
      <c r="AU1169" s="77"/>
    </row>
    <row r="1170" spans="37:47">
      <c r="AK1170" s="12"/>
      <c r="AM1170" s="12"/>
      <c r="AN1170" s="75"/>
      <c r="AO1170" s="75"/>
      <c r="AP1170" s="75"/>
      <c r="AQ1170" s="75"/>
      <c r="AR1170" s="76"/>
      <c r="AT1170" s="65"/>
      <c r="AU1170" s="77"/>
    </row>
    <row r="1171" spans="37:47">
      <c r="AK1171" s="12"/>
      <c r="AM1171" s="12"/>
      <c r="AN1171" s="75"/>
      <c r="AO1171" s="75"/>
      <c r="AP1171" s="75"/>
      <c r="AQ1171" s="75"/>
      <c r="AR1171" s="76"/>
      <c r="AT1171" s="65"/>
      <c r="AU1171" s="77"/>
    </row>
    <row r="1172" spans="37:47">
      <c r="AK1172" s="12"/>
      <c r="AM1172" s="12"/>
      <c r="AN1172" s="75"/>
      <c r="AO1172" s="75"/>
      <c r="AP1172" s="75"/>
      <c r="AQ1172" s="75"/>
      <c r="AR1172" s="76"/>
      <c r="AT1172" s="65"/>
      <c r="AU1172" s="77"/>
    </row>
    <row r="1173" spans="37:47">
      <c r="AK1173" s="12"/>
      <c r="AM1173" s="12"/>
      <c r="AN1173" s="75"/>
      <c r="AO1173" s="75"/>
      <c r="AP1173" s="75"/>
      <c r="AQ1173" s="75"/>
      <c r="AR1173" s="76"/>
      <c r="AT1173" s="65"/>
      <c r="AU1173" s="77"/>
    </row>
    <row r="1174" spans="37:47">
      <c r="AK1174" s="12"/>
      <c r="AM1174" s="12"/>
      <c r="AN1174" s="75"/>
      <c r="AO1174" s="75"/>
      <c r="AP1174" s="75"/>
      <c r="AQ1174" s="75"/>
      <c r="AR1174" s="76"/>
      <c r="AT1174" s="65"/>
      <c r="AU1174" s="77"/>
    </row>
    <row r="1175" spans="37:47">
      <c r="AK1175" s="12"/>
      <c r="AM1175" s="12"/>
      <c r="AN1175" s="75"/>
      <c r="AO1175" s="75"/>
      <c r="AP1175" s="75"/>
      <c r="AQ1175" s="75"/>
      <c r="AR1175" s="76"/>
      <c r="AT1175" s="65"/>
      <c r="AU1175" s="77"/>
    </row>
    <row r="1176" spans="37:47">
      <c r="AK1176" s="12"/>
      <c r="AM1176" s="12"/>
      <c r="AN1176" s="75"/>
      <c r="AO1176" s="75"/>
      <c r="AP1176" s="75"/>
      <c r="AQ1176" s="75"/>
      <c r="AR1176" s="76"/>
      <c r="AT1176" s="65"/>
      <c r="AU1176" s="77"/>
    </row>
    <row r="1177" spans="37:47">
      <c r="AK1177" s="12"/>
      <c r="AM1177" s="12"/>
      <c r="AN1177" s="75"/>
      <c r="AO1177" s="75"/>
      <c r="AP1177" s="75"/>
      <c r="AQ1177" s="75"/>
      <c r="AR1177" s="76"/>
      <c r="AT1177" s="65"/>
      <c r="AU1177" s="77"/>
    </row>
    <row r="1178" spans="37:47">
      <c r="AK1178" s="12"/>
      <c r="AM1178" s="12"/>
      <c r="AN1178" s="75"/>
      <c r="AO1178" s="75"/>
      <c r="AP1178" s="75"/>
      <c r="AQ1178" s="75"/>
      <c r="AR1178" s="76"/>
      <c r="AT1178" s="65"/>
      <c r="AU1178" s="77"/>
    </row>
    <row r="1179" spans="37:47">
      <c r="AK1179" s="12"/>
      <c r="AM1179" s="12"/>
      <c r="AN1179" s="75"/>
      <c r="AO1179" s="75"/>
      <c r="AP1179" s="75"/>
      <c r="AQ1179" s="75"/>
      <c r="AR1179" s="76"/>
      <c r="AT1179" s="65"/>
      <c r="AU1179" s="77"/>
    </row>
    <row r="1180" spans="37:47">
      <c r="AK1180" s="12"/>
      <c r="AM1180" s="12"/>
      <c r="AN1180" s="75"/>
      <c r="AO1180" s="75"/>
      <c r="AP1180" s="75"/>
      <c r="AQ1180" s="75"/>
      <c r="AR1180" s="76"/>
      <c r="AT1180" s="65"/>
      <c r="AU1180" s="77"/>
    </row>
    <row r="1181" spans="37:47">
      <c r="AK1181" s="12"/>
      <c r="AM1181" s="12"/>
      <c r="AN1181" s="75"/>
      <c r="AO1181" s="75"/>
      <c r="AP1181" s="75"/>
      <c r="AQ1181" s="75"/>
      <c r="AR1181" s="76"/>
      <c r="AT1181" s="65"/>
      <c r="AU1181" s="77"/>
    </row>
    <row r="1182" spans="37:47">
      <c r="AK1182" s="12"/>
      <c r="AM1182" s="12"/>
      <c r="AN1182" s="75"/>
      <c r="AO1182" s="75"/>
      <c r="AP1182" s="75"/>
      <c r="AQ1182" s="75"/>
      <c r="AR1182" s="76"/>
      <c r="AT1182" s="65"/>
      <c r="AU1182" s="77"/>
    </row>
    <row r="1183" spans="37:47">
      <c r="AK1183" s="12"/>
      <c r="AM1183" s="12"/>
      <c r="AN1183" s="75"/>
      <c r="AO1183" s="75"/>
      <c r="AP1183" s="75"/>
      <c r="AQ1183" s="75"/>
      <c r="AR1183" s="76"/>
      <c r="AT1183" s="65"/>
      <c r="AU1183" s="77"/>
    </row>
    <row r="1184" spans="37:47">
      <c r="AK1184" s="12"/>
      <c r="AM1184" s="12"/>
      <c r="AN1184" s="75"/>
      <c r="AO1184" s="75"/>
      <c r="AP1184" s="75"/>
      <c r="AQ1184" s="75"/>
      <c r="AR1184" s="76"/>
      <c r="AT1184" s="65"/>
      <c r="AU1184" s="77"/>
    </row>
    <row r="1185" spans="37:47">
      <c r="AK1185" s="12"/>
      <c r="AM1185" s="12"/>
      <c r="AN1185" s="75"/>
      <c r="AO1185" s="75"/>
      <c r="AP1185" s="75"/>
      <c r="AQ1185" s="75"/>
      <c r="AR1185" s="76"/>
      <c r="AT1185" s="65"/>
      <c r="AU1185" s="77"/>
    </row>
    <row r="1186" spans="37:47">
      <c r="AK1186" s="12"/>
      <c r="AM1186" s="12"/>
      <c r="AN1186" s="75"/>
      <c r="AO1186" s="75"/>
      <c r="AP1186" s="75"/>
      <c r="AQ1186" s="75"/>
      <c r="AR1186" s="76"/>
      <c r="AT1186" s="65"/>
      <c r="AU1186" s="77"/>
    </row>
    <row r="1187" spans="37:47">
      <c r="AK1187" s="12"/>
      <c r="AM1187" s="12"/>
      <c r="AN1187" s="75"/>
      <c r="AO1187" s="75"/>
      <c r="AP1187" s="75"/>
      <c r="AQ1187" s="75"/>
      <c r="AR1187" s="76"/>
      <c r="AT1187" s="65"/>
      <c r="AU1187" s="77"/>
    </row>
    <row r="1188" spans="37:47">
      <c r="AK1188" s="12"/>
      <c r="AM1188" s="12"/>
      <c r="AN1188" s="75"/>
      <c r="AO1188" s="75"/>
      <c r="AP1188" s="75"/>
      <c r="AQ1188" s="75"/>
      <c r="AR1188" s="76"/>
      <c r="AT1188" s="65"/>
      <c r="AU1188" s="77"/>
    </row>
    <row r="1189" spans="37:47">
      <c r="AK1189" s="12"/>
      <c r="AM1189" s="12"/>
      <c r="AN1189" s="75"/>
      <c r="AO1189" s="75"/>
      <c r="AP1189" s="75"/>
      <c r="AQ1189" s="75"/>
      <c r="AR1189" s="76"/>
      <c r="AT1189" s="65"/>
      <c r="AU1189" s="77"/>
    </row>
    <row r="1190" spans="37:47">
      <c r="AK1190" s="12"/>
      <c r="AM1190" s="12"/>
      <c r="AN1190" s="75"/>
      <c r="AO1190" s="75"/>
      <c r="AP1190" s="75"/>
      <c r="AQ1190" s="75"/>
      <c r="AR1190" s="76"/>
      <c r="AT1190" s="65"/>
      <c r="AU1190" s="77"/>
    </row>
    <row r="1191" spans="37:47">
      <c r="AK1191" s="12"/>
      <c r="AM1191" s="12"/>
      <c r="AN1191" s="75"/>
      <c r="AO1191" s="75"/>
      <c r="AP1191" s="75"/>
      <c r="AQ1191" s="75"/>
      <c r="AR1191" s="76"/>
      <c r="AT1191" s="65"/>
      <c r="AU1191" s="77"/>
    </row>
    <row r="1192" spans="37:47">
      <c r="AK1192" s="12"/>
      <c r="AM1192" s="12"/>
      <c r="AN1192" s="75"/>
      <c r="AO1192" s="75"/>
      <c r="AP1192" s="75"/>
      <c r="AQ1192" s="75"/>
      <c r="AR1192" s="76"/>
      <c r="AT1192" s="65"/>
      <c r="AU1192" s="77"/>
    </row>
    <row r="1193" spans="37:47">
      <c r="AK1193" s="12"/>
      <c r="AM1193" s="12"/>
      <c r="AN1193" s="75"/>
      <c r="AO1193" s="75"/>
      <c r="AP1193" s="75"/>
      <c r="AQ1193" s="75"/>
      <c r="AR1193" s="76"/>
      <c r="AT1193" s="65"/>
      <c r="AU1193" s="77"/>
    </row>
    <row r="1194" spans="37:47">
      <c r="AK1194" s="12"/>
      <c r="AM1194" s="12"/>
      <c r="AN1194" s="75"/>
      <c r="AO1194" s="75"/>
      <c r="AP1194" s="75"/>
      <c r="AQ1194" s="75"/>
      <c r="AR1194" s="76"/>
      <c r="AT1194" s="65"/>
      <c r="AU1194" s="77"/>
    </row>
    <row r="1195" spans="37:47">
      <c r="AK1195" s="12"/>
      <c r="AM1195" s="12"/>
      <c r="AN1195" s="75"/>
      <c r="AO1195" s="75"/>
      <c r="AP1195" s="75"/>
      <c r="AQ1195" s="75"/>
      <c r="AR1195" s="76"/>
      <c r="AT1195" s="65"/>
      <c r="AU1195" s="77"/>
    </row>
    <row r="1196" spans="37:47">
      <c r="AK1196" s="12"/>
      <c r="AM1196" s="12"/>
      <c r="AN1196" s="75"/>
      <c r="AO1196" s="75"/>
      <c r="AP1196" s="75"/>
      <c r="AQ1196" s="75"/>
      <c r="AR1196" s="76"/>
      <c r="AT1196" s="65"/>
      <c r="AU1196" s="77"/>
    </row>
    <row r="1197" spans="37:47">
      <c r="AK1197" s="12"/>
      <c r="AM1197" s="12"/>
      <c r="AN1197" s="75"/>
      <c r="AO1197" s="75"/>
      <c r="AP1197" s="75"/>
      <c r="AQ1197" s="75"/>
      <c r="AR1197" s="76"/>
      <c r="AT1197" s="65"/>
      <c r="AU1197" s="77"/>
    </row>
    <row r="1198" spans="37:47">
      <c r="AK1198" s="12"/>
      <c r="AM1198" s="12"/>
      <c r="AN1198" s="75"/>
      <c r="AO1198" s="75"/>
      <c r="AP1198" s="75"/>
      <c r="AQ1198" s="75"/>
      <c r="AR1198" s="76"/>
      <c r="AT1198" s="65"/>
      <c r="AU1198" s="77"/>
    </row>
    <row r="1199" spans="37:47">
      <c r="AK1199" s="12"/>
      <c r="AM1199" s="12"/>
      <c r="AN1199" s="75"/>
      <c r="AO1199" s="75"/>
      <c r="AP1199" s="75"/>
      <c r="AQ1199" s="75"/>
      <c r="AR1199" s="76"/>
      <c r="AT1199" s="65"/>
      <c r="AU1199" s="77"/>
    </row>
    <row r="1200" spans="37:47">
      <c r="AK1200" s="12"/>
      <c r="AM1200" s="12"/>
      <c r="AN1200" s="75"/>
      <c r="AO1200" s="75"/>
      <c r="AP1200" s="75"/>
      <c r="AQ1200" s="75"/>
      <c r="AR1200" s="76"/>
      <c r="AT1200" s="65"/>
      <c r="AU1200" s="77"/>
    </row>
    <row r="1201" spans="37:47">
      <c r="AK1201" s="12"/>
      <c r="AM1201" s="12"/>
      <c r="AN1201" s="75"/>
      <c r="AO1201" s="75"/>
      <c r="AP1201" s="75"/>
      <c r="AQ1201" s="75"/>
      <c r="AR1201" s="76"/>
      <c r="AT1201" s="65"/>
      <c r="AU1201" s="77"/>
    </row>
    <row r="1202" spans="37:47">
      <c r="AK1202" s="12"/>
      <c r="AM1202" s="12"/>
      <c r="AN1202" s="75"/>
      <c r="AO1202" s="75"/>
      <c r="AP1202" s="75"/>
      <c r="AQ1202" s="75"/>
      <c r="AR1202" s="76"/>
      <c r="AT1202" s="65"/>
      <c r="AU1202" s="77"/>
    </row>
    <row r="1203" spans="37:47">
      <c r="AK1203" s="12"/>
      <c r="AM1203" s="12"/>
      <c r="AN1203" s="75"/>
      <c r="AO1203" s="75"/>
      <c r="AP1203" s="75"/>
      <c r="AQ1203" s="75"/>
      <c r="AR1203" s="76"/>
      <c r="AT1203" s="65"/>
      <c r="AU1203" s="77"/>
    </row>
    <row r="1204" spans="37:47">
      <c r="AK1204" s="12"/>
      <c r="AM1204" s="12"/>
      <c r="AN1204" s="75"/>
      <c r="AO1204" s="75"/>
      <c r="AP1204" s="75"/>
      <c r="AQ1204" s="75"/>
      <c r="AR1204" s="76"/>
      <c r="AT1204" s="65"/>
      <c r="AU1204" s="77"/>
    </row>
    <row r="1205" spans="37:47">
      <c r="AK1205" s="12"/>
      <c r="AM1205" s="12"/>
      <c r="AN1205" s="75"/>
      <c r="AO1205" s="75"/>
      <c r="AP1205" s="75"/>
      <c r="AQ1205" s="75"/>
      <c r="AR1205" s="76"/>
      <c r="AT1205" s="65"/>
      <c r="AU1205" s="77"/>
    </row>
    <row r="1206" spans="37:47">
      <c r="AK1206" s="12"/>
      <c r="AM1206" s="12"/>
      <c r="AN1206" s="75"/>
      <c r="AO1206" s="75"/>
      <c r="AP1206" s="75"/>
      <c r="AQ1206" s="75"/>
      <c r="AR1206" s="76"/>
      <c r="AT1206" s="65"/>
      <c r="AU1206" s="77"/>
    </row>
    <row r="1207" spans="37:47">
      <c r="AK1207" s="12"/>
      <c r="AM1207" s="12"/>
      <c r="AN1207" s="75"/>
      <c r="AO1207" s="75"/>
      <c r="AP1207" s="75"/>
      <c r="AQ1207" s="75"/>
      <c r="AR1207" s="76"/>
      <c r="AT1207" s="65"/>
      <c r="AU1207" s="77"/>
    </row>
    <row r="1208" spans="37:47">
      <c r="AK1208" s="12"/>
      <c r="AM1208" s="12"/>
      <c r="AN1208" s="75"/>
      <c r="AO1208" s="75"/>
      <c r="AP1208" s="75"/>
      <c r="AQ1208" s="75"/>
      <c r="AR1208" s="76"/>
      <c r="AT1208" s="65"/>
      <c r="AU1208" s="77"/>
    </row>
    <row r="1209" spans="37:47">
      <c r="AK1209" s="12"/>
      <c r="AM1209" s="12"/>
      <c r="AN1209" s="75"/>
      <c r="AO1209" s="75"/>
      <c r="AP1209" s="75"/>
      <c r="AQ1209" s="75"/>
      <c r="AR1209" s="76"/>
      <c r="AT1209" s="65"/>
      <c r="AU1209" s="77"/>
    </row>
    <row r="1210" spans="37:47">
      <c r="AK1210" s="12"/>
      <c r="AM1210" s="12"/>
      <c r="AN1210" s="75"/>
      <c r="AO1210" s="75"/>
      <c r="AP1210" s="75"/>
      <c r="AQ1210" s="75"/>
      <c r="AR1210" s="76"/>
      <c r="AT1210" s="65"/>
      <c r="AU1210" s="77"/>
    </row>
    <row r="1211" spans="37:47">
      <c r="AK1211" s="12"/>
      <c r="AM1211" s="12"/>
      <c r="AN1211" s="75"/>
      <c r="AO1211" s="75"/>
      <c r="AP1211" s="75"/>
      <c r="AQ1211" s="75"/>
      <c r="AR1211" s="76"/>
      <c r="AT1211" s="65"/>
      <c r="AU1211" s="77"/>
    </row>
    <row r="1212" spans="37:47">
      <c r="AK1212" s="12"/>
      <c r="AM1212" s="12"/>
      <c r="AN1212" s="75"/>
      <c r="AO1212" s="75"/>
      <c r="AP1212" s="75"/>
      <c r="AQ1212" s="75"/>
      <c r="AR1212" s="76"/>
      <c r="AT1212" s="65"/>
      <c r="AU1212" s="77"/>
    </row>
    <row r="1213" spans="37:47">
      <c r="AK1213" s="12"/>
      <c r="AM1213" s="12"/>
      <c r="AN1213" s="75"/>
      <c r="AO1213" s="75"/>
      <c r="AP1213" s="75"/>
      <c r="AQ1213" s="75"/>
      <c r="AR1213" s="76"/>
      <c r="AT1213" s="65"/>
      <c r="AU1213" s="77"/>
    </row>
    <row r="1214" spans="37:47">
      <c r="AK1214" s="12"/>
      <c r="AM1214" s="12"/>
      <c r="AN1214" s="75"/>
      <c r="AO1214" s="75"/>
      <c r="AP1214" s="75"/>
      <c r="AQ1214" s="75"/>
      <c r="AR1214" s="76"/>
      <c r="AT1214" s="65"/>
      <c r="AU1214" s="77"/>
    </row>
    <row r="1215" spans="37:47">
      <c r="AK1215" s="12"/>
      <c r="AM1215" s="12"/>
      <c r="AN1215" s="75"/>
      <c r="AO1215" s="75"/>
      <c r="AP1215" s="75"/>
      <c r="AQ1215" s="75"/>
      <c r="AR1215" s="76"/>
      <c r="AT1215" s="65"/>
      <c r="AU1215" s="77"/>
    </row>
    <row r="1216" spans="37:47">
      <c r="AK1216" s="12"/>
      <c r="AM1216" s="12"/>
      <c r="AN1216" s="75"/>
      <c r="AO1216" s="75"/>
      <c r="AP1216" s="75"/>
      <c r="AQ1216" s="75"/>
      <c r="AR1216" s="76"/>
      <c r="AT1216" s="65"/>
      <c r="AU1216" s="77"/>
    </row>
    <row r="1217" spans="37:47">
      <c r="AK1217" s="12"/>
      <c r="AM1217" s="12"/>
      <c r="AN1217" s="75"/>
      <c r="AO1217" s="75"/>
      <c r="AP1217" s="75"/>
      <c r="AQ1217" s="75"/>
      <c r="AR1217" s="76"/>
      <c r="AT1217" s="65"/>
      <c r="AU1217" s="77"/>
    </row>
    <row r="1218" spans="37:47">
      <c r="AK1218" s="12"/>
      <c r="AM1218" s="12"/>
      <c r="AN1218" s="75"/>
      <c r="AO1218" s="75"/>
      <c r="AP1218" s="75"/>
      <c r="AQ1218" s="75"/>
      <c r="AR1218" s="76"/>
      <c r="AT1218" s="65"/>
      <c r="AU1218" s="77"/>
    </row>
    <row r="1219" spans="37:47">
      <c r="AK1219" s="12"/>
      <c r="AM1219" s="12"/>
      <c r="AN1219" s="75"/>
      <c r="AO1219" s="75"/>
      <c r="AP1219" s="75"/>
      <c r="AQ1219" s="75"/>
      <c r="AR1219" s="76"/>
      <c r="AT1219" s="65"/>
      <c r="AU1219" s="77"/>
    </row>
    <row r="1220" spans="37:47">
      <c r="AK1220" s="12"/>
      <c r="AM1220" s="12"/>
      <c r="AN1220" s="75"/>
      <c r="AO1220" s="75"/>
      <c r="AP1220" s="75"/>
      <c r="AQ1220" s="75"/>
      <c r="AR1220" s="76"/>
      <c r="AT1220" s="65"/>
      <c r="AU1220" s="77"/>
    </row>
    <row r="1221" spans="37:47">
      <c r="AK1221" s="12"/>
      <c r="AM1221" s="12"/>
      <c r="AN1221" s="75"/>
      <c r="AO1221" s="75"/>
      <c r="AP1221" s="75"/>
      <c r="AQ1221" s="75"/>
      <c r="AR1221" s="76"/>
      <c r="AT1221" s="65"/>
      <c r="AU1221" s="77"/>
    </row>
    <row r="1222" spans="37:47">
      <c r="AK1222" s="12"/>
      <c r="AM1222" s="12"/>
      <c r="AN1222" s="75"/>
      <c r="AO1222" s="75"/>
      <c r="AP1222" s="75"/>
      <c r="AQ1222" s="75"/>
      <c r="AR1222" s="76"/>
      <c r="AT1222" s="65"/>
      <c r="AU1222" s="77"/>
    </row>
    <row r="1223" spans="37:47">
      <c r="AK1223" s="12"/>
      <c r="AM1223" s="12"/>
      <c r="AN1223" s="75"/>
      <c r="AO1223" s="75"/>
      <c r="AP1223" s="75"/>
      <c r="AQ1223" s="75"/>
      <c r="AR1223" s="76"/>
      <c r="AT1223" s="65"/>
      <c r="AU1223" s="77"/>
    </row>
    <row r="1224" spans="37:47">
      <c r="AK1224" s="12"/>
      <c r="AM1224" s="12"/>
      <c r="AN1224" s="75"/>
      <c r="AO1224" s="75"/>
      <c r="AP1224" s="75"/>
      <c r="AQ1224" s="75"/>
      <c r="AR1224" s="76"/>
      <c r="AT1224" s="65"/>
      <c r="AU1224" s="77"/>
    </row>
    <row r="1225" spans="37:47">
      <c r="AK1225" s="12"/>
      <c r="AM1225" s="12"/>
      <c r="AN1225" s="75"/>
      <c r="AO1225" s="75"/>
      <c r="AP1225" s="75"/>
      <c r="AQ1225" s="75"/>
      <c r="AR1225" s="76"/>
      <c r="AT1225" s="65"/>
      <c r="AU1225" s="77"/>
    </row>
    <row r="1226" spans="37:47">
      <c r="AK1226" s="12"/>
      <c r="AM1226" s="12"/>
      <c r="AN1226" s="75"/>
      <c r="AO1226" s="75"/>
      <c r="AP1226" s="75"/>
      <c r="AQ1226" s="75"/>
      <c r="AR1226" s="76"/>
      <c r="AT1226" s="65"/>
      <c r="AU1226" s="77"/>
    </row>
    <row r="1227" spans="37:47">
      <c r="AK1227" s="12"/>
      <c r="AM1227" s="12"/>
      <c r="AN1227" s="75"/>
      <c r="AO1227" s="75"/>
      <c r="AP1227" s="75"/>
      <c r="AQ1227" s="75"/>
      <c r="AR1227" s="76"/>
      <c r="AT1227" s="65"/>
      <c r="AU1227" s="77"/>
    </row>
    <row r="1228" spans="37:47">
      <c r="AK1228" s="12"/>
      <c r="AM1228" s="12"/>
      <c r="AN1228" s="75"/>
      <c r="AO1228" s="75"/>
      <c r="AP1228" s="75"/>
      <c r="AQ1228" s="75"/>
      <c r="AR1228" s="76"/>
      <c r="AT1228" s="65"/>
      <c r="AU1228" s="77"/>
    </row>
    <row r="1229" spans="37:47">
      <c r="AK1229" s="12"/>
      <c r="AM1229" s="12"/>
      <c r="AN1229" s="75"/>
      <c r="AO1229" s="75"/>
      <c r="AP1229" s="75"/>
      <c r="AQ1229" s="75"/>
      <c r="AR1229" s="76"/>
      <c r="AT1229" s="65"/>
      <c r="AU1229" s="77"/>
    </row>
    <row r="1230" spans="37:47">
      <c r="AK1230" s="12"/>
      <c r="AM1230" s="12"/>
      <c r="AN1230" s="75"/>
      <c r="AO1230" s="75"/>
      <c r="AP1230" s="75"/>
      <c r="AQ1230" s="75"/>
      <c r="AR1230" s="76"/>
      <c r="AT1230" s="65"/>
      <c r="AU1230" s="77"/>
    </row>
    <row r="1231" spans="37:47">
      <c r="AK1231" s="12"/>
      <c r="AM1231" s="12"/>
      <c r="AN1231" s="75"/>
      <c r="AO1231" s="75"/>
      <c r="AP1231" s="75"/>
      <c r="AQ1231" s="75"/>
      <c r="AR1231" s="76"/>
      <c r="AT1231" s="65"/>
      <c r="AU1231" s="77"/>
    </row>
    <row r="1232" spans="37:47">
      <c r="AK1232" s="12"/>
      <c r="AM1232" s="12"/>
      <c r="AN1232" s="75"/>
      <c r="AO1232" s="75"/>
      <c r="AP1232" s="75"/>
      <c r="AQ1232" s="75"/>
      <c r="AR1232" s="76"/>
      <c r="AT1232" s="65"/>
      <c r="AU1232" s="77"/>
    </row>
    <row r="1233" spans="37:47">
      <c r="AK1233" s="12"/>
      <c r="AM1233" s="12"/>
      <c r="AN1233" s="75"/>
      <c r="AO1233" s="75"/>
      <c r="AP1233" s="75"/>
      <c r="AQ1233" s="75"/>
      <c r="AR1233" s="76"/>
      <c r="AT1233" s="65"/>
      <c r="AU1233" s="77"/>
    </row>
    <row r="1234" spans="37:47">
      <c r="AK1234" s="12"/>
      <c r="AM1234" s="12"/>
      <c r="AN1234" s="75"/>
      <c r="AO1234" s="75"/>
      <c r="AP1234" s="75"/>
      <c r="AQ1234" s="75"/>
      <c r="AR1234" s="76"/>
      <c r="AT1234" s="65"/>
      <c r="AU1234" s="77"/>
    </row>
    <row r="1235" spans="37:47">
      <c r="AK1235" s="12"/>
      <c r="AM1235" s="12"/>
      <c r="AN1235" s="75"/>
      <c r="AO1235" s="75"/>
      <c r="AP1235" s="75"/>
      <c r="AQ1235" s="75"/>
      <c r="AR1235" s="76"/>
      <c r="AT1235" s="65"/>
      <c r="AU1235" s="77"/>
    </row>
    <row r="1236" spans="37:47">
      <c r="AK1236" s="12"/>
      <c r="AM1236" s="12"/>
      <c r="AN1236" s="75"/>
      <c r="AO1236" s="75"/>
      <c r="AP1236" s="75"/>
      <c r="AQ1236" s="75"/>
      <c r="AR1236" s="76"/>
      <c r="AT1236" s="65"/>
      <c r="AU1236" s="77"/>
    </row>
    <row r="1237" spans="37:47">
      <c r="AK1237" s="12"/>
      <c r="AM1237" s="12"/>
      <c r="AN1237" s="75"/>
      <c r="AO1237" s="75"/>
      <c r="AP1237" s="75"/>
      <c r="AQ1237" s="75"/>
      <c r="AR1237" s="76"/>
      <c r="AT1237" s="65"/>
      <c r="AU1237" s="77"/>
    </row>
    <row r="1238" spans="37:47">
      <c r="AK1238" s="12"/>
      <c r="AM1238" s="12"/>
      <c r="AN1238" s="75"/>
      <c r="AO1238" s="75"/>
      <c r="AP1238" s="75"/>
      <c r="AQ1238" s="75"/>
      <c r="AR1238" s="76"/>
      <c r="AT1238" s="65"/>
      <c r="AU1238" s="77"/>
    </row>
    <row r="1239" spans="37:47">
      <c r="AK1239" s="12"/>
      <c r="AM1239" s="12"/>
      <c r="AN1239" s="75"/>
      <c r="AO1239" s="75"/>
      <c r="AP1239" s="75"/>
      <c r="AQ1239" s="75"/>
      <c r="AR1239" s="76"/>
      <c r="AT1239" s="65"/>
      <c r="AU1239" s="77"/>
    </row>
    <row r="1240" spans="37:47">
      <c r="AK1240" s="12"/>
      <c r="AM1240" s="12"/>
      <c r="AN1240" s="75"/>
      <c r="AO1240" s="75"/>
      <c r="AP1240" s="75"/>
      <c r="AQ1240" s="75"/>
      <c r="AR1240" s="76"/>
      <c r="AT1240" s="65"/>
      <c r="AU1240" s="77"/>
    </row>
    <row r="1241" spans="37:47">
      <c r="AK1241" s="12"/>
      <c r="AM1241" s="12"/>
      <c r="AN1241" s="75"/>
      <c r="AO1241" s="75"/>
      <c r="AP1241" s="75"/>
      <c r="AQ1241" s="75"/>
      <c r="AR1241" s="76"/>
      <c r="AT1241" s="65"/>
      <c r="AU1241" s="77"/>
    </row>
    <row r="1242" spans="37:47">
      <c r="AK1242" s="12"/>
      <c r="AM1242" s="12"/>
      <c r="AN1242" s="75"/>
      <c r="AO1242" s="75"/>
      <c r="AP1242" s="75"/>
      <c r="AQ1242" s="75"/>
      <c r="AR1242" s="76"/>
      <c r="AT1242" s="65"/>
      <c r="AU1242" s="77"/>
    </row>
    <row r="1243" spans="37:47">
      <c r="AK1243" s="12"/>
      <c r="AM1243" s="12"/>
      <c r="AN1243" s="75"/>
      <c r="AO1243" s="75"/>
      <c r="AP1243" s="75"/>
      <c r="AQ1243" s="75"/>
      <c r="AR1243" s="76"/>
      <c r="AT1243" s="65"/>
      <c r="AU1243" s="77"/>
    </row>
    <row r="1244" spans="37:47">
      <c r="AK1244" s="12"/>
      <c r="AM1244" s="12"/>
      <c r="AN1244" s="75"/>
      <c r="AO1244" s="75"/>
      <c r="AP1244" s="75"/>
      <c r="AQ1244" s="75"/>
      <c r="AR1244" s="76"/>
      <c r="AT1244" s="65"/>
      <c r="AU1244" s="77"/>
    </row>
    <row r="1245" spans="37:47">
      <c r="AK1245" s="12"/>
      <c r="AM1245" s="12"/>
      <c r="AN1245" s="75"/>
      <c r="AO1245" s="75"/>
      <c r="AP1245" s="75"/>
      <c r="AQ1245" s="75"/>
      <c r="AR1245" s="76"/>
      <c r="AT1245" s="65"/>
      <c r="AU1245" s="77"/>
    </row>
    <row r="1246" spans="37:47">
      <c r="AK1246" s="12"/>
      <c r="AM1246" s="12"/>
      <c r="AN1246" s="75"/>
      <c r="AO1246" s="75"/>
      <c r="AP1246" s="75"/>
      <c r="AQ1246" s="75"/>
      <c r="AR1246" s="76"/>
      <c r="AT1246" s="65"/>
      <c r="AU1246" s="77"/>
    </row>
    <row r="1247" spans="37:47">
      <c r="AK1247" s="12"/>
      <c r="AM1247" s="12"/>
      <c r="AN1247" s="75"/>
      <c r="AO1247" s="75"/>
      <c r="AP1247" s="75"/>
      <c r="AQ1247" s="75"/>
      <c r="AR1247" s="76"/>
      <c r="AT1247" s="65"/>
      <c r="AU1247" s="77"/>
    </row>
    <row r="1248" spans="37:47">
      <c r="AK1248" s="12"/>
      <c r="AM1248" s="12"/>
      <c r="AN1248" s="75"/>
      <c r="AO1248" s="75"/>
      <c r="AP1248" s="75"/>
      <c r="AQ1248" s="75"/>
      <c r="AR1248" s="76"/>
      <c r="AT1248" s="65"/>
      <c r="AU1248" s="77"/>
    </row>
    <row r="1249" spans="37:47">
      <c r="AK1249" s="12"/>
      <c r="AM1249" s="12"/>
      <c r="AN1249" s="75"/>
      <c r="AO1249" s="75"/>
      <c r="AP1249" s="75"/>
      <c r="AQ1249" s="75"/>
      <c r="AR1249" s="76"/>
      <c r="AT1249" s="65"/>
      <c r="AU1249" s="77"/>
    </row>
    <row r="1250" spans="37:47">
      <c r="AK1250" s="12"/>
      <c r="AM1250" s="12"/>
      <c r="AN1250" s="75"/>
      <c r="AO1250" s="75"/>
      <c r="AP1250" s="75"/>
      <c r="AQ1250" s="75"/>
      <c r="AR1250" s="76"/>
      <c r="AT1250" s="65"/>
      <c r="AU1250" s="77"/>
    </row>
    <row r="1251" spans="37:47">
      <c r="AK1251" s="12"/>
      <c r="AM1251" s="12"/>
      <c r="AN1251" s="75"/>
      <c r="AO1251" s="75"/>
      <c r="AP1251" s="75"/>
      <c r="AQ1251" s="75"/>
      <c r="AR1251" s="76"/>
      <c r="AT1251" s="65"/>
      <c r="AU1251" s="77"/>
    </row>
    <row r="1252" spans="37:47">
      <c r="AK1252" s="12"/>
      <c r="AM1252" s="12"/>
      <c r="AN1252" s="75"/>
      <c r="AO1252" s="75"/>
      <c r="AP1252" s="75"/>
      <c r="AQ1252" s="75"/>
      <c r="AR1252" s="76"/>
      <c r="AT1252" s="65"/>
      <c r="AU1252" s="77"/>
    </row>
    <row r="1253" spans="37:47">
      <c r="AK1253" s="12"/>
      <c r="AM1253" s="12"/>
      <c r="AN1253" s="75"/>
      <c r="AO1253" s="75"/>
      <c r="AP1253" s="75"/>
      <c r="AQ1253" s="75"/>
      <c r="AR1253" s="76"/>
      <c r="AT1253" s="65"/>
      <c r="AU1253" s="77"/>
    </row>
    <row r="1254" spans="37:47">
      <c r="AK1254" s="12"/>
      <c r="AM1254" s="12"/>
      <c r="AN1254" s="75"/>
      <c r="AO1254" s="75"/>
      <c r="AP1254" s="75"/>
      <c r="AQ1254" s="75"/>
      <c r="AR1254" s="76"/>
      <c r="AT1254" s="65"/>
      <c r="AU1254" s="77"/>
    </row>
    <row r="1255" spans="37:47">
      <c r="AK1255" s="12"/>
      <c r="AM1255" s="12"/>
      <c r="AN1255" s="75"/>
      <c r="AO1255" s="75"/>
      <c r="AP1255" s="75"/>
      <c r="AQ1255" s="75"/>
      <c r="AR1255" s="76"/>
      <c r="AT1255" s="65"/>
      <c r="AU1255" s="77"/>
    </row>
    <row r="1256" spans="37:47">
      <c r="AK1256" s="12"/>
      <c r="AM1256" s="12"/>
      <c r="AN1256" s="75"/>
      <c r="AO1256" s="75"/>
      <c r="AP1256" s="75"/>
      <c r="AQ1256" s="75"/>
      <c r="AR1256" s="76"/>
      <c r="AT1256" s="65"/>
      <c r="AU1256" s="77"/>
    </row>
    <row r="1257" spans="37:47">
      <c r="AK1257" s="12"/>
      <c r="AM1257" s="12"/>
      <c r="AN1257" s="75"/>
      <c r="AO1257" s="75"/>
      <c r="AP1257" s="75"/>
      <c r="AQ1257" s="75"/>
      <c r="AR1257" s="76"/>
      <c r="AT1257" s="65"/>
      <c r="AU1257" s="77"/>
    </row>
    <row r="1258" spans="37:47">
      <c r="AK1258" s="12"/>
      <c r="AM1258" s="12"/>
      <c r="AN1258" s="75"/>
      <c r="AO1258" s="75"/>
      <c r="AP1258" s="75"/>
      <c r="AQ1258" s="75"/>
      <c r="AR1258" s="76"/>
      <c r="AT1258" s="65"/>
      <c r="AU1258" s="77"/>
    </row>
    <row r="1259" spans="37:47">
      <c r="AK1259" s="12"/>
      <c r="AM1259" s="12"/>
      <c r="AN1259" s="75"/>
      <c r="AO1259" s="75"/>
      <c r="AP1259" s="75"/>
      <c r="AQ1259" s="75"/>
      <c r="AR1259" s="76"/>
      <c r="AT1259" s="65"/>
      <c r="AU1259" s="77"/>
    </row>
    <row r="1260" spans="37:47">
      <c r="AK1260" s="12"/>
      <c r="AM1260" s="12"/>
      <c r="AN1260" s="75"/>
      <c r="AO1260" s="75"/>
      <c r="AP1260" s="75"/>
      <c r="AQ1260" s="75"/>
      <c r="AR1260" s="76"/>
      <c r="AT1260" s="65"/>
      <c r="AU1260" s="77"/>
    </row>
    <row r="1261" spans="37:47">
      <c r="AK1261" s="12"/>
      <c r="AM1261" s="12"/>
      <c r="AN1261" s="75"/>
      <c r="AO1261" s="75"/>
      <c r="AP1261" s="75"/>
      <c r="AQ1261" s="75"/>
      <c r="AR1261" s="76"/>
      <c r="AT1261" s="65"/>
      <c r="AU1261" s="77"/>
    </row>
    <row r="1262" spans="37:47">
      <c r="AK1262" s="12"/>
      <c r="AM1262" s="12"/>
      <c r="AN1262" s="75"/>
      <c r="AO1262" s="75"/>
      <c r="AP1262" s="75"/>
      <c r="AQ1262" s="75"/>
      <c r="AR1262" s="76"/>
      <c r="AT1262" s="65"/>
      <c r="AU1262" s="77"/>
    </row>
    <row r="1263" spans="37:47">
      <c r="AK1263" s="12"/>
      <c r="AM1263" s="12"/>
      <c r="AN1263" s="75"/>
      <c r="AO1263" s="75"/>
      <c r="AP1263" s="75"/>
      <c r="AQ1263" s="75"/>
      <c r="AR1263" s="76"/>
      <c r="AT1263" s="65"/>
      <c r="AU1263" s="77"/>
    </row>
    <row r="1264" spans="37:47">
      <c r="AK1264" s="12"/>
      <c r="AM1264" s="12"/>
      <c r="AN1264" s="75"/>
      <c r="AO1264" s="75"/>
      <c r="AP1264" s="75"/>
      <c r="AQ1264" s="75"/>
      <c r="AR1264" s="76"/>
      <c r="AT1264" s="65"/>
      <c r="AU1264" s="77"/>
    </row>
    <row r="1265" spans="37:47">
      <c r="AK1265" s="12"/>
      <c r="AM1265" s="12"/>
      <c r="AN1265" s="75"/>
      <c r="AO1265" s="75"/>
      <c r="AP1265" s="75"/>
      <c r="AQ1265" s="75"/>
      <c r="AR1265" s="76"/>
      <c r="AT1265" s="65"/>
      <c r="AU1265" s="77"/>
    </row>
    <row r="1266" spans="37:47">
      <c r="AK1266" s="12"/>
      <c r="AM1266" s="12"/>
      <c r="AN1266" s="75"/>
      <c r="AO1266" s="75"/>
      <c r="AP1266" s="75"/>
      <c r="AQ1266" s="75"/>
      <c r="AR1266" s="76"/>
      <c r="AT1266" s="65"/>
      <c r="AU1266" s="77"/>
    </row>
    <row r="1267" spans="37:47">
      <c r="AK1267" s="12"/>
      <c r="AM1267" s="12"/>
      <c r="AN1267" s="75"/>
      <c r="AO1267" s="75"/>
      <c r="AP1267" s="75"/>
      <c r="AQ1267" s="75"/>
      <c r="AR1267" s="76"/>
      <c r="AT1267" s="65"/>
      <c r="AU1267" s="77"/>
    </row>
    <row r="1268" spans="37:47">
      <c r="AK1268" s="12"/>
      <c r="AM1268" s="12"/>
      <c r="AN1268" s="75"/>
      <c r="AO1268" s="75"/>
      <c r="AP1268" s="75"/>
      <c r="AQ1268" s="75"/>
      <c r="AR1268" s="76"/>
      <c r="AT1268" s="65"/>
      <c r="AU1268" s="77"/>
    </row>
    <row r="1269" spans="37:47">
      <c r="AK1269" s="12"/>
      <c r="AM1269" s="12"/>
      <c r="AN1269" s="75"/>
      <c r="AO1269" s="75"/>
      <c r="AP1269" s="75"/>
      <c r="AQ1269" s="75"/>
      <c r="AR1269" s="76"/>
      <c r="AT1269" s="65"/>
      <c r="AU1269" s="77"/>
    </row>
    <row r="1270" spans="37:47">
      <c r="AK1270" s="12"/>
      <c r="AM1270" s="12"/>
      <c r="AN1270" s="75"/>
      <c r="AO1270" s="75"/>
      <c r="AP1270" s="75"/>
      <c r="AQ1270" s="75"/>
      <c r="AR1270" s="76"/>
      <c r="AT1270" s="65"/>
      <c r="AU1270" s="77"/>
    </row>
    <row r="1271" spans="37:47">
      <c r="AK1271" s="12"/>
      <c r="AM1271" s="12"/>
      <c r="AN1271" s="75"/>
      <c r="AO1271" s="75"/>
      <c r="AP1271" s="75"/>
      <c r="AQ1271" s="75"/>
      <c r="AR1271" s="76"/>
      <c r="AT1271" s="65"/>
      <c r="AU1271" s="77"/>
    </row>
    <row r="1272" spans="37:47">
      <c r="AK1272" s="12"/>
      <c r="AM1272" s="12"/>
      <c r="AN1272" s="75"/>
      <c r="AO1272" s="75"/>
      <c r="AP1272" s="75"/>
      <c r="AQ1272" s="75"/>
      <c r="AR1272" s="76"/>
      <c r="AT1272" s="65"/>
      <c r="AU1272" s="77"/>
    </row>
    <row r="1273" spans="37:47">
      <c r="AK1273" s="12"/>
      <c r="AM1273" s="12"/>
      <c r="AN1273" s="75"/>
      <c r="AO1273" s="75"/>
      <c r="AP1273" s="75"/>
      <c r="AQ1273" s="75"/>
      <c r="AR1273" s="76"/>
      <c r="AT1273" s="65"/>
      <c r="AU1273" s="77"/>
    </row>
    <row r="1274" spans="37:47">
      <c r="AK1274" s="12"/>
      <c r="AM1274" s="12"/>
      <c r="AN1274" s="75"/>
      <c r="AO1274" s="75"/>
      <c r="AP1274" s="75"/>
      <c r="AQ1274" s="75"/>
      <c r="AR1274" s="76"/>
      <c r="AT1274" s="65"/>
      <c r="AU1274" s="77"/>
    </row>
    <row r="1275" spans="37:47">
      <c r="AK1275" s="12"/>
      <c r="AM1275" s="12"/>
      <c r="AN1275" s="75"/>
      <c r="AO1275" s="75"/>
      <c r="AP1275" s="75"/>
      <c r="AQ1275" s="75"/>
      <c r="AR1275" s="76"/>
      <c r="AT1275" s="65"/>
      <c r="AU1275" s="77"/>
    </row>
    <row r="1276" spans="37:47">
      <c r="AK1276" s="12"/>
      <c r="AM1276" s="12"/>
      <c r="AN1276" s="75"/>
      <c r="AO1276" s="75"/>
      <c r="AP1276" s="75"/>
      <c r="AQ1276" s="75"/>
      <c r="AR1276" s="76"/>
      <c r="AT1276" s="65"/>
      <c r="AU1276" s="77"/>
    </row>
    <row r="1277" spans="37:47">
      <c r="AK1277" s="12"/>
      <c r="AM1277" s="12"/>
      <c r="AN1277" s="75"/>
      <c r="AO1277" s="75"/>
      <c r="AP1277" s="75"/>
      <c r="AQ1277" s="75"/>
      <c r="AR1277" s="76"/>
      <c r="AT1277" s="65"/>
      <c r="AU1277" s="77"/>
    </row>
    <row r="1278" spans="37:47">
      <c r="AK1278" s="12"/>
      <c r="AM1278" s="12"/>
      <c r="AN1278" s="75"/>
      <c r="AO1278" s="75"/>
      <c r="AP1278" s="75"/>
      <c r="AQ1278" s="75"/>
      <c r="AR1278" s="76"/>
      <c r="AT1278" s="65"/>
      <c r="AU1278" s="77"/>
    </row>
    <row r="1279" spans="37:47">
      <c r="AK1279" s="12"/>
      <c r="AM1279" s="12"/>
      <c r="AN1279" s="75"/>
      <c r="AO1279" s="75"/>
      <c r="AP1279" s="75"/>
      <c r="AQ1279" s="75"/>
      <c r="AR1279" s="76"/>
      <c r="AT1279" s="65"/>
      <c r="AU1279" s="77"/>
    </row>
    <row r="1280" spans="37:47">
      <c r="AK1280" s="12"/>
      <c r="AM1280" s="12"/>
      <c r="AN1280" s="75"/>
      <c r="AO1280" s="75"/>
      <c r="AP1280" s="75"/>
      <c r="AQ1280" s="75"/>
      <c r="AR1280" s="76"/>
      <c r="AT1280" s="65"/>
      <c r="AU1280" s="77"/>
    </row>
    <row r="1281" spans="37:47">
      <c r="AK1281" s="12"/>
      <c r="AM1281" s="12"/>
      <c r="AN1281" s="75"/>
      <c r="AO1281" s="75"/>
      <c r="AP1281" s="75"/>
      <c r="AQ1281" s="75"/>
      <c r="AR1281" s="76"/>
      <c r="AT1281" s="65"/>
      <c r="AU1281" s="77"/>
    </row>
    <row r="1282" spans="37:47">
      <c r="AK1282" s="12"/>
      <c r="AM1282" s="12"/>
      <c r="AN1282" s="75"/>
      <c r="AO1282" s="75"/>
      <c r="AP1282" s="75"/>
      <c r="AQ1282" s="75"/>
      <c r="AR1282" s="76"/>
      <c r="AT1282" s="65"/>
      <c r="AU1282" s="77"/>
    </row>
    <row r="1283" spans="37:47">
      <c r="AK1283" s="12"/>
      <c r="AM1283" s="12"/>
      <c r="AN1283" s="75"/>
      <c r="AO1283" s="75"/>
      <c r="AP1283" s="75"/>
      <c r="AQ1283" s="75"/>
      <c r="AR1283" s="76"/>
      <c r="AT1283" s="65"/>
      <c r="AU1283" s="77"/>
    </row>
    <row r="1284" spans="37:47">
      <c r="AK1284" s="12"/>
      <c r="AM1284" s="12"/>
      <c r="AN1284" s="75"/>
      <c r="AO1284" s="75"/>
      <c r="AP1284" s="75"/>
      <c r="AQ1284" s="75"/>
      <c r="AR1284" s="76"/>
      <c r="AT1284" s="65"/>
      <c r="AU1284" s="77"/>
    </row>
    <row r="1285" spans="37:47">
      <c r="AK1285" s="12"/>
      <c r="AM1285" s="12"/>
      <c r="AN1285" s="75"/>
      <c r="AO1285" s="75"/>
      <c r="AP1285" s="75"/>
      <c r="AQ1285" s="75"/>
      <c r="AR1285" s="76"/>
      <c r="AT1285" s="65"/>
      <c r="AU1285" s="77"/>
    </row>
    <row r="1286" spans="37:47">
      <c r="AK1286" s="12"/>
      <c r="AM1286" s="12"/>
      <c r="AN1286" s="75"/>
      <c r="AO1286" s="75"/>
      <c r="AP1286" s="75"/>
      <c r="AQ1286" s="75"/>
      <c r="AR1286" s="76"/>
      <c r="AT1286" s="65"/>
      <c r="AU1286" s="77"/>
    </row>
    <row r="1287" spans="37:47">
      <c r="AK1287" s="12"/>
      <c r="AM1287" s="12"/>
      <c r="AN1287" s="75"/>
      <c r="AO1287" s="75"/>
      <c r="AP1287" s="75"/>
      <c r="AQ1287" s="75"/>
      <c r="AR1287" s="76"/>
      <c r="AT1287" s="65"/>
      <c r="AU1287" s="77"/>
    </row>
    <row r="1288" spans="37:47">
      <c r="AK1288" s="12"/>
      <c r="AM1288" s="12"/>
      <c r="AN1288" s="75"/>
      <c r="AO1288" s="75"/>
      <c r="AP1288" s="75"/>
      <c r="AQ1288" s="75"/>
      <c r="AR1288" s="76"/>
      <c r="AT1288" s="65"/>
      <c r="AU1288" s="77"/>
    </row>
    <row r="1289" spans="37:47">
      <c r="AK1289" s="12"/>
      <c r="AM1289" s="12"/>
      <c r="AN1289" s="75"/>
      <c r="AO1289" s="75"/>
      <c r="AP1289" s="75"/>
      <c r="AQ1289" s="75"/>
      <c r="AR1289" s="76"/>
      <c r="AT1289" s="65"/>
      <c r="AU1289" s="77"/>
    </row>
    <row r="1290" spans="37:47">
      <c r="AK1290" s="12"/>
      <c r="AM1290" s="12"/>
      <c r="AN1290" s="75"/>
      <c r="AO1290" s="75"/>
      <c r="AP1290" s="75"/>
      <c r="AQ1290" s="75"/>
      <c r="AR1290" s="76"/>
      <c r="AT1290" s="65"/>
      <c r="AU1290" s="77"/>
    </row>
    <row r="1291" spans="37:47">
      <c r="AK1291" s="12"/>
      <c r="AM1291" s="12"/>
      <c r="AN1291" s="75"/>
      <c r="AO1291" s="75"/>
      <c r="AP1291" s="75"/>
      <c r="AQ1291" s="75"/>
      <c r="AR1291" s="76"/>
      <c r="AT1291" s="65"/>
      <c r="AU1291" s="77"/>
    </row>
    <row r="1292" spans="37:47">
      <c r="AK1292" s="12"/>
      <c r="AM1292" s="12"/>
      <c r="AN1292" s="75"/>
      <c r="AO1292" s="75"/>
      <c r="AP1292" s="75"/>
      <c r="AQ1292" s="75"/>
      <c r="AR1292" s="76"/>
      <c r="AT1292" s="65"/>
      <c r="AU1292" s="77"/>
    </row>
    <row r="1293" spans="37:47">
      <c r="AK1293" s="12"/>
      <c r="AM1293" s="12"/>
      <c r="AN1293" s="75"/>
      <c r="AO1293" s="75"/>
      <c r="AP1293" s="75"/>
      <c r="AQ1293" s="75"/>
      <c r="AR1293" s="76"/>
      <c r="AT1293" s="65"/>
      <c r="AU1293" s="77"/>
    </row>
    <row r="1294" spans="37:47">
      <c r="AK1294" s="12"/>
      <c r="AM1294" s="12"/>
      <c r="AN1294" s="75"/>
      <c r="AO1294" s="75"/>
      <c r="AP1294" s="75"/>
      <c r="AQ1294" s="75"/>
      <c r="AR1294" s="76"/>
      <c r="AT1294" s="65"/>
      <c r="AU1294" s="77"/>
    </row>
    <row r="1295" spans="37:47">
      <c r="AK1295" s="12"/>
      <c r="AM1295" s="12"/>
      <c r="AN1295" s="75"/>
      <c r="AO1295" s="75"/>
      <c r="AP1295" s="75"/>
      <c r="AQ1295" s="75"/>
      <c r="AR1295" s="76"/>
      <c r="AT1295" s="65"/>
      <c r="AU1295" s="77"/>
    </row>
    <row r="1296" spans="37:47">
      <c r="AK1296" s="12"/>
      <c r="AM1296" s="12"/>
      <c r="AN1296" s="75"/>
      <c r="AO1296" s="75"/>
      <c r="AP1296" s="75"/>
      <c r="AQ1296" s="75"/>
      <c r="AR1296" s="76"/>
      <c r="AT1296" s="65"/>
      <c r="AU1296" s="77"/>
    </row>
    <row r="1297" spans="37:47">
      <c r="AK1297" s="12"/>
      <c r="AM1297" s="12"/>
      <c r="AN1297" s="75"/>
      <c r="AO1297" s="75"/>
      <c r="AP1297" s="75"/>
      <c r="AQ1297" s="75"/>
      <c r="AR1297" s="76"/>
      <c r="AT1297" s="65"/>
      <c r="AU1297" s="77"/>
    </row>
    <row r="1298" spans="37:47">
      <c r="AK1298" s="12"/>
      <c r="AM1298" s="12"/>
      <c r="AN1298" s="75"/>
      <c r="AO1298" s="75"/>
      <c r="AP1298" s="75"/>
      <c r="AQ1298" s="75"/>
      <c r="AR1298" s="76"/>
      <c r="AT1298" s="65"/>
      <c r="AU1298" s="77"/>
    </row>
    <row r="1299" spans="37:47">
      <c r="AK1299" s="12"/>
      <c r="AM1299" s="12"/>
      <c r="AN1299" s="75"/>
      <c r="AO1299" s="75"/>
      <c r="AP1299" s="75"/>
      <c r="AQ1299" s="75"/>
      <c r="AR1299" s="76"/>
      <c r="AT1299" s="65"/>
      <c r="AU1299" s="77"/>
    </row>
    <row r="1300" spans="37:47">
      <c r="AK1300" s="12"/>
      <c r="AM1300" s="12"/>
      <c r="AN1300" s="75"/>
      <c r="AO1300" s="75"/>
      <c r="AP1300" s="75"/>
      <c r="AQ1300" s="75"/>
      <c r="AR1300" s="76"/>
      <c r="AT1300" s="65"/>
      <c r="AU1300" s="77"/>
    </row>
    <row r="1301" spans="37:47">
      <c r="AK1301" s="12"/>
      <c r="AM1301" s="12"/>
      <c r="AN1301" s="75"/>
      <c r="AO1301" s="75"/>
      <c r="AP1301" s="75"/>
      <c r="AQ1301" s="75"/>
      <c r="AR1301" s="76"/>
      <c r="AT1301" s="65"/>
      <c r="AU1301" s="77"/>
    </row>
    <row r="1302" spans="37:47">
      <c r="AK1302" s="12"/>
      <c r="AM1302" s="12"/>
      <c r="AN1302" s="75"/>
      <c r="AO1302" s="75"/>
      <c r="AP1302" s="75"/>
      <c r="AQ1302" s="75"/>
      <c r="AR1302" s="76"/>
      <c r="AT1302" s="65"/>
      <c r="AU1302" s="77"/>
    </row>
    <row r="1303" spans="37:47">
      <c r="AK1303" s="12"/>
      <c r="AM1303" s="12"/>
      <c r="AN1303" s="75"/>
      <c r="AO1303" s="75"/>
      <c r="AP1303" s="75"/>
      <c r="AQ1303" s="75"/>
      <c r="AR1303" s="76"/>
      <c r="AT1303" s="65"/>
      <c r="AU1303" s="77"/>
    </row>
    <row r="1304" spans="37:47">
      <c r="AK1304" s="12"/>
      <c r="AM1304" s="12"/>
      <c r="AN1304" s="75"/>
      <c r="AO1304" s="75"/>
      <c r="AP1304" s="75"/>
      <c r="AQ1304" s="75"/>
      <c r="AR1304" s="76"/>
      <c r="AT1304" s="65"/>
      <c r="AU1304" s="77"/>
    </row>
    <row r="1305" spans="37:47">
      <c r="AK1305" s="12"/>
      <c r="AM1305" s="12"/>
      <c r="AN1305" s="75"/>
      <c r="AO1305" s="75"/>
      <c r="AP1305" s="75"/>
      <c r="AQ1305" s="75"/>
      <c r="AR1305" s="76"/>
      <c r="AT1305" s="65"/>
      <c r="AU1305" s="77"/>
    </row>
    <row r="1306" spans="37:47">
      <c r="AK1306" s="12"/>
      <c r="AM1306" s="12"/>
      <c r="AN1306" s="75"/>
      <c r="AO1306" s="75"/>
      <c r="AP1306" s="75"/>
      <c r="AQ1306" s="75"/>
      <c r="AR1306" s="76"/>
      <c r="AT1306" s="65"/>
      <c r="AU1306" s="77"/>
    </row>
    <row r="1307" spans="37:47">
      <c r="AK1307" s="12"/>
      <c r="AM1307" s="12"/>
      <c r="AN1307" s="75"/>
      <c r="AO1307" s="75"/>
      <c r="AP1307" s="75"/>
      <c r="AQ1307" s="75"/>
      <c r="AR1307" s="76"/>
      <c r="AT1307" s="65"/>
      <c r="AU1307" s="77"/>
    </row>
    <row r="1308" spans="37:47">
      <c r="AK1308" s="12"/>
      <c r="AM1308" s="12"/>
      <c r="AN1308" s="75"/>
      <c r="AO1308" s="75"/>
      <c r="AP1308" s="75"/>
      <c r="AQ1308" s="75"/>
      <c r="AR1308" s="76"/>
      <c r="AT1308" s="65"/>
      <c r="AU1308" s="77"/>
    </row>
    <row r="1309" spans="37:47">
      <c r="AK1309" s="12"/>
      <c r="AM1309" s="12"/>
      <c r="AN1309" s="75"/>
      <c r="AO1309" s="75"/>
      <c r="AP1309" s="75"/>
      <c r="AQ1309" s="75"/>
      <c r="AR1309" s="76"/>
      <c r="AT1309" s="65"/>
      <c r="AU1309" s="77"/>
    </row>
    <row r="1310" spans="37:47">
      <c r="AK1310" s="12"/>
      <c r="AM1310" s="12"/>
      <c r="AN1310" s="75"/>
      <c r="AO1310" s="75"/>
      <c r="AP1310" s="75"/>
      <c r="AQ1310" s="75"/>
      <c r="AR1310" s="76"/>
      <c r="AT1310" s="65"/>
      <c r="AU1310" s="77"/>
    </row>
    <row r="1311" spans="37:47">
      <c r="AK1311" s="12"/>
      <c r="AM1311" s="12"/>
      <c r="AN1311" s="75"/>
      <c r="AO1311" s="75"/>
      <c r="AP1311" s="75"/>
      <c r="AQ1311" s="75"/>
      <c r="AR1311" s="76"/>
      <c r="AT1311" s="65"/>
      <c r="AU1311" s="77"/>
    </row>
    <row r="1312" spans="37:47">
      <c r="AK1312" s="12"/>
      <c r="AM1312" s="12"/>
      <c r="AN1312" s="75"/>
      <c r="AO1312" s="75"/>
      <c r="AP1312" s="75"/>
      <c r="AQ1312" s="75"/>
      <c r="AR1312" s="76"/>
      <c r="AT1312" s="65"/>
      <c r="AU1312" s="77"/>
    </row>
    <row r="1313" spans="37:47">
      <c r="AK1313" s="12"/>
      <c r="AM1313" s="12"/>
      <c r="AN1313" s="75"/>
      <c r="AO1313" s="75"/>
      <c r="AP1313" s="75"/>
      <c r="AQ1313" s="75"/>
      <c r="AR1313" s="76"/>
      <c r="AT1313" s="65"/>
      <c r="AU1313" s="77"/>
    </row>
    <row r="1314" spans="37:47">
      <c r="AK1314" s="12"/>
      <c r="AM1314" s="12"/>
      <c r="AN1314" s="75"/>
      <c r="AO1314" s="75"/>
      <c r="AP1314" s="75"/>
      <c r="AQ1314" s="75"/>
      <c r="AR1314" s="76"/>
      <c r="AT1314" s="65"/>
      <c r="AU1314" s="77"/>
    </row>
    <row r="1315" spans="37:47">
      <c r="AK1315" s="12"/>
      <c r="AM1315" s="12"/>
      <c r="AN1315" s="75"/>
      <c r="AO1315" s="75"/>
      <c r="AP1315" s="75"/>
      <c r="AQ1315" s="75"/>
      <c r="AR1315" s="76"/>
      <c r="AT1315" s="65"/>
      <c r="AU1315" s="77"/>
    </row>
    <row r="1316" spans="37:47">
      <c r="AK1316" s="12"/>
      <c r="AM1316" s="12"/>
      <c r="AN1316" s="75"/>
      <c r="AO1316" s="75"/>
      <c r="AP1316" s="75"/>
      <c r="AQ1316" s="75"/>
      <c r="AR1316" s="76"/>
      <c r="AT1316" s="65"/>
      <c r="AU1316" s="77"/>
    </row>
    <row r="1317" spans="37:47">
      <c r="AK1317" s="12"/>
      <c r="AM1317" s="12"/>
      <c r="AN1317" s="75"/>
      <c r="AO1317" s="75"/>
      <c r="AP1317" s="75"/>
      <c r="AQ1317" s="75"/>
      <c r="AR1317" s="76"/>
      <c r="AT1317" s="65"/>
      <c r="AU1317" s="77"/>
    </row>
    <row r="1318" spans="37:47">
      <c r="AK1318" s="12"/>
      <c r="AM1318" s="12"/>
      <c r="AN1318" s="75"/>
      <c r="AO1318" s="75"/>
      <c r="AP1318" s="75"/>
      <c r="AQ1318" s="75"/>
      <c r="AR1318" s="76"/>
      <c r="AT1318" s="65"/>
      <c r="AU1318" s="77"/>
    </row>
    <row r="1319" spans="37:47">
      <c r="AK1319" s="12"/>
      <c r="AM1319" s="12"/>
      <c r="AN1319" s="75"/>
      <c r="AO1319" s="75"/>
      <c r="AP1319" s="75"/>
      <c r="AQ1319" s="75"/>
      <c r="AR1319" s="76"/>
      <c r="AT1319" s="65"/>
      <c r="AU1319" s="77"/>
    </row>
    <row r="1320" spans="37:47">
      <c r="AK1320" s="12"/>
      <c r="AM1320" s="12"/>
      <c r="AN1320" s="75"/>
      <c r="AO1320" s="75"/>
      <c r="AP1320" s="75"/>
      <c r="AQ1320" s="75"/>
      <c r="AR1320" s="76"/>
      <c r="AT1320" s="65"/>
      <c r="AU1320" s="77"/>
    </row>
    <row r="1321" spans="37:47">
      <c r="AK1321" s="12"/>
      <c r="AM1321" s="12"/>
      <c r="AN1321" s="75"/>
      <c r="AO1321" s="75"/>
      <c r="AP1321" s="75"/>
      <c r="AQ1321" s="75"/>
      <c r="AR1321" s="76"/>
      <c r="AT1321" s="65"/>
      <c r="AU1321" s="77"/>
    </row>
    <row r="1322" spans="37:47">
      <c r="AK1322" s="12"/>
      <c r="AM1322" s="12"/>
      <c r="AN1322" s="75"/>
      <c r="AO1322" s="75"/>
      <c r="AP1322" s="75"/>
      <c r="AQ1322" s="75"/>
      <c r="AR1322" s="76"/>
      <c r="AT1322" s="65"/>
      <c r="AU1322" s="77"/>
    </row>
    <row r="1323" spans="37:47">
      <c r="AK1323" s="12"/>
      <c r="AM1323" s="12"/>
      <c r="AN1323" s="75"/>
      <c r="AO1323" s="75"/>
      <c r="AP1323" s="75"/>
      <c r="AQ1323" s="75"/>
      <c r="AR1323" s="76"/>
      <c r="AT1323" s="65"/>
      <c r="AU1323" s="77"/>
    </row>
    <row r="1324" spans="37:47">
      <c r="AK1324" s="12"/>
      <c r="AM1324" s="12"/>
      <c r="AN1324" s="75"/>
      <c r="AO1324" s="75"/>
      <c r="AP1324" s="75"/>
      <c r="AQ1324" s="75"/>
      <c r="AR1324" s="76"/>
      <c r="AT1324" s="65"/>
      <c r="AU1324" s="77"/>
    </row>
    <row r="1325" spans="37:47">
      <c r="AK1325" s="12"/>
      <c r="AM1325" s="12"/>
      <c r="AN1325" s="75"/>
      <c r="AO1325" s="75"/>
      <c r="AP1325" s="75"/>
      <c r="AQ1325" s="75"/>
      <c r="AR1325" s="76"/>
      <c r="AT1325" s="65"/>
      <c r="AU1325" s="77"/>
    </row>
    <row r="1326" spans="37:47">
      <c r="AK1326" s="12"/>
      <c r="AM1326" s="12"/>
      <c r="AN1326" s="75"/>
      <c r="AO1326" s="75"/>
      <c r="AP1326" s="75"/>
      <c r="AQ1326" s="75"/>
      <c r="AR1326" s="76"/>
      <c r="AT1326" s="65"/>
      <c r="AU1326" s="77"/>
    </row>
    <row r="1327" spans="37:47">
      <c r="AK1327" s="12"/>
      <c r="AM1327" s="12"/>
      <c r="AN1327" s="75"/>
      <c r="AO1327" s="75"/>
      <c r="AP1327" s="75"/>
      <c r="AQ1327" s="75"/>
      <c r="AR1327" s="76"/>
      <c r="AT1327" s="65"/>
      <c r="AU1327" s="77"/>
    </row>
    <row r="1328" spans="37:47">
      <c r="AK1328" s="12"/>
      <c r="AM1328" s="12"/>
      <c r="AN1328" s="75"/>
      <c r="AO1328" s="75"/>
      <c r="AP1328" s="75"/>
      <c r="AQ1328" s="75"/>
      <c r="AR1328" s="76"/>
      <c r="AT1328" s="65"/>
      <c r="AU1328" s="77"/>
    </row>
    <row r="1329" spans="37:47">
      <c r="AK1329" s="12"/>
      <c r="AM1329" s="12"/>
      <c r="AN1329" s="75"/>
      <c r="AO1329" s="75"/>
      <c r="AP1329" s="75"/>
      <c r="AQ1329" s="75"/>
      <c r="AR1329" s="76"/>
      <c r="AT1329" s="65"/>
      <c r="AU1329" s="77"/>
    </row>
    <row r="1330" spans="37:47">
      <c r="AK1330" s="12"/>
      <c r="AM1330" s="12"/>
      <c r="AN1330" s="75"/>
      <c r="AO1330" s="75"/>
      <c r="AP1330" s="75"/>
      <c r="AQ1330" s="75"/>
      <c r="AR1330" s="76"/>
      <c r="AT1330" s="65"/>
      <c r="AU1330" s="77"/>
    </row>
    <row r="1331" spans="37:47">
      <c r="AK1331" s="12"/>
      <c r="AM1331" s="12"/>
      <c r="AN1331" s="75"/>
      <c r="AO1331" s="75"/>
      <c r="AP1331" s="75"/>
      <c r="AQ1331" s="75"/>
      <c r="AR1331" s="76"/>
      <c r="AT1331" s="65"/>
      <c r="AU1331" s="77"/>
    </row>
    <row r="1332" spans="37:47">
      <c r="AK1332" s="12"/>
      <c r="AM1332" s="12"/>
      <c r="AN1332" s="75"/>
      <c r="AO1332" s="75"/>
      <c r="AP1332" s="75"/>
      <c r="AQ1332" s="75"/>
      <c r="AR1332" s="76"/>
      <c r="AT1332" s="65"/>
      <c r="AU1332" s="77"/>
    </row>
    <row r="1333" spans="37:47">
      <c r="AK1333" s="12"/>
      <c r="AM1333" s="12"/>
      <c r="AN1333" s="75"/>
      <c r="AO1333" s="75"/>
      <c r="AP1333" s="75"/>
      <c r="AQ1333" s="75"/>
      <c r="AR1333" s="76"/>
      <c r="AT1333" s="65"/>
      <c r="AU1333" s="77"/>
    </row>
    <row r="1334" spans="37:47">
      <c r="AK1334" s="12"/>
      <c r="AM1334" s="12"/>
      <c r="AN1334" s="75"/>
      <c r="AO1334" s="75"/>
      <c r="AP1334" s="75"/>
      <c r="AQ1334" s="75"/>
      <c r="AR1334" s="76"/>
      <c r="AT1334" s="65"/>
      <c r="AU1334" s="77"/>
    </row>
    <row r="1335" spans="37:47">
      <c r="AK1335" s="12"/>
      <c r="AM1335" s="12"/>
      <c r="AN1335" s="75"/>
      <c r="AO1335" s="75"/>
      <c r="AP1335" s="75"/>
      <c r="AQ1335" s="75"/>
      <c r="AR1335" s="76"/>
      <c r="AT1335" s="65"/>
      <c r="AU1335" s="77"/>
    </row>
    <row r="1336" spans="37:47">
      <c r="AK1336" s="12"/>
      <c r="AM1336" s="12"/>
      <c r="AN1336" s="75"/>
      <c r="AO1336" s="75"/>
      <c r="AP1336" s="75"/>
      <c r="AQ1336" s="75"/>
      <c r="AR1336" s="76"/>
      <c r="AT1336" s="65"/>
      <c r="AU1336" s="77"/>
    </row>
    <row r="1337" spans="37:47">
      <c r="AK1337" s="12"/>
      <c r="AM1337" s="12"/>
      <c r="AN1337" s="75"/>
      <c r="AO1337" s="75"/>
      <c r="AP1337" s="75"/>
      <c r="AQ1337" s="75"/>
      <c r="AR1337" s="76"/>
      <c r="AT1337" s="65"/>
      <c r="AU1337" s="77"/>
    </row>
    <row r="1338" spans="37:47">
      <c r="AK1338" s="12"/>
      <c r="AM1338" s="12"/>
      <c r="AN1338" s="75"/>
      <c r="AO1338" s="75"/>
      <c r="AP1338" s="75"/>
      <c r="AQ1338" s="75"/>
      <c r="AR1338" s="76"/>
      <c r="AT1338" s="65"/>
      <c r="AU1338" s="77"/>
    </row>
    <row r="1339" spans="37:47">
      <c r="AK1339" s="12"/>
      <c r="AM1339" s="12"/>
      <c r="AN1339" s="75"/>
      <c r="AO1339" s="75"/>
      <c r="AP1339" s="75"/>
      <c r="AQ1339" s="75"/>
      <c r="AR1339" s="76"/>
      <c r="AT1339" s="65"/>
      <c r="AU1339" s="77"/>
    </row>
    <row r="1340" spans="37:47">
      <c r="AK1340" s="12"/>
      <c r="AM1340" s="12"/>
      <c r="AN1340" s="75"/>
      <c r="AO1340" s="75"/>
      <c r="AP1340" s="75"/>
      <c r="AQ1340" s="75"/>
      <c r="AR1340" s="76"/>
      <c r="AT1340" s="65"/>
      <c r="AU1340" s="77"/>
    </row>
    <row r="1341" spans="37:47">
      <c r="AK1341" s="12"/>
      <c r="AM1341" s="12"/>
      <c r="AN1341" s="75"/>
      <c r="AO1341" s="75"/>
      <c r="AP1341" s="75"/>
      <c r="AQ1341" s="75"/>
      <c r="AR1341" s="76"/>
      <c r="AT1341" s="65"/>
      <c r="AU1341" s="77"/>
    </row>
    <row r="1342" spans="37:47">
      <c r="AK1342" s="12"/>
      <c r="AM1342" s="12"/>
      <c r="AN1342" s="75"/>
      <c r="AO1342" s="75"/>
      <c r="AP1342" s="75"/>
      <c r="AQ1342" s="75"/>
      <c r="AR1342" s="76"/>
      <c r="AT1342" s="65"/>
      <c r="AU1342" s="77"/>
    </row>
    <row r="1343" spans="37:47">
      <c r="AK1343" s="12"/>
      <c r="AM1343" s="12"/>
      <c r="AN1343" s="75"/>
      <c r="AO1343" s="75"/>
      <c r="AP1343" s="75"/>
      <c r="AQ1343" s="75"/>
      <c r="AR1343" s="76"/>
      <c r="AT1343" s="65"/>
      <c r="AU1343" s="77"/>
    </row>
    <row r="1344" spans="37:47">
      <c r="AK1344" s="12"/>
      <c r="AM1344" s="12"/>
      <c r="AN1344" s="75"/>
      <c r="AO1344" s="75"/>
      <c r="AP1344" s="75"/>
      <c r="AQ1344" s="75"/>
      <c r="AR1344" s="76"/>
      <c r="AT1344" s="65"/>
      <c r="AU1344" s="77"/>
    </row>
    <row r="1345" spans="37:47">
      <c r="AK1345" s="12"/>
      <c r="AM1345" s="12"/>
      <c r="AN1345" s="75"/>
      <c r="AO1345" s="75"/>
      <c r="AP1345" s="75"/>
      <c r="AQ1345" s="75"/>
      <c r="AR1345" s="76"/>
      <c r="AT1345" s="65"/>
      <c r="AU1345" s="77"/>
    </row>
    <row r="1346" spans="37:47">
      <c r="AK1346" s="12"/>
      <c r="AM1346" s="12"/>
      <c r="AN1346" s="75"/>
      <c r="AO1346" s="75"/>
      <c r="AP1346" s="75"/>
      <c r="AQ1346" s="75"/>
      <c r="AR1346" s="76"/>
      <c r="AT1346" s="65"/>
      <c r="AU1346" s="77"/>
    </row>
    <row r="1347" spans="37:47">
      <c r="AK1347" s="12"/>
      <c r="AM1347" s="12"/>
      <c r="AN1347" s="75"/>
      <c r="AO1347" s="75"/>
      <c r="AP1347" s="75"/>
      <c r="AQ1347" s="75"/>
      <c r="AR1347" s="76"/>
      <c r="AT1347" s="65"/>
      <c r="AU1347" s="77"/>
    </row>
    <row r="1348" spans="37:47">
      <c r="AK1348" s="12"/>
      <c r="AM1348" s="12"/>
      <c r="AN1348" s="75"/>
      <c r="AO1348" s="75"/>
      <c r="AP1348" s="75"/>
      <c r="AQ1348" s="75"/>
      <c r="AR1348" s="76"/>
      <c r="AT1348" s="65"/>
      <c r="AU1348" s="77"/>
    </row>
    <row r="1349" spans="37:47">
      <c r="AK1349" s="12"/>
      <c r="AM1349" s="12"/>
      <c r="AN1349" s="75"/>
      <c r="AO1349" s="75"/>
      <c r="AP1349" s="75"/>
      <c r="AQ1349" s="75"/>
      <c r="AR1349" s="76"/>
      <c r="AT1349" s="65"/>
      <c r="AU1349" s="77"/>
    </row>
    <row r="1350" spans="37:47">
      <c r="AK1350" s="12"/>
      <c r="AM1350" s="12"/>
      <c r="AN1350" s="75"/>
      <c r="AO1350" s="75"/>
      <c r="AP1350" s="75"/>
      <c r="AQ1350" s="75"/>
      <c r="AR1350" s="76"/>
      <c r="AT1350" s="65"/>
      <c r="AU1350" s="77"/>
    </row>
    <row r="1351" spans="37:47">
      <c r="AK1351" s="12"/>
      <c r="AM1351" s="12"/>
      <c r="AN1351" s="75"/>
      <c r="AO1351" s="75"/>
      <c r="AP1351" s="75"/>
      <c r="AQ1351" s="75"/>
      <c r="AR1351" s="76"/>
      <c r="AT1351" s="65"/>
      <c r="AU1351" s="77"/>
    </row>
    <row r="1352" spans="37:47">
      <c r="AK1352" s="12"/>
      <c r="AM1352" s="12"/>
      <c r="AN1352" s="75"/>
      <c r="AO1352" s="75"/>
      <c r="AP1352" s="75"/>
      <c r="AQ1352" s="75"/>
      <c r="AR1352" s="76"/>
      <c r="AT1352" s="65"/>
      <c r="AU1352" s="77"/>
    </row>
    <row r="1353" spans="37:47">
      <c r="AK1353" s="12"/>
      <c r="AM1353" s="12"/>
      <c r="AN1353" s="75"/>
      <c r="AO1353" s="75"/>
      <c r="AP1353" s="75"/>
      <c r="AQ1353" s="75"/>
      <c r="AR1353" s="76"/>
      <c r="AT1353" s="65"/>
      <c r="AU1353" s="77"/>
    </row>
    <row r="1354" spans="37:47">
      <c r="AK1354" s="12"/>
      <c r="AM1354" s="12"/>
      <c r="AN1354" s="75"/>
      <c r="AO1354" s="75"/>
      <c r="AP1354" s="75"/>
      <c r="AQ1354" s="75"/>
      <c r="AR1354" s="76"/>
      <c r="AT1354" s="65"/>
      <c r="AU1354" s="77"/>
    </row>
    <row r="1355" spans="37:47">
      <c r="AK1355" s="12"/>
      <c r="AM1355" s="12"/>
      <c r="AN1355" s="75"/>
      <c r="AO1355" s="75"/>
      <c r="AP1355" s="75"/>
      <c r="AQ1355" s="75"/>
      <c r="AR1355" s="76"/>
      <c r="AT1355" s="65"/>
      <c r="AU1355" s="77"/>
    </row>
    <row r="1356" spans="37:47">
      <c r="AK1356" s="12"/>
      <c r="AM1356" s="12"/>
      <c r="AN1356" s="75"/>
      <c r="AO1356" s="75"/>
      <c r="AP1356" s="75"/>
      <c r="AQ1356" s="75"/>
      <c r="AR1356" s="76"/>
      <c r="AT1356" s="65"/>
      <c r="AU1356" s="77"/>
    </row>
    <row r="1357" spans="37:47">
      <c r="AK1357" s="12"/>
      <c r="AM1357" s="12"/>
      <c r="AN1357" s="75"/>
      <c r="AO1357" s="75"/>
      <c r="AP1357" s="75"/>
      <c r="AQ1357" s="75"/>
      <c r="AR1357" s="76"/>
      <c r="AT1357" s="65"/>
      <c r="AU1357" s="77"/>
    </row>
    <row r="1358" spans="37:47">
      <c r="AK1358" s="12"/>
      <c r="AM1358" s="12"/>
      <c r="AN1358" s="75"/>
      <c r="AO1358" s="75"/>
      <c r="AP1358" s="75"/>
      <c r="AQ1358" s="75"/>
      <c r="AR1358" s="76"/>
      <c r="AT1358" s="65"/>
      <c r="AU1358" s="77"/>
    </row>
    <row r="1359" spans="37:47">
      <c r="AK1359" s="12"/>
      <c r="AM1359" s="12"/>
      <c r="AN1359" s="75"/>
      <c r="AO1359" s="75"/>
      <c r="AP1359" s="75"/>
      <c r="AQ1359" s="75"/>
      <c r="AR1359" s="76"/>
      <c r="AT1359" s="65"/>
      <c r="AU1359" s="77"/>
    </row>
    <row r="1360" spans="37:47">
      <c r="AK1360" s="12"/>
      <c r="AM1360" s="12"/>
      <c r="AN1360" s="75"/>
      <c r="AO1360" s="75"/>
      <c r="AP1360" s="75"/>
      <c r="AQ1360" s="75"/>
      <c r="AR1360" s="76"/>
      <c r="AT1360" s="65"/>
      <c r="AU1360" s="77"/>
    </row>
    <row r="1361" spans="37:47">
      <c r="AK1361" s="12"/>
      <c r="AM1361" s="12"/>
      <c r="AN1361" s="75"/>
      <c r="AO1361" s="75"/>
      <c r="AP1361" s="75"/>
      <c r="AQ1361" s="75"/>
      <c r="AR1361" s="76"/>
      <c r="AT1361" s="65"/>
      <c r="AU1361" s="77"/>
    </row>
    <row r="1362" spans="37:47">
      <c r="AK1362" s="12"/>
      <c r="AM1362" s="12"/>
      <c r="AN1362" s="75"/>
      <c r="AO1362" s="75"/>
      <c r="AP1362" s="75"/>
      <c r="AQ1362" s="75"/>
      <c r="AR1362" s="76"/>
      <c r="AT1362" s="65"/>
      <c r="AU1362" s="77"/>
    </row>
    <row r="1363" spans="37:47">
      <c r="AK1363" s="12"/>
      <c r="AM1363" s="12"/>
      <c r="AN1363" s="75"/>
      <c r="AO1363" s="75"/>
      <c r="AP1363" s="75"/>
      <c r="AQ1363" s="75"/>
      <c r="AR1363" s="76"/>
      <c r="AT1363" s="65"/>
      <c r="AU1363" s="77"/>
    </row>
    <row r="1364" spans="37:47">
      <c r="AK1364" s="12"/>
      <c r="AM1364" s="12"/>
      <c r="AN1364" s="75"/>
      <c r="AO1364" s="75"/>
      <c r="AP1364" s="75"/>
      <c r="AQ1364" s="75"/>
      <c r="AR1364" s="76"/>
      <c r="AT1364" s="65"/>
      <c r="AU1364" s="77"/>
    </row>
    <row r="1365" spans="37:47">
      <c r="AK1365" s="12"/>
      <c r="AM1365" s="12"/>
      <c r="AN1365" s="75"/>
      <c r="AO1365" s="75"/>
      <c r="AP1365" s="75"/>
      <c r="AQ1365" s="75"/>
      <c r="AR1365" s="76"/>
      <c r="AT1365" s="65"/>
      <c r="AU1365" s="77"/>
    </row>
    <row r="1366" spans="37:47">
      <c r="AK1366" s="12"/>
      <c r="AM1366" s="12"/>
      <c r="AN1366" s="75"/>
      <c r="AO1366" s="75"/>
      <c r="AP1366" s="75"/>
      <c r="AQ1366" s="75"/>
      <c r="AR1366" s="76"/>
      <c r="AT1366" s="65"/>
      <c r="AU1366" s="77"/>
    </row>
    <row r="1367" spans="37:47">
      <c r="AK1367" s="12"/>
      <c r="AM1367" s="12"/>
      <c r="AN1367" s="75"/>
      <c r="AO1367" s="75"/>
      <c r="AP1367" s="75"/>
      <c r="AQ1367" s="75"/>
      <c r="AR1367" s="76"/>
      <c r="AT1367" s="65"/>
      <c r="AU1367" s="77"/>
    </row>
    <row r="1368" spans="37:47">
      <c r="AK1368" s="12"/>
      <c r="AM1368" s="12"/>
      <c r="AN1368" s="75"/>
      <c r="AO1368" s="75"/>
      <c r="AP1368" s="75"/>
      <c r="AQ1368" s="75"/>
      <c r="AR1368" s="76"/>
      <c r="AT1368" s="65"/>
      <c r="AU1368" s="77"/>
    </row>
    <row r="1369" spans="37:47">
      <c r="AK1369" s="12"/>
      <c r="AM1369" s="12"/>
      <c r="AN1369" s="75"/>
      <c r="AO1369" s="75"/>
      <c r="AP1369" s="75"/>
      <c r="AQ1369" s="75"/>
      <c r="AR1369" s="76"/>
      <c r="AT1369" s="65"/>
      <c r="AU1369" s="77"/>
    </row>
    <row r="1370" spans="37:47">
      <c r="AK1370" s="12"/>
      <c r="AM1370" s="12"/>
      <c r="AN1370" s="75"/>
      <c r="AO1370" s="75"/>
      <c r="AP1370" s="75"/>
      <c r="AQ1370" s="75"/>
      <c r="AR1370" s="76"/>
      <c r="AT1370" s="65"/>
      <c r="AU1370" s="77"/>
    </row>
    <row r="1371" spans="37:47">
      <c r="AK1371" s="12"/>
      <c r="AM1371" s="12"/>
      <c r="AN1371" s="75"/>
      <c r="AO1371" s="75"/>
      <c r="AP1371" s="75"/>
      <c r="AQ1371" s="75"/>
      <c r="AR1371" s="76"/>
      <c r="AT1371" s="65"/>
      <c r="AU1371" s="77"/>
    </row>
    <row r="1372" spans="37:47">
      <c r="AK1372" s="12"/>
      <c r="AM1372" s="12"/>
      <c r="AN1372" s="75"/>
      <c r="AO1372" s="75"/>
      <c r="AP1372" s="75"/>
      <c r="AQ1372" s="75"/>
      <c r="AR1372" s="76"/>
      <c r="AT1372" s="65"/>
      <c r="AU1372" s="77"/>
    </row>
    <row r="1373" spans="37:47">
      <c r="AK1373" s="12"/>
      <c r="AM1373" s="12"/>
      <c r="AN1373" s="75"/>
      <c r="AO1373" s="75"/>
      <c r="AP1373" s="75"/>
      <c r="AQ1373" s="75"/>
      <c r="AR1373" s="76"/>
      <c r="AT1373" s="65"/>
      <c r="AU1373" s="77"/>
    </row>
    <row r="1374" spans="37:47">
      <c r="AK1374" s="12"/>
      <c r="AM1374" s="12"/>
      <c r="AN1374" s="75"/>
      <c r="AO1374" s="75"/>
      <c r="AP1374" s="75"/>
      <c r="AQ1374" s="75"/>
      <c r="AR1374" s="76"/>
      <c r="AT1374" s="65"/>
      <c r="AU1374" s="77"/>
    </row>
    <row r="1375" spans="37:47">
      <c r="AK1375" s="12"/>
      <c r="AM1375" s="12"/>
      <c r="AN1375" s="75"/>
      <c r="AO1375" s="75"/>
      <c r="AP1375" s="75"/>
      <c r="AQ1375" s="75"/>
      <c r="AR1375" s="76"/>
      <c r="AT1375" s="65"/>
      <c r="AU1375" s="77"/>
    </row>
    <row r="1376" spans="37:47">
      <c r="AK1376" s="12"/>
      <c r="AM1376" s="12"/>
      <c r="AN1376" s="75"/>
      <c r="AO1376" s="75"/>
      <c r="AP1376" s="75"/>
      <c r="AQ1376" s="75"/>
      <c r="AR1376" s="76"/>
      <c r="AT1376" s="65"/>
      <c r="AU1376" s="77"/>
    </row>
    <row r="1377" spans="37:47">
      <c r="AK1377" s="12"/>
      <c r="AM1377" s="12"/>
      <c r="AN1377" s="75"/>
      <c r="AO1377" s="75"/>
      <c r="AP1377" s="75"/>
      <c r="AQ1377" s="75"/>
      <c r="AR1377" s="76"/>
      <c r="AT1377" s="65"/>
      <c r="AU1377" s="77"/>
    </row>
    <row r="1378" spans="37:47">
      <c r="AK1378" s="12"/>
      <c r="AM1378" s="12"/>
      <c r="AN1378" s="75"/>
      <c r="AO1378" s="75"/>
      <c r="AP1378" s="75"/>
      <c r="AQ1378" s="75"/>
      <c r="AR1378" s="76"/>
      <c r="AT1378" s="65"/>
      <c r="AU1378" s="77"/>
    </row>
    <row r="1379" spans="37:47">
      <c r="AK1379" s="12"/>
      <c r="AM1379" s="12"/>
      <c r="AN1379" s="75"/>
      <c r="AO1379" s="75"/>
      <c r="AP1379" s="75"/>
      <c r="AQ1379" s="75"/>
      <c r="AR1379" s="76"/>
      <c r="AT1379" s="65"/>
      <c r="AU1379" s="77"/>
    </row>
    <row r="1380" spans="37:47">
      <c r="AK1380" s="12"/>
      <c r="AM1380" s="12"/>
      <c r="AN1380" s="75"/>
      <c r="AO1380" s="75"/>
      <c r="AP1380" s="75"/>
      <c r="AQ1380" s="75"/>
      <c r="AR1380" s="76"/>
      <c r="AT1380" s="65"/>
      <c r="AU1380" s="77"/>
    </row>
    <row r="1381" spans="37:47">
      <c r="AK1381" s="12"/>
      <c r="AM1381" s="12"/>
      <c r="AN1381" s="75"/>
      <c r="AO1381" s="75"/>
      <c r="AP1381" s="75"/>
      <c r="AQ1381" s="75"/>
      <c r="AR1381" s="76"/>
      <c r="AT1381" s="65"/>
      <c r="AU1381" s="77"/>
    </row>
    <row r="1382" spans="37:47">
      <c r="AK1382" s="12"/>
      <c r="AM1382" s="12"/>
      <c r="AN1382" s="75"/>
      <c r="AO1382" s="75"/>
      <c r="AP1382" s="75"/>
      <c r="AQ1382" s="75"/>
      <c r="AR1382" s="76"/>
      <c r="AT1382" s="65"/>
      <c r="AU1382" s="77"/>
    </row>
    <row r="1383" spans="37:47">
      <c r="AK1383" s="12"/>
      <c r="AM1383" s="12"/>
      <c r="AN1383" s="75"/>
      <c r="AO1383" s="75"/>
      <c r="AP1383" s="75"/>
      <c r="AQ1383" s="75"/>
      <c r="AR1383" s="76"/>
      <c r="AT1383" s="65"/>
      <c r="AU1383" s="77"/>
    </row>
    <row r="1384" spans="37:47">
      <c r="AK1384" s="12"/>
      <c r="AM1384" s="12"/>
      <c r="AN1384" s="75"/>
      <c r="AO1384" s="75"/>
      <c r="AP1384" s="75"/>
      <c r="AQ1384" s="75"/>
      <c r="AR1384" s="76"/>
      <c r="AT1384" s="65"/>
      <c r="AU1384" s="77"/>
    </row>
    <row r="1385" spans="37:47">
      <c r="AK1385" s="12"/>
      <c r="AM1385" s="12"/>
      <c r="AN1385" s="75"/>
      <c r="AO1385" s="75"/>
      <c r="AP1385" s="75"/>
      <c r="AQ1385" s="75"/>
      <c r="AR1385" s="76"/>
      <c r="AT1385" s="65"/>
      <c r="AU1385" s="77"/>
    </row>
    <row r="1386" spans="37:47">
      <c r="AK1386" s="12"/>
      <c r="AM1386" s="12"/>
      <c r="AN1386" s="75"/>
      <c r="AO1386" s="75"/>
      <c r="AP1386" s="75"/>
      <c r="AQ1386" s="75"/>
      <c r="AR1386" s="76"/>
      <c r="AT1386" s="65"/>
      <c r="AU1386" s="77"/>
    </row>
    <row r="1387" spans="37:47">
      <c r="AK1387" s="12"/>
      <c r="AM1387" s="12"/>
      <c r="AN1387" s="75"/>
      <c r="AO1387" s="75"/>
      <c r="AP1387" s="75"/>
      <c r="AQ1387" s="75"/>
      <c r="AR1387" s="76"/>
      <c r="AT1387" s="65"/>
      <c r="AU1387" s="77"/>
    </row>
    <row r="1388" spans="37:47">
      <c r="AK1388" s="12"/>
      <c r="AM1388" s="12"/>
      <c r="AN1388" s="75"/>
      <c r="AO1388" s="75"/>
      <c r="AP1388" s="75"/>
      <c r="AQ1388" s="75"/>
      <c r="AR1388" s="76"/>
      <c r="AT1388" s="65"/>
      <c r="AU1388" s="77"/>
    </row>
    <row r="1389" spans="37:47">
      <c r="AK1389" s="12"/>
      <c r="AM1389" s="12"/>
      <c r="AN1389" s="75"/>
      <c r="AO1389" s="75"/>
      <c r="AP1389" s="75"/>
      <c r="AQ1389" s="75"/>
      <c r="AR1389" s="76"/>
      <c r="AT1389" s="65"/>
      <c r="AU1389" s="77"/>
    </row>
    <row r="1390" spans="37:47">
      <c r="AK1390" s="12"/>
      <c r="AM1390" s="12"/>
      <c r="AN1390" s="75"/>
      <c r="AO1390" s="75"/>
      <c r="AP1390" s="75"/>
      <c r="AQ1390" s="75"/>
      <c r="AR1390" s="76"/>
      <c r="AT1390" s="65"/>
      <c r="AU1390" s="77"/>
    </row>
    <row r="1391" spans="37:47">
      <c r="AK1391" s="12"/>
      <c r="AM1391" s="12"/>
      <c r="AN1391" s="75"/>
      <c r="AO1391" s="75"/>
      <c r="AP1391" s="75"/>
      <c r="AQ1391" s="75"/>
      <c r="AR1391" s="76"/>
      <c r="AT1391" s="65"/>
      <c r="AU1391" s="77"/>
    </row>
    <row r="1392" spans="37:47">
      <c r="AK1392" s="12"/>
      <c r="AM1392" s="12"/>
      <c r="AN1392" s="75"/>
      <c r="AO1392" s="75"/>
      <c r="AP1392" s="75"/>
      <c r="AQ1392" s="75"/>
      <c r="AR1392" s="76"/>
      <c r="AT1392" s="65"/>
      <c r="AU1392" s="77"/>
    </row>
    <row r="1393" spans="37:47">
      <c r="AK1393" s="12"/>
      <c r="AM1393" s="12"/>
      <c r="AN1393" s="75"/>
      <c r="AO1393" s="75"/>
      <c r="AP1393" s="75"/>
      <c r="AQ1393" s="75"/>
      <c r="AR1393" s="76"/>
      <c r="AT1393" s="65"/>
      <c r="AU1393" s="77"/>
    </row>
    <row r="1394" spans="37:47">
      <c r="AK1394" s="12"/>
      <c r="AM1394" s="12"/>
      <c r="AN1394" s="75"/>
      <c r="AO1394" s="75"/>
      <c r="AP1394" s="75"/>
      <c r="AQ1394" s="75"/>
      <c r="AR1394" s="76"/>
      <c r="AT1394" s="65"/>
      <c r="AU1394" s="77"/>
    </row>
    <row r="1395" spans="37:47">
      <c r="AK1395" s="12"/>
      <c r="AM1395" s="12"/>
      <c r="AN1395" s="75"/>
      <c r="AO1395" s="75"/>
      <c r="AP1395" s="75"/>
      <c r="AQ1395" s="75"/>
      <c r="AR1395" s="76"/>
      <c r="AT1395" s="65"/>
      <c r="AU1395" s="77"/>
    </row>
    <row r="1396" spans="37:47">
      <c r="AK1396" s="12"/>
      <c r="AM1396" s="12"/>
      <c r="AN1396" s="75"/>
      <c r="AO1396" s="75"/>
      <c r="AP1396" s="75"/>
      <c r="AQ1396" s="75"/>
      <c r="AR1396" s="76"/>
      <c r="AT1396" s="65"/>
      <c r="AU1396" s="77"/>
    </row>
    <row r="1397" spans="37:47">
      <c r="AK1397" s="12"/>
      <c r="AM1397" s="12"/>
      <c r="AN1397" s="75"/>
      <c r="AO1397" s="75"/>
      <c r="AP1397" s="75"/>
      <c r="AQ1397" s="75"/>
      <c r="AR1397" s="76"/>
      <c r="AT1397" s="65"/>
      <c r="AU1397" s="77"/>
    </row>
    <row r="1398" spans="37:47">
      <c r="AK1398" s="12"/>
      <c r="AM1398" s="12"/>
      <c r="AN1398" s="75"/>
      <c r="AO1398" s="75"/>
      <c r="AP1398" s="75"/>
      <c r="AQ1398" s="75"/>
      <c r="AR1398" s="76"/>
      <c r="AT1398" s="65"/>
      <c r="AU1398" s="77"/>
    </row>
    <row r="1399" spans="37:47">
      <c r="AK1399" s="12"/>
      <c r="AM1399" s="12"/>
      <c r="AN1399" s="75"/>
      <c r="AO1399" s="75"/>
      <c r="AP1399" s="75"/>
      <c r="AQ1399" s="75"/>
      <c r="AR1399" s="76"/>
      <c r="AT1399" s="65"/>
      <c r="AU1399" s="77"/>
    </row>
    <row r="1400" spans="37:47">
      <c r="AK1400" s="12"/>
      <c r="AM1400" s="12"/>
      <c r="AN1400" s="75"/>
      <c r="AO1400" s="75"/>
      <c r="AP1400" s="75"/>
      <c r="AQ1400" s="75"/>
      <c r="AR1400" s="76"/>
      <c r="AT1400" s="65"/>
      <c r="AU1400" s="77"/>
    </row>
    <row r="1401" spans="37:47">
      <c r="AK1401" s="12"/>
      <c r="AM1401" s="12"/>
      <c r="AN1401" s="75"/>
      <c r="AO1401" s="75"/>
      <c r="AP1401" s="75"/>
      <c r="AQ1401" s="75"/>
      <c r="AR1401" s="76"/>
      <c r="AT1401" s="65"/>
      <c r="AU1401" s="77"/>
    </row>
    <row r="1402" spans="37:47">
      <c r="AK1402" s="12"/>
      <c r="AM1402" s="12"/>
      <c r="AN1402" s="75"/>
      <c r="AO1402" s="75"/>
      <c r="AP1402" s="75"/>
      <c r="AQ1402" s="75"/>
      <c r="AR1402" s="76"/>
      <c r="AT1402" s="65"/>
      <c r="AU1402" s="77"/>
    </row>
    <row r="1403" spans="37:47">
      <c r="AK1403" s="12"/>
      <c r="AM1403" s="12"/>
      <c r="AN1403" s="75"/>
      <c r="AO1403" s="75"/>
      <c r="AP1403" s="75"/>
      <c r="AQ1403" s="75"/>
      <c r="AR1403" s="76"/>
      <c r="AT1403" s="65"/>
      <c r="AU1403" s="77"/>
    </row>
    <row r="1404" spans="37:47">
      <c r="AK1404" s="12"/>
      <c r="AM1404" s="12"/>
      <c r="AN1404" s="75"/>
      <c r="AO1404" s="75"/>
      <c r="AP1404" s="75"/>
      <c r="AQ1404" s="75"/>
      <c r="AR1404" s="76"/>
      <c r="AT1404" s="65"/>
      <c r="AU1404" s="77"/>
    </row>
    <row r="1405" spans="37:47">
      <c r="AK1405" s="12"/>
      <c r="AM1405" s="12"/>
      <c r="AN1405" s="75"/>
      <c r="AO1405" s="75"/>
      <c r="AP1405" s="75"/>
      <c r="AQ1405" s="75"/>
      <c r="AR1405" s="76"/>
      <c r="AT1405" s="65"/>
      <c r="AU1405" s="77"/>
    </row>
    <row r="1406" spans="37:47">
      <c r="AK1406" s="12"/>
      <c r="AM1406" s="12"/>
      <c r="AN1406" s="75"/>
      <c r="AO1406" s="75"/>
      <c r="AP1406" s="75"/>
      <c r="AQ1406" s="75"/>
      <c r="AR1406" s="76"/>
      <c r="AT1406" s="65"/>
      <c r="AU1406" s="77"/>
    </row>
    <row r="1407" spans="37:47">
      <c r="AK1407" s="12"/>
      <c r="AM1407" s="12"/>
      <c r="AN1407" s="75"/>
      <c r="AO1407" s="75"/>
      <c r="AP1407" s="75"/>
      <c r="AQ1407" s="75"/>
      <c r="AR1407" s="76"/>
      <c r="AT1407" s="65"/>
      <c r="AU1407" s="77"/>
    </row>
    <row r="1408" spans="37:47">
      <c r="AK1408" s="12"/>
      <c r="AM1408" s="12"/>
      <c r="AN1408" s="75"/>
      <c r="AO1408" s="75"/>
      <c r="AP1408" s="75"/>
      <c r="AQ1408" s="75"/>
      <c r="AR1408" s="76"/>
      <c r="AT1408" s="65"/>
      <c r="AU1408" s="77"/>
    </row>
    <row r="1409" spans="37:47">
      <c r="AK1409" s="12"/>
      <c r="AM1409" s="12"/>
      <c r="AN1409" s="75"/>
      <c r="AO1409" s="75"/>
      <c r="AP1409" s="75"/>
      <c r="AQ1409" s="75"/>
      <c r="AR1409" s="76"/>
      <c r="AT1409" s="65"/>
      <c r="AU1409" s="77"/>
    </row>
    <row r="1410" spans="37:47">
      <c r="AK1410" s="12"/>
      <c r="AM1410" s="12"/>
      <c r="AN1410" s="75"/>
      <c r="AO1410" s="75"/>
      <c r="AP1410" s="75"/>
      <c r="AQ1410" s="75"/>
      <c r="AR1410" s="76"/>
      <c r="AT1410" s="65"/>
      <c r="AU1410" s="77"/>
    </row>
    <row r="1411" spans="37:47">
      <c r="AK1411" s="12"/>
      <c r="AM1411" s="12"/>
      <c r="AN1411" s="75"/>
      <c r="AO1411" s="75"/>
      <c r="AP1411" s="75"/>
      <c r="AQ1411" s="75"/>
      <c r="AR1411" s="76"/>
      <c r="AT1411" s="65"/>
      <c r="AU1411" s="77"/>
    </row>
    <row r="1412" spans="37:47">
      <c r="AK1412" s="12"/>
      <c r="AM1412" s="12"/>
      <c r="AN1412" s="75"/>
      <c r="AO1412" s="75"/>
      <c r="AP1412" s="75"/>
      <c r="AQ1412" s="75"/>
      <c r="AR1412" s="76"/>
      <c r="AT1412" s="65"/>
      <c r="AU1412" s="77"/>
    </row>
    <row r="1413" spans="37:47">
      <c r="AK1413" s="12"/>
      <c r="AM1413" s="12"/>
      <c r="AN1413" s="75"/>
      <c r="AO1413" s="75"/>
      <c r="AP1413" s="75"/>
      <c r="AQ1413" s="75"/>
      <c r="AR1413" s="76"/>
      <c r="AT1413" s="65"/>
      <c r="AU1413" s="77"/>
    </row>
    <row r="1414" spans="37:47">
      <c r="AK1414" s="12"/>
      <c r="AM1414" s="12"/>
      <c r="AN1414" s="75"/>
      <c r="AO1414" s="75"/>
      <c r="AP1414" s="75"/>
      <c r="AQ1414" s="75"/>
      <c r="AR1414" s="76"/>
      <c r="AT1414" s="65"/>
      <c r="AU1414" s="77"/>
    </row>
    <row r="1415" spans="37:47">
      <c r="AK1415" s="12"/>
      <c r="AM1415" s="12"/>
      <c r="AN1415" s="75"/>
      <c r="AO1415" s="75"/>
      <c r="AP1415" s="75"/>
      <c r="AQ1415" s="75"/>
      <c r="AR1415" s="76"/>
      <c r="AT1415" s="65"/>
      <c r="AU1415" s="77"/>
    </row>
    <row r="1416" spans="37:47">
      <c r="AK1416" s="12"/>
      <c r="AM1416" s="12"/>
      <c r="AN1416" s="75"/>
      <c r="AO1416" s="75"/>
      <c r="AP1416" s="75"/>
      <c r="AQ1416" s="75"/>
      <c r="AR1416" s="76"/>
      <c r="AT1416" s="65"/>
      <c r="AU1416" s="77"/>
    </row>
    <row r="1417" spans="37:47">
      <c r="AK1417" s="12"/>
      <c r="AM1417" s="12"/>
      <c r="AN1417" s="75"/>
      <c r="AO1417" s="75"/>
      <c r="AP1417" s="75"/>
      <c r="AQ1417" s="75"/>
      <c r="AR1417" s="76"/>
      <c r="AT1417" s="65"/>
      <c r="AU1417" s="77"/>
    </row>
    <row r="1418" spans="37:47">
      <c r="AK1418" s="12"/>
      <c r="AM1418" s="12"/>
      <c r="AN1418" s="75"/>
      <c r="AO1418" s="75"/>
      <c r="AP1418" s="75"/>
      <c r="AQ1418" s="75"/>
      <c r="AR1418" s="76"/>
      <c r="AT1418" s="65"/>
      <c r="AU1418" s="77"/>
    </row>
    <row r="1419" spans="37:47">
      <c r="AK1419" s="12"/>
      <c r="AM1419" s="12"/>
      <c r="AN1419" s="75"/>
      <c r="AO1419" s="75"/>
      <c r="AP1419" s="75"/>
      <c r="AQ1419" s="75"/>
      <c r="AR1419" s="76"/>
      <c r="AT1419" s="65"/>
      <c r="AU1419" s="77"/>
    </row>
    <row r="1420" spans="37:47">
      <c r="AK1420" s="12"/>
      <c r="AM1420" s="12"/>
      <c r="AN1420" s="75"/>
      <c r="AO1420" s="75"/>
      <c r="AP1420" s="75"/>
      <c r="AQ1420" s="75"/>
      <c r="AR1420" s="76"/>
      <c r="AT1420" s="65"/>
      <c r="AU1420" s="77"/>
    </row>
    <row r="1421" spans="37:47">
      <c r="AK1421" s="12"/>
      <c r="AM1421" s="12"/>
      <c r="AN1421" s="75"/>
      <c r="AO1421" s="75"/>
      <c r="AP1421" s="75"/>
      <c r="AQ1421" s="75"/>
      <c r="AR1421" s="76"/>
      <c r="AT1421" s="65"/>
      <c r="AU1421" s="77"/>
    </row>
    <row r="1422" spans="37:47">
      <c r="AK1422" s="12"/>
      <c r="AM1422" s="12"/>
      <c r="AN1422" s="75"/>
      <c r="AO1422" s="75"/>
      <c r="AP1422" s="75"/>
      <c r="AQ1422" s="75"/>
      <c r="AR1422" s="76"/>
      <c r="AT1422" s="65"/>
      <c r="AU1422" s="77"/>
    </row>
    <row r="1423" spans="37:47">
      <c r="AK1423" s="12"/>
      <c r="AM1423" s="12"/>
      <c r="AN1423" s="75"/>
      <c r="AO1423" s="75"/>
      <c r="AP1423" s="75"/>
      <c r="AQ1423" s="75"/>
      <c r="AR1423" s="76"/>
      <c r="AT1423" s="65"/>
      <c r="AU1423" s="77"/>
    </row>
    <row r="1424" spans="37:47">
      <c r="AK1424" s="12"/>
      <c r="AM1424" s="12"/>
      <c r="AN1424" s="75"/>
      <c r="AO1424" s="75"/>
      <c r="AP1424" s="75"/>
      <c r="AQ1424" s="75"/>
      <c r="AR1424" s="76"/>
      <c r="AT1424" s="65"/>
      <c r="AU1424" s="77"/>
    </row>
    <row r="1425" spans="37:47">
      <c r="AK1425" s="12"/>
      <c r="AM1425" s="12"/>
      <c r="AN1425" s="75"/>
      <c r="AO1425" s="75"/>
      <c r="AP1425" s="75"/>
      <c r="AQ1425" s="75"/>
      <c r="AR1425" s="76"/>
      <c r="AT1425" s="65"/>
      <c r="AU1425" s="77"/>
    </row>
    <row r="1426" spans="37:47">
      <c r="AK1426" s="12"/>
      <c r="AM1426" s="12"/>
      <c r="AN1426" s="75"/>
      <c r="AO1426" s="75"/>
      <c r="AP1426" s="75"/>
      <c r="AQ1426" s="75"/>
      <c r="AR1426" s="76"/>
      <c r="AT1426" s="65"/>
      <c r="AU1426" s="77"/>
    </row>
    <row r="1427" spans="37:47">
      <c r="AK1427" s="12"/>
      <c r="AM1427" s="12"/>
      <c r="AN1427" s="75"/>
      <c r="AO1427" s="75"/>
      <c r="AP1427" s="75"/>
      <c r="AQ1427" s="75"/>
      <c r="AR1427" s="76"/>
      <c r="AT1427" s="65"/>
      <c r="AU1427" s="77"/>
    </row>
    <row r="1428" spans="37:47">
      <c r="AK1428" s="12"/>
      <c r="AM1428" s="12"/>
      <c r="AN1428" s="75"/>
      <c r="AO1428" s="75"/>
      <c r="AP1428" s="75"/>
      <c r="AQ1428" s="75"/>
      <c r="AR1428" s="76"/>
      <c r="AT1428" s="65"/>
      <c r="AU1428" s="77"/>
    </row>
    <row r="1429" spans="37:47">
      <c r="AK1429" s="12"/>
      <c r="AM1429" s="12"/>
      <c r="AN1429" s="75"/>
      <c r="AO1429" s="75"/>
      <c r="AP1429" s="75"/>
      <c r="AQ1429" s="75"/>
      <c r="AR1429" s="76"/>
      <c r="AT1429" s="65"/>
      <c r="AU1429" s="77"/>
    </row>
    <row r="1430" spans="37:47">
      <c r="AK1430" s="12"/>
      <c r="AM1430" s="12"/>
      <c r="AN1430" s="75"/>
      <c r="AO1430" s="75"/>
      <c r="AP1430" s="75"/>
      <c r="AQ1430" s="75"/>
      <c r="AR1430" s="76"/>
      <c r="AT1430" s="65"/>
      <c r="AU1430" s="77"/>
    </row>
    <row r="1431" spans="37:47">
      <c r="AK1431" s="12"/>
      <c r="AM1431" s="12"/>
      <c r="AN1431" s="75"/>
      <c r="AO1431" s="75"/>
      <c r="AP1431" s="75"/>
      <c r="AQ1431" s="75"/>
      <c r="AR1431" s="76"/>
      <c r="AT1431" s="65"/>
      <c r="AU1431" s="77"/>
    </row>
    <row r="1432" spans="37:47">
      <c r="AK1432" s="12"/>
      <c r="AM1432" s="12"/>
      <c r="AN1432" s="75"/>
      <c r="AO1432" s="75"/>
      <c r="AP1432" s="75"/>
      <c r="AQ1432" s="75"/>
      <c r="AR1432" s="76"/>
      <c r="AT1432" s="65"/>
      <c r="AU1432" s="77"/>
    </row>
    <row r="1433" spans="37:47">
      <c r="AK1433" s="12"/>
      <c r="AM1433" s="12"/>
      <c r="AN1433" s="75"/>
      <c r="AO1433" s="75"/>
      <c r="AP1433" s="75"/>
      <c r="AQ1433" s="75"/>
      <c r="AR1433" s="76"/>
      <c r="AT1433" s="65"/>
      <c r="AU1433" s="77"/>
    </row>
    <row r="1434" spans="37:47">
      <c r="AK1434" s="12"/>
      <c r="AM1434" s="12"/>
      <c r="AN1434" s="75"/>
      <c r="AO1434" s="75"/>
      <c r="AP1434" s="75"/>
      <c r="AQ1434" s="75"/>
      <c r="AR1434" s="76"/>
      <c r="AT1434" s="65"/>
      <c r="AU1434" s="77"/>
    </row>
    <row r="1435" spans="37:47">
      <c r="AK1435" s="12"/>
      <c r="AM1435" s="12"/>
      <c r="AN1435" s="75"/>
      <c r="AO1435" s="75"/>
      <c r="AP1435" s="75"/>
      <c r="AQ1435" s="75"/>
      <c r="AR1435" s="76"/>
      <c r="AT1435" s="65"/>
      <c r="AU1435" s="77"/>
    </row>
    <row r="1436" spans="37:47">
      <c r="AK1436" s="12"/>
      <c r="AM1436" s="12"/>
      <c r="AN1436" s="75"/>
      <c r="AO1436" s="75"/>
      <c r="AP1436" s="75"/>
      <c r="AQ1436" s="75"/>
      <c r="AR1436" s="76"/>
      <c r="AT1436" s="65"/>
      <c r="AU1436" s="77"/>
    </row>
    <row r="1437" spans="37:47">
      <c r="AK1437" s="12"/>
      <c r="AM1437" s="12"/>
      <c r="AN1437" s="75"/>
      <c r="AO1437" s="75"/>
      <c r="AP1437" s="75"/>
      <c r="AQ1437" s="75"/>
      <c r="AR1437" s="76"/>
      <c r="AT1437" s="65"/>
      <c r="AU1437" s="77"/>
    </row>
    <row r="1438" spans="37:47">
      <c r="AK1438" s="12"/>
      <c r="AM1438" s="12"/>
      <c r="AN1438" s="75"/>
      <c r="AO1438" s="75"/>
      <c r="AP1438" s="75"/>
      <c r="AQ1438" s="75"/>
      <c r="AR1438" s="76"/>
      <c r="AT1438" s="65"/>
      <c r="AU1438" s="77"/>
    </row>
    <row r="1439" spans="37:47">
      <c r="AK1439" s="12"/>
      <c r="AM1439" s="12"/>
      <c r="AN1439" s="75"/>
      <c r="AO1439" s="75"/>
      <c r="AP1439" s="75"/>
      <c r="AQ1439" s="75"/>
      <c r="AR1439" s="76"/>
      <c r="AT1439" s="65"/>
      <c r="AU1439" s="77"/>
    </row>
    <row r="1440" spans="37:47">
      <c r="AK1440" s="12"/>
      <c r="AM1440" s="12"/>
      <c r="AN1440" s="75"/>
      <c r="AO1440" s="75"/>
      <c r="AP1440" s="75"/>
      <c r="AQ1440" s="75"/>
      <c r="AR1440" s="76"/>
      <c r="AT1440" s="65"/>
      <c r="AU1440" s="77"/>
    </row>
    <row r="1441" spans="37:47">
      <c r="AK1441" s="12"/>
      <c r="AM1441" s="12"/>
      <c r="AN1441" s="75"/>
      <c r="AO1441" s="75"/>
      <c r="AP1441" s="75"/>
      <c r="AQ1441" s="75"/>
      <c r="AR1441" s="76"/>
      <c r="AT1441" s="65"/>
      <c r="AU1441" s="77"/>
    </row>
    <row r="1442" spans="37:47">
      <c r="AK1442" s="12"/>
      <c r="AM1442" s="12"/>
      <c r="AN1442" s="75"/>
      <c r="AO1442" s="75"/>
      <c r="AP1442" s="75"/>
      <c r="AQ1442" s="75"/>
      <c r="AR1442" s="76"/>
      <c r="AT1442" s="65"/>
      <c r="AU1442" s="77"/>
    </row>
    <row r="1443" spans="37:47">
      <c r="AK1443" s="12"/>
      <c r="AM1443" s="12"/>
      <c r="AN1443" s="75"/>
      <c r="AO1443" s="75"/>
      <c r="AP1443" s="75"/>
      <c r="AQ1443" s="75"/>
      <c r="AR1443" s="76"/>
      <c r="AT1443" s="65"/>
      <c r="AU1443" s="77"/>
    </row>
    <row r="1444" spans="37:47">
      <c r="AK1444" s="12"/>
      <c r="AM1444" s="12"/>
      <c r="AN1444" s="75"/>
      <c r="AO1444" s="75"/>
      <c r="AP1444" s="75"/>
      <c r="AQ1444" s="75"/>
      <c r="AR1444" s="76"/>
      <c r="AT1444" s="65"/>
      <c r="AU1444" s="77"/>
    </row>
    <row r="1445" spans="37:47">
      <c r="AK1445" s="12"/>
      <c r="AM1445" s="12"/>
      <c r="AN1445" s="75"/>
      <c r="AO1445" s="75"/>
      <c r="AP1445" s="75"/>
      <c r="AQ1445" s="75"/>
      <c r="AR1445" s="76"/>
      <c r="AT1445" s="65"/>
      <c r="AU1445" s="77"/>
    </row>
    <row r="1446" spans="37:47">
      <c r="AK1446" s="12"/>
      <c r="AM1446" s="12"/>
      <c r="AN1446" s="75"/>
      <c r="AO1446" s="75"/>
      <c r="AP1446" s="75"/>
      <c r="AQ1446" s="75"/>
      <c r="AR1446" s="76"/>
      <c r="AT1446" s="65"/>
      <c r="AU1446" s="77"/>
    </row>
    <row r="1447" spans="37:47">
      <c r="AK1447" s="12"/>
      <c r="AM1447" s="12"/>
      <c r="AN1447" s="75"/>
      <c r="AO1447" s="75"/>
      <c r="AP1447" s="75"/>
      <c r="AQ1447" s="75"/>
      <c r="AR1447" s="76"/>
      <c r="AT1447" s="65"/>
      <c r="AU1447" s="77"/>
    </row>
    <row r="1448" spans="37:47">
      <c r="AK1448" s="12"/>
      <c r="AM1448" s="12"/>
      <c r="AN1448" s="75"/>
      <c r="AO1448" s="75"/>
      <c r="AP1448" s="75"/>
      <c r="AQ1448" s="75"/>
      <c r="AR1448" s="76"/>
      <c r="AT1448" s="65"/>
      <c r="AU1448" s="77"/>
    </row>
    <row r="1449" spans="37:47">
      <c r="AK1449" s="12"/>
      <c r="AM1449" s="12"/>
      <c r="AN1449" s="75"/>
      <c r="AO1449" s="75"/>
      <c r="AP1449" s="75"/>
      <c r="AQ1449" s="75"/>
      <c r="AR1449" s="76"/>
      <c r="AT1449" s="65"/>
      <c r="AU1449" s="77"/>
    </row>
    <row r="1450" spans="37:47">
      <c r="AK1450" s="12"/>
      <c r="AM1450" s="12"/>
      <c r="AN1450" s="75"/>
      <c r="AO1450" s="75"/>
      <c r="AP1450" s="75"/>
      <c r="AQ1450" s="75"/>
      <c r="AR1450" s="76"/>
      <c r="AT1450" s="65"/>
      <c r="AU1450" s="77"/>
    </row>
    <row r="1451" spans="37:47">
      <c r="AK1451" s="12"/>
      <c r="AM1451" s="12"/>
      <c r="AN1451" s="75"/>
      <c r="AO1451" s="75"/>
      <c r="AP1451" s="75"/>
      <c r="AQ1451" s="75"/>
      <c r="AR1451" s="76"/>
      <c r="AT1451" s="65"/>
      <c r="AU1451" s="77"/>
    </row>
    <row r="1452" spans="37:47">
      <c r="AK1452" s="12"/>
      <c r="AM1452" s="12"/>
      <c r="AN1452" s="75"/>
      <c r="AO1452" s="75"/>
      <c r="AP1452" s="75"/>
      <c r="AQ1452" s="75"/>
      <c r="AR1452" s="76"/>
      <c r="AT1452" s="65"/>
      <c r="AU1452" s="77"/>
    </row>
    <row r="1453" spans="37:47">
      <c r="AK1453" s="12"/>
      <c r="AM1453" s="12"/>
      <c r="AN1453" s="75"/>
      <c r="AO1453" s="75"/>
      <c r="AP1453" s="75"/>
      <c r="AQ1453" s="75"/>
      <c r="AR1453" s="76"/>
      <c r="AT1453" s="65"/>
      <c r="AU1453" s="77"/>
    </row>
    <row r="1454" spans="37:47">
      <c r="AK1454" s="12"/>
      <c r="AM1454" s="12"/>
      <c r="AN1454" s="75"/>
      <c r="AO1454" s="75"/>
      <c r="AP1454" s="75"/>
      <c r="AQ1454" s="75"/>
      <c r="AR1454" s="76"/>
      <c r="AT1454" s="65"/>
      <c r="AU1454" s="77"/>
    </row>
    <row r="1455" spans="37:47">
      <c r="AK1455" s="12"/>
      <c r="AM1455" s="12"/>
      <c r="AN1455" s="75"/>
      <c r="AO1455" s="75"/>
      <c r="AP1455" s="75"/>
      <c r="AQ1455" s="75"/>
      <c r="AR1455" s="76"/>
      <c r="AT1455" s="65"/>
      <c r="AU1455" s="77"/>
    </row>
    <row r="1456" spans="37:47">
      <c r="AK1456" s="12"/>
      <c r="AM1456" s="12"/>
      <c r="AN1456" s="75"/>
      <c r="AO1456" s="75"/>
      <c r="AP1456" s="75"/>
      <c r="AQ1456" s="75"/>
      <c r="AR1456" s="76"/>
      <c r="AT1456" s="65"/>
      <c r="AU1456" s="77"/>
    </row>
    <row r="1457" spans="37:47">
      <c r="AK1457" s="12"/>
      <c r="AM1457" s="12"/>
      <c r="AN1457" s="75"/>
      <c r="AO1457" s="75"/>
      <c r="AP1457" s="75"/>
      <c r="AQ1457" s="75"/>
      <c r="AR1457" s="76"/>
      <c r="AT1457" s="65"/>
      <c r="AU1457" s="77"/>
    </row>
    <row r="1458" spans="37:47">
      <c r="AK1458" s="12"/>
      <c r="AM1458" s="12"/>
      <c r="AN1458" s="75"/>
      <c r="AO1458" s="75"/>
      <c r="AP1458" s="75"/>
      <c r="AQ1458" s="75"/>
      <c r="AR1458" s="76"/>
      <c r="AT1458" s="65"/>
      <c r="AU1458" s="77"/>
    </row>
    <row r="1459" spans="37:47">
      <c r="AK1459" s="12"/>
      <c r="AM1459" s="12"/>
      <c r="AN1459" s="75"/>
      <c r="AO1459" s="75"/>
      <c r="AP1459" s="75"/>
      <c r="AQ1459" s="75"/>
      <c r="AR1459" s="76"/>
      <c r="AT1459" s="65"/>
      <c r="AU1459" s="77"/>
    </row>
    <row r="1460" spans="37:47">
      <c r="AK1460" s="12"/>
      <c r="AM1460" s="12"/>
      <c r="AN1460" s="75"/>
      <c r="AO1460" s="75"/>
      <c r="AP1460" s="75"/>
      <c r="AQ1460" s="75"/>
      <c r="AR1460" s="76"/>
      <c r="AT1460" s="65"/>
      <c r="AU1460" s="77"/>
    </row>
    <row r="1461" spans="37:47">
      <c r="AK1461" s="12"/>
      <c r="AM1461" s="12"/>
      <c r="AN1461" s="75"/>
      <c r="AO1461" s="75"/>
      <c r="AP1461" s="75"/>
      <c r="AQ1461" s="75"/>
      <c r="AR1461" s="76"/>
      <c r="AT1461" s="65"/>
      <c r="AU1461" s="77"/>
    </row>
    <row r="1462" spans="37:47">
      <c r="AK1462" s="12"/>
      <c r="AM1462" s="12"/>
      <c r="AN1462" s="75"/>
      <c r="AO1462" s="75"/>
      <c r="AP1462" s="75"/>
      <c r="AQ1462" s="75"/>
      <c r="AR1462" s="76"/>
      <c r="AT1462" s="65"/>
      <c r="AU1462" s="77"/>
    </row>
    <row r="1463" spans="37:47">
      <c r="AK1463" s="12"/>
      <c r="AM1463" s="12"/>
      <c r="AN1463" s="75"/>
      <c r="AO1463" s="75"/>
      <c r="AP1463" s="75"/>
      <c r="AQ1463" s="75"/>
      <c r="AR1463" s="76"/>
      <c r="AT1463" s="65"/>
      <c r="AU1463" s="77"/>
    </row>
    <row r="1464" spans="37:47">
      <c r="AK1464" s="12"/>
      <c r="AM1464" s="12"/>
      <c r="AN1464" s="75"/>
      <c r="AO1464" s="75"/>
      <c r="AP1464" s="75"/>
      <c r="AQ1464" s="75"/>
      <c r="AR1464" s="76"/>
      <c r="AT1464" s="65"/>
      <c r="AU1464" s="77"/>
    </row>
    <row r="1465" spans="37:47">
      <c r="AK1465" s="12"/>
      <c r="AM1465" s="12"/>
      <c r="AN1465" s="75"/>
      <c r="AO1465" s="75"/>
      <c r="AP1465" s="75"/>
      <c r="AQ1465" s="75"/>
      <c r="AR1465" s="76"/>
      <c r="AT1465" s="65"/>
      <c r="AU1465" s="77"/>
    </row>
    <row r="1466" spans="37:47">
      <c r="AK1466" s="12"/>
      <c r="AM1466" s="12"/>
      <c r="AN1466" s="75"/>
      <c r="AO1466" s="75"/>
      <c r="AP1466" s="75"/>
      <c r="AQ1466" s="75"/>
      <c r="AR1466" s="76"/>
      <c r="AT1466" s="65"/>
      <c r="AU1466" s="77"/>
    </row>
    <row r="1467" spans="37:47">
      <c r="AK1467" s="12"/>
      <c r="AM1467" s="12"/>
      <c r="AN1467" s="75"/>
      <c r="AO1467" s="75"/>
      <c r="AP1467" s="75"/>
      <c r="AQ1467" s="75"/>
      <c r="AR1467" s="76"/>
      <c r="AT1467" s="65"/>
      <c r="AU1467" s="77"/>
    </row>
    <row r="1468" spans="37:47">
      <c r="AK1468" s="12"/>
      <c r="AM1468" s="12"/>
      <c r="AN1468" s="75"/>
      <c r="AO1468" s="75"/>
      <c r="AP1468" s="75"/>
      <c r="AQ1468" s="75"/>
      <c r="AR1468" s="76"/>
      <c r="AT1468" s="65"/>
      <c r="AU1468" s="77"/>
    </row>
    <row r="1469" spans="37:47">
      <c r="AK1469" s="12"/>
      <c r="AM1469" s="12"/>
      <c r="AN1469" s="75"/>
      <c r="AO1469" s="75"/>
      <c r="AP1469" s="75"/>
      <c r="AQ1469" s="75"/>
      <c r="AR1469" s="76"/>
      <c r="AT1469" s="65"/>
      <c r="AU1469" s="77"/>
    </row>
    <row r="1470" spans="37:47">
      <c r="AK1470" s="12"/>
      <c r="AM1470" s="12"/>
      <c r="AN1470" s="75"/>
      <c r="AO1470" s="75"/>
      <c r="AP1470" s="75"/>
      <c r="AQ1470" s="75"/>
      <c r="AR1470" s="76"/>
      <c r="AT1470" s="65"/>
      <c r="AU1470" s="77"/>
    </row>
    <row r="1471" spans="37:47">
      <c r="AK1471" s="12"/>
      <c r="AM1471" s="12"/>
      <c r="AN1471" s="75"/>
      <c r="AO1471" s="75"/>
      <c r="AP1471" s="75"/>
      <c r="AQ1471" s="75"/>
      <c r="AR1471" s="76"/>
      <c r="AT1471" s="65"/>
      <c r="AU1471" s="77"/>
    </row>
    <row r="1472" spans="37:47">
      <c r="AK1472" s="12"/>
      <c r="AM1472" s="12"/>
      <c r="AN1472" s="75"/>
      <c r="AO1472" s="75"/>
      <c r="AP1472" s="75"/>
      <c r="AQ1472" s="75"/>
      <c r="AR1472" s="76"/>
      <c r="AT1472" s="65"/>
      <c r="AU1472" s="77"/>
    </row>
    <row r="1473" spans="37:47">
      <c r="AK1473" s="12"/>
      <c r="AM1473" s="12"/>
      <c r="AN1473" s="75"/>
      <c r="AO1473" s="75"/>
      <c r="AP1473" s="75"/>
      <c r="AQ1473" s="75"/>
      <c r="AR1473" s="76"/>
      <c r="AT1473" s="65"/>
      <c r="AU1473" s="77"/>
    </row>
    <row r="1474" spans="37:47">
      <c r="AK1474" s="12"/>
      <c r="AM1474" s="12"/>
      <c r="AN1474" s="75"/>
      <c r="AO1474" s="75"/>
      <c r="AP1474" s="75"/>
      <c r="AQ1474" s="75"/>
      <c r="AR1474" s="76"/>
      <c r="AT1474" s="65"/>
      <c r="AU1474" s="77"/>
    </row>
    <row r="1475" spans="37:47">
      <c r="AK1475" s="12"/>
      <c r="AM1475" s="12"/>
      <c r="AN1475" s="75"/>
      <c r="AO1475" s="75"/>
      <c r="AP1475" s="75"/>
      <c r="AQ1475" s="75"/>
      <c r="AR1475" s="76"/>
      <c r="AT1475" s="65"/>
      <c r="AU1475" s="77"/>
    </row>
    <row r="1476" spans="37:47">
      <c r="AK1476" s="12"/>
      <c r="AM1476" s="12"/>
      <c r="AN1476" s="75"/>
      <c r="AO1476" s="75"/>
      <c r="AP1476" s="75"/>
      <c r="AQ1476" s="75"/>
      <c r="AR1476" s="76"/>
      <c r="AT1476" s="65"/>
      <c r="AU1476" s="77"/>
    </row>
    <row r="1477" spans="37:47">
      <c r="AK1477" s="12"/>
      <c r="AM1477" s="12"/>
      <c r="AN1477" s="75"/>
      <c r="AO1477" s="75"/>
      <c r="AP1477" s="75"/>
      <c r="AQ1477" s="75"/>
      <c r="AR1477" s="76"/>
      <c r="AT1477" s="65"/>
      <c r="AU1477" s="77"/>
    </row>
    <row r="1478" spans="37:47">
      <c r="AK1478" s="12"/>
      <c r="AM1478" s="12"/>
      <c r="AN1478" s="75"/>
      <c r="AO1478" s="75"/>
      <c r="AP1478" s="75"/>
      <c r="AQ1478" s="75"/>
      <c r="AR1478" s="76"/>
      <c r="AT1478" s="65"/>
      <c r="AU1478" s="77"/>
    </row>
    <row r="1479" spans="37:47">
      <c r="AK1479" s="12"/>
      <c r="AM1479" s="12"/>
      <c r="AN1479" s="75"/>
      <c r="AO1479" s="75"/>
      <c r="AP1479" s="75"/>
      <c r="AQ1479" s="75"/>
      <c r="AR1479" s="76"/>
      <c r="AT1479" s="65"/>
      <c r="AU1479" s="77"/>
    </row>
    <row r="1480" spans="37:47">
      <c r="AK1480" s="12"/>
      <c r="AM1480" s="12"/>
      <c r="AN1480" s="75"/>
      <c r="AO1480" s="75"/>
      <c r="AP1480" s="75"/>
      <c r="AQ1480" s="75"/>
      <c r="AR1480" s="76"/>
      <c r="AT1480" s="65"/>
      <c r="AU1480" s="77"/>
    </row>
    <row r="1481" spans="37:47">
      <c r="AK1481" s="12"/>
      <c r="AM1481" s="12"/>
      <c r="AN1481" s="75"/>
      <c r="AO1481" s="75"/>
      <c r="AP1481" s="75"/>
      <c r="AQ1481" s="75"/>
      <c r="AR1481" s="76"/>
      <c r="AT1481" s="65"/>
      <c r="AU1481" s="77"/>
    </row>
    <row r="1482" spans="37:47">
      <c r="AK1482" s="12"/>
      <c r="AM1482" s="12"/>
      <c r="AN1482" s="75"/>
      <c r="AO1482" s="75"/>
      <c r="AP1482" s="75"/>
      <c r="AQ1482" s="75"/>
      <c r="AR1482" s="76"/>
      <c r="AT1482" s="65"/>
      <c r="AU1482" s="77"/>
    </row>
    <row r="1483" spans="37:47">
      <c r="AK1483" s="12"/>
      <c r="AM1483" s="12"/>
      <c r="AN1483" s="75"/>
      <c r="AO1483" s="75"/>
      <c r="AP1483" s="75"/>
      <c r="AQ1483" s="75"/>
      <c r="AR1483" s="76"/>
      <c r="AT1483" s="65"/>
      <c r="AU1483" s="77"/>
    </row>
    <row r="1484" spans="37:47">
      <c r="AK1484" s="12"/>
      <c r="AM1484" s="12"/>
      <c r="AN1484" s="75"/>
      <c r="AO1484" s="75"/>
      <c r="AP1484" s="75"/>
      <c r="AQ1484" s="75"/>
      <c r="AR1484" s="76"/>
      <c r="AT1484" s="65"/>
      <c r="AU1484" s="77"/>
    </row>
    <row r="1485" spans="37:47">
      <c r="AK1485" s="12"/>
      <c r="AM1485" s="12"/>
      <c r="AN1485" s="75"/>
      <c r="AO1485" s="75"/>
      <c r="AP1485" s="75"/>
      <c r="AQ1485" s="75"/>
      <c r="AR1485" s="76"/>
      <c r="AT1485" s="65"/>
      <c r="AU1485" s="77"/>
    </row>
    <row r="1486" spans="37:47">
      <c r="AK1486" s="12"/>
      <c r="AM1486" s="12"/>
      <c r="AN1486" s="75"/>
      <c r="AO1486" s="75"/>
      <c r="AP1486" s="75"/>
      <c r="AQ1486" s="75"/>
      <c r="AR1486" s="76"/>
      <c r="AT1486" s="65"/>
      <c r="AU1486" s="77"/>
    </row>
    <row r="1487" spans="37:47">
      <c r="AK1487" s="12"/>
      <c r="AM1487" s="12"/>
      <c r="AN1487" s="75"/>
      <c r="AO1487" s="75"/>
      <c r="AP1487" s="75"/>
      <c r="AQ1487" s="75"/>
      <c r="AR1487" s="76"/>
      <c r="AT1487" s="65"/>
      <c r="AU1487" s="77"/>
    </row>
    <row r="1488" spans="37:47">
      <c r="AK1488" s="12"/>
      <c r="AM1488" s="12"/>
      <c r="AN1488" s="75"/>
      <c r="AO1488" s="75"/>
      <c r="AP1488" s="75"/>
      <c r="AQ1488" s="75"/>
      <c r="AR1488" s="76"/>
      <c r="AT1488" s="65"/>
      <c r="AU1488" s="77"/>
    </row>
    <row r="1489" spans="37:47">
      <c r="AK1489" s="12"/>
      <c r="AM1489" s="12"/>
      <c r="AN1489" s="75"/>
      <c r="AO1489" s="75"/>
      <c r="AP1489" s="75"/>
      <c r="AQ1489" s="75"/>
      <c r="AR1489" s="76"/>
      <c r="AT1489" s="65"/>
      <c r="AU1489" s="77"/>
    </row>
    <row r="1490" spans="37:47">
      <c r="AK1490" s="12"/>
      <c r="AM1490" s="12"/>
      <c r="AN1490" s="75"/>
      <c r="AO1490" s="75"/>
      <c r="AP1490" s="75"/>
      <c r="AQ1490" s="75"/>
      <c r="AR1490" s="76"/>
      <c r="AT1490" s="65"/>
      <c r="AU1490" s="77"/>
    </row>
    <row r="1491" spans="37:47">
      <c r="AK1491" s="12"/>
      <c r="AM1491" s="12"/>
      <c r="AN1491" s="75"/>
      <c r="AO1491" s="75"/>
      <c r="AP1491" s="75"/>
      <c r="AQ1491" s="75"/>
      <c r="AR1491" s="76"/>
      <c r="AT1491" s="65"/>
      <c r="AU1491" s="77"/>
    </row>
    <row r="1492" spans="37:47">
      <c r="AK1492" s="12"/>
      <c r="AM1492" s="12"/>
      <c r="AN1492" s="75"/>
      <c r="AO1492" s="75"/>
      <c r="AP1492" s="75"/>
      <c r="AQ1492" s="75"/>
      <c r="AR1492" s="76"/>
      <c r="AT1492" s="65"/>
      <c r="AU1492" s="77"/>
    </row>
    <row r="1493" spans="37:47">
      <c r="AK1493" s="12"/>
      <c r="AM1493" s="12"/>
      <c r="AN1493" s="75"/>
      <c r="AO1493" s="75"/>
      <c r="AP1493" s="75"/>
      <c r="AQ1493" s="75"/>
      <c r="AR1493" s="76"/>
      <c r="AT1493" s="65"/>
      <c r="AU1493" s="77"/>
    </row>
    <row r="1494" spans="37:47">
      <c r="AK1494" s="12"/>
      <c r="AM1494" s="12"/>
      <c r="AN1494" s="75"/>
      <c r="AO1494" s="75"/>
      <c r="AP1494" s="75"/>
      <c r="AQ1494" s="75"/>
      <c r="AR1494" s="76"/>
      <c r="AT1494" s="65"/>
      <c r="AU1494" s="77"/>
    </row>
    <row r="1495" spans="37:47">
      <c r="AK1495" s="12"/>
      <c r="AM1495" s="12"/>
      <c r="AN1495" s="75"/>
      <c r="AO1495" s="75"/>
      <c r="AP1495" s="75"/>
      <c r="AQ1495" s="75"/>
      <c r="AR1495" s="76"/>
      <c r="AT1495" s="65"/>
      <c r="AU1495" s="77"/>
    </row>
    <row r="1496" spans="37:47">
      <c r="AK1496" s="12"/>
      <c r="AM1496" s="12"/>
      <c r="AN1496" s="75"/>
      <c r="AO1496" s="75"/>
      <c r="AP1496" s="75"/>
      <c r="AQ1496" s="75"/>
      <c r="AR1496" s="76"/>
      <c r="AT1496" s="65"/>
      <c r="AU1496" s="77"/>
    </row>
    <row r="1497" spans="37:47">
      <c r="AK1497" s="12"/>
      <c r="AM1497" s="12"/>
      <c r="AN1497" s="75"/>
      <c r="AO1497" s="75"/>
      <c r="AP1497" s="75"/>
      <c r="AQ1497" s="75"/>
      <c r="AR1497" s="76"/>
      <c r="AT1497" s="65"/>
      <c r="AU1497" s="77"/>
    </row>
    <row r="1498" spans="37:47">
      <c r="AK1498" s="12"/>
      <c r="AM1498" s="12"/>
      <c r="AN1498" s="75"/>
      <c r="AO1498" s="75"/>
      <c r="AP1498" s="75"/>
      <c r="AQ1498" s="75"/>
      <c r="AR1498" s="76"/>
      <c r="AT1498" s="65"/>
      <c r="AU1498" s="77"/>
    </row>
    <row r="1499" spans="37:47">
      <c r="AK1499" s="12"/>
      <c r="AM1499" s="12"/>
      <c r="AN1499" s="75"/>
      <c r="AO1499" s="75"/>
      <c r="AP1499" s="75"/>
      <c r="AQ1499" s="75"/>
      <c r="AR1499" s="76"/>
      <c r="AT1499" s="65"/>
      <c r="AU1499" s="77"/>
    </row>
    <row r="1500" spans="37:47">
      <c r="AK1500" s="12"/>
      <c r="AM1500" s="12"/>
      <c r="AN1500" s="75"/>
      <c r="AO1500" s="75"/>
      <c r="AP1500" s="75"/>
      <c r="AQ1500" s="75"/>
      <c r="AR1500" s="76"/>
      <c r="AT1500" s="65"/>
      <c r="AU1500" s="77"/>
    </row>
    <row r="1501" spans="37:47">
      <c r="AK1501" s="12"/>
      <c r="AM1501" s="12"/>
      <c r="AN1501" s="75"/>
      <c r="AO1501" s="75"/>
      <c r="AP1501" s="75"/>
      <c r="AQ1501" s="75"/>
      <c r="AR1501" s="76"/>
      <c r="AT1501" s="65"/>
      <c r="AU1501" s="77"/>
    </row>
    <row r="1502" spans="37:47">
      <c r="AK1502" s="12"/>
      <c r="AM1502" s="12"/>
      <c r="AN1502" s="75"/>
      <c r="AO1502" s="75"/>
      <c r="AP1502" s="75"/>
      <c r="AQ1502" s="75"/>
      <c r="AR1502" s="76"/>
      <c r="AT1502" s="65"/>
      <c r="AU1502" s="77"/>
    </row>
    <row r="1503" spans="37:47">
      <c r="AK1503" s="12"/>
      <c r="AM1503" s="12"/>
      <c r="AN1503" s="75"/>
      <c r="AO1503" s="75"/>
      <c r="AP1503" s="75"/>
      <c r="AQ1503" s="75"/>
      <c r="AR1503" s="76"/>
      <c r="AT1503" s="65"/>
      <c r="AU1503" s="77"/>
    </row>
    <row r="1504" spans="37:47">
      <c r="AK1504" s="12"/>
      <c r="AM1504" s="12"/>
      <c r="AN1504" s="75"/>
      <c r="AO1504" s="75"/>
      <c r="AP1504" s="75"/>
      <c r="AQ1504" s="75"/>
      <c r="AR1504" s="76"/>
      <c r="AT1504" s="65"/>
      <c r="AU1504" s="77"/>
    </row>
    <row r="1505" spans="37:47">
      <c r="AK1505" s="12"/>
      <c r="AM1505" s="12"/>
      <c r="AN1505" s="75"/>
      <c r="AO1505" s="75"/>
      <c r="AP1505" s="75"/>
      <c r="AQ1505" s="75"/>
      <c r="AR1505" s="76"/>
      <c r="AT1505" s="65"/>
      <c r="AU1505" s="77"/>
    </row>
    <row r="1506" spans="37:47">
      <c r="AK1506" s="12"/>
      <c r="AM1506" s="12"/>
      <c r="AN1506" s="75"/>
      <c r="AO1506" s="75"/>
      <c r="AP1506" s="75"/>
      <c r="AQ1506" s="75"/>
      <c r="AR1506" s="76"/>
      <c r="AT1506" s="65"/>
      <c r="AU1506" s="77"/>
    </row>
    <row r="1507" spans="37:47">
      <c r="AK1507" s="12"/>
      <c r="AM1507" s="12"/>
      <c r="AN1507" s="75"/>
      <c r="AO1507" s="75"/>
      <c r="AP1507" s="75"/>
      <c r="AQ1507" s="75"/>
      <c r="AR1507" s="76"/>
      <c r="AT1507" s="65"/>
      <c r="AU1507" s="77"/>
    </row>
    <row r="1508" spans="37:47">
      <c r="AK1508" s="12"/>
      <c r="AM1508" s="12"/>
      <c r="AN1508" s="75"/>
      <c r="AO1508" s="75"/>
      <c r="AP1508" s="75"/>
      <c r="AQ1508" s="75"/>
      <c r="AR1508" s="76"/>
      <c r="AT1508" s="65"/>
      <c r="AU1508" s="77"/>
    </row>
    <row r="1509" spans="37:47">
      <c r="AK1509" s="12"/>
      <c r="AM1509" s="12"/>
      <c r="AN1509" s="75"/>
      <c r="AO1509" s="75"/>
      <c r="AP1509" s="75"/>
      <c r="AQ1509" s="75"/>
      <c r="AR1509" s="76"/>
      <c r="AT1509" s="65"/>
      <c r="AU1509" s="77"/>
    </row>
    <row r="1510" spans="37:47">
      <c r="AK1510" s="12"/>
      <c r="AM1510" s="12"/>
      <c r="AN1510" s="75"/>
      <c r="AO1510" s="75"/>
      <c r="AP1510" s="75"/>
      <c r="AQ1510" s="75"/>
      <c r="AR1510" s="76"/>
      <c r="AT1510" s="65"/>
      <c r="AU1510" s="77"/>
    </row>
    <row r="1511" spans="37:47">
      <c r="AK1511" s="12"/>
      <c r="AM1511" s="12"/>
      <c r="AN1511" s="75"/>
      <c r="AO1511" s="75"/>
      <c r="AP1511" s="75"/>
      <c r="AQ1511" s="75"/>
      <c r="AR1511" s="76"/>
      <c r="AT1511" s="65"/>
      <c r="AU1511" s="77"/>
    </row>
    <row r="1512" spans="37:47">
      <c r="AK1512" s="12"/>
      <c r="AM1512" s="12"/>
      <c r="AN1512" s="75"/>
      <c r="AO1512" s="75"/>
      <c r="AP1512" s="75"/>
      <c r="AQ1512" s="75"/>
      <c r="AR1512" s="76"/>
      <c r="AT1512" s="65"/>
      <c r="AU1512" s="77"/>
    </row>
    <row r="1513" spans="37:47">
      <c r="AK1513" s="12"/>
      <c r="AM1513" s="12"/>
      <c r="AN1513" s="75"/>
      <c r="AO1513" s="75"/>
      <c r="AP1513" s="75"/>
      <c r="AQ1513" s="75"/>
      <c r="AR1513" s="76"/>
      <c r="AT1513" s="65"/>
      <c r="AU1513" s="77"/>
    </row>
    <row r="1514" spans="37:47">
      <c r="AK1514" s="12"/>
      <c r="AM1514" s="12"/>
      <c r="AN1514" s="75"/>
      <c r="AO1514" s="75"/>
      <c r="AP1514" s="75"/>
      <c r="AQ1514" s="75"/>
      <c r="AR1514" s="76"/>
      <c r="AT1514" s="65"/>
      <c r="AU1514" s="77"/>
    </row>
    <row r="1515" spans="37:47">
      <c r="AK1515" s="12"/>
      <c r="AM1515" s="12"/>
      <c r="AN1515" s="75"/>
      <c r="AO1515" s="75"/>
      <c r="AP1515" s="75"/>
      <c r="AQ1515" s="75"/>
      <c r="AR1515" s="76"/>
      <c r="AT1515" s="65"/>
      <c r="AU1515" s="77"/>
    </row>
    <row r="1516" spans="37:47">
      <c r="AK1516" s="12"/>
      <c r="AM1516" s="12"/>
      <c r="AN1516" s="75"/>
      <c r="AO1516" s="75"/>
      <c r="AP1516" s="75"/>
      <c r="AQ1516" s="75"/>
      <c r="AR1516" s="76"/>
      <c r="AT1516" s="65"/>
      <c r="AU1516" s="77"/>
    </row>
    <row r="1517" spans="37:47">
      <c r="AK1517" s="12"/>
      <c r="AM1517" s="12"/>
      <c r="AN1517" s="75"/>
      <c r="AO1517" s="75"/>
      <c r="AP1517" s="75"/>
      <c r="AQ1517" s="75"/>
      <c r="AR1517" s="76"/>
      <c r="AT1517" s="65"/>
      <c r="AU1517" s="77"/>
    </row>
    <row r="1518" spans="37:47">
      <c r="AK1518" s="12"/>
      <c r="AM1518" s="12"/>
      <c r="AN1518" s="75"/>
      <c r="AO1518" s="75"/>
      <c r="AP1518" s="75"/>
      <c r="AQ1518" s="75"/>
      <c r="AR1518" s="76"/>
      <c r="AT1518" s="65"/>
      <c r="AU1518" s="77"/>
    </row>
    <row r="1519" spans="37:47">
      <c r="AK1519" s="12"/>
      <c r="AM1519" s="12"/>
      <c r="AN1519" s="75"/>
      <c r="AO1519" s="75"/>
      <c r="AP1519" s="75"/>
      <c r="AQ1519" s="75"/>
      <c r="AR1519" s="76"/>
      <c r="AT1519" s="65"/>
      <c r="AU1519" s="77"/>
    </row>
    <row r="1520" spans="37:47">
      <c r="AK1520" s="12"/>
      <c r="AM1520" s="12"/>
      <c r="AN1520" s="75"/>
      <c r="AO1520" s="75"/>
      <c r="AP1520" s="75"/>
      <c r="AQ1520" s="75"/>
      <c r="AR1520" s="76"/>
      <c r="AT1520" s="65"/>
      <c r="AU1520" s="77"/>
    </row>
    <row r="1521" spans="37:47">
      <c r="AK1521" s="12"/>
      <c r="AM1521" s="12"/>
      <c r="AN1521" s="75"/>
      <c r="AO1521" s="75"/>
      <c r="AP1521" s="75"/>
      <c r="AQ1521" s="75"/>
      <c r="AR1521" s="76"/>
      <c r="AT1521" s="65"/>
      <c r="AU1521" s="77"/>
    </row>
    <row r="1522" spans="37:47">
      <c r="AK1522" s="12"/>
      <c r="AM1522" s="12"/>
      <c r="AN1522" s="75"/>
      <c r="AO1522" s="75"/>
      <c r="AP1522" s="75"/>
      <c r="AQ1522" s="75"/>
      <c r="AR1522" s="76"/>
      <c r="AT1522" s="65"/>
      <c r="AU1522" s="77"/>
    </row>
    <row r="1523" spans="37:47">
      <c r="AK1523" s="12"/>
      <c r="AM1523" s="12"/>
      <c r="AN1523" s="75"/>
      <c r="AO1523" s="75"/>
      <c r="AP1523" s="75"/>
      <c r="AQ1523" s="75"/>
      <c r="AR1523" s="76"/>
      <c r="AT1523" s="65"/>
      <c r="AU1523" s="77"/>
    </row>
    <row r="1524" spans="37:47">
      <c r="AK1524" s="12"/>
      <c r="AM1524" s="12"/>
      <c r="AN1524" s="75"/>
      <c r="AO1524" s="75"/>
      <c r="AP1524" s="75"/>
      <c r="AQ1524" s="75"/>
      <c r="AR1524" s="76"/>
      <c r="AT1524" s="65"/>
      <c r="AU1524" s="77"/>
    </row>
    <row r="1525" spans="37:47">
      <c r="AK1525" s="12"/>
      <c r="AM1525" s="12"/>
      <c r="AN1525" s="75"/>
      <c r="AO1525" s="75"/>
      <c r="AP1525" s="75"/>
      <c r="AQ1525" s="75"/>
      <c r="AR1525" s="76"/>
      <c r="AT1525" s="65"/>
      <c r="AU1525" s="77"/>
    </row>
    <row r="1526" spans="37:47">
      <c r="AK1526" s="12"/>
      <c r="AM1526" s="12"/>
      <c r="AN1526" s="75"/>
      <c r="AO1526" s="75"/>
      <c r="AP1526" s="75"/>
      <c r="AQ1526" s="75"/>
      <c r="AR1526" s="76"/>
      <c r="AT1526" s="65"/>
      <c r="AU1526" s="77"/>
    </row>
    <row r="1527" spans="37:47">
      <c r="AK1527" s="12"/>
      <c r="AM1527" s="12"/>
      <c r="AN1527" s="75"/>
      <c r="AO1527" s="75"/>
      <c r="AP1527" s="75"/>
      <c r="AQ1527" s="75"/>
      <c r="AR1527" s="76"/>
      <c r="AT1527" s="65"/>
      <c r="AU1527" s="77"/>
    </row>
    <row r="1528" spans="37:47">
      <c r="AK1528" s="12"/>
      <c r="AM1528" s="12"/>
      <c r="AN1528" s="75"/>
      <c r="AO1528" s="75"/>
      <c r="AP1528" s="75"/>
      <c r="AQ1528" s="75"/>
      <c r="AR1528" s="76"/>
      <c r="AT1528" s="65"/>
      <c r="AU1528" s="77"/>
    </row>
    <row r="1529" spans="37:47">
      <c r="AK1529" s="12"/>
      <c r="AM1529" s="12"/>
      <c r="AN1529" s="75"/>
      <c r="AO1529" s="75"/>
      <c r="AP1529" s="75"/>
      <c r="AQ1529" s="75"/>
      <c r="AR1529" s="76"/>
      <c r="AT1529" s="65"/>
      <c r="AU1529" s="77"/>
    </row>
    <row r="1530" spans="37:47">
      <c r="AK1530" s="12"/>
      <c r="AM1530" s="12"/>
      <c r="AN1530" s="75"/>
      <c r="AO1530" s="75"/>
      <c r="AP1530" s="75"/>
      <c r="AQ1530" s="75"/>
      <c r="AR1530" s="76"/>
      <c r="AT1530" s="65"/>
      <c r="AU1530" s="77"/>
    </row>
    <row r="1531" spans="37:47">
      <c r="AK1531" s="12"/>
      <c r="AM1531" s="12"/>
      <c r="AN1531" s="75"/>
      <c r="AO1531" s="75"/>
      <c r="AP1531" s="75"/>
      <c r="AQ1531" s="75"/>
      <c r="AR1531" s="76"/>
      <c r="AT1531" s="65"/>
      <c r="AU1531" s="77"/>
    </row>
    <row r="1532" spans="37:47">
      <c r="AK1532" s="12"/>
      <c r="AM1532" s="12"/>
      <c r="AN1532" s="75"/>
      <c r="AO1532" s="75"/>
      <c r="AP1532" s="75"/>
      <c r="AQ1532" s="75"/>
      <c r="AR1532" s="76"/>
      <c r="AT1532" s="65"/>
      <c r="AU1532" s="77"/>
    </row>
    <row r="1533" spans="37:47">
      <c r="AK1533" s="12"/>
      <c r="AM1533" s="12"/>
      <c r="AN1533" s="75"/>
      <c r="AO1533" s="75"/>
      <c r="AP1533" s="75"/>
      <c r="AQ1533" s="75"/>
      <c r="AR1533" s="76"/>
      <c r="AT1533" s="65"/>
      <c r="AU1533" s="77"/>
    </row>
    <row r="1534" spans="37:47">
      <c r="AK1534" s="12"/>
      <c r="AM1534" s="12"/>
      <c r="AN1534" s="75"/>
      <c r="AO1534" s="75"/>
      <c r="AP1534" s="75"/>
      <c r="AQ1534" s="75"/>
      <c r="AR1534" s="76"/>
      <c r="AT1534" s="65"/>
      <c r="AU1534" s="77"/>
    </row>
    <row r="1535" spans="37:47">
      <c r="AK1535" s="12"/>
      <c r="AM1535" s="12"/>
      <c r="AN1535" s="75"/>
      <c r="AO1535" s="75"/>
      <c r="AP1535" s="75"/>
      <c r="AQ1535" s="75"/>
      <c r="AR1535" s="76"/>
      <c r="AT1535" s="65"/>
      <c r="AU1535" s="77"/>
    </row>
    <row r="1536" spans="37:47">
      <c r="AK1536" s="12"/>
      <c r="AM1536" s="12"/>
      <c r="AN1536" s="75"/>
      <c r="AO1536" s="75"/>
      <c r="AP1536" s="75"/>
      <c r="AQ1536" s="75"/>
      <c r="AR1536" s="76"/>
      <c r="AT1536" s="65"/>
      <c r="AU1536" s="77"/>
    </row>
    <row r="1537" spans="37:47">
      <c r="AK1537" s="12"/>
      <c r="AM1537" s="12"/>
      <c r="AN1537" s="75"/>
      <c r="AO1537" s="75"/>
      <c r="AP1537" s="75"/>
      <c r="AQ1537" s="75"/>
      <c r="AR1537" s="76"/>
      <c r="AT1537" s="65"/>
      <c r="AU1537" s="77"/>
    </row>
    <row r="1538" spans="37:47">
      <c r="AK1538" s="12"/>
      <c r="AM1538" s="12"/>
      <c r="AN1538" s="75"/>
      <c r="AO1538" s="75"/>
      <c r="AP1538" s="75"/>
      <c r="AQ1538" s="75"/>
      <c r="AR1538" s="76"/>
      <c r="AT1538" s="65"/>
      <c r="AU1538" s="77"/>
    </row>
    <row r="1539" spans="37:47">
      <c r="AK1539" s="12"/>
      <c r="AM1539" s="12"/>
      <c r="AN1539" s="75"/>
      <c r="AO1539" s="75"/>
      <c r="AP1539" s="75"/>
      <c r="AQ1539" s="75"/>
      <c r="AR1539" s="76"/>
      <c r="AT1539" s="65"/>
      <c r="AU1539" s="77"/>
    </row>
    <row r="1540" spans="37:47">
      <c r="AK1540" s="12"/>
      <c r="AM1540" s="12"/>
      <c r="AN1540" s="75"/>
      <c r="AO1540" s="75"/>
      <c r="AP1540" s="75"/>
      <c r="AQ1540" s="75"/>
      <c r="AR1540" s="76"/>
      <c r="AT1540" s="65"/>
      <c r="AU1540" s="77"/>
    </row>
    <row r="1541" spans="37:47">
      <c r="AK1541" s="12"/>
      <c r="AM1541" s="12"/>
      <c r="AN1541" s="75"/>
      <c r="AO1541" s="75"/>
      <c r="AP1541" s="75"/>
      <c r="AQ1541" s="75"/>
      <c r="AR1541" s="76"/>
      <c r="AT1541" s="65"/>
      <c r="AU1541" s="77"/>
    </row>
    <row r="1542" spans="37:47">
      <c r="AK1542" s="12"/>
      <c r="AM1542" s="12"/>
      <c r="AN1542" s="75"/>
      <c r="AO1542" s="75"/>
      <c r="AP1542" s="75"/>
      <c r="AQ1542" s="75"/>
      <c r="AR1542" s="76"/>
      <c r="AT1542" s="65"/>
      <c r="AU1542" s="77"/>
    </row>
    <row r="1543" spans="37:47">
      <c r="AK1543" s="12"/>
      <c r="AM1543" s="12"/>
      <c r="AN1543" s="75"/>
      <c r="AO1543" s="75"/>
      <c r="AP1543" s="75"/>
      <c r="AQ1543" s="75"/>
      <c r="AR1543" s="76"/>
      <c r="AT1543" s="65"/>
      <c r="AU1543" s="77"/>
    </row>
    <row r="1544" spans="37:47">
      <c r="AK1544" s="12"/>
      <c r="AM1544" s="12"/>
      <c r="AN1544" s="75"/>
      <c r="AO1544" s="75"/>
      <c r="AP1544" s="75"/>
      <c r="AQ1544" s="75"/>
      <c r="AR1544" s="76"/>
      <c r="AT1544" s="65"/>
      <c r="AU1544" s="77"/>
    </row>
    <row r="1545" spans="37:47">
      <c r="AK1545" s="12"/>
      <c r="AM1545" s="12"/>
      <c r="AN1545" s="75"/>
      <c r="AO1545" s="75"/>
      <c r="AP1545" s="75"/>
      <c r="AQ1545" s="75"/>
      <c r="AR1545" s="76"/>
      <c r="AT1545" s="65"/>
      <c r="AU1545" s="77"/>
    </row>
    <row r="1546" spans="37:47">
      <c r="AK1546" s="12"/>
      <c r="AM1546" s="12"/>
      <c r="AN1546" s="75"/>
      <c r="AO1546" s="75"/>
      <c r="AP1546" s="75"/>
      <c r="AQ1546" s="75"/>
      <c r="AR1546" s="76"/>
      <c r="AT1546" s="65"/>
      <c r="AU1546" s="77"/>
    </row>
    <row r="1547" spans="37:47">
      <c r="AK1547" s="12"/>
      <c r="AM1547" s="12"/>
      <c r="AN1547" s="75"/>
      <c r="AO1547" s="75"/>
      <c r="AP1547" s="75"/>
      <c r="AQ1547" s="75"/>
      <c r="AR1547" s="76"/>
      <c r="AT1547" s="65"/>
      <c r="AU1547" s="77"/>
    </row>
    <row r="1548" spans="37:47">
      <c r="AK1548" s="12"/>
      <c r="AM1548" s="12"/>
      <c r="AN1548" s="75"/>
      <c r="AO1548" s="75"/>
      <c r="AP1548" s="75"/>
      <c r="AQ1548" s="75"/>
      <c r="AR1548" s="76"/>
      <c r="AT1548" s="65"/>
      <c r="AU1548" s="77"/>
    </row>
    <row r="1549" spans="37:47">
      <c r="AK1549" s="12"/>
      <c r="AM1549" s="12"/>
      <c r="AN1549" s="75"/>
      <c r="AO1549" s="75"/>
      <c r="AP1549" s="75"/>
      <c r="AQ1549" s="75"/>
      <c r="AR1549" s="76"/>
      <c r="AT1549" s="65"/>
      <c r="AU1549" s="77"/>
    </row>
    <row r="1550" spans="37:47">
      <c r="AK1550" s="12"/>
      <c r="AM1550" s="12"/>
      <c r="AN1550" s="75"/>
      <c r="AO1550" s="75"/>
      <c r="AP1550" s="75"/>
      <c r="AQ1550" s="75"/>
      <c r="AR1550" s="76"/>
      <c r="AT1550" s="65"/>
      <c r="AU1550" s="77"/>
    </row>
    <row r="1551" spans="37:47">
      <c r="AK1551" s="12"/>
      <c r="AM1551" s="12"/>
      <c r="AN1551" s="75"/>
      <c r="AO1551" s="75"/>
      <c r="AP1551" s="75"/>
      <c r="AQ1551" s="75"/>
      <c r="AR1551" s="76"/>
      <c r="AT1551" s="65"/>
      <c r="AU1551" s="77"/>
    </row>
    <row r="1552" spans="37:47">
      <c r="AK1552" s="12"/>
      <c r="AM1552" s="12"/>
      <c r="AN1552" s="75"/>
      <c r="AO1552" s="75"/>
      <c r="AP1552" s="75"/>
      <c r="AQ1552" s="75"/>
      <c r="AR1552" s="76"/>
      <c r="AT1552" s="65"/>
      <c r="AU1552" s="77"/>
    </row>
    <row r="1553" spans="37:47">
      <c r="AK1553" s="12"/>
      <c r="AM1553" s="12"/>
      <c r="AN1553" s="75"/>
      <c r="AO1553" s="75"/>
      <c r="AP1553" s="75"/>
      <c r="AQ1553" s="75"/>
      <c r="AR1553" s="76"/>
      <c r="AT1553" s="65"/>
      <c r="AU1553" s="77"/>
    </row>
    <row r="1554" spans="37:47">
      <c r="AK1554" s="12"/>
      <c r="AM1554" s="12"/>
      <c r="AN1554" s="75"/>
      <c r="AO1554" s="75"/>
      <c r="AP1554" s="75"/>
      <c r="AQ1554" s="75"/>
      <c r="AR1554" s="76"/>
      <c r="AT1554" s="65"/>
      <c r="AU1554" s="77"/>
    </row>
    <row r="1555" spans="37:47">
      <c r="AK1555" s="12"/>
      <c r="AM1555" s="12"/>
      <c r="AN1555" s="75"/>
      <c r="AO1555" s="75"/>
      <c r="AP1555" s="75"/>
      <c r="AQ1555" s="75"/>
      <c r="AR1555" s="76"/>
      <c r="AT1555" s="65"/>
      <c r="AU1555" s="77"/>
    </row>
    <row r="1556" spans="37:47">
      <c r="AK1556" s="12"/>
      <c r="AM1556" s="12"/>
      <c r="AN1556" s="75"/>
      <c r="AO1556" s="75"/>
      <c r="AP1556" s="75"/>
      <c r="AQ1556" s="75"/>
      <c r="AR1556" s="76"/>
      <c r="AT1556" s="65"/>
      <c r="AU1556" s="77"/>
    </row>
    <row r="1557" spans="37:47">
      <c r="AK1557" s="12"/>
      <c r="AM1557" s="12"/>
      <c r="AN1557" s="75"/>
      <c r="AO1557" s="75"/>
      <c r="AP1557" s="75"/>
      <c r="AQ1557" s="75"/>
      <c r="AR1557" s="76"/>
      <c r="AT1557" s="65"/>
      <c r="AU1557" s="77"/>
    </row>
    <row r="1558" spans="37:47">
      <c r="AK1558" s="12"/>
      <c r="AM1558" s="12"/>
      <c r="AN1558" s="75"/>
      <c r="AO1558" s="75"/>
      <c r="AP1558" s="75"/>
      <c r="AQ1558" s="75"/>
      <c r="AR1558" s="76"/>
      <c r="AT1558" s="65"/>
      <c r="AU1558" s="77"/>
    </row>
    <row r="1559" spans="37:47">
      <c r="AK1559" s="12"/>
      <c r="AM1559" s="12"/>
      <c r="AN1559" s="75"/>
      <c r="AO1559" s="75"/>
      <c r="AP1559" s="75"/>
      <c r="AQ1559" s="75"/>
      <c r="AR1559" s="76"/>
      <c r="AT1559" s="65"/>
      <c r="AU1559" s="77"/>
    </row>
    <row r="1560" spans="37:47">
      <c r="AK1560" s="12"/>
      <c r="AM1560" s="12"/>
      <c r="AN1560" s="75"/>
      <c r="AO1560" s="75"/>
      <c r="AP1560" s="75"/>
      <c r="AQ1560" s="75"/>
      <c r="AR1560" s="76"/>
      <c r="AT1560" s="65"/>
      <c r="AU1560" s="77"/>
    </row>
    <row r="1561" spans="37:47">
      <c r="AK1561" s="12"/>
      <c r="AM1561" s="12"/>
      <c r="AN1561" s="75"/>
      <c r="AO1561" s="75"/>
      <c r="AP1561" s="75"/>
      <c r="AQ1561" s="75"/>
      <c r="AR1561" s="76"/>
      <c r="AT1561" s="65"/>
      <c r="AU1561" s="77"/>
    </row>
    <row r="1562" spans="37:47">
      <c r="AK1562" s="12"/>
      <c r="AM1562" s="12"/>
      <c r="AN1562" s="75"/>
      <c r="AO1562" s="75"/>
      <c r="AP1562" s="75"/>
      <c r="AQ1562" s="75"/>
      <c r="AR1562" s="76"/>
      <c r="AT1562" s="65"/>
      <c r="AU1562" s="77"/>
    </row>
    <row r="1563" spans="37:47">
      <c r="AK1563" s="12"/>
      <c r="AM1563" s="12"/>
      <c r="AN1563" s="75"/>
      <c r="AO1563" s="75"/>
      <c r="AP1563" s="75"/>
      <c r="AQ1563" s="75"/>
      <c r="AR1563" s="76"/>
      <c r="AT1563" s="65"/>
      <c r="AU1563" s="77"/>
    </row>
    <row r="1564" spans="37:47">
      <c r="AK1564" s="12"/>
      <c r="AM1564" s="12"/>
      <c r="AN1564" s="75"/>
      <c r="AO1564" s="75"/>
      <c r="AP1564" s="75"/>
      <c r="AQ1564" s="75"/>
      <c r="AR1564" s="76"/>
      <c r="AT1564" s="65"/>
      <c r="AU1564" s="77"/>
    </row>
    <row r="1565" spans="37:47">
      <c r="AK1565" s="12"/>
      <c r="AM1565" s="12"/>
      <c r="AN1565" s="75"/>
      <c r="AO1565" s="75"/>
      <c r="AP1565" s="75"/>
      <c r="AQ1565" s="75"/>
      <c r="AR1565" s="76"/>
      <c r="AT1565" s="65"/>
      <c r="AU1565" s="77"/>
    </row>
    <row r="1566" spans="37:47">
      <c r="AK1566" s="12"/>
      <c r="AM1566" s="12"/>
      <c r="AN1566" s="75"/>
      <c r="AO1566" s="75"/>
      <c r="AP1566" s="75"/>
      <c r="AQ1566" s="75"/>
      <c r="AR1566" s="76"/>
      <c r="AT1566" s="65"/>
      <c r="AU1566" s="77"/>
    </row>
    <row r="1567" spans="37:47">
      <c r="AK1567" s="12"/>
      <c r="AM1567" s="12"/>
      <c r="AN1567" s="75"/>
      <c r="AO1567" s="75"/>
      <c r="AP1567" s="75"/>
      <c r="AQ1567" s="75"/>
      <c r="AR1567" s="76"/>
      <c r="AT1567" s="65"/>
      <c r="AU1567" s="77"/>
    </row>
    <row r="1568" spans="37:47">
      <c r="AK1568" s="12"/>
      <c r="AM1568" s="12"/>
      <c r="AN1568" s="75"/>
      <c r="AO1568" s="75"/>
      <c r="AP1568" s="75"/>
      <c r="AQ1568" s="75"/>
      <c r="AR1568" s="76"/>
      <c r="AT1568" s="65"/>
      <c r="AU1568" s="77"/>
    </row>
    <row r="1569" spans="37:47">
      <c r="AK1569" s="12"/>
      <c r="AM1569" s="12"/>
      <c r="AN1569" s="75"/>
      <c r="AO1569" s="75"/>
      <c r="AP1569" s="75"/>
      <c r="AQ1569" s="75"/>
      <c r="AR1569" s="76"/>
      <c r="AT1569" s="65"/>
      <c r="AU1569" s="77"/>
    </row>
    <row r="1570" spans="37:47">
      <c r="AK1570" s="12"/>
      <c r="AM1570" s="12"/>
      <c r="AN1570" s="75"/>
      <c r="AO1570" s="75"/>
      <c r="AP1570" s="75"/>
      <c r="AQ1570" s="75"/>
      <c r="AR1570" s="76"/>
      <c r="AT1570" s="65"/>
      <c r="AU1570" s="77"/>
    </row>
    <row r="1571" spans="37:47">
      <c r="AK1571" s="12"/>
      <c r="AM1571" s="12"/>
      <c r="AN1571" s="75"/>
      <c r="AO1571" s="75"/>
      <c r="AP1571" s="75"/>
      <c r="AQ1571" s="75"/>
      <c r="AR1571" s="76"/>
      <c r="AT1571" s="65"/>
      <c r="AU1571" s="77"/>
    </row>
    <row r="1572" spans="37:47">
      <c r="AK1572" s="12"/>
      <c r="AM1572" s="12"/>
      <c r="AN1572" s="75"/>
      <c r="AO1572" s="75"/>
      <c r="AP1572" s="75"/>
      <c r="AQ1572" s="75"/>
      <c r="AR1572" s="76"/>
      <c r="AT1572" s="65"/>
      <c r="AU1572" s="77"/>
    </row>
    <row r="1573" spans="37:47">
      <c r="AK1573" s="12"/>
      <c r="AM1573" s="12"/>
      <c r="AN1573" s="75"/>
      <c r="AO1573" s="75"/>
      <c r="AP1573" s="75"/>
      <c r="AQ1573" s="75"/>
      <c r="AR1573" s="76"/>
      <c r="AT1573" s="65"/>
      <c r="AU1573" s="77"/>
    </row>
    <row r="1574" spans="37:47">
      <c r="AK1574" s="12"/>
      <c r="AM1574" s="12"/>
      <c r="AN1574" s="75"/>
      <c r="AO1574" s="75"/>
      <c r="AP1574" s="75"/>
      <c r="AQ1574" s="75"/>
      <c r="AR1574" s="76"/>
      <c r="AT1574" s="65"/>
      <c r="AU1574" s="77"/>
    </row>
    <row r="1575" spans="37:47">
      <c r="AK1575" s="12"/>
      <c r="AM1575" s="12"/>
      <c r="AN1575" s="75"/>
      <c r="AO1575" s="75"/>
      <c r="AP1575" s="75"/>
      <c r="AQ1575" s="75"/>
      <c r="AR1575" s="76"/>
      <c r="AT1575" s="65"/>
      <c r="AU1575" s="77"/>
    </row>
    <row r="1576" spans="37:47">
      <c r="AK1576" s="12"/>
      <c r="AM1576" s="12"/>
      <c r="AN1576" s="75"/>
      <c r="AO1576" s="75"/>
      <c r="AP1576" s="75"/>
      <c r="AQ1576" s="75"/>
      <c r="AR1576" s="76"/>
      <c r="AT1576" s="65"/>
      <c r="AU1576" s="77"/>
    </row>
    <row r="1577" spans="37:47">
      <c r="AK1577" s="12"/>
      <c r="AM1577" s="12"/>
      <c r="AN1577" s="75"/>
      <c r="AO1577" s="75"/>
      <c r="AP1577" s="75"/>
      <c r="AQ1577" s="75"/>
      <c r="AR1577" s="76"/>
      <c r="AT1577" s="65"/>
      <c r="AU1577" s="77"/>
    </row>
    <row r="1578" spans="37:47">
      <c r="AK1578" s="12"/>
      <c r="AM1578" s="12"/>
      <c r="AN1578" s="75"/>
      <c r="AO1578" s="75"/>
      <c r="AP1578" s="75"/>
      <c r="AQ1578" s="75"/>
      <c r="AR1578" s="76"/>
      <c r="AT1578" s="65"/>
      <c r="AU1578" s="77"/>
    </row>
    <row r="1579" spans="37:47">
      <c r="AK1579" s="12"/>
      <c r="AM1579" s="12"/>
      <c r="AN1579" s="75"/>
      <c r="AO1579" s="75"/>
      <c r="AP1579" s="75"/>
      <c r="AQ1579" s="75"/>
      <c r="AR1579" s="76"/>
      <c r="AT1579" s="65"/>
      <c r="AU1579" s="77"/>
    </row>
    <row r="1580" spans="37:47">
      <c r="AK1580" s="12"/>
      <c r="AM1580" s="12"/>
      <c r="AN1580" s="75"/>
      <c r="AO1580" s="75"/>
      <c r="AP1580" s="75"/>
      <c r="AQ1580" s="75"/>
      <c r="AR1580" s="76"/>
      <c r="AT1580" s="65"/>
      <c r="AU1580" s="77"/>
    </row>
    <row r="1581" spans="37:47">
      <c r="AK1581" s="12"/>
      <c r="AM1581" s="12"/>
      <c r="AN1581" s="75"/>
      <c r="AO1581" s="75"/>
      <c r="AP1581" s="75"/>
      <c r="AQ1581" s="75"/>
      <c r="AR1581" s="76"/>
      <c r="AT1581" s="65"/>
      <c r="AU1581" s="77"/>
    </row>
    <row r="1582" spans="37:47">
      <c r="AK1582" s="12"/>
      <c r="AM1582" s="12"/>
      <c r="AN1582" s="75"/>
      <c r="AO1582" s="75"/>
      <c r="AP1582" s="75"/>
      <c r="AQ1582" s="75"/>
      <c r="AR1582" s="76"/>
      <c r="AT1582" s="65"/>
      <c r="AU1582" s="77"/>
    </row>
    <row r="1583" spans="37:47">
      <c r="AK1583" s="12"/>
      <c r="AM1583" s="12"/>
      <c r="AN1583" s="75"/>
      <c r="AO1583" s="75"/>
      <c r="AP1583" s="75"/>
      <c r="AQ1583" s="75"/>
      <c r="AR1583" s="76"/>
      <c r="AT1583" s="65"/>
      <c r="AU1583" s="77"/>
    </row>
    <row r="1584" spans="37:47">
      <c r="AK1584" s="12"/>
      <c r="AM1584" s="12"/>
      <c r="AN1584" s="75"/>
      <c r="AO1584" s="75"/>
      <c r="AP1584" s="75"/>
      <c r="AQ1584" s="75"/>
      <c r="AR1584" s="76"/>
      <c r="AT1584" s="65"/>
      <c r="AU1584" s="77"/>
    </row>
    <row r="1585" spans="37:47">
      <c r="AK1585" s="12"/>
      <c r="AM1585" s="12"/>
      <c r="AN1585" s="75"/>
      <c r="AO1585" s="75"/>
      <c r="AP1585" s="75"/>
      <c r="AQ1585" s="75"/>
      <c r="AR1585" s="76"/>
      <c r="AT1585" s="65"/>
      <c r="AU1585" s="77"/>
    </row>
    <row r="1586" spans="37:47">
      <c r="AK1586" s="12"/>
      <c r="AM1586" s="12"/>
      <c r="AN1586" s="75"/>
      <c r="AO1586" s="75"/>
      <c r="AP1586" s="75"/>
      <c r="AQ1586" s="75"/>
      <c r="AR1586" s="76"/>
      <c r="AT1586" s="65"/>
      <c r="AU1586" s="77"/>
    </row>
    <row r="1587" spans="37:47">
      <c r="AK1587" s="12"/>
      <c r="AM1587" s="12"/>
      <c r="AN1587" s="75"/>
      <c r="AO1587" s="75"/>
      <c r="AP1587" s="75"/>
      <c r="AQ1587" s="75"/>
      <c r="AR1587" s="76"/>
      <c r="AT1587" s="65"/>
      <c r="AU1587" s="77"/>
    </row>
    <row r="1588" spans="37:47">
      <c r="AK1588" s="12"/>
      <c r="AM1588" s="12"/>
      <c r="AN1588" s="75"/>
      <c r="AO1588" s="75"/>
      <c r="AP1588" s="75"/>
      <c r="AQ1588" s="75"/>
      <c r="AR1588" s="76"/>
      <c r="AT1588" s="65"/>
      <c r="AU1588" s="77"/>
    </row>
    <row r="1589" spans="37:47">
      <c r="AK1589" s="12"/>
      <c r="AM1589" s="12"/>
      <c r="AN1589" s="75"/>
      <c r="AO1589" s="75"/>
      <c r="AP1589" s="75"/>
      <c r="AQ1589" s="75"/>
      <c r="AR1589" s="76"/>
      <c r="AT1589" s="65"/>
      <c r="AU1589" s="77"/>
    </row>
    <row r="1590" spans="37:47">
      <c r="AK1590" s="12"/>
      <c r="AM1590" s="12"/>
      <c r="AN1590" s="75"/>
      <c r="AO1590" s="75"/>
      <c r="AP1590" s="75"/>
      <c r="AQ1590" s="75"/>
      <c r="AR1590" s="76"/>
      <c r="AT1590" s="65"/>
      <c r="AU1590" s="77"/>
    </row>
    <row r="1591" spans="37:47">
      <c r="AK1591" s="12"/>
      <c r="AM1591" s="12"/>
      <c r="AN1591" s="75"/>
      <c r="AO1591" s="75"/>
      <c r="AP1591" s="75"/>
      <c r="AQ1591" s="75"/>
      <c r="AR1591" s="76"/>
      <c r="AT1591" s="65"/>
      <c r="AU1591" s="77"/>
    </row>
    <row r="1592" spans="37:47">
      <c r="AK1592" s="12"/>
      <c r="AM1592" s="12"/>
      <c r="AN1592" s="75"/>
      <c r="AO1592" s="75"/>
      <c r="AP1592" s="75"/>
      <c r="AQ1592" s="75"/>
      <c r="AR1592" s="76"/>
      <c r="AT1592" s="65"/>
      <c r="AU1592" s="77"/>
    </row>
    <row r="1593" spans="37:47">
      <c r="AK1593" s="12"/>
      <c r="AM1593" s="12"/>
      <c r="AN1593" s="75"/>
      <c r="AO1593" s="75"/>
      <c r="AP1593" s="75"/>
      <c r="AQ1593" s="75"/>
      <c r="AR1593" s="76"/>
      <c r="AT1593" s="65"/>
      <c r="AU1593" s="77"/>
    </row>
    <row r="1594" spans="37:47">
      <c r="AK1594" s="12"/>
      <c r="AM1594" s="12"/>
      <c r="AN1594" s="75"/>
      <c r="AO1594" s="75"/>
      <c r="AP1594" s="75"/>
      <c r="AQ1594" s="75"/>
      <c r="AR1594" s="76"/>
      <c r="AT1594" s="65"/>
      <c r="AU1594" s="77"/>
    </row>
    <row r="1595" spans="37:47">
      <c r="AK1595" s="12"/>
      <c r="AM1595" s="12"/>
      <c r="AN1595" s="75"/>
      <c r="AO1595" s="75"/>
      <c r="AP1595" s="75"/>
      <c r="AQ1595" s="75"/>
      <c r="AR1595" s="76"/>
      <c r="AT1595" s="65"/>
      <c r="AU1595" s="77"/>
    </row>
    <row r="1596" spans="37:47">
      <c r="AK1596" s="12"/>
      <c r="AM1596" s="12"/>
      <c r="AN1596" s="75"/>
      <c r="AO1596" s="75"/>
      <c r="AP1596" s="75"/>
      <c r="AQ1596" s="75"/>
      <c r="AR1596" s="76"/>
      <c r="AT1596" s="65"/>
      <c r="AU1596" s="77"/>
    </row>
    <row r="1597" spans="37:47">
      <c r="AK1597" s="12"/>
      <c r="AM1597" s="12"/>
      <c r="AN1597" s="75"/>
      <c r="AO1597" s="75"/>
      <c r="AP1597" s="75"/>
      <c r="AQ1597" s="75"/>
      <c r="AR1597" s="76"/>
      <c r="AT1597" s="65"/>
      <c r="AU1597" s="77"/>
    </row>
    <row r="1598" spans="37:47">
      <c r="AK1598" s="12"/>
      <c r="AM1598" s="12"/>
      <c r="AN1598" s="75"/>
      <c r="AO1598" s="75"/>
      <c r="AP1598" s="75"/>
      <c r="AQ1598" s="75"/>
      <c r="AR1598" s="76"/>
      <c r="AT1598" s="65"/>
      <c r="AU1598" s="77"/>
    </row>
    <row r="1599" spans="37:47">
      <c r="AK1599" s="12"/>
      <c r="AM1599" s="12"/>
      <c r="AN1599" s="75"/>
      <c r="AO1599" s="75"/>
      <c r="AP1599" s="75"/>
      <c r="AQ1599" s="75"/>
      <c r="AR1599" s="76"/>
      <c r="AT1599" s="65"/>
      <c r="AU1599" s="77"/>
    </row>
    <row r="1600" spans="37:47">
      <c r="AK1600" s="12"/>
      <c r="AM1600" s="12"/>
      <c r="AN1600" s="75"/>
      <c r="AO1600" s="75"/>
      <c r="AP1600" s="75"/>
      <c r="AQ1600" s="75"/>
      <c r="AR1600" s="76"/>
      <c r="AT1600" s="65"/>
      <c r="AU1600" s="77"/>
    </row>
    <row r="1601" spans="37:47">
      <c r="AK1601" s="12"/>
      <c r="AM1601" s="12"/>
      <c r="AN1601" s="75"/>
      <c r="AO1601" s="75"/>
      <c r="AP1601" s="75"/>
      <c r="AQ1601" s="75"/>
      <c r="AR1601" s="76"/>
      <c r="AT1601" s="65"/>
      <c r="AU1601" s="77"/>
    </row>
    <row r="1602" spans="37:47">
      <c r="AK1602" s="12"/>
      <c r="AM1602" s="12"/>
      <c r="AN1602" s="75"/>
      <c r="AO1602" s="75"/>
      <c r="AP1602" s="75"/>
      <c r="AQ1602" s="75"/>
      <c r="AR1602" s="76"/>
      <c r="AT1602" s="65"/>
      <c r="AU1602" s="77"/>
    </row>
    <row r="1603" spans="37:47">
      <c r="AK1603" s="12"/>
      <c r="AM1603" s="12"/>
      <c r="AN1603" s="75"/>
      <c r="AO1603" s="75"/>
      <c r="AP1603" s="75"/>
      <c r="AQ1603" s="75"/>
      <c r="AR1603" s="76"/>
      <c r="AT1603" s="65"/>
      <c r="AU1603" s="77"/>
    </row>
    <row r="1604" spans="37:47">
      <c r="AK1604" s="12"/>
      <c r="AM1604" s="12"/>
      <c r="AN1604" s="75"/>
      <c r="AO1604" s="75"/>
      <c r="AP1604" s="75"/>
      <c r="AQ1604" s="75"/>
      <c r="AR1604" s="76"/>
      <c r="AT1604" s="65"/>
      <c r="AU1604" s="77"/>
    </row>
    <row r="1605" spans="37:47">
      <c r="AK1605" s="12"/>
      <c r="AM1605" s="12"/>
      <c r="AN1605" s="75"/>
      <c r="AO1605" s="75"/>
      <c r="AP1605" s="75"/>
      <c r="AQ1605" s="75"/>
      <c r="AR1605" s="76"/>
      <c r="AT1605" s="65"/>
      <c r="AU1605" s="77"/>
    </row>
    <row r="1606" spans="37:47">
      <c r="AK1606" s="12"/>
      <c r="AM1606" s="12"/>
      <c r="AN1606" s="75"/>
      <c r="AO1606" s="75"/>
      <c r="AP1606" s="75"/>
      <c r="AQ1606" s="75"/>
      <c r="AR1606" s="76"/>
      <c r="AT1606" s="65"/>
      <c r="AU1606" s="77"/>
    </row>
    <row r="1607" spans="37:47">
      <c r="AK1607" s="12"/>
      <c r="AM1607" s="12"/>
      <c r="AN1607" s="75"/>
      <c r="AO1607" s="75"/>
      <c r="AP1607" s="75"/>
      <c r="AQ1607" s="75"/>
      <c r="AR1607" s="76"/>
      <c r="AT1607" s="65"/>
      <c r="AU1607" s="77"/>
    </row>
    <row r="1608" spans="37:47">
      <c r="AK1608" s="12"/>
      <c r="AM1608" s="12"/>
      <c r="AN1608" s="75"/>
      <c r="AO1608" s="75"/>
      <c r="AP1608" s="75"/>
      <c r="AQ1608" s="75"/>
      <c r="AR1608" s="76"/>
      <c r="AT1608" s="65"/>
      <c r="AU1608" s="77"/>
    </row>
    <row r="1609" spans="37:47">
      <c r="AK1609" s="12"/>
      <c r="AM1609" s="12"/>
      <c r="AN1609" s="75"/>
      <c r="AO1609" s="75"/>
      <c r="AP1609" s="75"/>
      <c r="AQ1609" s="75"/>
      <c r="AR1609" s="76"/>
      <c r="AT1609" s="65"/>
      <c r="AU1609" s="77"/>
    </row>
    <row r="1610" spans="37:47">
      <c r="AK1610" s="12"/>
      <c r="AM1610" s="12"/>
      <c r="AN1610" s="75"/>
      <c r="AO1610" s="75"/>
      <c r="AP1610" s="75"/>
      <c r="AQ1610" s="75"/>
      <c r="AR1610" s="76"/>
      <c r="AT1610" s="65"/>
      <c r="AU1610" s="77"/>
    </row>
    <row r="1611" spans="37:47">
      <c r="AK1611" s="12"/>
      <c r="AM1611" s="12"/>
      <c r="AN1611" s="75"/>
      <c r="AO1611" s="75"/>
      <c r="AP1611" s="75"/>
      <c r="AQ1611" s="75"/>
      <c r="AR1611" s="76"/>
      <c r="AT1611" s="65"/>
      <c r="AU1611" s="77"/>
    </row>
    <row r="1612" spans="37:47">
      <c r="AK1612" s="12"/>
      <c r="AM1612" s="12"/>
      <c r="AN1612" s="75"/>
      <c r="AO1612" s="75"/>
      <c r="AP1612" s="75"/>
      <c r="AQ1612" s="75"/>
      <c r="AR1612" s="76"/>
      <c r="AT1612" s="65"/>
      <c r="AU1612" s="77"/>
    </row>
    <row r="1613" spans="37:47">
      <c r="AK1613" s="12"/>
      <c r="AM1613" s="12"/>
      <c r="AN1613" s="75"/>
      <c r="AO1613" s="75"/>
      <c r="AP1613" s="75"/>
      <c r="AQ1613" s="75"/>
      <c r="AR1613" s="76"/>
      <c r="AT1613" s="65"/>
      <c r="AU1613" s="77"/>
    </row>
    <row r="1614" spans="37:47">
      <c r="AK1614" s="12"/>
      <c r="AM1614" s="12"/>
      <c r="AN1614" s="75"/>
      <c r="AO1614" s="75"/>
      <c r="AP1614" s="75"/>
      <c r="AQ1614" s="75"/>
      <c r="AR1614" s="76"/>
      <c r="AT1614" s="65"/>
      <c r="AU1614" s="77"/>
    </row>
    <row r="1615" spans="37:47">
      <c r="AK1615" s="12"/>
      <c r="AM1615" s="12"/>
      <c r="AN1615" s="75"/>
      <c r="AO1615" s="75"/>
      <c r="AP1615" s="75"/>
      <c r="AQ1615" s="75"/>
      <c r="AR1615" s="76"/>
      <c r="AT1615" s="65"/>
      <c r="AU1615" s="77"/>
    </row>
    <row r="1616" spans="37:47">
      <c r="AK1616" s="12"/>
      <c r="AM1616" s="12"/>
      <c r="AN1616" s="75"/>
      <c r="AO1616" s="75"/>
      <c r="AP1616" s="75"/>
      <c r="AQ1616" s="75"/>
      <c r="AR1616" s="76"/>
      <c r="AT1616" s="65"/>
      <c r="AU1616" s="77"/>
    </row>
    <row r="1617" spans="37:47">
      <c r="AK1617" s="12"/>
      <c r="AM1617" s="12"/>
      <c r="AN1617" s="75"/>
      <c r="AO1617" s="75"/>
      <c r="AP1617" s="75"/>
      <c r="AQ1617" s="75"/>
      <c r="AR1617" s="76"/>
      <c r="AT1617" s="65"/>
      <c r="AU1617" s="77"/>
    </row>
    <row r="1618" spans="37:47">
      <c r="AK1618" s="12"/>
      <c r="AM1618" s="12"/>
      <c r="AN1618" s="75"/>
      <c r="AO1618" s="75"/>
      <c r="AP1618" s="75"/>
      <c r="AQ1618" s="75"/>
      <c r="AR1618" s="76"/>
      <c r="AT1618" s="65"/>
      <c r="AU1618" s="77"/>
    </row>
    <row r="1619" spans="37:47">
      <c r="AK1619" s="12"/>
      <c r="AM1619" s="12"/>
      <c r="AN1619" s="75"/>
      <c r="AO1619" s="75"/>
      <c r="AP1619" s="75"/>
      <c r="AQ1619" s="75"/>
      <c r="AR1619" s="76"/>
      <c r="AT1619" s="65"/>
      <c r="AU1619" s="77"/>
    </row>
    <row r="1620" spans="37:47">
      <c r="AK1620" s="12"/>
      <c r="AM1620" s="12"/>
      <c r="AN1620" s="75"/>
      <c r="AO1620" s="75"/>
      <c r="AP1620" s="75"/>
      <c r="AQ1620" s="75"/>
      <c r="AR1620" s="76"/>
      <c r="AT1620" s="65"/>
      <c r="AU1620" s="77"/>
    </row>
    <row r="1621" spans="37:47">
      <c r="AK1621" s="12"/>
      <c r="AM1621" s="12"/>
      <c r="AN1621" s="75"/>
      <c r="AO1621" s="75"/>
      <c r="AP1621" s="75"/>
      <c r="AQ1621" s="75"/>
      <c r="AR1621" s="76"/>
      <c r="AT1621" s="65"/>
      <c r="AU1621" s="77"/>
    </row>
    <row r="1622" spans="37:47">
      <c r="AK1622" s="12"/>
      <c r="AM1622" s="12"/>
      <c r="AN1622" s="75"/>
      <c r="AO1622" s="75"/>
      <c r="AP1622" s="75"/>
      <c r="AQ1622" s="75"/>
      <c r="AR1622" s="76"/>
      <c r="AT1622" s="65"/>
      <c r="AU1622" s="77"/>
    </row>
    <row r="1623" spans="37:47">
      <c r="AK1623" s="12"/>
      <c r="AM1623" s="12"/>
      <c r="AN1623" s="75"/>
      <c r="AO1623" s="75"/>
      <c r="AP1623" s="75"/>
      <c r="AQ1623" s="75"/>
      <c r="AR1623" s="76"/>
      <c r="AT1623" s="65"/>
      <c r="AU1623" s="77"/>
    </row>
    <row r="1624" spans="37:47">
      <c r="AK1624" s="12"/>
      <c r="AM1624" s="12"/>
      <c r="AN1624" s="75"/>
      <c r="AO1624" s="75"/>
      <c r="AP1624" s="75"/>
      <c r="AQ1624" s="75"/>
      <c r="AR1624" s="76"/>
      <c r="AT1624" s="65"/>
      <c r="AU1624" s="77"/>
    </row>
    <row r="1625" spans="37:47">
      <c r="AK1625" s="12"/>
      <c r="AM1625" s="12"/>
      <c r="AN1625" s="75"/>
      <c r="AO1625" s="75"/>
      <c r="AP1625" s="75"/>
      <c r="AQ1625" s="75"/>
      <c r="AR1625" s="76"/>
      <c r="AT1625" s="65"/>
      <c r="AU1625" s="77"/>
    </row>
    <row r="1626" spans="37:47">
      <c r="AK1626" s="12"/>
      <c r="AM1626" s="12"/>
      <c r="AN1626" s="75"/>
      <c r="AO1626" s="75"/>
      <c r="AP1626" s="75"/>
      <c r="AQ1626" s="75"/>
      <c r="AR1626" s="76"/>
      <c r="AT1626" s="65"/>
      <c r="AU1626" s="77"/>
    </row>
    <row r="1627" spans="37:47">
      <c r="AK1627" s="12"/>
      <c r="AM1627" s="12"/>
      <c r="AN1627" s="75"/>
      <c r="AO1627" s="75"/>
      <c r="AP1627" s="75"/>
      <c r="AQ1627" s="75"/>
      <c r="AR1627" s="76"/>
      <c r="AT1627" s="65"/>
      <c r="AU1627" s="77"/>
    </row>
    <row r="1628" spans="37:47">
      <c r="AK1628" s="12"/>
      <c r="AM1628" s="12"/>
      <c r="AN1628" s="75"/>
      <c r="AO1628" s="75"/>
      <c r="AP1628" s="75"/>
      <c r="AQ1628" s="75"/>
      <c r="AR1628" s="76"/>
      <c r="AT1628" s="65"/>
      <c r="AU1628" s="77"/>
    </row>
    <row r="1629" spans="37:47">
      <c r="AK1629" s="12"/>
      <c r="AM1629" s="12"/>
      <c r="AN1629" s="75"/>
      <c r="AO1629" s="75"/>
      <c r="AP1629" s="75"/>
      <c r="AQ1629" s="75"/>
      <c r="AR1629" s="76"/>
      <c r="AT1629" s="65"/>
      <c r="AU1629" s="77"/>
    </row>
    <row r="1630" spans="37:47">
      <c r="AK1630" s="12"/>
      <c r="AM1630" s="12"/>
      <c r="AN1630" s="75"/>
      <c r="AO1630" s="75"/>
      <c r="AP1630" s="75"/>
      <c r="AQ1630" s="75"/>
      <c r="AR1630" s="76"/>
      <c r="AT1630" s="65"/>
      <c r="AU1630" s="77"/>
    </row>
    <row r="1631" spans="37:47">
      <c r="AK1631" s="12"/>
      <c r="AM1631" s="12"/>
      <c r="AN1631" s="75"/>
      <c r="AO1631" s="75"/>
      <c r="AP1631" s="75"/>
      <c r="AQ1631" s="75"/>
      <c r="AR1631" s="76"/>
      <c r="AT1631" s="65"/>
      <c r="AU1631" s="77"/>
    </row>
    <row r="1632" spans="37:47">
      <c r="AK1632" s="12"/>
      <c r="AM1632" s="12"/>
      <c r="AN1632" s="75"/>
      <c r="AO1632" s="75"/>
      <c r="AP1632" s="75"/>
      <c r="AQ1632" s="75"/>
      <c r="AR1632" s="76"/>
      <c r="AT1632" s="65"/>
      <c r="AU1632" s="77"/>
    </row>
    <row r="1633" spans="37:47">
      <c r="AK1633" s="12"/>
      <c r="AM1633" s="12"/>
      <c r="AN1633" s="75"/>
      <c r="AO1633" s="75"/>
      <c r="AP1633" s="75"/>
      <c r="AQ1633" s="75"/>
      <c r="AR1633" s="76"/>
      <c r="AT1633" s="65"/>
      <c r="AU1633" s="77"/>
    </row>
    <row r="1634" spans="37:47">
      <c r="AK1634" s="12"/>
      <c r="AM1634" s="12"/>
      <c r="AN1634" s="75"/>
      <c r="AO1634" s="75"/>
      <c r="AP1634" s="75"/>
      <c r="AQ1634" s="75"/>
      <c r="AR1634" s="76"/>
      <c r="AT1634" s="65"/>
      <c r="AU1634" s="77"/>
    </row>
    <row r="1635" spans="37:47">
      <c r="AK1635" s="12"/>
      <c r="AM1635" s="12"/>
      <c r="AN1635" s="75"/>
      <c r="AO1635" s="75"/>
      <c r="AP1635" s="75"/>
      <c r="AQ1635" s="75"/>
      <c r="AR1635" s="76"/>
      <c r="AT1635" s="65"/>
      <c r="AU1635" s="77"/>
    </row>
    <row r="1636" spans="37:47">
      <c r="AK1636" s="12"/>
      <c r="AM1636" s="12"/>
      <c r="AN1636" s="75"/>
      <c r="AO1636" s="75"/>
      <c r="AP1636" s="75"/>
      <c r="AQ1636" s="75"/>
      <c r="AR1636" s="76"/>
      <c r="AT1636" s="65"/>
      <c r="AU1636" s="77"/>
    </row>
    <row r="1637" spans="37:47">
      <c r="AK1637" s="12"/>
      <c r="AM1637" s="12"/>
      <c r="AN1637" s="75"/>
      <c r="AO1637" s="75"/>
      <c r="AP1637" s="75"/>
      <c r="AQ1637" s="75"/>
      <c r="AR1637" s="76"/>
      <c r="AT1637" s="65"/>
      <c r="AU1637" s="77"/>
    </row>
    <row r="1638" spans="37:47">
      <c r="AK1638" s="12"/>
      <c r="AM1638" s="12"/>
      <c r="AN1638" s="75"/>
      <c r="AO1638" s="75"/>
      <c r="AP1638" s="75"/>
      <c r="AQ1638" s="75"/>
      <c r="AR1638" s="76"/>
      <c r="AT1638" s="65"/>
      <c r="AU1638" s="77"/>
    </row>
    <row r="1639" spans="37:47">
      <c r="AK1639" s="12"/>
      <c r="AM1639" s="12"/>
      <c r="AN1639" s="75"/>
      <c r="AO1639" s="75"/>
      <c r="AP1639" s="75"/>
      <c r="AQ1639" s="75"/>
      <c r="AR1639" s="76"/>
      <c r="AT1639" s="65"/>
      <c r="AU1639" s="77"/>
    </row>
    <row r="1640" spans="37:47">
      <c r="AK1640" s="12"/>
      <c r="AM1640" s="12"/>
      <c r="AN1640" s="75"/>
      <c r="AO1640" s="75"/>
      <c r="AP1640" s="75"/>
      <c r="AQ1640" s="75"/>
      <c r="AR1640" s="76"/>
      <c r="AT1640" s="65"/>
      <c r="AU1640" s="77"/>
    </row>
    <row r="1641" spans="37:47">
      <c r="AK1641" s="12"/>
      <c r="AM1641" s="12"/>
      <c r="AN1641" s="75"/>
      <c r="AO1641" s="75"/>
      <c r="AP1641" s="75"/>
      <c r="AQ1641" s="75"/>
      <c r="AR1641" s="76"/>
      <c r="AT1641" s="65"/>
      <c r="AU1641" s="77"/>
    </row>
    <row r="1642" spans="37:47">
      <c r="AK1642" s="12"/>
      <c r="AM1642" s="12"/>
      <c r="AN1642" s="75"/>
      <c r="AO1642" s="75"/>
      <c r="AP1642" s="75"/>
      <c r="AQ1642" s="75"/>
      <c r="AR1642" s="76"/>
      <c r="AT1642" s="65"/>
      <c r="AU1642" s="77"/>
    </row>
    <row r="1643" spans="37:47">
      <c r="AK1643" s="12"/>
      <c r="AM1643" s="12"/>
      <c r="AN1643" s="75"/>
      <c r="AO1643" s="75"/>
      <c r="AP1643" s="75"/>
      <c r="AQ1643" s="75"/>
      <c r="AR1643" s="76"/>
      <c r="AT1643" s="65"/>
      <c r="AU1643" s="77"/>
    </row>
    <row r="1644" spans="37:47">
      <c r="AK1644" s="12"/>
      <c r="AM1644" s="12"/>
      <c r="AN1644" s="75"/>
      <c r="AO1644" s="75"/>
      <c r="AP1644" s="75"/>
      <c r="AQ1644" s="75"/>
      <c r="AR1644" s="76"/>
      <c r="AT1644" s="65"/>
      <c r="AU1644" s="77"/>
    </row>
    <row r="1645" spans="37:47">
      <c r="AK1645" s="12"/>
      <c r="AM1645" s="12"/>
      <c r="AN1645" s="75"/>
      <c r="AO1645" s="75"/>
      <c r="AP1645" s="75"/>
      <c r="AQ1645" s="75"/>
      <c r="AR1645" s="76"/>
      <c r="AT1645" s="65"/>
      <c r="AU1645" s="77"/>
    </row>
    <row r="1646" spans="37:47">
      <c r="AK1646" s="12"/>
      <c r="AM1646" s="12"/>
      <c r="AN1646" s="75"/>
      <c r="AO1646" s="75"/>
      <c r="AP1646" s="75"/>
      <c r="AQ1646" s="75"/>
      <c r="AR1646" s="76"/>
      <c r="AT1646" s="65"/>
      <c r="AU1646" s="77"/>
    </row>
    <row r="1647" spans="37:47">
      <c r="AK1647" s="12"/>
      <c r="AM1647" s="12"/>
      <c r="AN1647" s="75"/>
      <c r="AO1647" s="75"/>
      <c r="AP1647" s="75"/>
      <c r="AQ1647" s="75"/>
      <c r="AR1647" s="76"/>
      <c r="AT1647" s="65"/>
      <c r="AU1647" s="77"/>
    </row>
    <row r="1648" spans="37:47">
      <c r="AK1648" s="12"/>
      <c r="AM1648" s="12"/>
      <c r="AN1648" s="75"/>
      <c r="AO1648" s="75"/>
      <c r="AP1648" s="75"/>
      <c r="AQ1648" s="75"/>
      <c r="AR1648" s="76"/>
      <c r="AT1648" s="65"/>
      <c r="AU1648" s="77"/>
    </row>
    <row r="1649" spans="37:47">
      <c r="AK1649" s="12"/>
      <c r="AM1649" s="12"/>
      <c r="AN1649" s="75"/>
      <c r="AO1649" s="75"/>
      <c r="AP1649" s="75"/>
      <c r="AQ1649" s="75"/>
      <c r="AR1649" s="76"/>
      <c r="AT1649" s="65"/>
      <c r="AU1649" s="77"/>
    </row>
    <row r="1650" spans="37:47">
      <c r="AK1650" s="12"/>
      <c r="AM1650" s="12"/>
      <c r="AN1650" s="75"/>
      <c r="AO1650" s="75"/>
      <c r="AP1650" s="75"/>
      <c r="AQ1650" s="75"/>
      <c r="AR1650" s="76"/>
      <c r="AT1650" s="65"/>
      <c r="AU1650" s="77"/>
    </row>
    <row r="1651" spans="37:47">
      <c r="AK1651" s="12"/>
      <c r="AM1651" s="12"/>
      <c r="AN1651" s="75"/>
      <c r="AO1651" s="75"/>
      <c r="AP1651" s="75"/>
      <c r="AQ1651" s="75"/>
      <c r="AR1651" s="76"/>
      <c r="AT1651" s="65"/>
      <c r="AU1651" s="77"/>
    </row>
    <row r="1652" spans="37:47">
      <c r="AK1652" s="12"/>
      <c r="AM1652" s="12"/>
      <c r="AN1652" s="75"/>
      <c r="AO1652" s="75"/>
      <c r="AP1652" s="75"/>
      <c r="AQ1652" s="75"/>
      <c r="AR1652" s="76"/>
      <c r="AT1652" s="65"/>
      <c r="AU1652" s="77"/>
    </row>
    <row r="1653" spans="37:47">
      <c r="AK1653" s="12"/>
      <c r="AM1653" s="12"/>
      <c r="AN1653" s="75"/>
      <c r="AO1653" s="75"/>
      <c r="AP1653" s="75"/>
      <c r="AQ1653" s="75"/>
      <c r="AR1653" s="76"/>
      <c r="AT1653" s="65"/>
      <c r="AU1653" s="77"/>
    </row>
    <row r="1654" spans="37:47">
      <c r="AK1654" s="12"/>
      <c r="AM1654" s="12"/>
      <c r="AN1654" s="75"/>
      <c r="AO1654" s="75"/>
      <c r="AP1654" s="75"/>
      <c r="AQ1654" s="75"/>
      <c r="AR1654" s="76"/>
      <c r="AT1654" s="65"/>
      <c r="AU1654" s="77"/>
    </row>
    <row r="1655" spans="37:47">
      <c r="AK1655" s="12"/>
      <c r="AM1655" s="12"/>
      <c r="AN1655" s="75"/>
      <c r="AO1655" s="75"/>
      <c r="AP1655" s="75"/>
      <c r="AQ1655" s="75"/>
      <c r="AR1655" s="76"/>
      <c r="AT1655" s="65"/>
      <c r="AU1655" s="77"/>
    </row>
    <row r="1656" spans="37:47">
      <c r="AK1656" s="12"/>
      <c r="AM1656" s="12"/>
      <c r="AN1656" s="75"/>
      <c r="AO1656" s="75"/>
      <c r="AP1656" s="75"/>
      <c r="AQ1656" s="75"/>
      <c r="AR1656" s="76"/>
      <c r="AT1656" s="65"/>
      <c r="AU1656" s="77"/>
    </row>
    <row r="1657" spans="37:47">
      <c r="AK1657" s="12"/>
      <c r="AM1657" s="12"/>
      <c r="AN1657" s="75"/>
      <c r="AO1657" s="75"/>
      <c r="AP1657" s="75"/>
      <c r="AQ1657" s="75"/>
      <c r="AR1657" s="76"/>
      <c r="AT1657" s="65"/>
      <c r="AU1657" s="77"/>
    </row>
    <row r="1658" spans="37:47">
      <c r="AK1658" s="12"/>
      <c r="AM1658" s="12"/>
      <c r="AN1658" s="75"/>
      <c r="AO1658" s="75"/>
      <c r="AP1658" s="75"/>
      <c r="AQ1658" s="75"/>
      <c r="AR1658" s="76"/>
      <c r="AT1658" s="65"/>
      <c r="AU1658" s="77"/>
    </row>
    <row r="1659" spans="37:47">
      <c r="AK1659" s="12"/>
      <c r="AM1659" s="12"/>
      <c r="AN1659" s="75"/>
      <c r="AO1659" s="75"/>
      <c r="AP1659" s="75"/>
      <c r="AQ1659" s="75"/>
      <c r="AR1659" s="76"/>
      <c r="AT1659" s="65"/>
      <c r="AU1659" s="77"/>
    </row>
    <row r="1660" spans="37:47">
      <c r="AK1660" s="12"/>
      <c r="AM1660" s="12"/>
      <c r="AN1660" s="75"/>
      <c r="AO1660" s="75"/>
      <c r="AP1660" s="75"/>
      <c r="AQ1660" s="75"/>
      <c r="AR1660" s="76"/>
      <c r="AT1660" s="65"/>
      <c r="AU1660" s="77"/>
    </row>
    <row r="1661" spans="37:47">
      <c r="AK1661" s="12"/>
      <c r="AM1661" s="12"/>
      <c r="AN1661" s="75"/>
      <c r="AO1661" s="75"/>
      <c r="AP1661" s="75"/>
      <c r="AQ1661" s="75"/>
      <c r="AR1661" s="76"/>
      <c r="AT1661" s="65"/>
      <c r="AU1661" s="77"/>
    </row>
    <row r="1662" spans="37:47">
      <c r="AK1662" s="12"/>
      <c r="AM1662" s="12"/>
      <c r="AN1662" s="75"/>
      <c r="AO1662" s="75"/>
      <c r="AP1662" s="75"/>
      <c r="AQ1662" s="75"/>
      <c r="AR1662" s="76"/>
      <c r="AT1662" s="65"/>
      <c r="AU1662" s="77"/>
    </row>
    <row r="1663" spans="37:47">
      <c r="AK1663" s="12"/>
      <c r="AM1663" s="12"/>
      <c r="AN1663" s="75"/>
      <c r="AO1663" s="75"/>
      <c r="AP1663" s="75"/>
      <c r="AQ1663" s="75"/>
      <c r="AR1663" s="76"/>
      <c r="AT1663" s="65"/>
      <c r="AU1663" s="77"/>
    </row>
    <row r="1664" spans="37:47">
      <c r="AK1664" s="12"/>
      <c r="AM1664" s="12"/>
      <c r="AN1664" s="75"/>
      <c r="AO1664" s="75"/>
      <c r="AP1664" s="75"/>
      <c r="AQ1664" s="75"/>
      <c r="AR1664" s="76"/>
      <c r="AT1664" s="65"/>
      <c r="AU1664" s="77"/>
    </row>
    <row r="1665" spans="37:47">
      <c r="AK1665" s="12"/>
      <c r="AM1665" s="12"/>
      <c r="AN1665" s="75"/>
      <c r="AO1665" s="75"/>
      <c r="AP1665" s="75"/>
      <c r="AQ1665" s="75"/>
      <c r="AR1665" s="76"/>
      <c r="AT1665" s="65"/>
      <c r="AU1665" s="77"/>
    </row>
    <row r="1666" spans="37:47">
      <c r="AK1666" s="12"/>
      <c r="AM1666" s="12"/>
      <c r="AN1666" s="75"/>
      <c r="AO1666" s="75"/>
      <c r="AP1666" s="75"/>
      <c r="AQ1666" s="75"/>
      <c r="AR1666" s="76"/>
      <c r="AT1666" s="65"/>
      <c r="AU1666" s="77"/>
    </row>
    <row r="1667" spans="37:47">
      <c r="AK1667" s="12"/>
      <c r="AM1667" s="12"/>
      <c r="AN1667" s="75"/>
      <c r="AO1667" s="75"/>
      <c r="AP1667" s="75"/>
      <c r="AQ1667" s="75"/>
      <c r="AR1667" s="76"/>
      <c r="AT1667" s="65"/>
      <c r="AU1667" s="77"/>
    </row>
    <row r="1668" spans="37:47">
      <c r="AK1668" s="12"/>
      <c r="AM1668" s="12"/>
      <c r="AN1668" s="75"/>
      <c r="AO1668" s="75"/>
      <c r="AP1668" s="75"/>
      <c r="AQ1668" s="75"/>
      <c r="AR1668" s="76"/>
      <c r="AT1668" s="65"/>
      <c r="AU1668" s="77"/>
    </row>
    <row r="1669" spans="37:47">
      <c r="AK1669" s="12"/>
      <c r="AM1669" s="12"/>
      <c r="AN1669" s="75"/>
      <c r="AO1669" s="75"/>
      <c r="AP1669" s="75"/>
      <c r="AQ1669" s="75"/>
      <c r="AR1669" s="76"/>
      <c r="AT1669" s="65"/>
      <c r="AU1669" s="77"/>
    </row>
    <row r="1670" spans="37:47">
      <c r="AK1670" s="12"/>
      <c r="AM1670" s="12"/>
      <c r="AN1670" s="75"/>
      <c r="AO1670" s="75"/>
      <c r="AP1670" s="75"/>
      <c r="AQ1670" s="75"/>
      <c r="AR1670" s="76"/>
      <c r="AT1670" s="65"/>
      <c r="AU1670" s="77"/>
    </row>
    <row r="1671" spans="37:47">
      <c r="AK1671" s="12"/>
      <c r="AM1671" s="12"/>
      <c r="AN1671" s="75"/>
      <c r="AO1671" s="75"/>
      <c r="AP1671" s="75"/>
      <c r="AQ1671" s="75"/>
      <c r="AR1671" s="76"/>
      <c r="AT1671" s="65"/>
      <c r="AU1671" s="77"/>
    </row>
    <row r="1672" spans="37:47">
      <c r="AK1672" s="12"/>
      <c r="AM1672" s="12"/>
      <c r="AN1672" s="75"/>
      <c r="AO1672" s="75"/>
      <c r="AP1672" s="75"/>
      <c r="AQ1672" s="75"/>
      <c r="AR1672" s="76"/>
      <c r="AT1672" s="65"/>
      <c r="AU1672" s="77"/>
    </row>
    <row r="1673" spans="37:47">
      <c r="AK1673" s="12"/>
      <c r="AM1673" s="12"/>
      <c r="AN1673" s="75"/>
      <c r="AO1673" s="75"/>
      <c r="AP1673" s="75"/>
      <c r="AQ1673" s="75"/>
      <c r="AR1673" s="76"/>
      <c r="AT1673" s="65"/>
      <c r="AU1673" s="77"/>
    </row>
    <row r="1674" spans="37:47">
      <c r="AK1674" s="12"/>
      <c r="AM1674" s="12"/>
      <c r="AN1674" s="75"/>
      <c r="AO1674" s="75"/>
      <c r="AP1674" s="75"/>
      <c r="AQ1674" s="75"/>
      <c r="AR1674" s="76"/>
      <c r="AT1674" s="65"/>
      <c r="AU1674" s="77"/>
    </row>
    <row r="1675" spans="37:47">
      <c r="AK1675" s="12"/>
      <c r="AM1675" s="12"/>
      <c r="AN1675" s="75"/>
      <c r="AO1675" s="75"/>
      <c r="AP1675" s="75"/>
      <c r="AQ1675" s="75"/>
      <c r="AR1675" s="76"/>
      <c r="AT1675" s="65"/>
      <c r="AU1675" s="77"/>
    </row>
    <row r="1676" spans="37:47">
      <c r="AK1676" s="12"/>
      <c r="AM1676" s="12"/>
      <c r="AN1676" s="75"/>
      <c r="AO1676" s="75"/>
      <c r="AP1676" s="75"/>
      <c r="AQ1676" s="75"/>
      <c r="AR1676" s="76"/>
      <c r="AT1676" s="65"/>
      <c r="AU1676" s="77"/>
    </row>
    <row r="1677" spans="37:47">
      <c r="AK1677" s="12"/>
      <c r="AM1677" s="12"/>
      <c r="AN1677" s="75"/>
      <c r="AO1677" s="75"/>
      <c r="AP1677" s="75"/>
      <c r="AQ1677" s="75"/>
      <c r="AR1677" s="76"/>
      <c r="AT1677" s="65"/>
      <c r="AU1677" s="77"/>
    </row>
    <row r="1678" spans="37:47">
      <c r="AK1678" s="12"/>
      <c r="AM1678" s="12"/>
      <c r="AN1678" s="75"/>
      <c r="AO1678" s="75"/>
      <c r="AP1678" s="75"/>
      <c r="AQ1678" s="75"/>
      <c r="AR1678" s="76"/>
      <c r="AT1678" s="65"/>
      <c r="AU1678" s="77"/>
    </row>
    <row r="1679" spans="37:47">
      <c r="AK1679" s="12"/>
      <c r="AM1679" s="12"/>
      <c r="AN1679" s="75"/>
      <c r="AO1679" s="75"/>
      <c r="AP1679" s="75"/>
      <c r="AQ1679" s="75"/>
      <c r="AR1679" s="76"/>
      <c r="AT1679" s="65"/>
      <c r="AU1679" s="77"/>
    </row>
    <row r="1680" spans="37:47">
      <c r="AK1680" s="12"/>
      <c r="AM1680" s="12"/>
      <c r="AN1680" s="75"/>
      <c r="AO1680" s="75"/>
      <c r="AP1680" s="75"/>
      <c r="AQ1680" s="75"/>
      <c r="AR1680" s="76"/>
      <c r="AT1680" s="65"/>
      <c r="AU1680" s="77"/>
    </row>
    <row r="1681" spans="37:47">
      <c r="AK1681" s="12"/>
      <c r="AM1681" s="12"/>
      <c r="AN1681" s="75"/>
      <c r="AO1681" s="75"/>
      <c r="AP1681" s="75"/>
      <c r="AQ1681" s="75"/>
      <c r="AR1681" s="76"/>
      <c r="AT1681" s="65"/>
      <c r="AU1681" s="77"/>
    </row>
    <row r="1682" spans="37:47">
      <c r="AK1682" s="12"/>
      <c r="AM1682" s="12"/>
      <c r="AN1682" s="75"/>
      <c r="AO1682" s="75"/>
      <c r="AP1682" s="75"/>
      <c r="AQ1682" s="75"/>
      <c r="AR1682" s="76"/>
      <c r="AT1682" s="65"/>
      <c r="AU1682" s="77"/>
    </row>
    <row r="1683" spans="37:47">
      <c r="AK1683" s="12"/>
      <c r="AM1683" s="12"/>
      <c r="AN1683" s="75"/>
      <c r="AO1683" s="75"/>
      <c r="AP1683" s="75"/>
      <c r="AQ1683" s="75"/>
      <c r="AR1683" s="76"/>
      <c r="AT1683" s="65"/>
      <c r="AU1683" s="77"/>
    </row>
    <row r="1684" spans="37:47">
      <c r="AK1684" s="12"/>
      <c r="AM1684" s="12"/>
      <c r="AN1684" s="75"/>
      <c r="AO1684" s="75"/>
      <c r="AP1684" s="75"/>
      <c r="AQ1684" s="75"/>
      <c r="AR1684" s="76"/>
      <c r="AT1684" s="65"/>
      <c r="AU1684" s="77"/>
    </row>
    <row r="1685" spans="37:47">
      <c r="AK1685" s="12"/>
      <c r="AM1685" s="12"/>
      <c r="AN1685" s="75"/>
      <c r="AO1685" s="75"/>
      <c r="AP1685" s="75"/>
      <c r="AQ1685" s="75"/>
      <c r="AR1685" s="76"/>
      <c r="AT1685" s="65"/>
      <c r="AU1685" s="77"/>
    </row>
    <row r="1686" spans="37:47">
      <c r="AK1686" s="12"/>
      <c r="AM1686" s="12"/>
      <c r="AN1686" s="75"/>
      <c r="AO1686" s="75"/>
      <c r="AP1686" s="75"/>
      <c r="AQ1686" s="75"/>
      <c r="AR1686" s="76"/>
      <c r="AT1686" s="65"/>
      <c r="AU1686" s="77"/>
    </row>
    <row r="1687" spans="37:47">
      <c r="AK1687" s="12"/>
      <c r="AM1687" s="12"/>
      <c r="AN1687" s="75"/>
      <c r="AO1687" s="75"/>
      <c r="AP1687" s="75"/>
      <c r="AQ1687" s="75"/>
      <c r="AR1687" s="76"/>
      <c r="AT1687" s="65"/>
      <c r="AU1687" s="77"/>
    </row>
    <row r="1688" spans="37:47">
      <c r="AK1688" s="12"/>
      <c r="AM1688" s="12"/>
      <c r="AN1688" s="75"/>
      <c r="AO1688" s="75"/>
      <c r="AP1688" s="75"/>
      <c r="AQ1688" s="75"/>
      <c r="AR1688" s="76"/>
      <c r="AT1688" s="65"/>
      <c r="AU1688" s="77"/>
    </row>
    <row r="1689" spans="37:47">
      <c r="AK1689" s="12"/>
      <c r="AM1689" s="12"/>
      <c r="AN1689" s="75"/>
      <c r="AO1689" s="75"/>
      <c r="AP1689" s="75"/>
      <c r="AQ1689" s="75"/>
      <c r="AR1689" s="76"/>
      <c r="AT1689" s="65"/>
      <c r="AU1689" s="77"/>
    </row>
    <row r="1690" spans="37:47">
      <c r="AK1690" s="12"/>
      <c r="AM1690" s="12"/>
      <c r="AN1690" s="75"/>
      <c r="AO1690" s="75"/>
      <c r="AP1690" s="75"/>
      <c r="AQ1690" s="75"/>
      <c r="AR1690" s="76"/>
      <c r="AT1690" s="65"/>
      <c r="AU1690" s="77"/>
    </row>
    <row r="1691" spans="37:47">
      <c r="AK1691" s="12"/>
      <c r="AM1691" s="12"/>
      <c r="AN1691" s="75"/>
      <c r="AO1691" s="75"/>
      <c r="AP1691" s="75"/>
      <c r="AQ1691" s="75"/>
      <c r="AR1691" s="76"/>
      <c r="AT1691" s="65"/>
      <c r="AU1691" s="77"/>
    </row>
    <row r="1692" spans="37:47">
      <c r="AK1692" s="12"/>
      <c r="AM1692" s="12"/>
      <c r="AN1692" s="75"/>
      <c r="AO1692" s="75"/>
      <c r="AP1692" s="75"/>
      <c r="AQ1692" s="75"/>
      <c r="AR1692" s="76"/>
      <c r="AT1692" s="65"/>
      <c r="AU1692" s="77"/>
    </row>
    <row r="1693" spans="37:47">
      <c r="AK1693" s="12"/>
      <c r="AM1693" s="12"/>
      <c r="AN1693" s="75"/>
      <c r="AO1693" s="75"/>
      <c r="AP1693" s="75"/>
      <c r="AQ1693" s="75"/>
      <c r="AR1693" s="76"/>
      <c r="AT1693" s="65"/>
      <c r="AU1693" s="77"/>
    </row>
    <row r="1694" spans="37:47">
      <c r="AK1694" s="12"/>
      <c r="AM1694" s="12"/>
      <c r="AN1694" s="75"/>
      <c r="AO1694" s="75"/>
      <c r="AP1694" s="75"/>
      <c r="AQ1694" s="75"/>
      <c r="AR1694" s="76"/>
      <c r="AT1694" s="65"/>
      <c r="AU1694" s="77"/>
    </row>
    <row r="1695" spans="37:47">
      <c r="AK1695" s="12"/>
      <c r="AM1695" s="12"/>
      <c r="AN1695" s="75"/>
      <c r="AO1695" s="75"/>
      <c r="AP1695" s="75"/>
      <c r="AQ1695" s="75"/>
      <c r="AR1695" s="76"/>
      <c r="AT1695" s="65"/>
      <c r="AU1695" s="77"/>
    </row>
    <row r="1696" spans="37:47">
      <c r="AK1696" s="12"/>
      <c r="AM1696" s="12"/>
      <c r="AN1696" s="75"/>
      <c r="AO1696" s="75"/>
      <c r="AP1696" s="75"/>
      <c r="AQ1696" s="75"/>
      <c r="AR1696" s="76"/>
      <c r="AT1696" s="65"/>
      <c r="AU1696" s="77"/>
    </row>
    <row r="1697" spans="37:47">
      <c r="AK1697" s="12"/>
      <c r="AM1697" s="12"/>
      <c r="AN1697" s="75"/>
      <c r="AO1697" s="75"/>
      <c r="AP1697" s="75"/>
      <c r="AQ1697" s="75"/>
      <c r="AR1697" s="76"/>
      <c r="AT1697" s="65"/>
      <c r="AU1697" s="77"/>
    </row>
    <row r="1698" spans="37:47">
      <c r="AK1698" s="12"/>
      <c r="AM1698" s="12"/>
      <c r="AN1698" s="75"/>
      <c r="AO1698" s="75"/>
      <c r="AP1698" s="75"/>
      <c r="AQ1698" s="75"/>
      <c r="AR1698" s="76"/>
      <c r="AT1698" s="65"/>
      <c r="AU1698" s="77"/>
    </row>
    <row r="1699" spans="37:47">
      <c r="AK1699" s="12"/>
      <c r="AM1699" s="12"/>
      <c r="AN1699" s="75"/>
      <c r="AO1699" s="75"/>
      <c r="AP1699" s="75"/>
      <c r="AQ1699" s="75"/>
      <c r="AR1699" s="76"/>
      <c r="AT1699" s="65"/>
      <c r="AU1699" s="77"/>
    </row>
    <row r="1700" spans="37:47">
      <c r="AK1700" s="12"/>
      <c r="AM1700" s="12"/>
      <c r="AN1700" s="75"/>
      <c r="AO1700" s="75"/>
      <c r="AP1700" s="75"/>
      <c r="AQ1700" s="75"/>
      <c r="AR1700" s="76"/>
      <c r="AT1700" s="65"/>
      <c r="AU1700" s="77"/>
    </row>
    <row r="1701" spans="37:47">
      <c r="AK1701" s="12"/>
      <c r="AM1701" s="12"/>
      <c r="AN1701" s="75"/>
      <c r="AO1701" s="75"/>
      <c r="AP1701" s="75"/>
      <c r="AQ1701" s="75"/>
      <c r="AR1701" s="76"/>
      <c r="AT1701" s="65"/>
      <c r="AU1701" s="77"/>
    </row>
    <row r="1702" spans="37:47">
      <c r="AK1702" s="12"/>
      <c r="AM1702" s="12"/>
      <c r="AN1702" s="75"/>
      <c r="AO1702" s="75"/>
      <c r="AP1702" s="75"/>
      <c r="AQ1702" s="75"/>
      <c r="AR1702" s="76"/>
      <c r="AT1702" s="65"/>
      <c r="AU1702" s="77"/>
    </row>
    <row r="1703" spans="37:47">
      <c r="AK1703" s="12"/>
      <c r="AM1703" s="12"/>
      <c r="AN1703" s="75"/>
      <c r="AO1703" s="75"/>
      <c r="AP1703" s="75"/>
      <c r="AQ1703" s="75"/>
      <c r="AR1703" s="76"/>
      <c r="AT1703" s="65"/>
      <c r="AU1703" s="77"/>
    </row>
    <row r="1704" spans="37:47">
      <c r="AK1704" s="12"/>
      <c r="AM1704" s="12"/>
      <c r="AN1704" s="75"/>
      <c r="AO1704" s="75"/>
      <c r="AP1704" s="75"/>
      <c r="AQ1704" s="75"/>
      <c r="AR1704" s="76"/>
      <c r="AT1704" s="65"/>
      <c r="AU1704" s="77"/>
    </row>
    <row r="1705" spans="37:47">
      <c r="AK1705" s="12"/>
      <c r="AM1705" s="12"/>
      <c r="AN1705" s="75"/>
      <c r="AO1705" s="75"/>
      <c r="AP1705" s="75"/>
      <c r="AQ1705" s="75"/>
      <c r="AR1705" s="76"/>
      <c r="AT1705" s="65"/>
      <c r="AU1705" s="77"/>
    </row>
    <row r="1706" spans="37:47">
      <c r="AK1706" s="12"/>
      <c r="AM1706" s="12"/>
      <c r="AN1706" s="75"/>
      <c r="AO1706" s="75"/>
      <c r="AP1706" s="75"/>
      <c r="AQ1706" s="75"/>
      <c r="AR1706" s="76"/>
      <c r="AT1706" s="65"/>
      <c r="AU1706" s="77"/>
    </row>
    <row r="1707" spans="37:47">
      <c r="AK1707" s="12"/>
      <c r="AM1707" s="12"/>
      <c r="AN1707" s="75"/>
      <c r="AO1707" s="75"/>
      <c r="AP1707" s="75"/>
      <c r="AQ1707" s="75"/>
      <c r="AR1707" s="76"/>
      <c r="AT1707" s="65"/>
      <c r="AU1707" s="77"/>
    </row>
    <row r="1708" spans="37:47">
      <c r="AK1708" s="12"/>
      <c r="AM1708" s="12"/>
      <c r="AN1708" s="75"/>
      <c r="AO1708" s="75"/>
      <c r="AP1708" s="75"/>
      <c r="AQ1708" s="75"/>
      <c r="AR1708" s="76"/>
      <c r="AT1708" s="65"/>
      <c r="AU1708" s="77"/>
    </row>
    <row r="1709" spans="37:47">
      <c r="AK1709" s="12"/>
      <c r="AM1709" s="12"/>
      <c r="AN1709" s="75"/>
      <c r="AO1709" s="75"/>
      <c r="AP1709" s="75"/>
      <c r="AQ1709" s="75"/>
      <c r="AR1709" s="76"/>
      <c r="AT1709" s="65"/>
      <c r="AU1709" s="77"/>
    </row>
    <row r="1710" spans="37:47">
      <c r="AK1710" s="12"/>
      <c r="AM1710" s="12"/>
      <c r="AN1710" s="75"/>
      <c r="AO1710" s="75"/>
      <c r="AP1710" s="75"/>
      <c r="AQ1710" s="75"/>
      <c r="AR1710" s="76"/>
      <c r="AT1710" s="65"/>
      <c r="AU1710" s="77"/>
    </row>
    <row r="1711" spans="37:47">
      <c r="AK1711" s="12"/>
      <c r="AM1711" s="12"/>
      <c r="AN1711" s="75"/>
      <c r="AO1711" s="75"/>
      <c r="AP1711" s="75"/>
      <c r="AQ1711" s="75"/>
      <c r="AR1711" s="76"/>
      <c r="AT1711" s="65"/>
      <c r="AU1711" s="77"/>
    </row>
    <row r="1712" spans="37:47">
      <c r="AK1712" s="12"/>
      <c r="AM1712" s="12"/>
      <c r="AN1712" s="75"/>
      <c r="AO1712" s="75"/>
      <c r="AP1712" s="75"/>
      <c r="AQ1712" s="75"/>
      <c r="AR1712" s="76"/>
      <c r="AT1712" s="65"/>
      <c r="AU1712" s="77"/>
    </row>
    <row r="1713" spans="37:47">
      <c r="AK1713" s="12"/>
      <c r="AM1713" s="12"/>
      <c r="AN1713" s="75"/>
      <c r="AO1713" s="75"/>
      <c r="AP1713" s="75"/>
      <c r="AQ1713" s="75"/>
      <c r="AR1713" s="76"/>
      <c r="AT1713" s="65"/>
      <c r="AU1713" s="77"/>
    </row>
    <row r="1714" spans="37:47">
      <c r="AK1714" s="12"/>
      <c r="AM1714" s="12"/>
      <c r="AN1714" s="75"/>
      <c r="AO1714" s="75"/>
      <c r="AP1714" s="75"/>
      <c r="AQ1714" s="75"/>
      <c r="AR1714" s="76"/>
      <c r="AT1714" s="65"/>
      <c r="AU1714" s="77"/>
    </row>
    <row r="1715" spans="37:47">
      <c r="AK1715" s="12"/>
      <c r="AM1715" s="12"/>
      <c r="AN1715" s="75"/>
      <c r="AO1715" s="75"/>
      <c r="AP1715" s="75"/>
      <c r="AQ1715" s="75"/>
      <c r="AR1715" s="76"/>
      <c r="AT1715" s="65"/>
      <c r="AU1715" s="77"/>
    </row>
    <row r="1716" spans="37:47">
      <c r="AK1716" s="12"/>
      <c r="AM1716" s="12"/>
      <c r="AN1716" s="75"/>
      <c r="AO1716" s="75"/>
      <c r="AP1716" s="75"/>
      <c r="AQ1716" s="75"/>
      <c r="AR1716" s="76"/>
      <c r="AT1716" s="65"/>
      <c r="AU1716" s="77"/>
    </row>
    <row r="1717" spans="37:47">
      <c r="AK1717" s="12"/>
      <c r="AM1717" s="12"/>
      <c r="AN1717" s="75"/>
      <c r="AO1717" s="75"/>
      <c r="AP1717" s="75"/>
      <c r="AQ1717" s="75"/>
      <c r="AR1717" s="76"/>
      <c r="AT1717" s="65"/>
      <c r="AU1717" s="77"/>
    </row>
    <row r="1718" spans="37:47">
      <c r="AK1718" s="12"/>
      <c r="AM1718" s="12"/>
      <c r="AN1718" s="75"/>
      <c r="AO1718" s="75"/>
      <c r="AP1718" s="75"/>
      <c r="AQ1718" s="75"/>
      <c r="AR1718" s="76"/>
      <c r="AT1718" s="65"/>
      <c r="AU1718" s="77"/>
    </row>
    <row r="1719" spans="37:47">
      <c r="AK1719" s="12"/>
      <c r="AM1719" s="12"/>
      <c r="AN1719" s="75"/>
      <c r="AO1719" s="75"/>
      <c r="AP1719" s="75"/>
      <c r="AQ1719" s="75"/>
      <c r="AR1719" s="76"/>
      <c r="AT1719" s="65"/>
      <c r="AU1719" s="77"/>
    </row>
    <row r="1720" spans="37:47">
      <c r="AK1720" s="12"/>
      <c r="AM1720" s="12"/>
      <c r="AN1720" s="75"/>
      <c r="AO1720" s="75"/>
      <c r="AP1720" s="75"/>
      <c r="AQ1720" s="75"/>
      <c r="AR1720" s="76"/>
      <c r="AT1720" s="65"/>
      <c r="AU1720" s="77"/>
    </row>
    <row r="1721" spans="37:47">
      <c r="AK1721" s="12"/>
      <c r="AM1721" s="12"/>
      <c r="AN1721" s="75"/>
      <c r="AO1721" s="75"/>
      <c r="AP1721" s="75"/>
      <c r="AQ1721" s="75"/>
      <c r="AR1721" s="76"/>
      <c r="AT1721" s="65"/>
      <c r="AU1721" s="77"/>
    </row>
    <row r="1722" spans="37:47">
      <c r="AK1722" s="12"/>
      <c r="AM1722" s="12"/>
      <c r="AN1722" s="75"/>
      <c r="AO1722" s="75"/>
      <c r="AP1722" s="75"/>
      <c r="AQ1722" s="75"/>
      <c r="AR1722" s="76"/>
      <c r="AT1722" s="65"/>
      <c r="AU1722" s="77"/>
    </row>
    <row r="1723" spans="37:47">
      <c r="AK1723" s="12"/>
      <c r="AM1723" s="12"/>
      <c r="AN1723" s="75"/>
      <c r="AO1723" s="75"/>
      <c r="AP1723" s="75"/>
      <c r="AQ1723" s="75"/>
      <c r="AR1723" s="76"/>
      <c r="AT1723" s="65"/>
      <c r="AU1723" s="77"/>
    </row>
    <row r="1724" spans="37:47">
      <c r="AK1724" s="12"/>
      <c r="AM1724" s="12"/>
      <c r="AN1724" s="75"/>
      <c r="AO1724" s="75"/>
      <c r="AP1724" s="75"/>
      <c r="AQ1724" s="75"/>
      <c r="AR1724" s="76"/>
      <c r="AT1724" s="65"/>
      <c r="AU1724" s="77"/>
    </row>
    <row r="1725" spans="37:47">
      <c r="AK1725" s="12"/>
      <c r="AM1725" s="12"/>
      <c r="AN1725" s="75"/>
      <c r="AO1725" s="75"/>
      <c r="AP1725" s="75"/>
      <c r="AQ1725" s="75"/>
      <c r="AR1725" s="76"/>
      <c r="AT1725" s="65"/>
      <c r="AU1725" s="77"/>
    </row>
    <row r="1726" spans="37:47">
      <c r="AK1726" s="12"/>
      <c r="AM1726" s="12"/>
      <c r="AN1726" s="75"/>
      <c r="AO1726" s="75"/>
      <c r="AP1726" s="75"/>
      <c r="AQ1726" s="75"/>
      <c r="AR1726" s="76"/>
      <c r="AT1726" s="65"/>
      <c r="AU1726" s="77"/>
    </row>
    <row r="1727" spans="37:47">
      <c r="AK1727" s="12"/>
      <c r="AM1727" s="12"/>
      <c r="AN1727" s="75"/>
      <c r="AO1727" s="75"/>
      <c r="AP1727" s="75"/>
      <c r="AQ1727" s="75"/>
      <c r="AR1727" s="76"/>
      <c r="AT1727" s="65"/>
      <c r="AU1727" s="77"/>
    </row>
    <row r="1728" spans="37:47">
      <c r="AK1728" s="12"/>
      <c r="AM1728" s="12"/>
      <c r="AN1728" s="75"/>
      <c r="AO1728" s="75"/>
      <c r="AP1728" s="75"/>
      <c r="AQ1728" s="75"/>
      <c r="AR1728" s="76"/>
      <c r="AT1728" s="65"/>
      <c r="AU1728" s="77"/>
    </row>
    <row r="1729" spans="37:47">
      <c r="AK1729" s="12"/>
      <c r="AM1729" s="12"/>
      <c r="AN1729" s="75"/>
      <c r="AO1729" s="75"/>
      <c r="AP1729" s="75"/>
      <c r="AQ1729" s="75"/>
      <c r="AR1729" s="76"/>
      <c r="AT1729" s="65"/>
      <c r="AU1729" s="77"/>
    </row>
    <row r="1730" spans="37:47">
      <c r="AK1730" s="12"/>
      <c r="AM1730" s="12"/>
      <c r="AN1730" s="75"/>
      <c r="AO1730" s="75"/>
      <c r="AP1730" s="75"/>
      <c r="AQ1730" s="75"/>
      <c r="AR1730" s="76"/>
      <c r="AT1730" s="65"/>
      <c r="AU1730" s="77"/>
    </row>
    <row r="1731" spans="37:47">
      <c r="AK1731" s="12"/>
      <c r="AM1731" s="12"/>
      <c r="AN1731" s="75"/>
      <c r="AO1731" s="75"/>
      <c r="AP1731" s="75"/>
      <c r="AQ1731" s="75"/>
      <c r="AR1731" s="76"/>
      <c r="AT1731" s="65"/>
      <c r="AU1731" s="77"/>
    </row>
    <row r="1732" spans="37:47">
      <c r="AK1732" s="12"/>
      <c r="AM1732" s="12"/>
      <c r="AN1732" s="75"/>
      <c r="AO1732" s="75"/>
      <c r="AP1732" s="75"/>
      <c r="AQ1732" s="75"/>
      <c r="AR1732" s="76"/>
      <c r="AT1732" s="65"/>
      <c r="AU1732" s="77"/>
    </row>
    <row r="1733" spans="37:47">
      <c r="AK1733" s="12"/>
      <c r="AM1733" s="12"/>
      <c r="AN1733" s="75"/>
      <c r="AO1733" s="75"/>
      <c r="AP1733" s="75"/>
      <c r="AQ1733" s="75"/>
      <c r="AR1733" s="76"/>
      <c r="AT1733" s="65"/>
      <c r="AU1733" s="77"/>
    </row>
    <row r="1734" spans="37:47">
      <c r="AK1734" s="12"/>
      <c r="AM1734" s="12"/>
      <c r="AN1734" s="75"/>
      <c r="AO1734" s="75"/>
      <c r="AP1734" s="75"/>
      <c r="AQ1734" s="75"/>
      <c r="AR1734" s="76"/>
      <c r="AT1734" s="65"/>
      <c r="AU1734" s="77"/>
    </row>
    <row r="1735" spans="37:47">
      <c r="AK1735" s="12"/>
      <c r="AM1735" s="12"/>
      <c r="AN1735" s="75"/>
      <c r="AO1735" s="75"/>
      <c r="AP1735" s="75"/>
      <c r="AQ1735" s="75"/>
      <c r="AR1735" s="76"/>
      <c r="AT1735" s="65"/>
      <c r="AU1735" s="77"/>
    </row>
    <row r="1736" spans="37:47">
      <c r="AK1736" s="12"/>
      <c r="AM1736" s="12"/>
      <c r="AN1736" s="75"/>
      <c r="AO1736" s="75"/>
      <c r="AP1736" s="75"/>
      <c r="AQ1736" s="75"/>
      <c r="AR1736" s="76"/>
      <c r="AT1736" s="65"/>
      <c r="AU1736" s="77"/>
    </row>
    <row r="1737" spans="37:47">
      <c r="AK1737" s="12"/>
      <c r="AM1737" s="12"/>
      <c r="AN1737" s="75"/>
      <c r="AO1737" s="75"/>
      <c r="AP1737" s="75"/>
      <c r="AQ1737" s="75"/>
      <c r="AR1737" s="76"/>
      <c r="AT1737" s="65"/>
      <c r="AU1737" s="77"/>
    </row>
    <row r="1738" spans="37:47">
      <c r="AK1738" s="12"/>
      <c r="AM1738" s="12"/>
      <c r="AN1738" s="75"/>
      <c r="AO1738" s="75"/>
      <c r="AP1738" s="75"/>
      <c r="AQ1738" s="75"/>
      <c r="AR1738" s="76"/>
      <c r="AT1738" s="65"/>
      <c r="AU1738" s="77"/>
    </row>
    <row r="1739" spans="37:47">
      <c r="AK1739" s="12"/>
      <c r="AM1739" s="12"/>
      <c r="AN1739" s="75"/>
      <c r="AO1739" s="75"/>
      <c r="AP1739" s="75"/>
      <c r="AQ1739" s="75"/>
      <c r="AR1739" s="76"/>
      <c r="AT1739" s="65"/>
      <c r="AU1739" s="77"/>
    </row>
    <row r="1740" spans="37:47">
      <c r="AK1740" s="12"/>
      <c r="AM1740" s="12"/>
      <c r="AN1740" s="75"/>
      <c r="AO1740" s="75"/>
      <c r="AP1740" s="75"/>
      <c r="AQ1740" s="75"/>
      <c r="AR1740" s="76"/>
      <c r="AT1740" s="65"/>
      <c r="AU1740" s="77"/>
    </row>
    <row r="1741" spans="37:47">
      <c r="AK1741" s="12"/>
      <c r="AM1741" s="12"/>
      <c r="AN1741" s="75"/>
      <c r="AO1741" s="75"/>
      <c r="AP1741" s="75"/>
      <c r="AQ1741" s="75"/>
      <c r="AR1741" s="76"/>
      <c r="AT1741" s="65"/>
      <c r="AU1741" s="77"/>
    </row>
    <row r="1742" spans="37:47">
      <c r="AK1742" s="12"/>
      <c r="AM1742" s="12"/>
      <c r="AN1742" s="75"/>
      <c r="AO1742" s="75"/>
      <c r="AP1742" s="75"/>
      <c r="AQ1742" s="75"/>
      <c r="AR1742" s="76"/>
      <c r="AT1742" s="65"/>
      <c r="AU1742" s="77"/>
    </row>
    <row r="1743" spans="37:47">
      <c r="AK1743" s="12"/>
      <c r="AM1743" s="12"/>
      <c r="AN1743" s="75"/>
      <c r="AO1743" s="75"/>
      <c r="AP1743" s="75"/>
      <c r="AQ1743" s="75"/>
      <c r="AR1743" s="76"/>
      <c r="AT1743" s="65"/>
      <c r="AU1743" s="77"/>
    </row>
    <row r="1744" spans="37:47">
      <c r="AK1744" s="12"/>
      <c r="AM1744" s="12"/>
      <c r="AN1744" s="75"/>
      <c r="AO1744" s="75"/>
      <c r="AP1744" s="75"/>
      <c r="AQ1744" s="75"/>
      <c r="AR1744" s="76"/>
      <c r="AT1744" s="65"/>
      <c r="AU1744" s="77"/>
    </row>
    <row r="1745" spans="37:47">
      <c r="AK1745" s="12"/>
      <c r="AM1745" s="12"/>
      <c r="AN1745" s="75"/>
      <c r="AO1745" s="75"/>
      <c r="AP1745" s="75"/>
      <c r="AQ1745" s="75"/>
      <c r="AR1745" s="76"/>
      <c r="AT1745" s="65"/>
      <c r="AU1745" s="77"/>
    </row>
    <row r="1746" spans="37:47">
      <c r="AK1746" s="12"/>
      <c r="AM1746" s="12"/>
      <c r="AN1746" s="75"/>
      <c r="AO1746" s="75"/>
      <c r="AP1746" s="75"/>
      <c r="AQ1746" s="75"/>
      <c r="AR1746" s="76"/>
      <c r="AT1746" s="65"/>
      <c r="AU1746" s="77"/>
    </row>
    <row r="1747" spans="37:47">
      <c r="AK1747" s="12"/>
      <c r="AM1747" s="12"/>
      <c r="AN1747" s="75"/>
      <c r="AO1747" s="75"/>
      <c r="AP1747" s="75"/>
      <c r="AQ1747" s="75"/>
      <c r="AR1747" s="76"/>
      <c r="AT1747" s="65"/>
      <c r="AU1747" s="77"/>
    </row>
    <row r="1748" spans="37:47">
      <c r="AK1748" s="12"/>
      <c r="AM1748" s="12"/>
      <c r="AN1748" s="75"/>
      <c r="AO1748" s="75"/>
      <c r="AP1748" s="75"/>
      <c r="AQ1748" s="75"/>
      <c r="AR1748" s="76"/>
      <c r="AT1748" s="65"/>
      <c r="AU1748" s="77"/>
    </row>
    <row r="1749" spans="37:47">
      <c r="AK1749" s="12"/>
      <c r="AM1749" s="12"/>
      <c r="AN1749" s="75"/>
      <c r="AO1749" s="75"/>
      <c r="AP1749" s="75"/>
      <c r="AQ1749" s="75"/>
      <c r="AR1749" s="76"/>
      <c r="AT1749" s="65"/>
      <c r="AU1749" s="77"/>
    </row>
    <row r="1750" spans="37:47">
      <c r="AK1750" s="12"/>
      <c r="AM1750" s="12"/>
      <c r="AN1750" s="75"/>
      <c r="AO1750" s="75"/>
      <c r="AP1750" s="75"/>
      <c r="AQ1750" s="75"/>
      <c r="AR1750" s="76"/>
      <c r="AT1750" s="65"/>
      <c r="AU1750" s="77"/>
    </row>
    <row r="1751" spans="37:47">
      <c r="AK1751" s="12"/>
      <c r="AM1751" s="12"/>
      <c r="AN1751" s="75"/>
      <c r="AO1751" s="75"/>
      <c r="AP1751" s="75"/>
      <c r="AQ1751" s="75"/>
      <c r="AR1751" s="76"/>
      <c r="AT1751" s="65"/>
      <c r="AU1751" s="77"/>
    </row>
    <row r="1752" spans="37:47">
      <c r="AK1752" s="12"/>
      <c r="AM1752" s="12"/>
      <c r="AN1752" s="75"/>
      <c r="AO1752" s="75"/>
      <c r="AP1752" s="75"/>
      <c r="AQ1752" s="75"/>
      <c r="AR1752" s="76"/>
      <c r="AT1752" s="65"/>
      <c r="AU1752" s="77"/>
    </row>
    <row r="1753" spans="37:47">
      <c r="AK1753" s="12"/>
      <c r="AM1753" s="12"/>
      <c r="AN1753" s="75"/>
      <c r="AO1753" s="75"/>
      <c r="AP1753" s="75"/>
      <c r="AQ1753" s="75"/>
      <c r="AR1753" s="76"/>
      <c r="AT1753" s="65"/>
      <c r="AU1753" s="77"/>
    </row>
    <row r="1754" spans="37:47">
      <c r="AK1754" s="12"/>
      <c r="AM1754" s="12"/>
      <c r="AN1754" s="75"/>
      <c r="AO1754" s="75"/>
      <c r="AP1754" s="75"/>
      <c r="AQ1754" s="75"/>
      <c r="AR1754" s="76"/>
      <c r="AT1754" s="65"/>
      <c r="AU1754" s="77"/>
    </row>
    <row r="1755" spans="37:47">
      <c r="AK1755" s="12"/>
      <c r="AM1755" s="12"/>
      <c r="AN1755" s="75"/>
      <c r="AO1755" s="75"/>
      <c r="AP1755" s="75"/>
      <c r="AQ1755" s="75"/>
      <c r="AR1755" s="76"/>
      <c r="AT1755" s="65"/>
      <c r="AU1755" s="77"/>
    </row>
    <row r="1756" spans="37:47">
      <c r="AK1756" s="12"/>
      <c r="AM1756" s="12"/>
      <c r="AN1756" s="75"/>
      <c r="AO1756" s="75"/>
      <c r="AP1756" s="75"/>
      <c r="AQ1756" s="75"/>
      <c r="AR1756" s="76"/>
      <c r="AT1756" s="65"/>
      <c r="AU1756" s="77"/>
    </row>
    <row r="1757" spans="37:47">
      <c r="AK1757" s="12"/>
      <c r="AM1757" s="12"/>
      <c r="AN1757" s="75"/>
      <c r="AO1757" s="75"/>
      <c r="AP1757" s="75"/>
      <c r="AQ1757" s="75"/>
      <c r="AR1757" s="76"/>
      <c r="AT1757" s="65"/>
      <c r="AU1757" s="77"/>
    </row>
    <row r="1758" spans="37:47">
      <c r="AK1758" s="12"/>
      <c r="AM1758" s="12"/>
      <c r="AN1758" s="75"/>
      <c r="AO1758" s="75"/>
      <c r="AP1758" s="75"/>
      <c r="AQ1758" s="75"/>
      <c r="AR1758" s="76"/>
      <c r="AT1758" s="65"/>
      <c r="AU1758" s="77"/>
    </row>
    <row r="1759" spans="37:47">
      <c r="AK1759" s="12"/>
      <c r="AM1759" s="12"/>
      <c r="AN1759" s="75"/>
      <c r="AO1759" s="75"/>
      <c r="AP1759" s="75"/>
      <c r="AQ1759" s="75"/>
      <c r="AR1759" s="76"/>
      <c r="AT1759" s="65"/>
      <c r="AU1759" s="77"/>
    </row>
    <row r="1760" spans="37:47">
      <c r="AK1760" s="12"/>
      <c r="AM1760" s="12"/>
      <c r="AN1760" s="75"/>
      <c r="AO1760" s="75"/>
      <c r="AP1760" s="75"/>
      <c r="AQ1760" s="75"/>
      <c r="AR1760" s="76"/>
      <c r="AT1760" s="65"/>
      <c r="AU1760" s="77"/>
    </row>
    <row r="1761" spans="37:47">
      <c r="AK1761" s="12"/>
      <c r="AM1761" s="12"/>
      <c r="AN1761" s="75"/>
      <c r="AO1761" s="75"/>
      <c r="AP1761" s="75"/>
      <c r="AQ1761" s="75"/>
      <c r="AR1761" s="76"/>
      <c r="AT1761" s="65"/>
      <c r="AU1761" s="77"/>
    </row>
    <row r="1762" spans="37:47">
      <c r="AK1762" s="12"/>
      <c r="AM1762" s="12"/>
      <c r="AN1762" s="75"/>
      <c r="AO1762" s="75"/>
      <c r="AP1762" s="75"/>
      <c r="AQ1762" s="75"/>
      <c r="AR1762" s="76"/>
      <c r="AT1762" s="65"/>
      <c r="AU1762" s="77"/>
    </row>
    <row r="1763" spans="37:47">
      <c r="AK1763" s="12"/>
      <c r="AM1763" s="12"/>
      <c r="AN1763" s="75"/>
      <c r="AO1763" s="75"/>
      <c r="AP1763" s="75"/>
      <c r="AQ1763" s="75"/>
      <c r="AR1763" s="76"/>
      <c r="AT1763" s="65"/>
      <c r="AU1763" s="77"/>
    </row>
    <row r="1764" spans="37:47">
      <c r="AK1764" s="12"/>
      <c r="AM1764" s="12"/>
      <c r="AN1764" s="75"/>
      <c r="AO1764" s="75"/>
      <c r="AP1764" s="75"/>
      <c r="AQ1764" s="75"/>
      <c r="AR1764" s="76"/>
      <c r="AT1764" s="65"/>
      <c r="AU1764" s="77"/>
    </row>
    <row r="1765" spans="37:47">
      <c r="AK1765" s="12"/>
      <c r="AM1765" s="12"/>
      <c r="AN1765" s="75"/>
      <c r="AO1765" s="75"/>
      <c r="AP1765" s="75"/>
      <c r="AQ1765" s="75"/>
      <c r="AR1765" s="76"/>
      <c r="AT1765" s="65"/>
      <c r="AU1765" s="77"/>
    </row>
    <row r="1766" spans="37:47">
      <c r="AK1766" s="12"/>
      <c r="AM1766" s="12"/>
      <c r="AN1766" s="75"/>
      <c r="AO1766" s="75"/>
      <c r="AP1766" s="75"/>
      <c r="AQ1766" s="75"/>
      <c r="AR1766" s="76"/>
      <c r="AT1766" s="65"/>
      <c r="AU1766" s="77"/>
    </row>
    <row r="1767" spans="37:47">
      <c r="AK1767" s="12"/>
      <c r="AM1767" s="12"/>
      <c r="AN1767" s="75"/>
      <c r="AO1767" s="75"/>
      <c r="AP1767" s="75"/>
      <c r="AQ1767" s="75"/>
      <c r="AR1767" s="76"/>
      <c r="AT1767" s="65"/>
      <c r="AU1767" s="77"/>
    </row>
    <row r="1768" spans="37:47">
      <c r="AK1768" s="12"/>
      <c r="AM1768" s="12"/>
      <c r="AN1768" s="75"/>
      <c r="AO1768" s="75"/>
      <c r="AP1768" s="75"/>
      <c r="AQ1768" s="75"/>
      <c r="AR1768" s="76"/>
      <c r="AT1768" s="65"/>
      <c r="AU1768" s="77"/>
    </row>
    <row r="1769" spans="37:47">
      <c r="AK1769" s="12"/>
      <c r="AM1769" s="12"/>
      <c r="AN1769" s="75"/>
      <c r="AO1769" s="75"/>
      <c r="AP1769" s="75"/>
      <c r="AQ1769" s="75"/>
      <c r="AR1769" s="76"/>
      <c r="AT1769" s="65"/>
      <c r="AU1769" s="77"/>
    </row>
    <row r="1770" spans="37:47">
      <c r="AK1770" s="12"/>
      <c r="AM1770" s="12"/>
      <c r="AN1770" s="75"/>
      <c r="AO1770" s="75"/>
      <c r="AP1770" s="75"/>
      <c r="AQ1770" s="75"/>
      <c r="AR1770" s="76"/>
      <c r="AT1770" s="65"/>
      <c r="AU1770" s="77"/>
    </row>
    <row r="1771" spans="37:47">
      <c r="AK1771" s="12"/>
      <c r="AM1771" s="12"/>
      <c r="AN1771" s="75"/>
      <c r="AO1771" s="75"/>
      <c r="AP1771" s="75"/>
      <c r="AQ1771" s="75"/>
      <c r="AR1771" s="76"/>
      <c r="AT1771" s="65"/>
      <c r="AU1771" s="77"/>
    </row>
    <row r="1772" spans="37:47">
      <c r="AK1772" s="12"/>
      <c r="AM1772" s="12"/>
      <c r="AN1772" s="75"/>
      <c r="AO1772" s="75"/>
      <c r="AP1772" s="75"/>
      <c r="AQ1772" s="75"/>
      <c r="AR1772" s="76"/>
      <c r="AT1772" s="65"/>
      <c r="AU1772" s="77"/>
    </row>
    <row r="1773" spans="37:47">
      <c r="AK1773" s="12"/>
      <c r="AM1773" s="12"/>
      <c r="AN1773" s="75"/>
      <c r="AO1773" s="75"/>
      <c r="AP1773" s="75"/>
      <c r="AQ1773" s="75"/>
      <c r="AR1773" s="76"/>
      <c r="AT1773" s="65"/>
      <c r="AU1773" s="77"/>
    </row>
    <row r="1774" spans="37:47">
      <c r="AK1774" s="12"/>
      <c r="AM1774" s="12"/>
      <c r="AN1774" s="75"/>
      <c r="AO1774" s="75"/>
      <c r="AP1774" s="75"/>
      <c r="AQ1774" s="75"/>
      <c r="AR1774" s="76"/>
      <c r="AT1774" s="65"/>
      <c r="AU1774" s="77"/>
    </row>
    <row r="1775" spans="37:47">
      <c r="AK1775" s="12"/>
      <c r="AM1775" s="12"/>
      <c r="AN1775" s="75"/>
      <c r="AO1775" s="75"/>
      <c r="AP1775" s="75"/>
      <c r="AQ1775" s="75"/>
      <c r="AR1775" s="76"/>
      <c r="AT1775" s="65"/>
      <c r="AU1775" s="77"/>
    </row>
    <row r="1776" spans="37:47">
      <c r="AK1776" s="12"/>
      <c r="AM1776" s="12"/>
      <c r="AN1776" s="75"/>
      <c r="AO1776" s="75"/>
      <c r="AP1776" s="75"/>
      <c r="AQ1776" s="75"/>
      <c r="AR1776" s="76"/>
      <c r="AT1776" s="65"/>
      <c r="AU1776" s="77"/>
    </row>
    <row r="1777" spans="37:47">
      <c r="AK1777" s="12"/>
      <c r="AM1777" s="12"/>
      <c r="AN1777" s="75"/>
      <c r="AO1777" s="75"/>
      <c r="AP1777" s="75"/>
      <c r="AQ1777" s="75"/>
      <c r="AR1777" s="76"/>
      <c r="AT1777" s="65"/>
      <c r="AU1777" s="77"/>
    </row>
    <row r="1778" spans="37:47">
      <c r="AK1778" s="12"/>
      <c r="AM1778" s="12"/>
      <c r="AN1778" s="75"/>
      <c r="AO1778" s="75"/>
      <c r="AP1778" s="75"/>
      <c r="AQ1778" s="75"/>
      <c r="AR1778" s="76"/>
      <c r="AT1778" s="65"/>
      <c r="AU1778" s="77"/>
    </row>
    <row r="1779" spans="37:47">
      <c r="AK1779" s="12"/>
      <c r="AM1779" s="12"/>
      <c r="AN1779" s="75"/>
      <c r="AO1779" s="75"/>
      <c r="AP1779" s="75"/>
      <c r="AQ1779" s="75"/>
      <c r="AR1779" s="76"/>
      <c r="AT1779" s="65"/>
      <c r="AU1779" s="77"/>
    </row>
    <row r="1780" spans="37:47">
      <c r="AK1780" s="12"/>
      <c r="AM1780" s="12"/>
      <c r="AN1780" s="75"/>
      <c r="AO1780" s="75"/>
      <c r="AP1780" s="75"/>
      <c r="AQ1780" s="75"/>
      <c r="AR1780" s="76"/>
      <c r="AT1780" s="65"/>
      <c r="AU1780" s="77"/>
    </row>
    <row r="1781" spans="37:47">
      <c r="AK1781" s="12"/>
      <c r="AM1781" s="12"/>
      <c r="AN1781" s="75"/>
      <c r="AO1781" s="75"/>
      <c r="AP1781" s="75"/>
      <c r="AQ1781" s="75"/>
      <c r="AR1781" s="76"/>
      <c r="AT1781" s="65"/>
      <c r="AU1781" s="77"/>
    </row>
    <row r="1782" spans="37:47">
      <c r="AK1782" s="12"/>
      <c r="AM1782" s="12"/>
      <c r="AN1782" s="75"/>
      <c r="AO1782" s="75"/>
      <c r="AP1782" s="75"/>
      <c r="AQ1782" s="75"/>
      <c r="AR1782" s="76"/>
      <c r="AT1782" s="65"/>
      <c r="AU1782" s="77"/>
    </row>
    <row r="1783" spans="37:47">
      <c r="AK1783" s="12"/>
      <c r="AM1783" s="12"/>
      <c r="AN1783" s="75"/>
      <c r="AO1783" s="75"/>
      <c r="AP1783" s="75"/>
      <c r="AQ1783" s="75"/>
      <c r="AR1783" s="76"/>
      <c r="AT1783" s="65"/>
      <c r="AU1783" s="77"/>
    </row>
    <row r="1784" spans="37:47">
      <c r="AK1784" s="12"/>
      <c r="AM1784" s="12"/>
      <c r="AN1784" s="75"/>
      <c r="AO1784" s="75"/>
      <c r="AP1784" s="75"/>
      <c r="AQ1784" s="75"/>
      <c r="AR1784" s="76"/>
      <c r="AT1784" s="65"/>
      <c r="AU1784" s="77"/>
    </row>
    <row r="1785" spans="37:47">
      <c r="AK1785" s="12"/>
      <c r="AM1785" s="12"/>
      <c r="AN1785" s="75"/>
      <c r="AO1785" s="75"/>
      <c r="AP1785" s="75"/>
      <c r="AQ1785" s="75"/>
      <c r="AR1785" s="76"/>
      <c r="AT1785" s="65"/>
      <c r="AU1785" s="77"/>
    </row>
    <row r="1786" spans="37:47">
      <c r="AK1786" s="12"/>
      <c r="AM1786" s="12"/>
      <c r="AN1786" s="75"/>
      <c r="AO1786" s="75"/>
      <c r="AP1786" s="75"/>
      <c r="AQ1786" s="75"/>
      <c r="AR1786" s="76"/>
      <c r="AT1786" s="65"/>
      <c r="AU1786" s="77"/>
    </row>
    <row r="1787" spans="37:47">
      <c r="AK1787" s="12"/>
      <c r="AM1787" s="12"/>
      <c r="AN1787" s="75"/>
      <c r="AO1787" s="75"/>
      <c r="AP1787" s="75"/>
      <c r="AQ1787" s="75"/>
      <c r="AR1787" s="76"/>
      <c r="AT1787" s="65"/>
      <c r="AU1787" s="77"/>
    </row>
    <row r="1788" spans="37:47">
      <c r="AK1788" s="12"/>
      <c r="AM1788" s="12"/>
      <c r="AN1788" s="75"/>
      <c r="AO1788" s="75"/>
      <c r="AP1788" s="75"/>
      <c r="AQ1788" s="75"/>
      <c r="AR1788" s="76"/>
      <c r="AT1788" s="65"/>
      <c r="AU1788" s="77"/>
    </row>
    <row r="1789" spans="37:47">
      <c r="AK1789" s="12"/>
      <c r="AM1789" s="12"/>
      <c r="AN1789" s="75"/>
      <c r="AO1789" s="75"/>
      <c r="AP1789" s="75"/>
      <c r="AQ1789" s="75"/>
      <c r="AR1789" s="76"/>
      <c r="AT1789" s="65"/>
      <c r="AU1789" s="77"/>
    </row>
    <row r="1790" spans="37:47">
      <c r="AK1790" s="12"/>
      <c r="AM1790" s="12"/>
      <c r="AN1790" s="75"/>
      <c r="AO1790" s="75"/>
      <c r="AP1790" s="75"/>
      <c r="AQ1790" s="75"/>
      <c r="AR1790" s="76"/>
      <c r="AT1790" s="65"/>
      <c r="AU1790" s="77"/>
    </row>
    <row r="1791" spans="37:47">
      <c r="AK1791" s="12"/>
      <c r="AM1791" s="12"/>
      <c r="AN1791" s="75"/>
      <c r="AO1791" s="75"/>
      <c r="AP1791" s="75"/>
      <c r="AQ1791" s="75"/>
      <c r="AR1791" s="76"/>
      <c r="AT1791" s="65"/>
      <c r="AU1791" s="77"/>
    </row>
    <row r="1792" spans="37:47">
      <c r="AK1792" s="12"/>
      <c r="AM1792" s="12"/>
      <c r="AN1792" s="75"/>
      <c r="AO1792" s="75"/>
      <c r="AP1792" s="75"/>
      <c r="AQ1792" s="75"/>
      <c r="AR1792" s="76"/>
      <c r="AT1792" s="65"/>
      <c r="AU1792" s="77"/>
    </row>
    <row r="1793" spans="37:47">
      <c r="AK1793" s="12"/>
      <c r="AM1793" s="12"/>
      <c r="AN1793" s="75"/>
      <c r="AO1793" s="75"/>
      <c r="AP1793" s="75"/>
      <c r="AQ1793" s="75"/>
      <c r="AR1793" s="76"/>
      <c r="AT1793" s="65"/>
      <c r="AU1793" s="77"/>
    </row>
    <row r="1794" spans="37:47">
      <c r="AK1794" s="12"/>
      <c r="AM1794" s="12"/>
      <c r="AN1794" s="75"/>
      <c r="AO1794" s="75"/>
      <c r="AP1794" s="75"/>
      <c r="AQ1794" s="75"/>
      <c r="AR1794" s="76"/>
      <c r="AT1794" s="65"/>
      <c r="AU1794" s="77"/>
    </row>
    <row r="1795" spans="37:47">
      <c r="AK1795" s="12"/>
      <c r="AM1795" s="12"/>
      <c r="AN1795" s="75"/>
      <c r="AO1795" s="75"/>
      <c r="AP1795" s="75"/>
      <c r="AQ1795" s="75"/>
      <c r="AR1795" s="76"/>
      <c r="AT1795" s="65"/>
      <c r="AU1795" s="77"/>
    </row>
    <row r="1796" spans="37:47">
      <c r="AK1796" s="12"/>
      <c r="AM1796" s="12"/>
      <c r="AN1796" s="75"/>
      <c r="AO1796" s="75"/>
      <c r="AP1796" s="75"/>
      <c r="AQ1796" s="75"/>
      <c r="AR1796" s="76"/>
      <c r="AT1796" s="65"/>
      <c r="AU1796" s="77"/>
    </row>
    <row r="1797" spans="37:47">
      <c r="AK1797" s="12"/>
      <c r="AM1797" s="12"/>
      <c r="AN1797" s="75"/>
      <c r="AO1797" s="75"/>
      <c r="AP1797" s="75"/>
      <c r="AQ1797" s="75"/>
      <c r="AR1797" s="76"/>
      <c r="AT1797" s="65"/>
      <c r="AU1797" s="77"/>
    </row>
    <row r="1798" spans="37:47">
      <c r="AK1798" s="12"/>
      <c r="AM1798" s="12"/>
      <c r="AN1798" s="75"/>
      <c r="AO1798" s="75"/>
      <c r="AP1798" s="75"/>
      <c r="AQ1798" s="75"/>
      <c r="AR1798" s="76"/>
      <c r="AT1798" s="65"/>
      <c r="AU1798" s="77"/>
    </row>
    <row r="1799" spans="37:47">
      <c r="AK1799" s="12"/>
      <c r="AM1799" s="12"/>
      <c r="AN1799" s="75"/>
      <c r="AO1799" s="75"/>
      <c r="AP1799" s="75"/>
      <c r="AQ1799" s="75"/>
      <c r="AR1799" s="76"/>
      <c r="AT1799" s="65"/>
      <c r="AU1799" s="77"/>
    </row>
    <row r="1800" spans="37:47">
      <c r="AK1800" s="12"/>
      <c r="AM1800" s="12"/>
      <c r="AN1800" s="75"/>
      <c r="AO1800" s="75"/>
      <c r="AP1800" s="75"/>
      <c r="AQ1800" s="75"/>
      <c r="AR1800" s="76"/>
      <c r="AT1800" s="65"/>
      <c r="AU1800" s="77"/>
    </row>
    <row r="1801" spans="37:47">
      <c r="AK1801" s="12"/>
      <c r="AM1801" s="12"/>
      <c r="AN1801" s="75"/>
      <c r="AO1801" s="75"/>
      <c r="AP1801" s="75"/>
      <c r="AQ1801" s="75"/>
      <c r="AR1801" s="76"/>
      <c r="AT1801" s="65"/>
      <c r="AU1801" s="77"/>
    </row>
    <row r="1802" spans="37:47">
      <c r="AK1802" s="12"/>
      <c r="AM1802" s="12"/>
      <c r="AN1802" s="75"/>
      <c r="AO1802" s="75"/>
      <c r="AP1802" s="75"/>
      <c r="AQ1802" s="75"/>
      <c r="AR1802" s="76"/>
      <c r="AT1802" s="65"/>
      <c r="AU1802" s="77"/>
    </row>
    <row r="1803" spans="37:47">
      <c r="AK1803" s="12"/>
      <c r="AM1803" s="12"/>
      <c r="AN1803" s="75"/>
      <c r="AO1803" s="75"/>
      <c r="AP1803" s="75"/>
      <c r="AQ1803" s="75"/>
      <c r="AR1803" s="76"/>
      <c r="AT1803" s="65"/>
      <c r="AU1803" s="77"/>
    </row>
    <row r="1804" spans="37:47">
      <c r="AK1804" s="12"/>
      <c r="AM1804" s="12"/>
      <c r="AN1804" s="75"/>
      <c r="AO1804" s="75"/>
      <c r="AP1804" s="75"/>
      <c r="AQ1804" s="75"/>
      <c r="AR1804" s="76"/>
      <c r="AT1804" s="65"/>
      <c r="AU1804" s="77"/>
    </row>
    <row r="1805" spans="37:47">
      <c r="AK1805" s="12"/>
      <c r="AM1805" s="12"/>
      <c r="AN1805" s="75"/>
      <c r="AO1805" s="75"/>
      <c r="AP1805" s="75"/>
      <c r="AQ1805" s="75"/>
      <c r="AR1805" s="76"/>
      <c r="AT1805" s="65"/>
      <c r="AU1805" s="77"/>
    </row>
    <row r="1806" spans="37:47">
      <c r="AK1806" s="12"/>
      <c r="AM1806" s="12"/>
      <c r="AN1806" s="75"/>
      <c r="AO1806" s="75"/>
      <c r="AP1806" s="75"/>
      <c r="AQ1806" s="75"/>
      <c r="AR1806" s="76"/>
      <c r="AT1806" s="65"/>
      <c r="AU1806" s="77"/>
    </row>
    <row r="1807" spans="37:47">
      <c r="AK1807" s="12"/>
      <c r="AM1807" s="12"/>
      <c r="AN1807" s="75"/>
      <c r="AO1807" s="75"/>
      <c r="AP1807" s="75"/>
      <c r="AQ1807" s="75"/>
      <c r="AR1807" s="76"/>
      <c r="AT1807" s="65"/>
      <c r="AU1807" s="77"/>
    </row>
    <row r="1808" spans="37:47">
      <c r="AK1808" s="12"/>
      <c r="AM1808" s="12"/>
      <c r="AN1808" s="75"/>
      <c r="AO1808" s="75"/>
      <c r="AP1808" s="75"/>
      <c r="AQ1808" s="75"/>
      <c r="AR1808" s="76"/>
      <c r="AT1808" s="65"/>
      <c r="AU1808" s="77"/>
    </row>
    <row r="1809" spans="37:47">
      <c r="AK1809" s="12"/>
      <c r="AM1809" s="12"/>
      <c r="AN1809" s="75"/>
      <c r="AO1809" s="75"/>
      <c r="AP1809" s="75"/>
      <c r="AQ1809" s="75"/>
      <c r="AR1809" s="76"/>
      <c r="AT1809" s="65"/>
      <c r="AU1809" s="77"/>
    </row>
    <row r="1810" spans="37:47">
      <c r="AK1810" s="12"/>
      <c r="AM1810" s="12"/>
      <c r="AN1810" s="75"/>
      <c r="AO1810" s="75"/>
      <c r="AP1810" s="75"/>
      <c r="AQ1810" s="75"/>
      <c r="AR1810" s="76"/>
      <c r="AT1810" s="65"/>
      <c r="AU1810" s="77"/>
    </row>
    <row r="1811" spans="37:47">
      <c r="AK1811" s="12"/>
      <c r="AM1811" s="12"/>
      <c r="AN1811" s="75"/>
      <c r="AO1811" s="75"/>
      <c r="AP1811" s="75"/>
      <c r="AQ1811" s="75"/>
      <c r="AR1811" s="76"/>
      <c r="AT1811" s="65"/>
      <c r="AU1811" s="77"/>
    </row>
    <row r="1812" spans="37:47">
      <c r="AK1812" s="12"/>
      <c r="AM1812" s="12"/>
      <c r="AN1812" s="75"/>
      <c r="AO1812" s="75"/>
      <c r="AP1812" s="75"/>
      <c r="AQ1812" s="75"/>
      <c r="AR1812" s="76"/>
      <c r="AT1812" s="65"/>
      <c r="AU1812" s="77"/>
    </row>
    <row r="1813" spans="37:47">
      <c r="AK1813" s="12"/>
      <c r="AM1813" s="12"/>
      <c r="AN1813" s="75"/>
      <c r="AO1813" s="75"/>
      <c r="AP1813" s="75"/>
      <c r="AQ1813" s="75"/>
      <c r="AR1813" s="76"/>
      <c r="AT1813" s="65"/>
      <c r="AU1813" s="77"/>
    </row>
    <row r="1814" spans="37:47">
      <c r="AK1814" s="12"/>
      <c r="AM1814" s="12"/>
      <c r="AN1814" s="75"/>
      <c r="AO1814" s="75"/>
      <c r="AP1814" s="75"/>
      <c r="AQ1814" s="75"/>
      <c r="AR1814" s="76"/>
      <c r="AT1814" s="65"/>
      <c r="AU1814" s="77"/>
    </row>
    <row r="1815" spans="37:47">
      <c r="AK1815" s="12"/>
      <c r="AM1815" s="12"/>
      <c r="AN1815" s="75"/>
      <c r="AO1815" s="75"/>
      <c r="AP1815" s="75"/>
      <c r="AQ1815" s="75"/>
      <c r="AR1815" s="76"/>
      <c r="AT1815" s="65"/>
      <c r="AU1815" s="77"/>
    </row>
    <row r="1816" spans="37:47">
      <c r="AK1816" s="12"/>
      <c r="AM1816" s="12"/>
      <c r="AN1816" s="75"/>
      <c r="AO1816" s="75"/>
      <c r="AP1816" s="75"/>
      <c r="AQ1816" s="75"/>
      <c r="AR1816" s="76"/>
      <c r="AT1816" s="65"/>
      <c r="AU1816" s="77"/>
    </row>
    <row r="1817" spans="37:47">
      <c r="AK1817" s="12"/>
      <c r="AM1817" s="12"/>
      <c r="AN1817" s="75"/>
      <c r="AO1817" s="75"/>
      <c r="AP1817" s="75"/>
      <c r="AQ1817" s="75"/>
      <c r="AR1817" s="76"/>
      <c r="AT1817" s="65"/>
      <c r="AU1817" s="77"/>
    </row>
    <row r="1818" spans="37:47">
      <c r="AK1818" s="12"/>
      <c r="AM1818" s="12"/>
      <c r="AN1818" s="75"/>
      <c r="AO1818" s="75"/>
      <c r="AP1818" s="75"/>
      <c r="AQ1818" s="75"/>
      <c r="AR1818" s="76"/>
      <c r="AT1818" s="65"/>
      <c r="AU1818" s="77"/>
    </row>
    <row r="1819" spans="37:47">
      <c r="AK1819" s="12"/>
      <c r="AM1819" s="12"/>
      <c r="AN1819" s="75"/>
      <c r="AO1819" s="75"/>
      <c r="AP1819" s="75"/>
      <c r="AQ1819" s="75"/>
      <c r="AR1819" s="76"/>
      <c r="AT1819" s="65"/>
      <c r="AU1819" s="77"/>
    </row>
    <row r="1820" spans="37:47">
      <c r="AK1820" s="12"/>
      <c r="AM1820" s="12"/>
      <c r="AN1820" s="75"/>
      <c r="AO1820" s="75"/>
      <c r="AP1820" s="75"/>
      <c r="AQ1820" s="75"/>
      <c r="AR1820" s="76"/>
      <c r="AT1820" s="65"/>
      <c r="AU1820" s="77"/>
    </row>
    <row r="1821" spans="37:47">
      <c r="AK1821" s="12"/>
      <c r="AM1821" s="12"/>
      <c r="AN1821" s="75"/>
      <c r="AO1821" s="75"/>
      <c r="AP1821" s="75"/>
      <c r="AQ1821" s="75"/>
      <c r="AR1821" s="76"/>
      <c r="AT1821" s="65"/>
      <c r="AU1821" s="77"/>
    </row>
    <row r="1822" spans="37:47">
      <c r="AK1822" s="12"/>
      <c r="AM1822" s="12"/>
      <c r="AN1822" s="75"/>
      <c r="AO1822" s="75"/>
      <c r="AP1822" s="75"/>
      <c r="AQ1822" s="75"/>
      <c r="AR1822" s="76"/>
      <c r="AT1822" s="65"/>
      <c r="AU1822" s="77"/>
    </row>
    <row r="1823" spans="37:47">
      <c r="AK1823" s="12"/>
      <c r="AM1823" s="12"/>
      <c r="AN1823" s="75"/>
      <c r="AO1823" s="75"/>
      <c r="AP1823" s="75"/>
      <c r="AQ1823" s="75"/>
      <c r="AR1823" s="76"/>
      <c r="AT1823" s="65"/>
      <c r="AU1823" s="77"/>
    </row>
    <row r="1824" spans="37:47">
      <c r="AK1824" s="12"/>
      <c r="AM1824" s="12"/>
      <c r="AN1824" s="75"/>
      <c r="AO1824" s="75"/>
      <c r="AP1824" s="75"/>
      <c r="AQ1824" s="75"/>
      <c r="AR1824" s="76"/>
      <c r="AT1824" s="65"/>
      <c r="AU1824" s="77"/>
    </row>
    <row r="1825" spans="37:47">
      <c r="AK1825" s="12"/>
      <c r="AM1825" s="12"/>
      <c r="AN1825" s="75"/>
      <c r="AO1825" s="75"/>
      <c r="AP1825" s="75"/>
      <c r="AQ1825" s="75"/>
      <c r="AR1825" s="76"/>
      <c r="AT1825" s="65"/>
      <c r="AU1825" s="77"/>
    </row>
    <row r="1826" spans="37:47">
      <c r="AK1826" s="12"/>
      <c r="AM1826" s="12"/>
      <c r="AN1826" s="75"/>
      <c r="AO1826" s="75"/>
      <c r="AP1826" s="75"/>
      <c r="AQ1826" s="75"/>
      <c r="AR1826" s="76"/>
      <c r="AT1826" s="65"/>
      <c r="AU1826" s="77"/>
    </row>
    <row r="1827" spans="37:47">
      <c r="AK1827" s="12"/>
      <c r="AM1827" s="12"/>
      <c r="AN1827" s="75"/>
      <c r="AO1827" s="75"/>
      <c r="AP1827" s="75"/>
      <c r="AQ1827" s="75"/>
      <c r="AR1827" s="76"/>
      <c r="AT1827" s="65"/>
      <c r="AU1827" s="77"/>
    </row>
    <row r="1828" spans="37:47">
      <c r="AK1828" s="12"/>
      <c r="AM1828" s="12"/>
      <c r="AN1828" s="75"/>
      <c r="AO1828" s="75"/>
      <c r="AP1828" s="75"/>
      <c r="AQ1828" s="75"/>
      <c r="AR1828" s="76"/>
      <c r="AT1828" s="65"/>
      <c r="AU1828" s="77"/>
    </row>
    <row r="1829" spans="37:47">
      <c r="AK1829" s="12"/>
      <c r="AM1829" s="12"/>
      <c r="AN1829" s="75"/>
      <c r="AO1829" s="75"/>
      <c r="AP1829" s="75"/>
      <c r="AQ1829" s="75"/>
      <c r="AR1829" s="76"/>
      <c r="AT1829" s="65"/>
      <c r="AU1829" s="77"/>
    </row>
    <row r="1830" spans="37:47">
      <c r="AK1830" s="12"/>
      <c r="AM1830" s="12"/>
      <c r="AN1830" s="75"/>
      <c r="AO1830" s="75"/>
      <c r="AP1830" s="75"/>
      <c r="AQ1830" s="75"/>
      <c r="AR1830" s="76"/>
      <c r="AT1830" s="65"/>
      <c r="AU1830" s="77"/>
    </row>
    <row r="1831" spans="37:47">
      <c r="AK1831" s="12"/>
      <c r="AM1831" s="12"/>
      <c r="AN1831" s="75"/>
      <c r="AO1831" s="75"/>
      <c r="AP1831" s="75"/>
      <c r="AQ1831" s="75"/>
      <c r="AR1831" s="76"/>
      <c r="AT1831" s="65"/>
      <c r="AU1831" s="77"/>
    </row>
    <row r="1832" spans="37:47">
      <c r="AK1832" s="12"/>
      <c r="AM1832" s="12"/>
      <c r="AN1832" s="75"/>
      <c r="AO1832" s="75"/>
      <c r="AP1832" s="75"/>
      <c r="AQ1832" s="75"/>
      <c r="AR1832" s="76"/>
      <c r="AT1832" s="65"/>
      <c r="AU1832" s="77"/>
    </row>
    <row r="1833" spans="37:47">
      <c r="AK1833" s="12"/>
      <c r="AM1833" s="12"/>
      <c r="AN1833" s="75"/>
      <c r="AO1833" s="75"/>
      <c r="AP1833" s="75"/>
      <c r="AQ1833" s="75"/>
      <c r="AR1833" s="76"/>
      <c r="AT1833" s="65"/>
      <c r="AU1833" s="77"/>
    </row>
    <row r="1834" spans="37:47">
      <c r="AK1834" s="12"/>
      <c r="AM1834" s="12"/>
      <c r="AN1834" s="75"/>
      <c r="AO1834" s="75"/>
      <c r="AP1834" s="75"/>
      <c r="AQ1834" s="75"/>
      <c r="AR1834" s="76"/>
      <c r="AT1834" s="65"/>
      <c r="AU1834" s="77"/>
    </row>
    <row r="1835" spans="37:47">
      <c r="AK1835" s="12"/>
      <c r="AM1835" s="12"/>
      <c r="AN1835" s="75"/>
      <c r="AO1835" s="75"/>
      <c r="AP1835" s="75"/>
      <c r="AQ1835" s="75"/>
      <c r="AR1835" s="76"/>
      <c r="AT1835" s="65"/>
      <c r="AU1835" s="77"/>
    </row>
    <row r="1836" spans="37:47">
      <c r="AK1836" s="12"/>
      <c r="AM1836" s="12"/>
      <c r="AN1836" s="75"/>
      <c r="AO1836" s="75"/>
      <c r="AP1836" s="75"/>
      <c r="AQ1836" s="75"/>
      <c r="AR1836" s="76"/>
      <c r="AT1836" s="65"/>
      <c r="AU1836" s="77"/>
    </row>
    <row r="1837" spans="37:47">
      <c r="AK1837" s="12"/>
      <c r="AM1837" s="12"/>
      <c r="AN1837" s="75"/>
      <c r="AO1837" s="75"/>
      <c r="AP1837" s="75"/>
      <c r="AQ1837" s="75"/>
      <c r="AR1837" s="76"/>
      <c r="AT1837" s="65"/>
      <c r="AU1837" s="77"/>
    </row>
    <row r="1838" spans="37:47">
      <c r="AK1838" s="12"/>
      <c r="AM1838" s="12"/>
      <c r="AN1838" s="75"/>
      <c r="AO1838" s="75"/>
      <c r="AP1838" s="75"/>
      <c r="AQ1838" s="75"/>
      <c r="AR1838" s="76"/>
      <c r="AT1838" s="65"/>
      <c r="AU1838" s="77"/>
    </row>
    <row r="1839" spans="37:47">
      <c r="AK1839" s="12"/>
      <c r="AM1839" s="12"/>
      <c r="AN1839" s="75"/>
      <c r="AO1839" s="75"/>
      <c r="AP1839" s="75"/>
      <c r="AQ1839" s="75"/>
      <c r="AR1839" s="76"/>
      <c r="AT1839" s="65"/>
      <c r="AU1839" s="77"/>
    </row>
    <row r="1840" spans="37:47">
      <c r="AK1840" s="12"/>
      <c r="AM1840" s="12"/>
      <c r="AN1840" s="75"/>
      <c r="AO1840" s="75"/>
      <c r="AP1840" s="75"/>
      <c r="AQ1840" s="75"/>
      <c r="AR1840" s="76"/>
      <c r="AT1840" s="65"/>
      <c r="AU1840" s="77"/>
    </row>
    <row r="1841" spans="37:47">
      <c r="AK1841" s="12"/>
      <c r="AM1841" s="12"/>
      <c r="AN1841" s="75"/>
      <c r="AO1841" s="75"/>
      <c r="AP1841" s="75"/>
      <c r="AQ1841" s="75"/>
      <c r="AR1841" s="76"/>
      <c r="AT1841" s="65"/>
      <c r="AU1841" s="77"/>
    </row>
    <row r="1842" spans="37:47">
      <c r="AK1842" s="12"/>
      <c r="AM1842" s="12"/>
      <c r="AN1842" s="75"/>
      <c r="AO1842" s="75"/>
      <c r="AP1842" s="75"/>
      <c r="AQ1842" s="75"/>
      <c r="AR1842" s="76"/>
      <c r="AT1842" s="65"/>
      <c r="AU1842" s="77"/>
    </row>
    <row r="1843" spans="37:47">
      <c r="AK1843" s="12"/>
      <c r="AM1843" s="12"/>
      <c r="AN1843" s="75"/>
      <c r="AO1843" s="75"/>
      <c r="AP1843" s="75"/>
      <c r="AQ1843" s="75"/>
      <c r="AR1843" s="76"/>
      <c r="AT1843" s="65"/>
      <c r="AU1843" s="77"/>
    </row>
    <row r="1844" spans="37:47">
      <c r="AK1844" s="12"/>
      <c r="AM1844" s="12"/>
      <c r="AN1844" s="75"/>
      <c r="AO1844" s="75"/>
      <c r="AP1844" s="75"/>
      <c r="AQ1844" s="75"/>
      <c r="AR1844" s="76"/>
      <c r="AT1844" s="65"/>
      <c r="AU1844" s="77"/>
    </row>
    <row r="1845" spans="37:47">
      <c r="AK1845" s="12"/>
      <c r="AM1845" s="12"/>
      <c r="AN1845" s="75"/>
      <c r="AO1845" s="75"/>
      <c r="AP1845" s="75"/>
      <c r="AQ1845" s="75"/>
      <c r="AR1845" s="76"/>
      <c r="AT1845" s="65"/>
      <c r="AU1845" s="77"/>
    </row>
    <row r="1846" spans="37:47">
      <c r="AK1846" s="12"/>
      <c r="AM1846" s="12"/>
      <c r="AN1846" s="75"/>
      <c r="AO1846" s="75"/>
      <c r="AP1846" s="75"/>
      <c r="AQ1846" s="75"/>
      <c r="AR1846" s="76"/>
      <c r="AT1846" s="65"/>
      <c r="AU1846" s="77"/>
    </row>
    <row r="1847" spans="37:47">
      <c r="AK1847" s="12"/>
      <c r="AM1847" s="12"/>
      <c r="AN1847" s="75"/>
      <c r="AO1847" s="75"/>
      <c r="AP1847" s="75"/>
      <c r="AQ1847" s="75"/>
      <c r="AR1847" s="76"/>
      <c r="AT1847" s="65"/>
      <c r="AU1847" s="77"/>
    </row>
    <row r="1848" spans="37:47">
      <c r="AK1848" s="12"/>
      <c r="AM1848" s="12"/>
      <c r="AN1848" s="75"/>
      <c r="AO1848" s="75"/>
      <c r="AP1848" s="75"/>
      <c r="AQ1848" s="75"/>
      <c r="AR1848" s="76"/>
      <c r="AT1848" s="65"/>
      <c r="AU1848" s="77"/>
    </row>
    <row r="1849" spans="37:47">
      <c r="AK1849" s="12"/>
      <c r="AM1849" s="12"/>
      <c r="AN1849" s="75"/>
      <c r="AO1849" s="75"/>
      <c r="AP1849" s="75"/>
      <c r="AQ1849" s="75"/>
      <c r="AR1849" s="76"/>
      <c r="AT1849" s="65"/>
      <c r="AU1849" s="77"/>
    </row>
    <row r="1850" spans="37:47">
      <c r="AK1850" s="12"/>
      <c r="AM1850" s="12"/>
      <c r="AN1850" s="75"/>
      <c r="AO1850" s="75"/>
      <c r="AP1850" s="75"/>
      <c r="AQ1850" s="75"/>
      <c r="AR1850" s="76"/>
      <c r="AT1850" s="65"/>
      <c r="AU1850" s="77"/>
    </row>
    <row r="1851" spans="37:47">
      <c r="AK1851" s="12"/>
      <c r="AM1851" s="12"/>
      <c r="AN1851" s="75"/>
      <c r="AO1851" s="75"/>
      <c r="AP1851" s="75"/>
      <c r="AQ1851" s="75"/>
      <c r="AR1851" s="76"/>
      <c r="AT1851" s="65"/>
      <c r="AU1851" s="77"/>
    </row>
    <row r="1852" spans="37:47">
      <c r="AK1852" s="12"/>
      <c r="AM1852" s="12"/>
      <c r="AN1852" s="75"/>
      <c r="AO1852" s="75"/>
      <c r="AP1852" s="75"/>
      <c r="AQ1852" s="75"/>
      <c r="AR1852" s="76"/>
      <c r="AT1852" s="65"/>
      <c r="AU1852" s="77"/>
    </row>
    <row r="1853" spans="37:47">
      <c r="AK1853" s="12"/>
      <c r="AM1853" s="12"/>
      <c r="AN1853" s="75"/>
      <c r="AO1853" s="75"/>
      <c r="AP1853" s="75"/>
      <c r="AQ1853" s="75"/>
      <c r="AR1853" s="76"/>
      <c r="AT1853" s="65"/>
      <c r="AU1853" s="77"/>
    </row>
    <row r="1854" spans="37:47">
      <c r="AK1854" s="12"/>
      <c r="AM1854" s="12"/>
      <c r="AN1854" s="75"/>
      <c r="AO1854" s="75"/>
      <c r="AP1854" s="75"/>
      <c r="AQ1854" s="75"/>
      <c r="AR1854" s="76"/>
      <c r="AT1854" s="65"/>
      <c r="AU1854" s="77"/>
    </row>
    <row r="1855" spans="37:47">
      <c r="AK1855" s="12"/>
      <c r="AM1855" s="12"/>
      <c r="AN1855" s="75"/>
      <c r="AO1855" s="75"/>
      <c r="AP1855" s="75"/>
      <c r="AQ1855" s="75"/>
      <c r="AR1855" s="76"/>
      <c r="AT1855" s="65"/>
      <c r="AU1855" s="77"/>
    </row>
    <row r="1856" spans="37:47">
      <c r="AK1856" s="12"/>
      <c r="AM1856" s="12"/>
      <c r="AN1856" s="75"/>
      <c r="AO1856" s="75"/>
      <c r="AP1856" s="75"/>
      <c r="AQ1856" s="75"/>
      <c r="AR1856" s="76"/>
      <c r="AT1856" s="65"/>
      <c r="AU1856" s="77"/>
    </row>
    <row r="1857" spans="37:47">
      <c r="AK1857" s="12"/>
      <c r="AM1857" s="12"/>
      <c r="AN1857" s="75"/>
      <c r="AO1857" s="75"/>
      <c r="AP1857" s="75"/>
      <c r="AQ1857" s="75"/>
      <c r="AR1857" s="76"/>
      <c r="AT1857" s="65"/>
      <c r="AU1857" s="77"/>
    </row>
    <row r="1858" spans="37:47">
      <c r="AK1858" s="12"/>
      <c r="AM1858" s="12"/>
      <c r="AN1858" s="75"/>
      <c r="AO1858" s="75"/>
      <c r="AP1858" s="75"/>
      <c r="AQ1858" s="75"/>
      <c r="AR1858" s="76"/>
      <c r="AT1858" s="65"/>
      <c r="AU1858" s="77"/>
    </row>
    <row r="1859" spans="37:47">
      <c r="AK1859" s="12"/>
      <c r="AM1859" s="12"/>
      <c r="AN1859" s="75"/>
      <c r="AO1859" s="75"/>
      <c r="AP1859" s="75"/>
      <c r="AQ1859" s="75"/>
      <c r="AR1859" s="76"/>
      <c r="AT1859" s="65"/>
      <c r="AU1859" s="77"/>
    </row>
    <row r="1860" spans="37:47">
      <c r="AK1860" s="12"/>
      <c r="AM1860" s="12"/>
      <c r="AN1860" s="75"/>
      <c r="AO1860" s="75"/>
      <c r="AP1860" s="75"/>
      <c r="AQ1860" s="75"/>
      <c r="AR1860" s="76"/>
      <c r="AT1860" s="65"/>
      <c r="AU1860" s="77"/>
    </row>
    <row r="1861" spans="37:47">
      <c r="AK1861" s="12"/>
      <c r="AM1861" s="12"/>
      <c r="AN1861" s="75"/>
      <c r="AO1861" s="75"/>
      <c r="AP1861" s="75"/>
      <c r="AQ1861" s="75"/>
      <c r="AR1861" s="76"/>
      <c r="AT1861" s="65"/>
      <c r="AU1861" s="77"/>
    </row>
    <row r="1862" spans="37:47">
      <c r="AK1862" s="12"/>
      <c r="AM1862" s="12"/>
      <c r="AN1862" s="75"/>
      <c r="AO1862" s="75"/>
      <c r="AP1862" s="75"/>
      <c r="AQ1862" s="75"/>
      <c r="AR1862" s="76"/>
      <c r="AT1862" s="65"/>
      <c r="AU1862" s="77"/>
    </row>
    <row r="1863" spans="37:47">
      <c r="AK1863" s="12"/>
      <c r="AM1863" s="12"/>
      <c r="AN1863" s="75"/>
      <c r="AO1863" s="75"/>
      <c r="AP1863" s="75"/>
      <c r="AQ1863" s="75"/>
      <c r="AR1863" s="76"/>
      <c r="AT1863" s="65"/>
      <c r="AU1863" s="77"/>
    </row>
    <row r="1864" spans="37:47">
      <c r="AK1864" s="12"/>
      <c r="AM1864" s="12"/>
      <c r="AN1864" s="75"/>
      <c r="AO1864" s="75"/>
      <c r="AP1864" s="75"/>
      <c r="AQ1864" s="75"/>
      <c r="AR1864" s="76"/>
      <c r="AT1864" s="65"/>
      <c r="AU1864" s="77"/>
    </row>
    <row r="1865" spans="37:47">
      <c r="AK1865" s="12"/>
      <c r="AM1865" s="12"/>
      <c r="AN1865" s="75"/>
      <c r="AO1865" s="75"/>
      <c r="AP1865" s="75"/>
      <c r="AQ1865" s="75"/>
      <c r="AR1865" s="76"/>
      <c r="AT1865" s="65"/>
      <c r="AU1865" s="77"/>
    </row>
    <row r="1866" spans="37:47">
      <c r="AK1866" s="12"/>
      <c r="AM1866" s="12"/>
      <c r="AN1866" s="75"/>
      <c r="AO1866" s="75"/>
      <c r="AP1866" s="75"/>
      <c r="AQ1866" s="75"/>
      <c r="AR1866" s="76"/>
      <c r="AT1866" s="65"/>
      <c r="AU1866" s="77"/>
    </row>
    <row r="1867" spans="37:47">
      <c r="AK1867" s="12"/>
      <c r="AM1867" s="12"/>
      <c r="AN1867" s="75"/>
      <c r="AO1867" s="75"/>
      <c r="AP1867" s="75"/>
      <c r="AQ1867" s="75"/>
      <c r="AR1867" s="76"/>
      <c r="AT1867" s="65"/>
      <c r="AU1867" s="77"/>
    </row>
    <row r="1868" spans="37:47">
      <c r="AK1868" s="12"/>
      <c r="AM1868" s="12"/>
      <c r="AN1868" s="75"/>
      <c r="AO1868" s="75"/>
      <c r="AP1868" s="75"/>
      <c r="AQ1868" s="75"/>
      <c r="AR1868" s="76"/>
      <c r="AT1868" s="65"/>
      <c r="AU1868" s="77"/>
    </row>
    <row r="1869" spans="37:47">
      <c r="AK1869" s="12"/>
      <c r="AM1869" s="12"/>
      <c r="AN1869" s="75"/>
      <c r="AO1869" s="75"/>
      <c r="AP1869" s="75"/>
      <c r="AQ1869" s="75"/>
      <c r="AR1869" s="76"/>
      <c r="AT1869" s="65"/>
      <c r="AU1869" s="77"/>
    </row>
    <row r="1870" spans="37:47">
      <c r="AK1870" s="12"/>
      <c r="AM1870" s="12"/>
      <c r="AN1870" s="75"/>
      <c r="AO1870" s="75"/>
      <c r="AP1870" s="75"/>
      <c r="AQ1870" s="75"/>
      <c r="AR1870" s="76"/>
      <c r="AT1870" s="65"/>
      <c r="AU1870" s="77"/>
    </row>
    <row r="1871" spans="37:47">
      <c r="AK1871" s="12"/>
      <c r="AM1871" s="12"/>
      <c r="AN1871" s="75"/>
      <c r="AO1871" s="75"/>
      <c r="AP1871" s="75"/>
      <c r="AQ1871" s="75"/>
      <c r="AR1871" s="76"/>
      <c r="AT1871" s="65"/>
      <c r="AU1871" s="77"/>
    </row>
    <row r="1872" spans="37:47">
      <c r="AK1872" s="12"/>
      <c r="AM1872" s="12"/>
      <c r="AN1872" s="75"/>
      <c r="AO1872" s="75"/>
      <c r="AP1872" s="75"/>
      <c r="AQ1872" s="75"/>
      <c r="AR1872" s="76"/>
      <c r="AT1872" s="65"/>
      <c r="AU1872" s="77"/>
    </row>
    <row r="1873" spans="37:47">
      <c r="AK1873" s="12"/>
      <c r="AM1873" s="12"/>
      <c r="AN1873" s="75"/>
      <c r="AO1873" s="75"/>
      <c r="AP1873" s="75"/>
      <c r="AQ1873" s="75"/>
      <c r="AR1873" s="76"/>
      <c r="AT1873" s="65"/>
      <c r="AU1873" s="77"/>
    </row>
    <row r="1874" spans="37:47">
      <c r="AK1874" s="12"/>
      <c r="AM1874" s="12"/>
      <c r="AN1874" s="75"/>
      <c r="AO1874" s="75"/>
      <c r="AP1874" s="75"/>
      <c r="AQ1874" s="75"/>
      <c r="AR1874" s="76"/>
      <c r="AT1874" s="65"/>
      <c r="AU1874" s="77"/>
    </row>
    <row r="1875" spans="37:47">
      <c r="AK1875" s="12"/>
      <c r="AM1875" s="12"/>
      <c r="AN1875" s="75"/>
      <c r="AO1875" s="75"/>
      <c r="AP1875" s="75"/>
      <c r="AQ1875" s="75"/>
      <c r="AR1875" s="76"/>
      <c r="AT1875" s="65"/>
      <c r="AU1875" s="77"/>
    </row>
    <row r="1876" spans="37:47">
      <c r="AK1876" s="12"/>
      <c r="AM1876" s="12"/>
      <c r="AN1876" s="75"/>
      <c r="AO1876" s="75"/>
      <c r="AP1876" s="75"/>
      <c r="AQ1876" s="75"/>
      <c r="AR1876" s="76"/>
      <c r="AT1876" s="65"/>
      <c r="AU1876" s="77"/>
    </row>
    <row r="1877" spans="37:47">
      <c r="AK1877" s="12"/>
      <c r="AM1877" s="12"/>
      <c r="AN1877" s="75"/>
      <c r="AO1877" s="75"/>
      <c r="AP1877" s="75"/>
      <c r="AQ1877" s="75"/>
      <c r="AR1877" s="76"/>
      <c r="AT1877" s="65"/>
      <c r="AU1877" s="77"/>
    </row>
    <row r="1878" spans="37:47">
      <c r="AK1878" s="12"/>
      <c r="AM1878" s="12"/>
      <c r="AN1878" s="75"/>
      <c r="AO1878" s="75"/>
      <c r="AP1878" s="75"/>
      <c r="AQ1878" s="75"/>
      <c r="AR1878" s="76"/>
      <c r="AT1878" s="65"/>
      <c r="AU1878" s="77"/>
    </row>
    <row r="1879" spans="37:47">
      <c r="AK1879" s="12"/>
      <c r="AM1879" s="12"/>
      <c r="AN1879" s="75"/>
      <c r="AO1879" s="75"/>
      <c r="AP1879" s="75"/>
      <c r="AQ1879" s="75"/>
      <c r="AR1879" s="76"/>
      <c r="AT1879" s="65"/>
      <c r="AU1879" s="77"/>
    </row>
    <row r="1880" spans="37:47">
      <c r="AK1880" s="12"/>
      <c r="AM1880" s="12"/>
      <c r="AN1880" s="75"/>
      <c r="AO1880" s="75"/>
      <c r="AP1880" s="75"/>
      <c r="AQ1880" s="75"/>
      <c r="AR1880" s="76"/>
      <c r="AT1880" s="65"/>
      <c r="AU1880" s="77"/>
    </row>
    <row r="1881" spans="37:47">
      <c r="AK1881" s="12"/>
      <c r="AM1881" s="12"/>
      <c r="AN1881" s="75"/>
      <c r="AO1881" s="75"/>
      <c r="AP1881" s="75"/>
      <c r="AQ1881" s="75"/>
      <c r="AR1881" s="76"/>
      <c r="AT1881" s="65"/>
      <c r="AU1881" s="77"/>
    </row>
    <row r="1882" spans="37:47">
      <c r="AK1882" s="12"/>
      <c r="AM1882" s="12"/>
      <c r="AN1882" s="75"/>
      <c r="AO1882" s="75"/>
      <c r="AP1882" s="75"/>
      <c r="AQ1882" s="75"/>
      <c r="AR1882" s="76"/>
      <c r="AT1882" s="65"/>
      <c r="AU1882" s="77"/>
    </row>
    <row r="1883" spans="37:47">
      <c r="AK1883" s="12"/>
      <c r="AM1883" s="12"/>
      <c r="AN1883" s="75"/>
      <c r="AO1883" s="75"/>
      <c r="AP1883" s="75"/>
      <c r="AQ1883" s="75"/>
      <c r="AR1883" s="76"/>
      <c r="AT1883" s="65"/>
      <c r="AU1883" s="77"/>
    </row>
    <row r="1884" spans="37:47">
      <c r="AK1884" s="12"/>
      <c r="AM1884" s="12"/>
      <c r="AN1884" s="75"/>
      <c r="AO1884" s="75"/>
      <c r="AP1884" s="75"/>
      <c r="AQ1884" s="75"/>
      <c r="AR1884" s="76"/>
      <c r="AT1884" s="65"/>
      <c r="AU1884" s="77"/>
    </row>
    <row r="1885" spans="37:47">
      <c r="AK1885" s="12"/>
      <c r="AM1885" s="12"/>
      <c r="AN1885" s="75"/>
      <c r="AO1885" s="75"/>
      <c r="AP1885" s="75"/>
      <c r="AQ1885" s="75"/>
      <c r="AR1885" s="76"/>
      <c r="AT1885" s="65"/>
      <c r="AU1885" s="77"/>
    </row>
    <row r="1886" spans="37:47">
      <c r="AK1886" s="12"/>
      <c r="AM1886" s="12"/>
      <c r="AN1886" s="75"/>
      <c r="AO1886" s="75"/>
      <c r="AP1886" s="75"/>
      <c r="AQ1886" s="75"/>
      <c r="AR1886" s="76"/>
      <c r="AT1886" s="65"/>
      <c r="AU1886" s="77"/>
    </row>
    <row r="1887" spans="37:47">
      <c r="AK1887" s="12"/>
      <c r="AM1887" s="12"/>
      <c r="AN1887" s="75"/>
      <c r="AO1887" s="75"/>
      <c r="AP1887" s="75"/>
      <c r="AQ1887" s="75"/>
      <c r="AR1887" s="76"/>
      <c r="AT1887" s="65"/>
      <c r="AU1887" s="77"/>
    </row>
    <row r="1888" spans="37:47">
      <c r="AK1888" s="12"/>
      <c r="AM1888" s="12"/>
      <c r="AN1888" s="75"/>
      <c r="AO1888" s="75"/>
      <c r="AP1888" s="75"/>
      <c r="AQ1888" s="75"/>
      <c r="AR1888" s="76"/>
      <c r="AT1888" s="65"/>
      <c r="AU1888" s="77"/>
    </row>
    <row r="1889" spans="37:47">
      <c r="AK1889" s="12"/>
      <c r="AM1889" s="12"/>
      <c r="AN1889" s="75"/>
      <c r="AO1889" s="75"/>
      <c r="AP1889" s="75"/>
      <c r="AQ1889" s="75"/>
      <c r="AR1889" s="76"/>
      <c r="AT1889" s="65"/>
      <c r="AU1889" s="77"/>
    </row>
    <row r="1890" spans="37:47">
      <c r="AK1890" s="12"/>
      <c r="AM1890" s="12"/>
      <c r="AN1890" s="75"/>
      <c r="AO1890" s="75"/>
      <c r="AP1890" s="75"/>
      <c r="AQ1890" s="75"/>
      <c r="AR1890" s="76"/>
      <c r="AT1890" s="65"/>
      <c r="AU1890" s="77"/>
    </row>
    <row r="1891" spans="37:47">
      <c r="AK1891" s="12"/>
      <c r="AM1891" s="12"/>
      <c r="AN1891" s="75"/>
      <c r="AO1891" s="75"/>
      <c r="AP1891" s="75"/>
      <c r="AQ1891" s="75"/>
      <c r="AR1891" s="76"/>
      <c r="AT1891" s="65"/>
      <c r="AU1891" s="77"/>
    </row>
    <row r="1892" spans="37:47">
      <c r="AK1892" s="12"/>
      <c r="AM1892" s="12"/>
      <c r="AN1892" s="75"/>
      <c r="AO1892" s="75"/>
      <c r="AP1892" s="75"/>
      <c r="AQ1892" s="75"/>
      <c r="AR1892" s="76"/>
      <c r="AT1892" s="65"/>
      <c r="AU1892" s="77"/>
    </row>
    <row r="1893" spans="37:47">
      <c r="AK1893" s="12"/>
      <c r="AM1893" s="12"/>
      <c r="AN1893" s="75"/>
      <c r="AO1893" s="75"/>
      <c r="AP1893" s="75"/>
      <c r="AQ1893" s="75"/>
      <c r="AR1893" s="76"/>
      <c r="AT1893" s="65"/>
      <c r="AU1893" s="77"/>
    </row>
    <row r="1894" spans="37:47">
      <c r="AK1894" s="12"/>
      <c r="AM1894" s="12"/>
      <c r="AN1894" s="75"/>
      <c r="AO1894" s="75"/>
      <c r="AP1894" s="75"/>
      <c r="AQ1894" s="75"/>
      <c r="AR1894" s="76"/>
      <c r="AT1894" s="65"/>
      <c r="AU1894" s="77"/>
    </row>
    <row r="1895" spans="37:47">
      <c r="AK1895" s="12"/>
      <c r="AM1895" s="12"/>
      <c r="AN1895" s="75"/>
      <c r="AO1895" s="75"/>
      <c r="AP1895" s="75"/>
      <c r="AQ1895" s="75"/>
      <c r="AR1895" s="76"/>
      <c r="AT1895" s="65"/>
      <c r="AU1895" s="77"/>
    </row>
    <row r="1896" spans="37:47">
      <c r="AK1896" s="12"/>
      <c r="AM1896" s="12"/>
      <c r="AN1896" s="75"/>
      <c r="AO1896" s="75"/>
      <c r="AP1896" s="75"/>
      <c r="AQ1896" s="75"/>
      <c r="AR1896" s="76"/>
      <c r="AT1896" s="65"/>
      <c r="AU1896" s="77"/>
    </row>
    <row r="1897" spans="37:47">
      <c r="AK1897" s="12"/>
      <c r="AM1897" s="12"/>
      <c r="AN1897" s="75"/>
      <c r="AO1897" s="75"/>
      <c r="AP1897" s="75"/>
      <c r="AQ1897" s="75"/>
      <c r="AR1897" s="76"/>
      <c r="AT1897" s="65"/>
      <c r="AU1897" s="77"/>
    </row>
    <row r="1898" spans="37:47">
      <c r="AK1898" s="12"/>
      <c r="AM1898" s="12"/>
      <c r="AN1898" s="75"/>
      <c r="AO1898" s="75"/>
      <c r="AP1898" s="75"/>
      <c r="AQ1898" s="75"/>
      <c r="AR1898" s="76"/>
      <c r="AT1898" s="65"/>
      <c r="AU1898" s="77"/>
    </row>
    <row r="1899" spans="37:47">
      <c r="AK1899" s="12"/>
      <c r="AM1899" s="12"/>
      <c r="AN1899" s="75"/>
      <c r="AO1899" s="75"/>
      <c r="AP1899" s="75"/>
      <c r="AQ1899" s="75"/>
      <c r="AR1899" s="76"/>
      <c r="AT1899" s="65"/>
      <c r="AU1899" s="77"/>
    </row>
    <row r="1900" spans="37:47">
      <c r="AK1900" s="12"/>
      <c r="AM1900" s="12"/>
      <c r="AN1900" s="75"/>
      <c r="AO1900" s="75"/>
      <c r="AP1900" s="75"/>
      <c r="AQ1900" s="75"/>
      <c r="AR1900" s="76"/>
      <c r="AT1900" s="65"/>
      <c r="AU1900" s="77"/>
    </row>
    <row r="1901" spans="37:47">
      <c r="AK1901" s="12"/>
      <c r="AM1901" s="12"/>
      <c r="AN1901" s="75"/>
      <c r="AO1901" s="75"/>
      <c r="AP1901" s="75"/>
      <c r="AQ1901" s="75"/>
      <c r="AR1901" s="76"/>
      <c r="AT1901" s="65"/>
      <c r="AU1901" s="77"/>
    </row>
    <row r="1902" spans="37:47">
      <c r="AK1902" s="12"/>
      <c r="AM1902" s="12"/>
      <c r="AN1902" s="75"/>
      <c r="AO1902" s="75"/>
      <c r="AP1902" s="75"/>
      <c r="AQ1902" s="75"/>
      <c r="AR1902" s="76"/>
      <c r="AT1902" s="65"/>
      <c r="AU1902" s="77"/>
    </row>
    <row r="1903" spans="37:47">
      <c r="AK1903" s="12"/>
      <c r="AM1903" s="12"/>
      <c r="AN1903" s="75"/>
      <c r="AO1903" s="75"/>
      <c r="AP1903" s="75"/>
      <c r="AQ1903" s="75"/>
      <c r="AR1903" s="76"/>
      <c r="AT1903" s="65"/>
      <c r="AU1903" s="77"/>
    </row>
    <row r="1904" spans="37:47">
      <c r="AK1904" s="12"/>
      <c r="AM1904" s="12"/>
      <c r="AN1904" s="75"/>
      <c r="AO1904" s="75"/>
      <c r="AP1904" s="75"/>
      <c r="AQ1904" s="75"/>
      <c r="AR1904" s="76"/>
      <c r="AT1904" s="65"/>
      <c r="AU1904" s="77"/>
    </row>
    <row r="1905" spans="37:47">
      <c r="AK1905" s="12"/>
      <c r="AM1905" s="12"/>
      <c r="AN1905" s="75"/>
      <c r="AO1905" s="75"/>
      <c r="AP1905" s="75"/>
      <c r="AQ1905" s="75"/>
      <c r="AR1905" s="76"/>
      <c r="AT1905" s="65"/>
      <c r="AU1905" s="77"/>
    </row>
    <row r="1906" spans="37:47">
      <c r="AK1906" s="12"/>
      <c r="AM1906" s="12"/>
      <c r="AN1906" s="75"/>
      <c r="AO1906" s="75"/>
      <c r="AP1906" s="75"/>
      <c r="AQ1906" s="75"/>
      <c r="AR1906" s="76"/>
      <c r="AT1906" s="65"/>
      <c r="AU1906" s="77"/>
    </row>
    <row r="1907" spans="37:47">
      <c r="AK1907" s="12"/>
      <c r="AM1907" s="12"/>
      <c r="AN1907" s="75"/>
      <c r="AO1907" s="75"/>
      <c r="AP1907" s="75"/>
      <c r="AQ1907" s="75"/>
      <c r="AR1907" s="76"/>
      <c r="AT1907" s="65"/>
      <c r="AU1907" s="77"/>
    </row>
    <row r="1908" spans="37:47">
      <c r="AK1908" s="12"/>
      <c r="AM1908" s="12"/>
      <c r="AN1908" s="75"/>
      <c r="AO1908" s="75"/>
      <c r="AP1908" s="75"/>
      <c r="AQ1908" s="75"/>
      <c r="AR1908" s="76"/>
      <c r="AT1908" s="65"/>
      <c r="AU1908" s="77"/>
    </row>
    <row r="1909" spans="37:47">
      <c r="AK1909" s="12"/>
      <c r="AM1909" s="12"/>
      <c r="AN1909" s="75"/>
      <c r="AO1909" s="75"/>
      <c r="AP1909" s="75"/>
      <c r="AQ1909" s="75"/>
      <c r="AR1909" s="76"/>
      <c r="AT1909" s="65"/>
      <c r="AU1909" s="77"/>
    </row>
    <row r="1910" spans="37:47">
      <c r="AK1910" s="12"/>
      <c r="AM1910" s="12"/>
      <c r="AN1910" s="75"/>
      <c r="AO1910" s="75"/>
      <c r="AP1910" s="75"/>
      <c r="AQ1910" s="75"/>
      <c r="AR1910" s="76"/>
      <c r="AT1910" s="65"/>
      <c r="AU1910" s="77"/>
    </row>
    <row r="1911" spans="37:47">
      <c r="AK1911" s="12"/>
      <c r="AM1911" s="12"/>
      <c r="AN1911" s="75"/>
      <c r="AO1911" s="75"/>
      <c r="AP1911" s="75"/>
      <c r="AQ1911" s="75"/>
      <c r="AR1911" s="76"/>
      <c r="AT1911" s="65"/>
      <c r="AU1911" s="77"/>
    </row>
    <row r="1912" spans="37:47">
      <c r="AK1912" s="12"/>
      <c r="AM1912" s="12"/>
      <c r="AN1912" s="75"/>
      <c r="AO1912" s="75"/>
      <c r="AP1912" s="75"/>
      <c r="AQ1912" s="75"/>
      <c r="AR1912" s="76"/>
      <c r="AT1912" s="65"/>
      <c r="AU1912" s="77"/>
    </row>
    <row r="1913" spans="37:47">
      <c r="AK1913" s="12"/>
      <c r="AM1913" s="12"/>
      <c r="AN1913" s="75"/>
      <c r="AO1913" s="75"/>
      <c r="AP1913" s="75"/>
      <c r="AQ1913" s="75"/>
      <c r="AR1913" s="76"/>
      <c r="AT1913" s="65"/>
      <c r="AU1913" s="77"/>
    </row>
    <row r="1914" spans="37:47">
      <c r="AK1914" s="12"/>
      <c r="AM1914" s="12"/>
      <c r="AN1914" s="75"/>
      <c r="AO1914" s="75"/>
      <c r="AP1914" s="75"/>
      <c r="AQ1914" s="75"/>
      <c r="AR1914" s="76"/>
      <c r="AT1914" s="65"/>
      <c r="AU1914" s="77"/>
    </row>
    <row r="1915" spans="37:47">
      <c r="AK1915" s="12"/>
      <c r="AM1915" s="12"/>
      <c r="AN1915" s="75"/>
      <c r="AO1915" s="75"/>
      <c r="AP1915" s="75"/>
      <c r="AQ1915" s="75"/>
      <c r="AR1915" s="76"/>
      <c r="AT1915" s="65"/>
      <c r="AU1915" s="77"/>
    </row>
    <row r="1916" spans="37:47">
      <c r="AK1916" s="12"/>
      <c r="AM1916" s="12"/>
      <c r="AN1916" s="75"/>
      <c r="AO1916" s="75"/>
      <c r="AP1916" s="75"/>
      <c r="AQ1916" s="75"/>
      <c r="AR1916" s="76"/>
      <c r="AT1916" s="65"/>
      <c r="AU1916" s="77"/>
    </row>
    <row r="1917" spans="37:47">
      <c r="AK1917" s="12"/>
      <c r="AM1917" s="12"/>
      <c r="AN1917" s="75"/>
      <c r="AO1917" s="75"/>
      <c r="AP1917" s="75"/>
      <c r="AQ1917" s="75"/>
      <c r="AR1917" s="76"/>
      <c r="AT1917" s="65"/>
      <c r="AU1917" s="77"/>
    </row>
    <row r="1918" spans="37:47">
      <c r="AK1918" s="12"/>
      <c r="AM1918" s="12"/>
      <c r="AN1918" s="75"/>
      <c r="AO1918" s="75"/>
      <c r="AP1918" s="75"/>
      <c r="AQ1918" s="75"/>
      <c r="AR1918" s="76"/>
      <c r="AT1918" s="65"/>
      <c r="AU1918" s="77"/>
    </row>
    <row r="1919" spans="37:47">
      <c r="AK1919" s="12"/>
      <c r="AM1919" s="12"/>
      <c r="AN1919" s="75"/>
      <c r="AO1919" s="75"/>
      <c r="AP1919" s="75"/>
      <c r="AQ1919" s="75"/>
      <c r="AR1919" s="76"/>
      <c r="AT1919" s="65"/>
      <c r="AU1919" s="77"/>
    </row>
    <row r="1920" spans="37:47">
      <c r="AK1920" s="12"/>
      <c r="AM1920" s="12"/>
      <c r="AN1920" s="75"/>
      <c r="AO1920" s="75"/>
      <c r="AP1920" s="75"/>
      <c r="AQ1920" s="75"/>
      <c r="AR1920" s="76"/>
      <c r="AT1920" s="65"/>
      <c r="AU1920" s="77"/>
    </row>
    <row r="1921" spans="37:47">
      <c r="AK1921" s="12"/>
      <c r="AM1921" s="12"/>
      <c r="AN1921" s="75"/>
      <c r="AO1921" s="75"/>
      <c r="AP1921" s="75"/>
      <c r="AQ1921" s="75"/>
      <c r="AR1921" s="76"/>
      <c r="AT1921" s="65"/>
      <c r="AU1921" s="77"/>
    </row>
    <row r="1922" spans="37:47">
      <c r="AK1922" s="12"/>
      <c r="AM1922" s="12"/>
      <c r="AN1922" s="75"/>
      <c r="AO1922" s="75"/>
      <c r="AP1922" s="75"/>
      <c r="AQ1922" s="75"/>
      <c r="AR1922" s="76"/>
      <c r="AT1922" s="65"/>
      <c r="AU1922" s="77"/>
    </row>
    <row r="1923" spans="37:47">
      <c r="AK1923" s="12"/>
      <c r="AM1923" s="12"/>
      <c r="AN1923" s="75"/>
      <c r="AO1923" s="75"/>
      <c r="AP1923" s="75"/>
      <c r="AQ1923" s="75"/>
      <c r="AR1923" s="76"/>
      <c r="AT1923" s="65"/>
      <c r="AU1923" s="77"/>
    </row>
    <row r="1924" spans="37:47">
      <c r="AK1924" s="12"/>
      <c r="AM1924" s="12"/>
      <c r="AN1924" s="75"/>
      <c r="AO1924" s="75"/>
      <c r="AP1924" s="75"/>
      <c r="AQ1924" s="75"/>
      <c r="AR1924" s="76"/>
      <c r="AT1924" s="65"/>
      <c r="AU1924" s="77"/>
    </row>
    <row r="1925" spans="37:47">
      <c r="AK1925" s="12"/>
      <c r="AM1925" s="12"/>
      <c r="AN1925" s="75"/>
      <c r="AO1925" s="75"/>
      <c r="AP1925" s="75"/>
      <c r="AQ1925" s="75"/>
      <c r="AR1925" s="76"/>
      <c r="AT1925" s="65"/>
      <c r="AU1925" s="77"/>
    </row>
    <row r="1926" spans="37:47">
      <c r="AK1926" s="12"/>
      <c r="AM1926" s="12"/>
      <c r="AN1926" s="75"/>
      <c r="AO1926" s="75"/>
      <c r="AP1926" s="75"/>
      <c r="AQ1926" s="75"/>
      <c r="AR1926" s="76"/>
      <c r="AT1926" s="65"/>
      <c r="AU1926" s="77"/>
    </row>
    <row r="1927" spans="37:47">
      <c r="AK1927" s="12"/>
      <c r="AM1927" s="12"/>
      <c r="AN1927" s="75"/>
      <c r="AO1927" s="75"/>
      <c r="AP1927" s="75"/>
      <c r="AQ1927" s="75"/>
      <c r="AR1927" s="76"/>
      <c r="AT1927" s="65"/>
      <c r="AU1927" s="77"/>
    </row>
    <row r="1928" spans="37:47">
      <c r="AK1928" s="12"/>
      <c r="AM1928" s="12"/>
      <c r="AN1928" s="75"/>
      <c r="AO1928" s="75"/>
      <c r="AP1928" s="75"/>
      <c r="AQ1928" s="75"/>
      <c r="AR1928" s="76"/>
      <c r="AT1928" s="65"/>
      <c r="AU1928" s="77"/>
    </row>
    <row r="1929" spans="37:47">
      <c r="AK1929" s="12"/>
      <c r="AM1929" s="12"/>
      <c r="AN1929" s="75"/>
      <c r="AO1929" s="75"/>
      <c r="AP1929" s="75"/>
      <c r="AQ1929" s="75"/>
      <c r="AR1929" s="76"/>
      <c r="AT1929" s="65"/>
      <c r="AU1929" s="77"/>
    </row>
    <row r="1930" spans="37:47">
      <c r="AK1930" s="12"/>
      <c r="AM1930" s="12"/>
      <c r="AN1930" s="75"/>
      <c r="AO1930" s="75"/>
      <c r="AP1930" s="75"/>
      <c r="AQ1930" s="75"/>
      <c r="AR1930" s="76"/>
      <c r="AT1930" s="65"/>
      <c r="AU1930" s="77"/>
    </row>
    <row r="1931" spans="37:47">
      <c r="AK1931" s="12"/>
      <c r="AM1931" s="12"/>
      <c r="AN1931" s="75"/>
      <c r="AO1931" s="75"/>
      <c r="AP1931" s="75"/>
      <c r="AQ1931" s="75"/>
      <c r="AR1931" s="76"/>
      <c r="AT1931" s="65"/>
      <c r="AU1931" s="77"/>
    </row>
    <row r="1932" spans="37:47">
      <c r="AK1932" s="12"/>
      <c r="AM1932" s="12"/>
      <c r="AN1932" s="75"/>
      <c r="AO1932" s="75"/>
      <c r="AP1932" s="75"/>
      <c r="AQ1932" s="75"/>
      <c r="AR1932" s="76"/>
      <c r="AT1932" s="65"/>
      <c r="AU1932" s="77"/>
    </row>
    <row r="1933" spans="37:47">
      <c r="AK1933" s="12"/>
      <c r="AM1933" s="12"/>
      <c r="AN1933" s="75"/>
      <c r="AO1933" s="75"/>
      <c r="AP1933" s="75"/>
      <c r="AQ1933" s="75"/>
      <c r="AR1933" s="76"/>
      <c r="AT1933" s="65"/>
      <c r="AU1933" s="77"/>
    </row>
    <row r="1934" spans="37:47">
      <c r="AK1934" s="12"/>
      <c r="AM1934" s="12"/>
      <c r="AN1934" s="75"/>
      <c r="AO1934" s="75"/>
      <c r="AP1934" s="75"/>
      <c r="AQ1934" s="75"/>
      <c r="AR1934" s="76"/>
      <c r="AT1934" s="65"/>
      <c r="AU1934" s="77"/>
    </row>
    <row r="1935" spans="37:47">
      <c r="AK1935" s="12"/>
      <c r="AM1935" s="12"/>
      <c r="AN1935" s="75"/>
      <c r="AO1935" s="75"/>
      <c r="AP1935" s="75"/>
      <c r="AQ1935" s="75"/>
      <c r="AR1935" s="76"/>
      <c r="AT1935" s="65"/>
      <c r="AU1935" s="77"/>
    </row>
    <row r="1936" spans="37:47">
      <c r="AK1936" s="12"/>
      <c r="AM1936" s="12"/>
      <c r="AN1936" s="75"/>
      <c r="AO1936" s="75"/>
      <c r="AP1936" s="75"/>
      <c r="AQ1936" s="75"/>
      <c r="AR1936" s="76"/>
      <c r="AT1936" s="65"/>
      <c r="AU1936" s="77"/>
    </row>
    <row r="1937" spans="37:47">
      <c r="AK1937" s="12"/>
      <c r="AM1937" s="12"/>
      <c r="AN1937" s="75"/>
      <c r="AO1937" s="75"/>
      <c r="AP1937" s="75"/>
      <c r="AQ1937" s="75"/>
      <c r="AR1937" s="76"/>
      <c r="AT1937" s="65"/>
      <c r="AU1937" s="77"/>
    </row>
    <row r="1938" spans="37:47">
      <c r="AK1938" s="12"/>
      <c r="AM1938" s="12"/>
      <c r="AN1938" s="75"/>
      <c r="AO1938" s="75"/>
      <c r="AP1938" s="75"/>
      <c r="AQ1938" s="75"/>
      <c r="AR1938" s="76"/>
      <c r="AT1938" s="65"/>
      <c r="AU1938" s="77"/>
    </row>
    <row r="1939" spans="37:47">
      <c r="AK1939" s="12"/>
      <c r="AM1939" s="12"/>
      <c r="AN1939" s="75"/>
      <c r="AO1939" s="75"/>
      <c r="AP1939" s="75"/>
      <c r="AQ1939" s="75"/>
      <c r="AR1939" s="76"/>
      <c r="AT1939" s="65"/>
      <c r="AU1939" s="77"/>
    </row>
    <row r="1940" spans="37:47">
      <c r="AK1940" s="12"/>
      <c r="AM1940" s="12"/>
      <c r="AN1940" s="75"/>
      <c r="AO1940" s="75"/>
      <c r="AP1940" s="75"/>
      <c r="AQ1940" s="75"/>
      <c r="AR1940" s="76"/>
      <c r="AT1940" s="65"/>
      <c r="AU1940" s="77"/>
    </row>
    <row r="1941" spans="37:47">
      <c r="AK1941" s="12"/>
      <c r="AM1941" s="12"/>
      <c r="AN1941" s="75"/>
      <c r="AO1941" s="75"/>
      <c r="AP1941" s="75"/>
      <c r="AQ1941" s="75"/>
      <c r="AR1941" s="76"/>
      <c r="AT1941" s="65"/>
      <c r="AU1941" s="77"/>
    </row>
    <row r="1942" spans="37:47">
      <c r="AK1942" s="12"/>
      <c r="AM1942" s="12"/>
      <c r="AN1942" s="75"/>
      <c r="AO1942" s="75"/>
      <c r="AP1942" s="75"/>
      <c r="AQ1942" s="75"/>
      <c r="AR1942" s="76"/>
      <c r="AT1942" s="65"/>
      <c r="AU1942" s="77"/>
    </row>
    <row r="1943" spans="37:47">
      <c r="AK1943" s="12"/>
      <c r="AM1943" s="12"/>
      <c r="AN1943" s="75"/>
      <c r="AO1943" s="75"/>
      <c r="AP1943" s="75"/>
      <c r="AQ1943" s="75"/>
      <c r="AR1943" s="76"/>
      <c r="AT1943" s="65"/>
      <c r="AU1943" s="77"/>
    </row>
    <row r="1944" spans="37:47">
      <c r="AK1944" s="12"/>
      <c r="AM1944" s="12"/>
      <c r="AN1944" s="75"/>
      <c r="AO1944" s="75"/>
      <c r="AP1944" s="75"/>
      <c r="AQ1944" s="75"/>
      <c r="AR1944" s="76"/>
      <c r="AT1944" s="65"/>
      <c r="AU1944" s="77"/>
    </row>
    <row r="1945" spans="37:47">
      <c r="AK1945" s="12"/>
      <c r="AM1945" s="12"/>
      <c r="AN1945" s="75"/>
      <c r="AO1945" s="75"/>
      <c r="AP1945" s="75"/>
      <c r="AQ1945" s="75"/>
      <c r="AR1945" s="76"/>
      <c r="AT1945" s="65"/>
      <c r="AU1945" s="77"/>
    </row>
    <row r="1946" spans="37:47">
      <c r="AK1946" s="12"/>
      <c r="AM1946" s="12"/>
      <c r="AN1946" s="75"/>
      <c r="AO1946" s="75"/>
      <c r="AP1946" s="75"/>
      <c r="AQ1946" s="75"/>
      <c r="AR1946" s="76"/>
      <c r="AT1946" s="65"/>
      <c r="AU1946" s="77"/>
    </row>
    <row r="1947" spans="37:47">
      <c r="AK1947" s="12"/>
      <c r="AM1947" s="12"/>
      <c r="AN1947" s="75"/>
      <c r="AO1947" s="75"/>
      <c r="AP1947" s="75"/>
      <c r="AQ1947" s="75"/>
      <c r="AR1947" s="76"/>
      <c r="AT1947" s="65"/>
      <c r="AU1947" s="77"/>
    </row>
    <row r="1948" spans="37:47">
      <c r="AK1948" s="12"/>
      <c r="AM1948" s="12"/>
      <c r="AN1948" s="75"/>
      <c r="AO1948" s="75"/>
      <c r="AP1948" s="75"/>
      <c r="AQ1948" s="75"/>
      <c r="AR1948" s="76"/>
      <c r="AT1948" s="65"/>
      <c r="AU1948" s="77"/>
    </row>
    <row r="1949" spans="37:47">
      <c r="AK1949" s="12"/>
      <c r="AM1949" s="12"/>
      <c r="AN1949" s="75"/>
      <c r="AO1949" s="75"/>
      <c r="AP1949" s="75"/>
      <c r="AQ1949" s="75"/>
      <c r="AR1949" s="76"/>
      <c r="AT1949" s="65"/>
      <c r="AU1949" s="77"/>
    </row>
    <row r="1950" spans="37:47">
      <c r="AK1950" s="12"/>
      <c r="AM1950" s="12"/>
      <c r="AN1950" s="75"/>
      <c r="AO1950" s="75"/>
      <c r="AP1950" s="75"/>
      <c r="AQ1950" s="75"/>
      <c r="AR1950" s="76"/>
      <c r="AT1950" s="65"/>
      <c r="AU1950" s="77"/>
    </row>
    <row r="1951" spans="37:47">
      <c r="AK1951" s="12"/>
      <c r="AM1951" s="12"/>
      <c r="AN1951" s="75"/>
      <c r="AO1951" s="75"/>
      <c r="AP1951" s="75"/>
      <c r="AQ1951" s="75"/>
      <c r="AR1951" s="76"/>
      <c r="AT1951" s="65"/>
      <c r="AU1951" s="77"/>
    </row>
    <row r="1952" spans="37:47">
      <c r="AK1952" s="12"/>
      <c r="AM1952" s="12"/>
      <c r="AN1952" s="75"/>
      <c r="AO1952" s="75"/>
      <c r="AP1952" s="75"/>
      <c r="AQ1952" s="75"/>
      <c r="AR1952" s="76"/>
      <c r="AT1952" s="65"/>
      <c r="AU1952" s="77"/>
    </row>
    <row r="1953" spans="37:47">
      <c r="AK1953" s="12"/>
      <c r="AM1953" s="12"/>
      <c r="AN1953" s="75"/>
      <c r="AO1953" s="75"/>
      <c r="AP1953" s="75"/>
      <c r="AQ1953" s="75"/>
      <c r="AR1953" s="76"/>
      <c r="AT1953" s="65"/>
      <c r="AU1953" s="77"/>
    </row>
    <row r="1954" spans="37:47">
      <c r="AK1954" s="12"/>
      <c r="AM1954" s="12"/>
      <c r="AN1954" s="75"/>
      <c r="AO1954" s="75"/>
      <c r="AP1954" s="75"/>
      <c r="AQ1954" s="75"/>
      <c r="AR1954" s="76"/>
      <c r="AT1954" s="65"/>
      <c r="AU1954" s="77"/>
    </row>
    <row r="1955" spans="37:47">
      <c r="AK1955" s="12"/>
      <c r="AM1955" s="12"/>
      <c r="AN1955" s="75"/>
      <c r="AO1955" s="75"/>
      <c r="AP1955" s="75"/>
      <c r="AQ1955" s="75"/>
      <c r="AR1955" s="76"/>
      <c r="AT1955" s="65"/>
      <c r="AU1955" s="77"/>
    </row>
    <row r="1956" spans="37:47">
      <c r="AK1956" s="12"/>
      <c r="AM1956" s="12"/>
      <c r="AN1956" s="75"/>
      <c r="AO1956" s="75"/>
      <c r="AP1956" s="75"/>
      <c r="AQ1956" s="75"/>
      <c r="AR1956" s="76"/>
      <c r="AT1956" s="65"/>
      <c r="AU1956" s="77"/>
    </row>
    <row r="1957" spans="37:47">
      <c r="AK1957" s="12"/>
      <c r="AM1957" s="12"/>
      <c r="AN1957" s="75"/>
      <c r="AO1957" s="75"/>
      <c r="AP1957" s="75"/>
      <c r="AQ1957" s="75"/>
      <c r="AR1957" s="76"/>
      <c r="AT1957" s="65"/>
      <c r="AU1957" s="77"/>
    </row>
    <row r="1958" spans="37:47">
      <c r="AK1958" s="12"/>
      <c r="AM1958" s="12"/>
      <c r="AN1958" s="75"/>
      <c r="AO1958" s="75"/>
      <c r="AP1958" s="75"/>
      <c r="AQ1958" s="75"/>
      <c r="AR1958" s="76"/>
      <c r="AT1958" s="65"/>
      <c r="AU1958" s="77"/>
    </row>
    <row r="1959" spans="37:47">
      <c r="AK1959" s="12"/>
      <c r="AM1959" s="12"/>
      <c r="AN1959" s="75"/>
      <c r="AO1959" s="75"/>
      <c r="AP1959" s="75"/>
      <c r="AQ1959" s="75"/>
      <c r="AR1959" s="76"/>
      <c r="AT1959" s="65"/>
      <c r="AU1959" s="77"/>
    </row>
    <row r="1960" spans="37:47">
      <c r="AK1960" s="12"/>
      <c r="AM1960" s="12"/>
      <c r="AN1960" s="75"/>
      <c r="AO1960" s="75"/>
      <c r="AP1960" s="75"/>
      <c r="AQ1960" s="75"/>
      <c r="AR1960" s="76"/>
      <c r="AT1960" s="65"/>
      <c r="AU1960" s="77"/>
    </row>
    <row r="1961" spans="37:47">
      <c r="AK1961" s="12"/>
      <c r="AM1961" s="12"/>
      <c r="AN1961" s="75"/>
      <c r="AO1961" s="75"/>
      <c r="AP1961" s="75"/>
      <c r="AQ1961" s="75"/>
      <c r="AR1961" s="76"/>
      <c r="AT1961" s="65"/>
      <c r="AU1961" s="77"/>
    </row>
    <row r="1962" spans="37:47">
      <c r="AK1962" s="12"/>
      <c r="AM1962" s="12"/>
      <c r="AN1962" s="75"/>
      <c r="AO1962" s="75"/>
      <c r="AP1962" s="75"/>
      <c r="AQ1962" s="75"/>
      <c r="AR1962" s="76"/>
      <c r="AT1962" s="65"/>
      <c r="AU1962" s="77"/>
    </row>
    <row r="1963" spans="37:47">
      <c r="AK1963" s="12"/>
      <c r="AM1963" s="12"/>
      <c r="AN1963" s="75"/>
      <c r="AO1963" s="75"/>
      <c r="AP1963" s="75"/>
      <c r="AQ1963" s="75"/>
      <c r="AR1963" s="76"/>
      <c r="AT1963" s="65"/>
      <c r="AU1963" s="77"/>
    </row>
    <row r="1964" spans="37:47">
      <c r="AK1964" s="12"/>
      <c r="AM1964" s="12"/>
      <c r="AN1964" s="75"/>
      <c r="AO1964" s="75"/>
      <c r="AP1964" s="75"/>
      <c r="AQ1964" s="75"/>
      <c r="AR1964" s="76"/>
      <c r="AT1964" s="65"/>
      <c r="AU1964" s="77"/>
    </row>
    <row r="1965" spans="37:47">
      <c r="AK1965" s="12"/>
      <c r="AM1965" s="12"/>
      <c r="AN1965" s="75"/>
      <c r="AO1965" s="75"/>
      <c r="AP1965" s="75"/>
      <c r="AQ1965" s="75"/>
      <c r="AR1965" s="76"/>
      <c r="AT1965" s="65"/>
      <c r="AU1965" s="77"/>
    </row>
    <row r="1966" spans="37:47">
      <c r="AK1966" s="12"/>
      <c r="AM1966" s="12"/>
      <c r="AN1966" s="75"/>
      <c r="AO1966" s="75"/>
      <c r="AP1966" s="75"/>
      <c r="AQ1966" s="75"/>
      <c r="AR1966" s="76"/>
      <c r="AT1966" s="65"/>
      <c r="AU1966" s="77"/>
    </row>
    <row r="1967" spans="37:47">
      <c r="AK1967" s="12"/>
      <c r="AM1967" s="12"/>
      <c r="AN1967" s="75"/>
      <c r="AO1967" s="75"/>
      <c r="AP1967" s="75"/>
      <c r="AQ1967" s="75"/>
      <c r="AR1967" s="76"/>
      <c r="AT1967" s="65"/>
      <c r="AU1967" s="77"/>
    </row>
    <row r="1968" spans="37:47">
      <c r="AK1968" s="12"/>
      <c r="AM1968" s="12"/>
      <c r="AN1968" s="75"/>
      <c r="AO1968" s="75"/>
      <c r="AP1968" s="75"/>
      <c r="AQ1968" s="75"/>
      <c r="AR1968" s="76"/>
      <c r="AT1968" s="65"/>
      <c r="AU1968" s="77"/>
    </row>
    <row r="1969" spans="37:47">
      <c r="AK1969" s="12"/>
      <c r="AM1969" s="12"/>
      <c r="AN1969" s="75"/>
      <c r="AO1969" s="75"/>
      <c r="AP1969" s="75"/>
      <c r="AQ1969" s="75"/>
      <c r="AR1969" s="76"/>
      <c r="AT1969" s="65"/>
      <c r="AU1969" s="77"/>
    </row>
    <row r="1970" spans="37:47">
      <c r="AK1970" s="12"/>
      <c r="AM1970" s="12"/>
      <c r="AN1970" s="75"/>
      <c r="AO1970" s="75"/>
      <c r="AP1970" s="75"/>
      <c r="AQ1970" s="75"/>
      <c r="AR1970" s="76"/>
      <c r="AT1970" s="65"/>
      <c r="AU1970" s="77"/>
    </row>
    <row r="1971" spans="37:47">
      <c r="AK1971" s="12"/>
      <c r="AM1971" s="12"/>
      <c r="AN1971" s="75"/>
      <c r="AO1971" s="75"/>
      <c r="AP1971" s="75"/>
      <c r="AQ1971" s="75"/>
      <c r="AR1971" s="76"/>
      <c r="AT1971" s="65"/>
      <c r="AU1971" s="77"/>
    </row>
    <row r="1972" spans="37:47">
      <c r="AK1972" s="12"/>
      <c r="AM1972" s="12"/>
      <c r="AN1972" s="75"/>
      <c r="AO1972" s="75"/>
      <c r="AP1972" s="75"/>
      <c r="AQ1972" s="75"/>
      <c r="AR1972" s="76"/>
      <c r="AT1972" s="65"/>
      <c r="AU1972" s="77"/>
    </row>
    <row r="1973" spans="37:47">
      <c r="AK1973" s="12"/>
      <c r="AM1973" s="12"/>
      <c r="AN1973" s="75"/>
      <c r="AO1973" s="75"/>
      <c r="AP1973" s="75"/>
      <c r="AQ1973" s="75"/>
      <c r="AR1973" s="76"/>
      <c r="AT1973" s="65"/>
      <c r="AU1973" s="77"/>
    </row>
    <row r="1974" spans="37:47">
      <c r="AK1974" s="12"/>
      <c r="AM1974" s="12"/>
      <c r="AN1974" s="75"/>
      <c r="AO1974" s="75"/>
      <c r="AP1974" s="75"/>
      <c r="AQ1974" s="75"/>
      <c r="AR1974" s="76"/>
      <c r="AT1974" s="65"/>
      <c r="AU1974" s="77"/>
    </row>
    <row r="1975" spans="37:47">
      <c r="AK1975" s="12"/>
      <c r="AM1975" s="12"/>
      <c r="AN1975" s="75"/>
      <c r="AO1975" s="75"/>
      <c r="AP1975" s="75"/>
      <c r="AQ1975" s="75"/>
      <c r="AR1975" s="76"/>
      <c r="AT1975" s="65"/>
      <c r="AU1975" s="77"/>
    </row>
    <row r="1976" spans="37:47">
      <c r="AK1976" s="12"/>
      <c r="AM1976" s="12"/>
      <c r="AN1976" s="75"/>
      <c r="AO1976" s="75"/>
      <c r="AP1976" s="75"/>
      <c r="AQ1976" s="75"/>
      <c r="AR1976" s="76"/>
      <c r="AT1976" s="65"/>
      <c r="AU1976" s="77"/>
    </row>
    <row r="1977" spans="37:47">
      <c r="AK1977" s="12"/>
      <c r="AM1977" s="12"/>
      <c r="AN1977" s="75"/>
      <c r="AO1977" s="75"/>
      <c r="AP1977" s="75"/>
      <c r="AQ1977" s="75"/>
      <c r="AR1977" s="76"/>
      <c r="AT1977" s="65"/>
      <c r="AU1977" s="77"/>
    </row>
    <row r="1978" spans="37:47">
      <c r="AK1978" s="12"/>
      <c r="AM1978" s="12"/>
      <c r="AN1978" s="75"/>
      <c r="AO1978" s="75"/>
      <c r="AP1978" s="75"/>
      <c r="AQ1978" s="75"/>
      <c r="AR1978" s="76"/>
      <c r="AT1978" s="65"/>
      <c r="AU1978" s="77"/>
    </row>
    <row r="1979" spans="37:47">
      <c r="AK1979" s="12"/>
      <c r="AM1979" s="12"/>
      <c r="AN1979" s="75"/>
      <c r="AO1979" s="75"/>
      <c r="AP1979" s="75"/>
      <c r="AQ1979" s="75"/>
      <c r="AR1979" s="76"/>
      <c r="AT1979" s="65"/>
      <c r="AU1979" s="77"/>
    </row>
    <row r="1980" spans="37:47">
      <c r="AK1980" s="12"/>
      <c r="AM1980" s="12"/>
      <c r="AN1980" s="75"/>
      <c r="AO1980" s="75"/>
      <c r="AP1980" s="75"/>
      <c r="AQ1980" s="75"/>
      <c r="AR1980" s="76"/>
      <c r="AT1980" s="65"/>
      <c r="AU1980" s="77"/>
    </row>
    <row r="1981" spans="37:47">
      <c r="AK1981" s="12"/>
      <c r="AM1981" s="12"/>
      <c r="AN1981" s="75"/>
      <c r="AO1981" s="75"/>
      <c r="AP1981" s="75"/>
      <c r="AQ1981" s="75"/>
      <c r="AR1981" s="76"/>
      <c r="AT1981" s="65"/>
      <c r="AU1981" s="77"/>
    </row>
    <row r="1982" spans="37:47">
      <c r="AK1982" s="12"/>
      <c r="AM1982" s="12"/>
      <c r="AN1982" s="75"/>
      <c r="AO1982" s="75"/>
      <c r="AP1982" s="75"/>
      <c r="AQ1982" s="75"/>
      <c r="AR1982" s="76"/>
      <c r="AT1982" s="65"/>
      <c r="AU1982" s="77"/>
    </row>
    <row r="1983" spans="37:47">
      <c r="AK1983" s="12"/>
      <c r="AM1983" s="12"/>
      <c r="AN1983" s="75"/>
      <c r="AO1983" s="75"/>
      <c r="AP1983" s="75"/>
      <c r="AQ1983" s="75"/>
      <c r="AR1983" s="76"/>
      <c r="AT1983" s="65"/>
      <c r="AU1983" s="77"/>
    </row>
    <row r="1984" spans="37:47">
      <c r="AK1984" s="12"/>
      <c r="AM1984" s="12"/>
      <c r="AN1984" s="75"/>
      <c r="AO1984" s="75"/>
      <c r="AP1984" s="75"/>
      <c r="AQ1984" s="75"/>
      <c r="AR1984" s="76"/>
      <c r="AT1984" s="65"/>
      <c r="AU1984" s="77"/>
    </row>
    <row r="1985" spans="37:47">
      <c r="AK1985" s="12"/>
      <c r="AM1985" s="12"/>
      <c r="AN1985" s="75"/>
      <c r="AO1985" s="75"/>
      <c r="AP1985" s="75"/>
      <c r="AQ1985" s="75"/>
      <c r="AR1985" s="76"/>
      <c r="AT1985" s="65"/>
      <c r="AU1985" s="77"/>
    </row>
    <row r="1986" spans="37:47">
      <c r="AK1986" s="12"/>
      <c r="AM1986" s="12"/>
      <c r="AN1986" s="75"/>
      <c r="AO1986" s="75"/>
      <c r="AP1986" s="75"/>
      <c r="AQ1986" s="75"/>
      <c r="AR1986" s="76"/>
      <c r="AT1986" s="65"/>
      <c r="AU1986" s="77"/>
    </row>
    <row r="1987" spans="37:47">
      <c r="AK1987" s="12"/>
      <c r="AM1987" s="12"/>
      <c r="AN1987" s="75"/>
      <c r="AO1987" s="75"/>
      <c r="AP1987" s="75"/>
      <c r="AQ1987" s="75"/>
      <c r="AR1987" s="76"/>
      <c r="AT1987" s="65"/>
      <c r="AU1987" s="77"/>
    </row>
    <row r="1988" spans="37:47">
      <c r="AK1988" s="12"/>
      <c r="AM1988" s="12"/>
      <c r="AN1988" s="75"/>
      <c r="AO1988" s="75"/>
      <c r="AP1988" s="75"/>
      <c r="AQ1988" s="75"/>
      <c r="AR1988" s="76"/>
      <c r="AT1988" s="65"/>
      <c r="AU1988" s="77"/>
    </row>
    <row r="1989" spans="37:47">
      <c r="AK1989" s="12"/>
      <c r="AM1989" s="12"/>
      <c r="AN1989" s="75"/>
      <c r="AO1989" s="75"/>
      <c r="AP1989" s="75"/>
      <c r="AQ1989" s="75"/>
      <c r="AR1989" s="76"/>
      <c r="AT1989" s="65"/>
      <c r="AU1989" s="77"/>
    </row>
    <row r="1990" spans="37:47">
      <c r="AK1990" s="12"/>
      <c r="AM1990" s="12"/>
      <c r="AN1990" s="75"/>
      <c r="AO1990" s="75"/>
      <c r="AP1990" s="75"/>
      <c r="AQ1990" s="75"/>
      <c r="AR1990" s="76"/>
      <c r="AT1990" s="65"/>
      <c r="AU1990" s="77"/>
    </row>
    <row r="1991" spans="37:47">
      <c r="AK1991" s="12"/>
      <c r="AM1991" s="12"/>
      <c r="AN1991" s="75"/>
      <c r="AO1991" s="75"/>
      <c r="AP1991" s="75"/>
      <c r="AQ1991" s="75"/>
      <c r="AR1991" s="76"/>
      <c r="AT1991" s="65"/>
      <c r="AU1991" s="77"/>
    </row>
    <row r="1992" spans="37:47">
      <c r="AK1992" s="12"/>
      <c r="AM1992" s="12"/>
      <c r="AN1992" s="75"/>
      <c r="AO1992" s="75"/>
      <c r="AP1992" s="75"/>
      <c r="AQ1992" s="75"/>
      <c r="AR1992" s="76"/>
      <c r="AT1992" s="65"/>
      <c r="AU1992" s="77"/>
    </row>
    <row r="1993" spans="37:47">
      <c r="AK1993" s="12"/>
      <c r="AM1993" s="12"/>
      <c r="AN1993" s="75"/>
      <c r="AO1993" s="75"/>
      <c r="AP1993" s="75"/>
      <c r="AQ1993" s="75"/>
      <c r="AR1993" s="76"/>
      <c r="AT1993" s="65"/>
      <c r="AU1993" s="77"/>
    </row>
    <row r="1994" spans="37:47">
      <c r="AK1994" s="12"/>
      <c r="AM1994" s="12"/>
      <c r="AN1994" s="75"/>
      <c r="AO1994" s="75"/>
      <c r="AP1994" s="75"/>
      <c r="AQ1994" s="75"/>
      <c r="AR1994" s="76"/>
      <c r="AT1994" s="65"/>
      <c r="AU1994" s="77"/>
    </row>
    <row r="1995" spans="37:47">
      <c r="AK1995" s="12"/>
      <c r="AM1995" s="12"/>
      <c r="AN1995" s="75"/>
      <c r="AO1995" s="75"/>
      <c r="AP1995" s="75"/>
      <c r="AQ1995" s="75"/>
      <c r="AR1995" s="76"/>
      <c r="AT1995" s="65"/>
      <c r="AU1995" s="77"/>
    </row>
    <row r="1996" spans="37:47">
      <c r="AK1996" s="12"/>
      <c r="AM1996" s="12"/>
      <c r="AN1996" s="75"/>
      <c r="AO1996" s="75"/>
      <c r="AP1996" s="75"/>
      <c r="AQ1996" s="75"/>
      <c r="AR1996" s="76"/>
      <c r="AT1996" s="65"/>
      <c r="AU1996" s="77"/>
    </row>
    <row r="1997" spans="37:47">
      <c r="AK1997" s="12"/>
      <c r="AM1997" s="12"/>
      <c r="AN1997" s="75"/>
      <c r="AO1997" s="75"/>
      <c r="AP1997" s="75"/>
      <c r="AQ1997" s="75"/>
      <c r="AR1997" s="76"/>
      <c r="AT1997" s="65"/>
      <c r="AU1997" s="77"/>
    </row>
    <row r="1998" spans="37:47">
      <c r="AK1998" s="12"/>
      <c r="AM1998" s="12"/>
      <c r="AN1998" s="75"/>
      <c r="AO1998" s="75"/>
      <c r="AP1998" s="75"/>
      <c r="AQ1998" s="75"/>
      <c r="AR1998" s="76"/>
      <c r="AT1998" s="65"/>
      <c r="AU1998" s="77"/>
    </row>
    <row r="1999" spans="37:47">
      <c r="AK1999" s="12"/>
      <c r="AM1999" s="12"/>
      <c r="AN1999" s="75"/>
      <c r="AO1999" s="75"/>
      <c r="AP1999" s="75"/>
      <c r="AQ1999" s="75"/>
      <c r="AR1999" s="76"/>
      <c r="AT1999" s="65"/>
      <c r="AU1999" s="77"/>
    </row>
    <row r="2000" spans="37:47">
      <c r="AK2000" s="12"/>
      <c r="AM2000" s="12"/>
      <c r="AN2000" s="75"/>
      <c r="AO2000" s="75"/>
      <c r="AP2000" s="75"/>
      <c r="AQ2000" s="75"/>
      <c r="AR2000" s="76"/>
      <c r="AT2000" s="65"/>
      <c r="AU2000" s="77"/>
    </row>
    <row r="2001" spans="37:47">
      <c r="AK2001" s="12"/>
      <c r="AM2001" s="12"/>
      <c r="AN2001" s="75"/>
      <c r="AO2001" s="75"/>
      <c r="AP2001" s="75"/>
      <c r="AQ2001" s="75"/>
      <c r="AR2001" s="76"/>
      <c r="AT2001" s="65"/>
      <c r="AU2001" s="77"/>
    </row>
    <row r="2002" spans="37:47">
      <c r="AK2002" s="12"/>
      <c r="AM2002" s="12"/>
      <c r="AN2002" s="75"/>
      <c r="AO2002" s="75"/>
      <c r="AP2002" s="75"/>
      <c r="AQ2002" s="75"/>
      <c r="AR2002" s="76"/>
      <c r="AT2002" s="65"/>
      <c r="AU2002" s="77"/>
    </row>
    <row r="2003" spans="37:47">
      <c r="AK2003" s="12"/>
      <c r="AM2003" s="12"/>
      <c r="AN2003" s="75"/>
      <c r="AO2003" s="75"/>
      <c r="AP2003" s="75"/>
      <c r="AQ2003" s="75"/>
      <c r="AR2003" s="76"/>
      <c r="AT2003" s="65"/>
      <c r="AU2003" s="77"/>
    </row>
    <row r="2004" spans="37:47">
      <c r="AK2004" s="12"/>
      <c r="AM2004" s="12"/>
      <c r="AN2004" s="75"/>
      <c r="AO2004" s="75"/>
      <c r="AP2004" s="75"/>
      <c r="AQ2004" s="75"/>
      <c r="AR2004" s="76"/>
      <c r="AT2004" s="65"/>
      <c r="AU2004" s="77"/>
    </row>
    <row r="2005" spans="37:47">
      <c r="AK2005" s="12"/>
      <c r="AM2005" s="12"/>
      <c r="AN2005" s="75"/>
      <c r="AO2005" s="75"/>
      <c r="AP2005" s="75"/>
      <c r="AQ2005" s="75"/>
      <c r="AR2005" s="76"/>
      <c r="AT2005" s="65"/>
      <c r="AU2005" s="77"/>
    </row>
    <row r="2006" spans="37:47">
      <c r="AK2006" s="12"/>
      <c r="AM2006" s="12"/>
      <c r="AN2006" s="75"/>
      <c r="AO2006" s="75"/>
      <c r="AP2006" s="75"/>
      <c r="AQ2006" s="75"/>
      <c r="AR2006" s="76"/>
      <c r="AT2006" s="65"/>
      <c r="AU2006" s="77"/>
    </row>
    <row r="2007" spans="37:47">
      <c r="AK2007" s="12"/>
      <c r="AM2007" s="12"/>
      <c r="AN2007" s="75"/>
      <c r="AO2007" s="75"/>
      <c r="AP2007" s="75"/>
      <c r="AQ2007" s="75"/>
      <c r="AR2007" s="76"/>
      <c r="AT2007" s="65"/>
      <c r="AU2007" s="77"/>
    </row>
    <row r="2008" spans="37:47">
      <c r="AK2008" s="12"/>
      <c r="AM2008" s="12"/>
      <c r="AN2008" s="75"/>
      <c r="AO2008" s="75"/>
      <c r="AP2008" s="75"/>
      <c r="AQ2008" s="75"/>
      <c r="AR2008" s="76"/>
      <c r="AT2008" s="65"/>
      <c r="AU2008" s="77"/>
    </row>
    <row r="2009" spans="37:47">
      <c r="AK2009" s="12"/>
      <c r="AM2009" s="12"/>
      <c r="AN2009" s="75"/>
      <c r="AO2009" s="75"/>
      <c r="AP2009" s="75"/>
      <c r="AQ2009" s="75"/>
      <c r="AR2009" s="76"/>
      <c r="AT2009" s="65"/>
      <c r="AU2009" s="77"/>
    </row>
    <row r="2010" spans="37:47">
      <c r="AK2010" s="12"/>
      <c r="AM2010" s="12"/>
      <c r="AN2010" s="75"/>
      <c r="AO2010" s="75"/>
      <c r="AP2010" s="75"/>
      <c r="AQ2010" s="75"/>
      <c r="AR2010" s="76"/>
      <c r="AT2010" s="65"/>
      <c r="AU2010" s="77"/>
    </row>
    <row r="2011" spans="37:47">
      <c r="AK2011" s="12"/>
      <c r="AM2011" s="12"/>
      <c r="AN2011" s="75"/>
      <c r="AO2011" s="75"/>
      <c r="AP2011" s="75"/>
      <c r="AQ2011" s="75"/>
      <c r="AR2011" s="76"/>
      <c r="AT2011" s="65"/>
      <c r="AU2011" s="77"/>
    </row>
    <row r="2012" spans="37:47">
      <c r="AK2012" s="12"/>
      <c r="AM2012" s="12"/>
      <c r="AN2012" s="75"/>
      <c r="AO2012" s="75"/>
      <c r="AP2012" s="75"/>
      <c r="AQ2012" s="75"/>
      <c r="AR2012" s="76"/>
      <c r="AT2012" s="65"/>
      <c r="AU2012" s="77"/>
    </row>
    <row r="2013" spans="37:47">
      <c r="AK2013" s="12"/>
      <c r="AM2013" s="12"/>
      <c r="AN2013" s="75"/>
      <c r="AO2013" s="75"/>
      <c r="AP2013" s="75"/>
      <c r="AQ2013" s="75"/>
      <c r="AR2013" s="76"/>
      <c r="AT2013" s="65"/>
      <c r="AU2013" s="77"/>
    </row>
    <row r="2014" spans="37:47">
      <c r="AK2014" s="12"/>
      <c r="AM2014" s="12"/>
      <c r="AN2014" s="75"/>
      <c r="AO2014" s="75"/>
      <c r="AP2014" s="75"/>
      <c r="AQ2014" s="75"/>
      <c r="AR2014" s="76"/>
      <c r="AT2014" s="65"/>
      <c r="AU2014" s="77"/>
    </row>
    <row r="2015" spans="37:47">
      <c r="AK2015" s="12"/>
      <c r="AM2015" s="12"/>
      <c r="AN2015" s="75"/>
      <c r="AO2015" s="75"/>
      <c r="AP2015" s="75"/>
      <c r="AQ2015" s="75"/>
      <c r="AR2015" s="76"/>
      <c r="AT2015" s="65"/>
      <c r="AU2015" s="77"/>
    </row>
    <row r="2016" spans="37:47">
      <c r="AK2016" s="12"/>
      <c r="AM2016" s="12"/>
      <c r="AN2016" s="75"/>
      <c r="AO2016" s="75"/>
      <c r="AP2016" s="75"/>
      <c r="AQ2016" s="75"/>
      <c r="AR2016" s="76"/>
      <c r="AT2016" s="65"/>
      <c r="AU2016" s="77"/>
    </row>
    <row r="2017" spans="37:47">
      <c r="AK2017" s="12"/>
      <c r="AM2017" s="12"/>
      <c r="AN2017" s="75"/>
      <c r="AO2017" s="75"/>
      <c r="AP2017" s="75"/>
      <c r="AQ2017" s="75"/>
      <c r="AR2017" s="76"/>
      <c r="AT2017" s="65"/>
      <c r="AU2017" s="77"/>
    </row>
    <row r="2018" spans="37:47">
      <c r="AK2018" s="12"/>
      <c r="AM2018" s="12"/>
      <c r="AN2018" s="75"/>
      <c r="AO2018" s="75"/>
      <c r="AP2018" s="75"/>
      <c r="AQ2018" s="75"/>
      <c r="AR2018" s="76"/>
      <c r="AT2018" s="65"/>
      <c r="AU2018" s="77"/>
    </row>
    <row r="2019" spans="37:47">
      <c r="AK2019" s="12"/>
      <c r="AM2019" s="12"/>
      <c r="AN2019" s="75"/>
      <c r="AO2019" s="75"/>
      <c r="AP2019" s="75"/>
      <c r="AQ2019" s="75"/>
      <c r="AR2019" s="76"/>
      <c r="AT2019" s="65"/>
      <c r="AU2019" s="77"/>
    </row>
    <row r="2020" spans="37:47">
      <c r="AK2020" s="12"/>
      <c r="AM2020" s="12"/>
      <c r="AN2020" s="75"/>
      <c r="AO2020" s="75"/>
      <c r="AP2020" s="75"/>
      <c r="AQ2020" s="75"/>
      <c r="AR2020" s="76"/>
      <c r="AT2020" s="65"/>
      <c r="AU2020" s="77"/>
    </row>
    <row r="2021" spans="37:47">
      <c r="AK2021" s="12"/>
      <c r="AM2021" s="12"/>
      <c r="AN2021" s="75"/>
      <c r="AO2021" s="75"/>
      <c r="AP2021" s="75"/>
      <c r="AQ2021" s="75"/>
      <c r="AR2021" s="76"/>
      <c r="AT2021" s="65"/>
      <c r="AU2021" s="77"/>
    </row>
    <row r="2022" spans="37:47">
      <c r="AK2022" s="12"/>
      <c r="AM2022" s="12"/>
      <c r="AN2022" s="75"/>
      <c r="AO2022" s="75"/>
      <c r="AP2022" s="75"/>
      <c r="AQ2022" s="75"/>
      <c r="AR2022" s="76"/>
      <c r="AT2022" s="65"/>
      <c r="AU2022" s="77"/>
    </row>
    <row r="2023" spans="37:47">
      <c r="AK2023" s="12"/>
      <c r="AM2023" s="12"/>
      <c r="AN2023" s="75"/>
      <c r="AO2023" s="75"/>
      <c r="AP2023" s="75"/>
      <c r="AQ2023" s="75"/>
      <c r="AR2023" s="76"/>
      <c r="AT2023" s="65"/>
      <c r="AU2023" s="77"/>
    </row>
    <row r="2024" spans="37:47">
      <c r="AK2024" s="12"/>
      <c r="AM2024" s="12"/>
      <c r="AN2024" s="75"/>
      <c r="AO2024" s="75"/>
      <c r="AP2024" s="75"/>
      <c r="AQ2024" s="75"/>
      <c r="AR2024" s="76"/>
      <c r="AT2024" s="65"/>
      <c r="AU2024" s="77"/>
    </row>
    <row r="2025" spans="37:47">
      <c r="AK2025" s="12"/>
      <c r="AM2025" s="12"/>
      <c r="AN2025" s="75"/>
      <c r="AO2025" s="75"/>
      <c r="AP2025" s="75"/>
      <c r="AQ2025" s="75"/>
      <c r="AR2025" s="76"/>
      <c r="AT2025" s="65"/>
      <c r="AU2025" s="77"/>
    </row>
    <row r="2026" spans="37:47">
      <c r="AK2026" s="12"/>
      <c r="AM2026" s="12"/>
      <c r="AN2026" s="75"/>
      <c r="AO2026" s="75"/>
      <c r="AP2026" s="75"/>
      <c r="AQ2026" s="75"/>
      <c r="AR2026" s="76"/>
      <c r="AT2026" s="65"/>
      <c r="AU2026" s="77"/>
    </row>
    <row r="2027" spans="37:47">
      <c r="AK2027" s="12"/>
      <c r="AM2027" s="12"/>
      <c r="AN2027" s="75"/>
      <c r="AO2027" s="75"/>
      <c r="AP2027" s="75"/>
      <c r="AQ2027" s="75"/>
      <c r="AR2027" s="76"/>
      <c r="AT2027" s="65"/>
      <c r="AU2027" s="77"/>
    </row>
    <row r="2028" spans="37:47">
      <c r="AK2028" s="12"/>
      <c r="AM2028" s="12"/>
      <c r="AN2028" s="75"/>
      <c r="AO2028" s="75"/>
      <c r="AP2028" s="75"/>
      <c r="AQ2028" s="75"/>
      <c r="AR2028" s="76"/>
      <c r="AT2028" s="65"/>
      <c r="AU2028" s="77"/>
    </row>
    <row r="2029" spans="37:47">
      <c r="AK2029" s="12"/>
      <c r="AM2029" s="12"/>
      <c r="AN2029" s="75"/>
      <c r="AO2029" s="75"/>
      <c r="AP2029" s="75"/>
      <c r="AQ2029" s="75"/>
      <c r="AR2029" s="76"/>
      <c r="AT2029" s="65"/>
      <c r="AU2029" s="77"/>
    </row>
    <row r="2030" spans="37:47">
      <c r="AK2030" s="12"/>
      <c r="AM2030" s="12"/>
      <c r="AN2030" s="75"/>
      <c r="AO2030" s="75"/>
      <c r="AP2030" s="75"/>
      <c r="AQ2030" s="75"/>
      <c r="AR2030" s="76"/>
      <c r="AT2030" s="65"/>
      <c r="AU2030" s="77"/>
    </row>
    <row r="2031" spans="37:47">
      <c r="AK2031" s="12"/>
      <c r="AM2031" s="12"/>
      <c r="AN2031" s="75"/>
      <c r="AO2031" s="75"/>
      <c r="AP2031" s="75"/>
      <c r="AQ2031" s="75"/>
      <c r="AR2031" s="76"/>
      <c r="AT2031" s="65"/>
      <c r="AU2031" s="77"/>
    </row>
    <row r="2032" spans="37:47">
      <c r="AK2032" s="12"/>
      <c r="AM2032" s="12"/>
      <c r="AN2032" s="75"/>
      <c r="AO2032" s="75"/>
      <c r="AP2032" s="75"/>
      <c r="AQ2032" s="75"/>
      <c r="AR2032" s="76"/>
      <c r="AT2032" s="65"/>
      <c r="AU2032" s="77"/>
    </row>
    <row r="2033" spans="37:47">
      <c r="AK2033" s="12"/>
      <c r="AM2033" s="12"/>
      <c r="AN2033" s="75"/>
      <c r="AO2033" s="75"/>
      <c r="AP2033" s="75"/>
      <c r="AQ2033" s="75"/>
      <c r="AR2033" s="76"/>
      <c r="AT2033" s="65"/>
      <c r="AU2033" s="77"/>
    </row>
    <row r="2034" spans="37:47">
      <c r="AK2034" s="12"/>
      <c r="AM2034" s="12"/>
      <c r="AN2034" s="75"/>
      <c r="AO2034" s="75"/>
      <c r="AP2034" s="75"/>
      <c r="AQ2034" s="75"/>
      <c r="AR2034" s="76"/>
      <c r="AT2034" s="65"/>
      <c r="AU2034" s="77"/>
    </row>
    <row r="2035" spans="37:47">
      <c r="AK2035" s="12"/>
      <c r="AM2035" s="12"/>
      <c r="AN2035" s="75"/>
      <c r="AO2035" s="75"/>
      <c r="AP2035" s="75"/>
      <c r="AQ2035" s="75"/>
      <c r="AR2035" s="76"/>
      <c r="AT2035" s="65"/>
      <c r="AU2035" s="77"/>
    </row>
    <row r="2036" spans="37:47">
      <c r="AK2036" s="12"/>
      <c r="AM2036" s="12"/>
      <c r="AN2036" s="75"/>
      <c r="AO2036" s="75"/>
      <c r="AP2036" s="75"/>
      <c r="AQ2036" s="75"/>
      <c r="AR2036" s="76"/>
      <c r="AT2036" s="65"/>
      <c r="AU2036" s="77"/>
    </row>
    <row r="2037" spans="37:47">
      <c r="AK2037" s="12"/>
      <c r="AM2037" s="12"/>
      <c r="AN2037" s="75"/>
      <c r="AO2037" s="75"/>
      <c r="AP2037" s="75"/>
      <c r="AQ2037" s="75"/>
      <c r="AR2037" s="76"/>
      <c r="AT2037" s="65"/>
      <c r="AU2037" s="77"/>
    </row>
    <row r="2038" spans="37:47">
      <c r="AK2038" s="12"/>
      <c r="AM2038" s="12"/>
      <c r="AN2038" s="75"/>
      <c r="AO2038" s="75"/>
      <c r="AP2038" s="75"/>
      <c r="AQ2038" s="75"/>
      <c r="AR2038" s="76"/>
      <c r="AT2038" s="65"/>
      <c r="AU2038" s="77"/>
    </row>
    <row r="2039" spans="37:47">
      <c r="AK2039" s="12"/>
      <c r="AM2039" s="12"/>
      <c r="AN2039" s="75"/>
      <c r="AO2039" s="75"/>
      <c r="AP2039" s="75"/>
      <c r="AQ2039" s="75"/>
      <c r="AR2039" s="76"/>
      <c r="AT2039" s="65"/>
      <c r="AU2039" s="77"/>
    </row>
    <row r="2040" spans="37:47">
      <c r="AK2040" s="12"/>
      <c r="AM2040" s="12"/>
      <c r="AN2040" s="75"/>
      <c r="AO2040" s="75"/>
      <c r="AP2040" s="75"/>
      <c r="AQ2040" s="75"/>
      <c r="AR2040" s="76"/>
      <c r="AT2040" s="65"/>
      <c r="AU2040" s="77"/>
    </row>
    <row r="2041" spans="37:47">
      <c r="AK2041" s="12"/>
      <c r="AM2041" s="12"/>
      <c r="AN2041" s="75"/>
      <c r="AO2041" s="75"/>
      <c r="AP2041" s="75"/>
      <c r="AQ2041" s="75"/>
      <c r="AR2041" s="76"/>
      <c r="AT2041" s="65"/>
      <c r="AU2041" s="77"/>
    </row>
    <row r="2042" spans="37:47">
      <c r="AK2042" s="12"/>
      <c r="AM2042" s="12"/>
      <c r="AN2042" s="75"/>
      <c r="AO2042" s="75"/>
      <c r="AP2042" s="75"/>
      <c r="AQ2042" s="75"/>
      <c r="AR2042" s="76"/>
      <c r="AT2042" s="65"/>
      <c r="AU2042" s="77"/>
    </row>
    <row r="2043" spans="37:47">
      <c r="AK2043" s="12"/>
      <c r="AM2043" s="12"/>
      <c r="AN2043" s="75"/>
      <c r="AO2043" s="75"/>
      <c r="AP2043" s="75"/>
      <c r="AQ2043" s="75"/>
      <c r="AR2043" s="76"/>
      <c r="AT2043" s="65"/>
      <c r="AU2043" s="77"/>
    </row>
    <row r="2044" spans="37:47">
      <c r="AK2044" s="12"/>
      <c r="AM2044" s="12"/>
      <c r="AN2044" s="75"/>
      <c r="AO2044" s="75"/>
      <c r="AP2044" s="75"/>
      <c r="AQ2044" s="75"/>
      <c r="AR2044" s="76"/>
      <c r="AT2044" s="65"/>
      <c r="AU2044" s="77"/>
    </row>
    <row r="2045" spans="37:47">
      <c r="AK2045" s="12"/>
      <c r="AM2045" s="12"/>
      <c r="AN2045" s="75"/>
      <c r="AO2045" s="75"/>
      <c r="AP2045" s="75"/>
      <c r="AQ2045" s="75"/>
      <c r="AR2045" s="76"/>
      <c r="AT2045" s="65"/>
      <c r="AU2045" s="77"/>
    </row>
    <row r="2046" spans="37:47">
      <c r="AK2046" s="12"/>
      <c r="AM2046" s="12"/>
      <c r="AN2046" s="75"/>
      <c r="AO2046" s="75"/>
      <c r="AP2046" s="75"/>
      <c r="AQ2046" s="75"/>
      <c r="AR2046" s="76"/>
      <c r="AT2046" s="65"/>
      <c r="AU2046" s="77"/>
    </row>
    <row r="2047" spans="37:47">
      <c r="AK2047" s="12"/>
      <c r="AM2047" s="12"/>
      <c r="AN2047" s="75"/>
      <c r="AO2047" s="75"/>
      <c r="AP2047" s="75"/>
      <c r="AQ2047" s="75"/>
      <c r="AR2047" s="76"/>
      <c r="AT2047" s="65"/>
      <c r="AU2047" s="77"/>
    </row>
    <row r="2048" spans="37:47">
      <c r="AK2048" s="12"/>
      <c r="AM2048" s="12"/>
      <c r="AN2048" s="75"/>
      <c r="AO2048" s="75"/>
      <c r="AP2048" s="75"/>
      <c r="AQ2048" s="75"/>
      <c r="AR2048" s="76"/>
      <c r="AT2048" s="65"/>
      <c r="AU2048" s="77"/>
    </row>
    <row r="2049" spans="37:47">
      <c r="AK2049" s="12"/>
      <c r="AM2049" s="12"/>
      <c r="AN2049" s="75"/>
      <c r="AO2049" s="75"/>
      <c r="AP2049" s="75"/>
      <c r="AQ2049" s="75"/>
      <c r="AR2049" s="76"/>
      <c r="AT2049" s="65"/>
      <c r="AU2049" s="77"/>
    </row>
    <row r="2050" spans="37:47">
      <c r="AK2050" s="12"/>
      <c r="AM2050" s="12"/>
      <c r="AN2050" s="75"/>
      <c r="AO2050" s="75"/>
      <c r="AP2050" s="75"/>
      <c r="AQ2050" s="75"/>
      <c r="AR2050" s="76"/>
      <c r="AT2050" s="65"/>
      <c r="AU2050" s="77"/>
    </row>
    <row r="2051" spans="37:47">
      <c r="AK2051" s="12"/>
      <c r="AM2051" s="12"/>
      <c r="AN2051" s="75"/>
      <c r="AO2051" s="75"/>
      <c r="AP2051" s="75"/>
      <c r="AQ2051" s="75"/>
      <c r="AR2051" s="76"/>
      <c r="AT2051" s="65"/>
      <c r="AU2051" s="77"/>
    </row>
    <row r="2052" spans="37:47">
      <c r="AK2052" s="12"/>
      <c r="AM2052" s="12"/>
      <c r="AN2052" s="75"/>
      <c r="AO2052" s="75"/>
      <c r="AP2052" s="75"/>
      <c r="AQ2052" s="75"/>
      <c r="AR2052" s="76"/>
      <c r="AT2052" s="65"/>
      <c r="AU2052" s="77"/>
    </row>
    <row r="2053" spans="37:47">
      <c r="AK2053" s="12"/>
      <c r="AM2053" s="12"/>
      <c r="AN2053" s="75"/>
      <c r="AO2053" s="75"/>
      <c r="AP2053" s="75"/>
      <c r="AQ2053" s="75"/>
      <c r="AR2053" s="76"/>
      <c r="AT2053" s="65"/>
      <c r="AU2053" s="77"/>
    </row>
    <row r="2054" spans="37:47">
      <c r="AK2054" s="12"/>
      <c r="AM2054" s="12"/>
      <c r="AN2054" s="75"/>
      <c r="AO2054" s="75"/>
      <c r="AP2054" s="75"/>
      <c r="AQ2054" s="75"/>
      <c r="AR2054" s="76"/>
      <c r="AT2054" s="65"/>
      <c r="AU2054" s="77"/>
    </row>
    <row r="2055" spans="37:47">
      <c r="AK2055" s="12"/>
      <c r="AM2055" s="12"/>
      <c r="AN2055" s="75"/>
      <c r="AO2055" s="75"/>
      <c r="AP2055" s="75"/>
      <c r="AQ2055" s="75"/>
      <c r="AR2055" s="76"/>
      <c r="AT2055" s="65"/>
      <c r="AU2055" s="77"/>
    </row>
    <row r="2056" spans="37:47">
      <c r="AK2056" s="12"/>
      <c r="AM2056" s="12"/>
      <c r="AN2056" s="75"/>
      <c r="AO2056" s="75"/>
      <c r="AP2056" s="75"/>
      <c r="AQ2056" s="75"/>
      <c r="AR2056" s="76"/>
      <c r="AT2056" s="65"/>
      <c r="AU2056" s="77"/>
    </row>
    <row r="2057" spans="37:47">
      <c r="AK2057" s="12"/>
      <c r="AM2057" s="12"/>
      <c r="AN2057" s="75"/>
      <c r="AO2057" s="75"/>
      <c r="AP2057" s="75"/>
      <c r="AQ2057" s="75"/>
      <c r="AR2057" s="76"/>
      <c r="AT2057" s="65"/>
      <c r="AU2057" s="77"/>
    </row>
    <row r="2058" spans="37:47">
      <c r="AK2058" s="12"/>
      <c r="AM2058" s="12"/>
      <c r="AN2058" s="75"/>
      <c r="AO2058" s="75"/>
      <c r="AP2058" s="75"/>
      <c r="AQ2058" s="75"/>
      <c r="AR2058" s="76"/>
      <c r="AT2058" s="65"/>
      <c r="AU2058" s="77"/>
    </row>
    <row r="2059" spans="37:47">
      <c r="AK2059" s="12"/>
      <c r="AM2059" s="12"/>
      <c r="AN2059" s="75"/>
      <c r="AO2059" s="75"/>
      <c r="AP2059" s="75"/>
      <c r="AQ2059" s="75"/>
      <c r="AR2059" s="76"/>
      <c r="AT2059" s="65"/>
      <c r="AU2059" s="77"/>
    </row>
    <row r="2060" spans="37:47">
      <c r="AK2060" s="12"/>
      <c r="AM2060" s="12"/>
      <c r="AN2060" s="75"/>
      <c r="AO2060" s="75"/>
      <c r="AP2060" s="75"/>
      <c r="AQ2060" s="75"/>
      <c r="AR2060" s="76"/>
      <c r="AT2060" s="65"/>
      <c r="AU2060" s="77"/>
    </row>
    <row r="2061" spans="37:47">
      <c r="AK2061" s="12"/>
      <c r="AM2061" s="12"/>
      <c r="AN2061" s="75"/>
      <c r="AO2061" s="75"/>
      <c r="AP2061" s="75"/>
      <c r="AQ2061" s="75"/>
      <c r="AR2061" s="76"/>
      <c r="AT2061" s="65"/>
      <c r="AU2061" s="77"/>
    </row>
    <row r="2062" spans="37:47">
      <c r="AK2062" s="12"/>
      <c r="AM2062" s="12"/>
      <c r="AN2062" s="75"/>
      <c r="AO2062" s="75"/>
      <c r="AP2062" s="75"/>
      <c r="AQ2062" s="75"/>
      <c r="AR2062" s="76"/>
      <c r="AT2062" s="65"/>
      <c r="AU2062" s="77"/>
    </row>
    <row r="2063" spans="37:47">
      <c r="AK2063" s="12"/>
      <c r="AM2063" s="12"/>
      <c r="AN2063" s="75"/>
      <c r="AO2063" s="75"/>
      <c r="AP2063" s="75"/>
      <c r="AQ2063" s="75"/>
      <c r="AR2063" s="76"/>
      <c r="AT2063" s="65"/>
      <c r="AU2063" s="77"/>
    </row>
    <row r="2064" spans="37:47">
      <c r="AK2064" s="12"/>
      <c r="AM2064" s="12"/>
      <c r="AN2064" s="75"/>
      <c r="AO2064" s="75"/>
      <c r="AP2064" s="75"/>
      <c r="AQ2064" s="75"/>
      <c r="AR2064" s="76"/>
      <c r="AT2064" s="65"/>
      <c r="AU2064" s="77"/>
    </row>
    <row r="2065" spans="37:47">
      <c r="AK2065" s="12"/>
      <c r="AM2065" s="12"/>
      <c r="AN2065" s="75"/>
      <c r="AO2065" s="75"/>
      <c r="AP2065" s="75"/>
      <c r="AQ2065" s="75"/>
      <c r="AR2065" s="76"/>
      <c r="AT2065" s="65"/>
      <c r="AU2065" s="77"/>
    </row>
    <row r="2066" spans="37:47">
      <c r="AK2066" s="12"/>
      <c r="AM2066" s="12"/>
      <c r="AN2066" s="75"/>
      <c r="AO2066" s="75"/>
      <c r="AP2066" s="75"/>
      <c r="AQ2066" s="75"/>
      <c r="AR2066" s="76"/>
      <c r="AT2066" s="65"/>
      <c r="AU2066" s="77"/>
    </row>
    <row r="2067" spans="37:47">
      <c r="AK2067" s="12"/>
      <c r="AM2067" s="12"/>
      <c r="AN2067" s="75"/>
      <c r="AO2067" s="75"/>
      <c r="AP2067" s="75"/>
      <c r="AQ2067" s="75"/>
      <c r="AR2067" s="76"/>
      <c r="AT2067" s="65"/>
      <c r="AU2067" s="77"/>
    </row>
    <row r="2068" spans="37:47">
      <c r="AK2068" s="12"/>
      <c r="AM2068" s="12"/>
      <c r="AN2068" s="75"/>
      <c r="AO2068" s="75"/>
      <c r="AP2068" s="75"/>
      <c r="AQ2068" s="75"/>
      <c r="AR2068" s="76"/>
      <c r="AT2068" s="65"/>
      <c r="AU2068" s="77"/>
    </row>
    <row r="2069" spans="37:47">
      <c r="AK2069" s="12"/>
      <c r="AM2069" s="12"/>
      <c r="AN2069" s="75"/>
      <c r="AO2069" s="75"/>
      <c r="AP2069" s="75"/>
      <c r="AQ2069" s="75"/>
      <c r="AR2069" s="76"/>
      <c r="AT2069" s="65"/>
      <c r="AU2069" s="77"/>
    </row>
    <row r="2070" spans="37:47">
      <c r="AK2070" s="12"/>
      <c r="AM2070" s="12"/>
      <c r="AN2070" s="75"/>
      <c r="AO2070" s="75"/>
      <c r="AP2070" s="75"/>
      <c r="AQ2070" s="75"/>
      <c r="AR2070" s="76"/>
      <c r="AT2070" s="65"/>
      <c r="AU2070" s="77"/>
    </row>
    <row r="2071" spans="37:47">
      <c r="AK2071" s="12"/>
      <c r="AM2071" s="12"/>
      <c r="AN2071" s="75"/>
      <c r="AO2071" s="75"/>
      <c r="AP2071" s="75"/>
      <c r="AQ2071" s="75"/>
      <c r="AR2071" s="76"/>
      <c r="AT2071" s="65"/>
      <c r="AU2071" s="77"/>
    </row>
    <row r="2072" spans="37:47">
      <c r="AK2072" s="12"/>
      <c r="AM2072" s="12"/>
      <c r="AN2072" s="75"/>
      <c r="AO2072" s="75"/>
      <c r="AP2072" s="75"/>
      <c r="AQ2072" s="75"/>
      <c r="AR2072" s="76"/>
      <c r="AT2072" s="65"/>
      <c r="AU2072" s="77"/>
    </row>
    <row r="2073" spans="37:47">
      <c r="AK2073" s="12"/>
      <c r="AM2073" s="12"/>
      <c r="AN2073" s="75"/>
      <c r="AO2073" s="75"/>
      <c r="AP2073" s="75"/>
      <c r="AQ2073" s="75"/>
      <c r="AR2073" s="76"/>
      <c r="AT2073" s="65"/>
      <c r="AU2073" s="77"/>
    </row>
    <row r="2074" spans="37:47">
      <c r="AK2074" s="12"/>
      <c r="AM2074" s="12"/>
      <c r="AN2074" s="75"/>
      <c r="AO2074" s="75"/>
      <c r="AP2074" s="75"/>
      <c r="AQ2074" s="75"/>
      <c r="AR2074" s="76"/>
      <c r="AT2074" s="65"/>
      <c r="AU2074" s="77"/>
    </row>
    <row r="2075" spans="37:47">
      <c r="AK2075" s="12"/>
      <c r="AM2075" s="12"/>
      <c r="AN2075" s="75"/>
      <c r="AO2075" s="75"/>
      <c r="AP2075" s="75"/>
      <c r="AQ2075" s="75"/>
      <c r="AR2075" s="76"/>
      <c r="AT2075" s="65"/>
      <c r="AU2075" s="77"/>
    </row>
    <row r="2076" spans="37:47">
      <c r="AK2076" s="12"/>
      <c r="AM2076" s="12"/>
      <c r="AN2076" s="75"/>
      <c r="AO2076" s="75"/>
      <c r="AP2076" s="75"/>
      <c r="AQ2076" s="75"/>
      <c r="AR2076" s="76"/>
      <c r="AT2076" s="65"/>
      <c r="AU2076" s="77"/>
    </row>
    <row r="2077" spans="37:47">
      <c r="AK2077" s="12"/>
      <c r="AM2077" s="12"/>
      <c r="AN2077" s="75"/>
      <c r="AO2077" s="75"/>
      <c r="AP2077" s="75"/>
      <c r="AQ2077" s="75"/>
      <c r="AR2077" s="76"/>
      <c r="AT2077" s="65"/>
      <c r="AU2077" s="77"/>
    </row>
    <row r="2078" spans="37:47">
      <c r="AK2078" s="12"/>
      <c r="AM2078" s="12"/>
      <c r="AN2078" s="75"/>
      <c r="AO2078" s="75"/>
      <c r="AP2078" s="75"/>
      <c r="AQ2078" s="75"/>
      <c r="AR2078" s="76"/>
      <c r="AT2078" s="65"/>
      <c r="AU2078" s="77"/>
    </row>
    <row r="2079" spans="37:47">
      <c r="AK2079" s="12"/>
      <c r="AM2079" s="12"/>
      <c r="AN2079" s="75"/>
      <c r="AO2079" s="75"/>
      <c r="AP2079" s="75"/>
      <c r="AQ2079" s="75"/>
      <c r="AR2079" s="76"/>
      <c r="AT2079" s="65"/>
      <c r="AU2079" s="77"/>
    </row>
    <row r="2080" spans="37:47">
      <c r="AK2080" s="12"/>
      <c r="AM2080" s="12"/>
      <c r="AN2080" s="75"/>
      <c r="AO2080" s="75"/>
      <c r="AP2080" s="75"/>
      <c r="AQ2080" s="75"/>
      <c r="AR2080" s="76"/>
      <c r="AT2080" s="65"/>
      <c r="AU2080" s="77"/>
    </row>
    <row r="2081" spans="37:47">
      <c r="AK2081" s="12"/>
      <c r="AM2081" s="12"/>
      <c r="AN2081" s="75"/>
      <c r="AO2081" s="75"/>
      <c r="AP2081" s="75"/>
      <c r="AQ2081" s="75"/>
      <c r="AR2081" s="76"/>
      <c r="AT2081" s="65"/>
      <c r="AU2081" s="77"/>
    </row>
    <row r="2082" spans="37:47">
      <c r="AK2082" s="12"/>
      <c r="AM2082" s="12"/>
      <c r="AN2082" s="75"/>
      <c r="AO2082" s="75"/>
      <c r="AP2082" s="75"/>
      <c r="AQ2082" s="75"/>
      <c r="AR2082" s="76"/>
      <c r="AT2082" s="65"/>
      <c r="AU2082" s="77"/>
    </row>
    <row r="2083" spans="37:47">
      <c r="AK2083" s="12"/>
      <c r="AM2083" s="12"/>
      <c r="AN2083" s="75"/>
      <c r="AO2083" s="75"/>
      <c r="AP2083" s="75"/>
      <c r="AQ2083" s="75"/>
      <c r="AR2083" s="76"/>
      <c r="AT2083" s="65"/>
      <c r="AU2083" s="77"/>
    </row>
    <row r="2084" spans="37:47">
      <c r="AK2084" s="12"/>
      <c r="AM2084" s="12"/>
      <c r="AN2084" s="75"/>
      <c r="AO2084" s="75"/>
      <c r="AP2084" s="75"/>
      <c r="AQ2084" s="75"/>
      <c r="AR2084" s="76"/>
      <c r="AT2084" s="65"/>
      <c r="AU2084" s="77"/>
    </row>
    <row r="2085" spans="37:47">
      <c r="AK2085" s="12"/>
      <c r="AM2085" s="12"/>
      <c r="AN2085" s="75"/>
      <c r="AO2085" s="75"/>
      <c r="AP2085" s="75"/>
      <c r="AQ2085" s="75"/>
      <c r="AR2085" s="76"/>
      <c r="AT2085" s="65"/>
      <c r="AU2085" s="77"/>
    </row>
    <row r="2086" spans="37:47">
      <c r="AK2086" s="12"/>
      <c r="AM2086" s="12"/>
      <c r="AN2086" s="75"/>
      <c r="AO2086" s="75"/>
      <c r="AP2086" s="75"/>
      <c r="AQ2086" s="75"/>
      <c r="AR2086" s="76"/>
      <c r="AT2086" s="65"/>
      <c r="AU2086" s="77"/>
    </row>
    <row r="2087" spans="37:47">
      <c r="AK2087" s="12"/>
      <c r="AM2087" s="12"/>
      <c r="AN2087" s="75"/>
      <c r="AO2087" s="75"/>
      <c r="AP2087" s="75"/>
      <c r="AQ2087" s="75"/>
      <c r="AR2087" s="76"/>
      <c r="AT2087" s="65"/>
      <c r="AU2087" s="77"/>
    </row>
    <row r="2088" spans="37:47">
      <c r="AK2088" s="12"/>
      <c r="AM2088" s="12"/>
      <c r="AN2088" s="75"/>
      <c r="AO2088" s="75"/>
      <c r="AP2088" s="75"/>
      <c r="AQ2088" s="75"/>
      <c r="AR2088" s="76"/>
      <c r="AT2088" s="65"/>
      <c r="AU2088" s="77"/>
    </row>
    <row r="2089" spans="37:47">
      <c r="AK2089" s="12"/>
      <c r="AM2089" s="12"/>
      <c r="AN2089" s="75"/>
      <c r="AO2089" s="75"/>
      <c r="AP2089" s="75"/>
      <c r="AQ2089" s="75"/>
      <c r="AR2089" s="76"/>
      <c r="AT2089" s="65"/>
      <c r="AU2089" s="77"/>
    </row>
    <row r="2090" spans="37:47">
      <c r="AK2090" s="12"/>
      <c r="AM2090" s="12"/>
      <c r="AN2090" s="75"/>
      <c r="AO2090" s="75"/>
      <c r="AP2090" s="75"/>
      <c r="AQ2090" s="75"/>
      <c r="AR2090" s="76"/>
      <c r="AT2090" s="65"/>
      <c r="AU2090" s="77"/>
    </row>
    <row r="2091" spans="37:47">
      <c r="AK2091" s="12"/>
      <c r="AM2091" s="12"/>
      <c r="AN2091" s="75"/>
      <c r="AO2091" s="75"/>
      <c r="AP2091" s="75"/>
      <c r="AQ2091" s="75"/>
      <c r="AR2091" s="76"/>
      <c r="AT2091" s="65"/>
      <c r="AU2091" s="77"/>
    </row>
    <row r="2092" spans="37:47">
      <c r="AK2092" s="12"/>
      <c r="AM2092" s="12"/>
      <c r="AN2092" s="75"/>
      <c r="AO2092" s="75"/>
      <c r="AP2092" s="75"/>
      <c r="AQ2092" s="75"/>
      <c r="AR2092" s="76"/>
      <c r="AT2092" s="65"/>
      <c r="AU2092" s="77"/>
    </row>
    <row r="2093" spans="37:47">
      <c r="AK2093" s="12"/>
      <c r="AM2093" s="12"/>
      <c r="AN2093" s="75"/>
      <c r="AO2093" s="75"/>
      <c r="AP2093" s="75"/>
      <c r="AQ2093" s="75"/>
      <c r="AR2093" s="76"/>
      <c r="AT2093" s="65"/>
      <c r="AU2093" s="77"/>
    </row>
    <row r="2094" spans="37:47">
      <c r="AK2094" s="12"/>
      <c r="AM2094" s="12"/>
      <c r="AN2094" s="75"/>
      <c r="AO2094" s="75"/>
      <c r="AP2094" s="75"/>
      <c r="AQ2094" s="75"/>
      <c r="AR2094" s="76"/>
      <c r="AT2094" s="65"/>
      <c r="AU2094" s="77"/>
    </row>
    <row r="2095" spans="37:47">
      <c r="AK2095" s="12"/>
      <c r="AM2095" s="12"/>
      <c r="AN2095" s="75"/>
      <c r="AO2095" s="75"/>
      <c r="AP2095" s="75"/>
      <c r="AQ2095" s="75"/>
      <c r="AR2095" s="76"/>
      <c r="AT2095" s="65"/>
      <c r="AU2095" s="77"/>
    </row>
    <row r="2096" spans="37:47">
      <c r="AK2096" s="12"/>
      <c r="AM2096" s="12"/>
      <c r="AN2096" s="75"/>
      <c r="AO2096" s="75"/>
      <c r="AP2096" s="75"/>
      <c r="AQ2096" s="75"/>
      <c r="AR2096" s="76"/>
      <c r="AT2096" s="65"/>
      <c r="AU2096" s="77"/>
    </row>
    <row r="2097" spans="37:47">
      <c r="AK2097" s="12"/>
      <c r="AM2097" s="12"/>
      <c r="AN2097" s="75"/>
      <c r="AO2097" s="75"/>
      <c r="AP2097" s="75"/>
      <c r="AQ2097" s="75"/>
      <c r="AR2097" s="76"/>
      <c r="AT2097" s="65"/>
      <c r="AU2097" s="77"/>
    </row>
    <row r="2098" spans="37:47">
      <c r="AK2098" s="12"/>
      <c r="AM2098" s="12"/>
      <c r="AN2098" s="75"/>
      <c r="AO2098" s="75"/>
      <c r="AP2098" s="75"/>
      <c r="AQ2098" s="75"/>
      <c r="AR2098" s="76"/>
      <c r="AT2098" s="65"/>
      <c r="AU2098" s="77"/>
    </row>
    <row r="2099" spans="37:47">
      <c r="AK2099" s="12"/>
      <c r="AM2099" s="12"/>
      <c r="AN2099" s="75"/>
      <c r="AO2099" s="75"/>
      <c r="AP2099" s="75"/>
      <c r="AQ2099" s="75"/>
      <c r="AR2099" s="76"/>
      <c r="AT2099" s="65"/>
      <c r="AU2099" s="77"/>
    </row>
    <row r="2100" spans="37:47">
      <c r="AK2100" s="12"/>
      <c r="AM2100" s="12"/>
      <c r="AN2100" s="75"/>
      <c r="AO2100" s="75"/>
      <c r="AP2100" s="75"/>
      <c r="AQ2100" s="75"/>
      <c r="AR2100" s="76"/>
      <c r="AT2100" s="65"/>
      <c r="AU2100" s="77"/>
    </row>
    <row r="2101" spans="37:47">
      <c r="AK2101" s="12"/>
      <c r="AM2101" s="12"/>
      <c r="AN2101" s="75"/>
      <c r="AO2101" s="75"/>
      <c r="AP2101" s="75"/>
      <c r="AQ2101" s="75"/>
      <c r="AR2101" s="76"/>
      <c r="AT2101" s="65"/>
      <c r="AU2101" s="77"/>
    </row>
    <row r="2102" spans="37:47">
      <c r="AK2102" s="12"/>
      <c r="AM2102" s="12"/>
      <c r="AN2102" s="75"/>
      <c r="AO2102" s="75"/>
      <c r="AP2102" s="75"/>
      <c r="AQ2102" s="75"/>
      <c r="AR2102" s="76"/>
      <c r="AT2102" s="65"/>
      <c r="AU2102" s="77"/>
    </row>
    <row r="2103" spans="37:47">
      <c r="AK2103" s="12"/>
      <c r="AM2103" s="12"/>
      <c r="AN2103" s="75"/>
      <c r="AO2103" s="75"/>
      <c r="AP2103" s="75"/>
      <c r="AQ2103" s="75"/>
      <c r="AR2103" s="76"/>
      <c r="AT2103" s="65"/>
      <c r="AU2103" s="77"/>
    </row>
    <row r="2104" spans="37:47">
      <c r="AK2104" s="12"/>
      <c r="AM2104" s="12"/>
      <c r="AN2104" s="75"/>
      <c r="AO2104" s="75"/>
      <c r="AP2104" s="75"/>
      <c r="AQ2104" s="75"/>
      <c r="AR2104" s="76"/>
      <c r="AT2104" s="65"/>
      <c r="AU2104" s="77"/>
    </row>
    <row r="2105" spans="37:47">
      <c r="AK2105" s="12"/>
      <c r="AM2105" s="12"/>
      <c r="AN2105" s="75"/>
      <c r="AO2105" s="75"/>
      <c r="AP2105" s="75"/>
      <c r="AQ2105" s="75"/>
      <c r="AR2105" s="76"/>
      <c r="AT2105" s="65"/>
      <c r="AU2105" s="77"/>
    </row>
    <row r="2106" spans="37:47">
      <c r="AK2106" s="12"/>
      <c r="AM2106" s="12"/>
      <c r="AN2106" s="75"/>
      <c r="AO2106" s="75"/>
      <c r="AP2106" s="75"/>
      <c r="AQ2106" s="75"/>
      <c r="AR2106" s="76"/>
      <c r="AT2106" s="65"/>
      <c r="AU2106" s="77"/>
    </row>
    <row r="2107" spans="37:47">
      <c r="AK2107" s="12"/>
      <c r="AM2107" s="12"/>
      <c r="AN2107" s="75"/>
      <c r="AO2107" s="75"/>
      <c r="AP2107" s="75"/>
      <c r="AQ2107" s="75"/>
      <c r="AR2107" s="76"/>
      <c r="AT2107" s="65"/>
      <c r="AU2107" s="77"/>
    </row>
    <row r="2108" spans="37:47">
      <c r="AK2108" s="12"/>
      <c r="AM2108" s="12"/>
      <c r="AN2108" s="75"/>
      <c r="AO2108" s="75"/>
      <c r="AP2108" s="75"/>
      <c r="AQ2108" s="75"/>
      <c r="AR2108" s="76"/>
      <c r="AT2108" s="65"/>
      <c r="AU2108" s="77"/>
    </row>
    <row r="2109" spans="37:47">
      <c r="AK2109" s="12"/>
      <c r="AM2109" s="12"/>
      <c r="AN2109" s="75"/>
      <c r="AO2109" s="75"/>
      <c r="AP2109" s="75"/>
      <c r="AQ2109" s="75"/>
      <c r="AR2109" s="76"/>
      <c r="AT2109" s="65"/>
      <c r="AU2109" s="77"/>
    </row>
    <row r="2110" spans="37:47">
      <c r="AK2110" s="12"/>
      <c r="AM2110" s="12"/>
      <c r="AN2110" s="75"/>
      <c r="AO2110" s="75"/>
      <c r="AP2110" s="75"/>
      <c r="AQ2110" s="75"/>
      <c r="AR2110" s="76"/>
      <c r="AT2110" s="65"/>
      <c r="AU2110" s="77"/>
    </row>
    <row r="2111" spans="37:47">
      <c r="AK2111" s="12"/>
      <c r="AM2111" s="12"/>
      <c r="AN2111" s="75"/>
      <c r="AO2111" s="75"/>
      <c r="AP2111" s="75"/>
      <c r="AQ2111" s="75"/>
      <c r="AR2111" s="76"/>
      <c r="AT2111" s="65"/>
      <c r="AU2111" s="77"/>
    </row>
    <row r="2112" spans="37:47">
      <c r="AK2112" s="12"/>
      <c r="AM2112" s="12"/>
      <c r="AN2112" s="75"/>
      <c r="AO2112" s="75"/>
      <c r="AP2112" s="75"/>
      <c r="AQ2112" s="75"/>
      <c r="AR2112" s="76"/>
      <c r="AT2112" s="65"/>
      <c r="AU2112" s="77"/>
    </row>
    <row r="2113" spans="37:47">
      <c r="AK2113" s="12"/>
      <c r="AM2113" s="12"/>
      <c r="AN2113" s="75"/>
      <c r="AO2113" s="75"/>
      <c r="AP2113" s="75"/>
      <c r="AQ2113" s="75"/>
      <c r="AR2113" s="76"/>
      <c r="AT2113" s="65"/>
      <c r="AU2113" s="77"/>
    </row>
    <row r="2114" spans="37:47">
      <c r="AK2114" s="12"/>
      <c r="AM2114" s="12"/>
      <c r="AN2114" s="75"/>
      <c r="AO2114" s="75"/>
      <c r="AP2114" s="75"/>
      <c r="AQ2114" s="75"/>
      <c r="AR2114" s="76"/>
      <c r="AT2114" s="65"/>
      <c r="AU2114" s="77"/>
    </row>
    <row r="2115" spans="37:47">
      <c r="AK2115" s="12"/>
      <c r="AM2115" s="12"/>
      <c r="AN2115" s="75"/>
      <c r="AO2115" s="75"/>
      <c r="AP2115" s="75"/>
      <c r="AQ2115" s="75"/>
      <c r="AR2115" s="76"/>
      <c r="AT2115" s="65"/>
      <c r="AU2115" s="77"/>
    </row>
    <row r="2116" spans="37:47">
      <c r="AK2116" s="12"/>
      <c r="AM2116" s="12"/>
      <c r="AN2116" s="75"/>
      <c r="AO2116" s="75"/>
      <c r="AP2116" s="75"/>
      <c r="AQ2116" s="75"/>
      <c r="AR2116" s="76"/>
      <c r="AT2116" s="65"/>
      <c r="AU2116" s="77"/>
    </row>
    <row r="2117" spans="37:47">
      <c r="AK2117" s="12"/>
      <c r="AM2117" s="12"/>
      <c r="AN2117" s="75"/>
      <c r="AO2117" s="75"/>
      <c r="AP2117" s="75"/>
      <c r="AQ2117" s="75"/>
      <c r="AR2117" s="76"/>
      <c r="AT2117" s="65"/>
      <c r="AU2117" s="77"/>
    </row>
    <row r="2118" spans="37:47">
      <c r="AK2118" s="12"/>
      <c r="AM2118" s="12"/>
      <c r="AN2118" s="75"/>
      <c r="AO2118" s="75"/>
      <c r="AP2118" s="75"/>
      <c r="AQ2118" s="75"/>
      <c r="AR2118" s="76"/>
      <c r="AT2118" s="65"/>
      <c r="AU2118" s="77"/>
    </row>
    <row r="2119" spans="37:47">
      <c r="AK2119" s="12"/>
      <c r="AM2119" s="12"/>
      <c r="AN2119" s="75"/>
      <c r="AO2119" s="75"/>
      <c r="AP2119" s="75"/>
      <c r="AQ2119" s="75"/>
      <c r="AR2119" s="76"/>
      <c r="AT2119" s="65"/>
      <c r="AU2119" s="77"/>
    </row>
    <row r="2120" spans="37:47">
      <c r="AK2120" s="12"/>
      <c r="AM2120" s="12"/>
      <c r="AN2120" s="75"/>
      <c r="AO2120" s="75"/>
      <c r="AP2120" s="75"/>
      <c r="AQ2120" s="75"/>
      <c r="AR2120" s="76"/>
      <c r="AT2120" s="65"/>
      <c r="AU2120" s="77"/>
    </row>
    <row r="2121" spans="37:47">
      <c r="AK2121" s="12"/>
      <c r="AM2121" s="12"/>
      <c r="AN2121" s="75"/>
      <c r="AO2121" s="75"/>
      <c r="AP2121" s="75"/>
      <c r="AQ2121" s="75"/>
      <c r="AR2121" s="76"/>
      <c r="AT2121" s="65"/>
      <c r="AU2121" s="77"/>
    </row>
    <row r="2122" spans="37:47">
      <c r="AK2122" s="12"/>
      <c r="AM2122" s="12"/>
      <c r="AN2122" s="75"/>
      <c r="AO2122" s="75"/>
      <c r="AP2122" s="75"/>
      <c r="AQ2122" s="75"/>
      <c r="AR2122" s="76"/>
      <c r="AT2122" s="65"/>
      <c r="AU2122" s="77"/>
    </row>
    <row r="2123" spans="37:47">
      <c r="AK2123" s="12"/>
      <c r="AM2123" s="12"/>
      <c r="AN2123" s="75"/>
      <c r="AO2123" s="75"/>
      <c r="AP2123" s="75"/>
      <c r="AQ2123" s="75"/>
      <c r="AR2123" s="76"/>
      <c r="AT2123" s="65"/>
      <c r="AU2123" s="77"/>
    </row>
    <row r="2124" spans="37:47">
      <c r="AK2124" s="12"/>
      <c r="AM2124" s="12"/>
      <c r="AN2124" s="75"/>
      <c r="AO2124" s="75"/>
      <c r="AP2124" s="75"/>
      <c r="AQ2124" s="75"/>
      <c r="AR2124" s="76"/>
      <c r="AT2124" s="65"/>
      <c r="AU2124" s="77"/>
    </row>
    <row r="2125" spans="37:47">
      <c r="AK2125" s="12"/>
      <c r="AM2125" s="12"/>
      <c r="AN2125" s="75"/>
      <c r="AO2125" s="75"/>
      <c r="AP2125" s="75"/>
      <c r="AQ2125" s="75"/>
      <c r="AR2125" s="76"/>
      <c r="AT2125" s="65"/>
      <c r="AU2125" s="77"/>
    </row>
    <row r="2126" spans="37:47">
      <c r="AK2126" s="12"/>
      <c r="AM2126" s="12"/>
      <c r="AN2126" s="75"/>
      <c r="AO2126" s="75"/>
      <c r="AP2126" s="75"/>
      <c r="AQ2126" s="75"/>
      <c r="AR2126" s="76"/>
      <c r="AT2126" s="65"/>
      <c r="AU2126" s="77"/>
    </row>
    <row r="2127" spans="37:47">
      <c r="AK2127" s="12"/>
      <c r="AM2127" s="12"/>
      <c r="AN2127" s="75"/>
      <c r="AO2127" s="75"/>
      <c r="AP2127" s="75"/>
      <c r="AQ2127" s="75"/>
      <c r="AR2127" s="76"/>
      <c r="AT2127" s="65"/>
      <c r="AU2127" s="77"/>
    </row>
    <row r="2128" spans="37:47">
      <c r="AK2128" s="12"/>
      <c r="AM2128" s="12"/>
      <c r="AN2128" s="75"/>
      <c r="AO2128" s="75"/>
      <c r="AP2128" s="75"/>
      <c r="AQ2128" s="75"/>
      <c r="AR2128" s="76"/>
      <c r="AT2128" s="65"/>
      <c r="AU2128" s="77"/>
    </row>
    <row r="2129" spans="37:47">
      <c r="AK2129" s="12"/>
      <c r="AM2129" s="12"/>
      <c r="AN2129" s="75"/>
      <c r="AO2129" s="75"/>
      <c r="AP2129" s="75"/>
      <c r="AQ2129" s="75"/>
      <c r="AR2129" s="76"/>
      <c r="AT2129" s="65"/>
      <c r="AU2129" s="77"/>
    </row>
    <row r="2130" spans="37:47">
      <c r="AK2130" s="12"/>
      <c r="AM2130" s="12"/>
      <c r="AN2130" s="75"/>
      <c r="AO2130" s="75"/>
      <c r="AP2130" s="75"/>
      <c r="AQ2130" s="75"/>
      <c r="AR2130" s="76"/>
      <c r="AT2130" s="65"/>
      <c r="AU2130" s="77"/>
    </row>
    <row r="2131" spans="37:47">
      <c r="AK2131" s="12"/>
      <c r="AM2131" s="12"/>
      <c r="AN2131" s="75"/>
      <c r="AO2131" s="75"/>
      <c r="AP2131" s="75"/>
      <c r="AQ2131" s="75"/>
      <c r="AR2131" s="76"/>
      <c r="AT2131" s="65"/>
      <c r="AU2131" s="77"/>
    </row>
    <row r="2132" spans="37:47">
      <c r="AK2132" s="12"/>
      <c r="AM2132" s="12"/>
      <c r="AN2132" s="75"/>
      <c r="AO2132" s="75"/>
      <c r="AP2132" s="75"/>
      <c r="AQ2132" s="75"/>
      <c r="AR2132" s="76"/>
      <c r="AT2132" s="65"/>
      <c r="AU2132" s="77"/>
    </row>
    <row r="2133" spans="37:47">
      <c r="AK2133" s="12"/>
      <c r="AM2133" s="12"/>
      <c r="AN2133" s="75"/>
      <c r="AO2133" s="75"/>
      <c r="AP2133" s="75"/>
      <c r="AQ2133" s="75"/>
      <c r="AR2133" s="76"/>
      <c r="AT2133" s="65"/>
      <c r="AU2133" s="77"/>
    </row>
    <row r="2134" spans="37:47">
      <c r="AK2134" s="12"/>
      <c r="AM2134" s="12"/>
      <c r="AN2134" s="75"/>
      <c r="AO2134" s="75"/>
      <c r="AP2134" s="75"/>
      <c r="AQ2134" s="75"/>
      <c r="AR2134" s="76"/>
      <c r="AT2134" s="65"/>
      <c r="AU2134" s="77"/>
    </row>
    <row r="2135" spans="37:47">
      <c r="AK2135" s="12"/>
      <c r="AM2135" s="12"/>
      <c r="AN2135" s="75"/>
      <c r="AO2135" s="75"/>
      <c r="AP2135" s="75"/>
      <c r="AQ2135" s="75"/>
      <c r="AR2135" s="76"/>
      <c r="AT2135" s="65"/>
      <c r="AU2135" s="77"/>
    </row>
    <row r="2136" spans="37:47">
      <c r="AK2136" s="12"/>
      <c r="AM2136" s="12"/>
      <c r="AN2136" s="75"/>
      <c r="AO2136" s="75"/>
      <c r="AP2136" s="75"/>
      <c r="AQ2136" s="75"/>
      <c r="AR2136" s="76"/>
      <c r="AT2136" s="65"/>
      <c r="AU2136" s="77"/>
    </row>
    <row r="2137" spans="37:47">
      <c r="AK2137" s="12"/>
      <c r="AM2137" s="12"/>
      <c r="AN2137" s="75"/>
      <c r="AO2137" s="75"/>
      <c r="AP2137" s="75"/>
      <c r="AQ2137" s="75"/>
      <c r="AR2137" s="76"/>
      <c r="AT2137" s="65"/>
      <c r="AU2137" s="77"/>
    </row>
    <row r="2138" spans="37:47">
      <c r="AK2138" s="12"/>
      <c r="AM2138" s="12"/>
      <c r="AN2138" s="75"/>
      <c r="AO2138" s="75"/>
      <c r="AP2138" s="75"/>
      <c r="AQ2138" s="75"/>
      <c r="AR2138" s="76"/>
      <c r="AT2138" s="65"/>
      <c r="AU2138" s="77"/>
    </row>
    <row r="2139" spans="37:47">
      <c r="AK2139" s="12"/>
      <c r="AM2139" s="12"/>
      <c r="AN2139" s="75"/>
      <c r="AO2139" s="75"/>
      <c r="AP2139" s="75"/>
      <c r="AQ2139" s="75"/>
      <c r="AR2139" s="76"/>
      <c r="AT2139" s="65"/>
      <c r="AU2139" s="77"/>
    </row>
    <row r="2140" spans="37:47">
      <c r="AK2140" s="12"/>
      <c r="AM2140" s="12"/>
      <c r="AN2140" s="75"/>
      <c r="AO2140" s="75"/>
      <c r="AP2140" s="75"/>
      <c r="AQ2140" s="75"/>
      <c r="AR2140" s="76"/>
      <c r="AT2140" s="65"/>
      <c r="AU2140" s="77"/>
    </row>
    <row r="2141" spans="37:47">
      <c r="AK2141" s="12"/>
      <c r="AM2141" s="12"/>
      <c r="AN2141" s="75"/>
      <c r="AO2141" s="75"/>
      <c r="AP2141" s="75"/>
      <c r="AQ2141" s="75"/>
      <c r="AR2141" s="76"/>
      <c r="AT2141" s="65"/>
      <c r="AU2141" s="77"/>
    </row>
    <row r="2142" spans="37:47">
      <c r="AK2142" s="12"/>
      <c r="AM2142" s="12"/>
      <c r="AN2142" s="75"/>
      <c r="AO2142" s="75"/>
      <c r="AP2142" s="75"/>
      <c r="AQ2142" s="75"/>
      <c r="AR2142" s="76"/>
      <c r="AT2142" s="65"/>
      <c r="AU2142" s="77"/>
    </row>
    <row r="2143" spans="37:47">
      <c r="AK2143" s="12"/>
      <c r="AM2143" s="12"/>
      <c r="AN2143" s="75"/>
      <c r="AO2143" s="75"/>
      <c r="AP2143" s="75"/>
      <c r="AQ2143" s="75"/>
      <c r="AR2143" s="76"/>
      <c r="AT2143" s="65"/>
      <c r="AU2143" s="77"/>
    </row>
    <row r="2144" spans="37:47">
      <c r="AK2144" s="12"/>
      <c r="AM2144" s="12"/>
      <c r="AN2144" s="75"/>
      <c r="AO2144" s="75"/>
      <c r="AP2144" s="75"/>
      <c r="AQ2144" s="75"/>
      <c r="AR2144" s="76"/>
      <c r="AT2144" s="65"/>
      <c r="AU2144" s="77"/>
    </row>
    <row r="2145" spans="37:47">
      <c r="AK2145" s="12"/>
      <c r="AM2145" s="12"/>
      <c r="AN2145" s="75"/>
      <c r="AO2145" s="75"/>
      <c r="AP2145" s="75"/>
      <c r="AQ2145" s="75"/>
      <c r="AR2145" s="76"/>
      <c r="AT2145" s="65"/>
      <c r="AU2145" s="77"/>
    </row>
    <row r="2146" spans="37:47">
      <c r="AK2146" s="12"/>
      <c r="AM2146" s="12"/>
      <c r="AN2146" s="75"/>
      <c r="AO2146" s="75"/>
      <c r="AP2146" s="75"/>
      <c r="AQ2146" s="75"/>
      <c r="AR2146" s="76"/>
      <c r="AT2146" s="65"/>
      <c r="AU2146" s="77"/>
    </row>
    <row r="2147" spans="37:47">
      <c r="AK2147" s="12"/>
      <c r="AM2147" s="12"/>
      <c r="AN2147" s="75"/>
      <c r="AO2147" s="75"/>
      <c r="AP2147" s="75"/>
      <c r="AQ2147" s="75"/>
      <c r="AR2147" s="76"/>
      <c r="AT2147" s="65"/>
      <c r="AU2147" s="77"/>
    </row>
    <row r="2148" spans="37:47">
      <c r="AK2148" s="12"/>
      <c r="AM2148" s="12"/>
      <c r="AN2148" s="75"/>
      <c r="AO2148" s="75"/>
      <c r="AP2148" s="75"/>
      <c r="AQ2148" s="75"/>
      <c r="AR2148" s="76"/>
      <c r="AT2148" s="65"/>
      <c r="AU2148" s="77"/>
    </row>
    <row r="2149" spans="37:47">
      <c r="AK2149" s="12"/>
      <c r="AM2149" s="12"/>
      <c r="AN2149" s="75"/>
      <c r="AO2149" s="75"/>
      <c r="AP2149" s="75"/>
      <c r="AQ2149" s="75"/>
      <c r="AR2149" s="76"/>
      <c r="AT2149" s="65"/>
      <c r="AU2149" s="77"/>
    </row>
    <row r="2150" spans="37:47">
      <c r="AK2150" s="12"/>
      <c r="AM2150" s="12"/>
      <c r="AN2150" s="75"/>
      <c r="AO2150" s="75"/>
      <c r="AP2150" s="75"/>
      <c r="AQ2150" s="75"/>
      <c r="AR2150" s="76"/>
      <c r="AT2150" s="65"/>
      <c r="AU2150" s="77"/>
    </row>
    <row r="2151" spans="37:47">
      <c r="AK2151" s="12"/>
      <c r="AM2151" s="12"/>
      <c r="AN2151" s="75"/>
      <c r="AO2151" s="75"/>
      <c r="AP2151" s="75"/>
      <c r="AQ2151" s="75"/>
      <c r="AR2151" s="76"/>
      <c r="AT2151" s="65"/>
      <c r="AU2151" s="77"/>
    </row>
    <row r="2152" spans="37:47">
      <c r="AK2152" s="12"/>
      <c r="AM2152" s="12"/>
      <c r="AN2152" s="75"/>
      <c r="AO2152" s="75"/>
      <c r="AP2152" s="75"/>
      <c r="AQ2152" s="75"/>
      <c r="AR2152" s="76"/>
      <c r="AT2152" s="65"/>
      <c r="AU2152" s="77"/>
    </row>
    <row r="2153" spans="37:47">
      <c r="AK2153" s="12"/>
      <c r="AM2153" s="12"/>
      <c r="AN2153" s="75"/>
      <c r="AO2153" s="75"/>
      <c r="AP2153" s="75"/>
      <c r="AQ2153" s="75"/>
      <c r="AR2153" s="76"/>
      <c r="AT2153" s="65"/>
      <c r="AU2153" s="77"/>
    </row>
    <row r="2154" spans="37:47">
      <c r="AK2154" s="12"/>
      <c r="AM2154" s="12"/>
      <c r="AN2154" s="75"/>
      <c r="AO2154" s="75"/>
      <c r="AP2154" s="75"/>
      <c r="AQ2154" s="75"/>
      <c r="AR2154" s="76"/>
      <c r="AT2154" s="65"/>
      <c r="AU2154" s="77"/>
    </row>
    <row r="2155" spans="37:47">
      <c r="AK2155" s="12"/>
      <c r="AM2155" s="12"/>
      <c r="AN2155" s="75"/>
      <c r="AO2155" s="75"/>
      <c r="AP2155" s="75"/>
      <c r="AQ2155" s="75"/>
      <c r="AR2155" s="76"/>
      <c r="AT2155" s="65"/>
      <c r="AU2155" s="77"/>
    </row>
    <row r="2156" spans="37:47">
      <c r="AK2156" s="12"/>
      <c r="AM2156" s="12"/>
      <c r="AN2156" s="75"/>
      <c r="AO2156" s="75"/>
      <c r="AP2156" s="75"/>
      <c r="AQ2156" s="75"/>
      <c r="AR2156" s="76"/>
      <c r="AT2156" s="65"/>
      <c r="AU2156" s="77"/>
    </row>
    <row r="2157" spans="37:47">
      <c r="AK2157" s="12"/>
      <c r="AM2157" s="12"/>
      <c r="AN2157" s="75"/>
      <c r="AO2157" s="75"/>
      <c r="AP2157" s="75"/>
      <c r="AQ2157" s="75"/>
      <c r="AR2157" s="76"/>
      <c r="AT2157" s="65"/>
      <c r="AU2157" s="77"/>
    </row>
    <row r="2158" spans="37:47">
      <c r="AK2158" s="12"/>
      <c r="AM2158" s="12"/>
      <c r="AN2158" s="75"/>
      <c r="AO2158" s="75"/>
      <c r="AP2158" s="75"/>
      <c r="AQ2158" s="75"/>
      <c r="AR2158" s="76"/>
      <c r="AT2158" s="65"/>
      <c r="AU2158" s="77"/>
    </row>
    <row r="2159" spans="37:47">
      <c r="AK2159" s="12"/>
      <c r="AM2159" s="12"/>
      <c r="AN2159" s="75"/>
      <c r="AO2159" s="75"/>
      <c r="AP2159" s="75"/>
      <c r="AQ2159" s="75"/>
      <c r="AR2159" s="76"/>
      <c r="AT2159" s="65"/>
      <c r="AU2159" s="77"/>
    </row>
    <row r="2160" spans="37:47">
      <c r="AK2160" s="12"/>
      <c r="AM2160" s="12"/>
      <c r="AN2160" s="75"/>
      <c r="AO2160" s="75"/>
      <c r="AP2160" s="75"/>
      <c r="AQ2160" s="75"/>
      <c r="AR2160" s="76"/>
      <c r="AT2160" s="65"/>
      <c r="AU2160" s="77"/>
    </row>
    <row r="2161" spans="37:47">
      <c r="AK2161" s="12"/>
      <c r="AM2161" s="12"/>
      <c r="AN2161" s="75"/>
      <c r="AO2161" s="75"/>
      <c r="AP2161" s="75"/>
      <c r="AQ2161" s="75"/>
      <c r="AR2161" s="76"/>
      <c r="AT2161" s="65"/>
      <c r="AU2161" s="77"/>
    </row>
    <row r="2162" spans="37:47">
      <c r="AK2162" s="12"/>
      <c r="AM2162" s="12"/>
      <c r="AN2162" s="75"/>
      <c r="AO2162" s="75"/>
      <c r="AP2162" s="75"/>
      <c r="AQ2162" s="75"/>
      <c r="AR2162" s="76"/>
      <c r="AT2162" s="65"/>
      <c r="AU2162" s="77"/>
    </row>
    <row r="2163" spans="37:47">
      <c r="AK2163" s="12"/>
      <c r="AM2163" s="12"/>
      <c r="AN2163" s="75"/>
      <c r="AO2163" s="75"/>
      <c r="AP2163" s="75"/>
      <c r="AQ2163" s="75"/>
      <c r="AR2163" s="76"/>
      <c r="AT2163" s="65"/>
      <c r="AU2163" s="77"/>
    </row>
    <row r="2164" spans="37:47">
      <c r="AK2164" s="12"/>
      <c r="AM2164" s="12"/>
      <c r="AN2164" s="75"/>
      <c r="AO2164" s="75"/>
      <c r="AP2164" s="75"/>
      <c r="AQ2164" s="75"/>
      <c r="AR2164" s="76"/>
      <c r="AT2164" s="65"/>
      <c r="AU2164" s="77"/>
    </row>
    <row r="2165" spans="37:47">
      <c r="AK2165" s="12"/>
      <c r="AM2165" s="12"/>
      <c r="AN2165" s="75"/>
      <c r="AO2165" s="75"/>
      <c r="AP2165" s="75"/>
      <c r="AQ2165" s="75"/>
      <c r="AR2165" s="76"/>
      <c r="AT2165" s="65"/>
      <c r="AU2165" s="77"/>
    </row>
    <row r="2166" spans="37:47">
      <c r="AK2166" s="12"/>
      <c r="AM2166" s="12"/>
      <c r="AN2166" s="75"/>
      <c r="AO2166" s="75"/>
      <c r="AP2166" s="75"/>
      <c r="AQ2166" s="75"/>
      <c r="AR2166" s="76"/>
      <c r="AT2166" s="65"/>
      <c r="AU2166" s="77"/>
    </row>
    <row r="2167" spans="37:47">
      <c r="AK2167" s="12"/>
      <c r="AM2167" s="12"/>
      <c r="AN2167" s="75"/>
      <c r="AO2167" s="75"/>
      <c r="AP2167" s="75"/>
      <c r="AQ2167" s="75"/>
      <c r="AR2167" s="76"/>
      <c r="AT2167" s="65"/>
      <c r="AU2167" s="77"/>
    </row>
    <row r="2168" spans="37:47">
      <c r="AK2168" s="12"/>
      <c r="AM2168" s="12"/>
      <c r="AN2168" s="75"/>
      <c r="AO2168" s="75"/>
      <c r="AP2168" s="75"/>
      <c r="AQ2168" s="75"/>
      <c r="AR2168" s="76"/>
      <c r="AT2168" s="65"/>
      <c r="AU2168" s="77"/>
    </row>
    <row r="2169" spans="37:47">
      <c r="AK2169" s="12"/>
      <c r="AM2169" s="12"/>
      <c r="AN2169" s="75"/>
      <c r="AO2169" s="75"/>
      <c r="AP2169" s="75"/>
      <c r="AQ2169" s="75"/>
      <c r="AR2169" s="76"/>
      <c r="AT2169" s="65"/>
      <c r="AU2169" s="77"/>
    </row>
    <row r="2170" spans="37:47">
      <c r="AK2170" s="12"/>
      <c r="AM2170" s="12"/>
      <c r="AN2170" s="75"/>
      <c r="AO2170" s="75"/>
      <c r="AP2170" s="75"/>
      <c r="AQ2170" s="75"/>
      <c r="AR2170" s="76"/>
      <c r="AT2170" s="65"/>
      <c r="AU2170" s="77"/>
    </row>
    <row r="2171" spans="37:47">
      <c r="AK2171" s="12"/>
      <c r="AM2171" s="12"/>
      <c r="AN2171" s="75"/>
      <c r="AO2171" s="75"/>
      <c r="AP2171" s="75"/>
      <c r="AQ2171" s="75"/>
      <c r="AR2171" s="76"/>
      <c r="AT2171" s="65"/>
      <c r="AU2171" s="77"/>
    </row>
    <row r="2172" spans="37:47">
      <c r="AK2172" s="12"/>
      <c r="AM2172" s="12"/>
      <c r="AN2172" s="75"/>
      <c r="AO2172" s="75"/>
      <c r="AP2172" s="75"/>
      <c r="AQ2172" s="75"/>
      <c r="AR2172" s="76"/>
      <c r="AT2172" s="65"/>
      <c r="AU2172" s="77"/>
    </row>
    <row r="2173" spans="37:47">
      <c r="AK2173" s="12"/>
      <c r="AM2173" s="12"/>
      <c r="AN2173" s="75"/>
      <c r="AO2173" s="75"/>
      <c r="AP2173" s="75"/>
      <c r="AQ2173" s="75"/>
      <c r="AR2173" s="76"/>
      <c r="AT2173" s="65"/>
      <c r="AU2173" s="77"/>
    </row>
    <row r="2174" spans="37:47">
      <c r="AK2174" s="12"/>
      <c r="AM2174" s="12"/>
      <c r="AN2174" s="75"/>
      <c r="AO2174" s="75"/>
      <c r="AP2174" s="75"/>
      <c r="AQ2174" s="75"/>
      <c r="AR2174" s="76"/>
      <c r="AT2174" s="65"/>
      <c r="AU2174" s="77"/>
    </row>
    <row r="2175" spans="37:47">
      <c r="AK2175" s="12"/>
      <c r="AM2175" s="12"/>
      <c r="AN2175" s="75"/>
      <c r="AO2175" s="75"/>
      <c r="AP2175" s="75"/>
      <c r="AQ2175" s="75"/>
      <c r="AR2175" s="76"/>
      <c r="AT2175" s="65"/>
      <c r="AU2175" s="77"/>
    </row>
    <row r="2176" spans="37:47">
      <c r="AK2176" s="12"/>
      <c r="AM2176" s="12"/>
      <c r="AN2176" s="75"/>
      <c r="AO2176" s="75"/>
      <c r="AP2176" s="75"/>
      <c r="AQ2176" s="75"/>
      <c r="AR2176" s="76"/>
      <c r="AT2176" s="65"/>
      <c r="AU2176" s="77"/>
    </row>
    <row r="2177" spans="37:47">
      <c r="AK2177" s="12"/>
      <c r="AM2177" s="12"/>
      <c r="AN2177" s="75"/>
      <c r="AO2177" s="75"/>
      <c r="AP2177" s="75"/>
      <c r="AQ2177" s="75"/>
      <c r="AR2177" s="76"/>
      <c r="AT2177" s="65"/>
      <c r="AU2177" s="77"/>
    </row>
    <row r="2178" spans="37:47">
      <c r="AK2178" s="12"/>
      <c r="AM2178" s="12"/>
      <c r="AN2178" s="75"/>
      <c r="AO2178" s="75"/>
      <c r="AP2178" s="75"/>
      <c r="AQ2178" s="75"/>
      <c r="AR2178" s="76"/>
      <c r="AT2178" s="65"/>
      <c r="AU2178" s="77"/>
    </row>
    <row r="2179" spans="37:47">
      <c r="AK2179" s="12"/>
      <c r="AM2179" s="12"/>
      <c r="AN2179" s="75"/>
      <c r="AO2179" s="75"/>
      <c r="AP2179" s="75"/>
      <c r="AQ2179" s="75"/>
      <c r="AR2179" s="76"/>
      <c r="AT2179" s="65"/>
      <c r="AU2179" s="77"/>
    </row>
    <row r="2180" spans="37:47">
      <c r="AK2180" s="12"/>
      <c r="AM2180" s="12"/>
      <c r="AN2180" s="75"/>
      <c r="AO2180" s="75"/>
      <c r="AP2180" s="75"/>
      <c r="AQ2180" s="75"/>
      <c r="AR2180" s="76"/>
      <c r="AT2180" s="65"/>
      <c r="AU2180" s="77"/>
    </row>
    <row r="2181" spans="37:47">
      <c r="AK2181" s="12"/>
      <c r="AM2181" s="12"/>
      <c r="AN2181" s="75"/>
      <c r="AO2181" s="75"/>
      <c r="AP2181" s="75"/>
      <c r="AQ2181" s="75"/>
      <c r="AR2181" s="76"/>
      <c r="AT2181" s="65"/>
      <c r="AU2181" s="77"/>
    </row>
    <row r="2182" spans="37:47">
      <c r="AK2182" s="12"/>
      <c r="AM2182" s="12"/>
      <c r="AN2182" s="75"/>
      <c r="AO2182" s="75"/>
      <c r="AP2182" s="75"/>
      <c r="AQ2182" s="75"/>
      <c r="AR2182" s="76"/>
      <c r="AT2182" s="65"/>
      <c r="AU2182" s="77"/>
    </row>
    <row r="2183" spans="37:47">
      <c r="AK2183" s="12"/>
      <c r="AM2183" s="12"/>
      <c r="AN2183" s="75"/>
      <c r="AO2183" s="75"/>
      <c r="AP2183" s="75"/>
      <c r="AQ2183" s="75"/>
      <c r="AR2183" s="76"/>
      <c r="AT2183" s="65"/>
      <c r="AU2183" s="77"/>
    </row>
    <row r="2184" spans="37:47">
      <c r="AK2184" s="12"/>
      <c r="AM2184" s="12"/>
      <c r="AN2184" s="75"/>
      <c r="AO2184" s="75"/>
      <c r="AP2184" s="75"/>
      <c r="AQ2184" s="75"/>
      <c r="AR2184" s="76"/>
      <c r="AT2184" s="65"/>
      <c r="AU2184" s="77"/>
    </row>
    <row r="2185" spans="37:47">
      <c r="AK2185" s="12"/>
      <c r="AM2185" s="12"/>
      <c r="AN2185" s="75"/>
      <c r="AO2185" s="75"/>
      <c r="AP2185" s="75"/>
      <c r="AQ2185" s="75"/>
      <c r="AR2185" s="76"/>
      <c r="AT2185" s="65"/>
      <c r="AU2185" s="77"/>
    </row>
    <row r="2186" spans="37:47">
      <c r="AK2186" s="12"/>
      <c r="AM2186" s="12"/>
      <c r="AN2186" s="75"/>
      <c r="AO2186" s="75"/>
      <c r="AP2186" s="75"/>
      <c r="AQ2186" s="75"/>
      <c r="AR2186" s="76"/>
      <c r="AT2186" s="65"/>
      <c r="AU2186" s="77"/>
    </row>
    <row r="2187" spans="37:47">
      <c r="AK2187" s="12"/>
      <c r="AM2187" s="12"/>
      <c r="AN2187" s="75"/>
      <c r="AO2187" s="75"/>
      <c r="AP2187" s="75"/>
      <c r="AQ2187" s="75"/>
      <c r="AR2187" s="76"/>
      <c r="AT2187" s="65"/>
      <c r="AU2187" s="77"/>
    </row>
    <row r="2188" spans="37:47">
      <c r="AK2188" s="12"/>
      <c r="AM2188" s="12"/>
      <c r="AN2188" s="75"/>
      <c r="AO2188" s="75"/>
      <c r="AP2188" s="75"/>
      <c r="AQ2188" s="75"/>
      <c r="AR2188" s="76"/>
      <c r="AT2188" s="65"/>
      <c r="AU2188" s="77"/>
    </row>
    <row r="2189" spans="37:47">
      <c r="AK2189" s="12"/>
      <c r="AM2189" s="12"/>
      <c r="AN2189" s="75"/>
      <c r="AO2189" s="75"/>
      <c r="AP2189" s="75"/>
      <c r="AQ2189" s="75"/>
      <c r="AR2189" s="76"/>
      <c r="AT2189" s="65"/>
      <c r="AU2189" s="77"/>
    </row>
    <row r="2190" spans="37:47">
      <c r="AK2190" s="12"/>
      <c r="AM2190" s="12"/>
      <c r="AN2190" s="75"/>
      <c r="AO2190" s="75"/>
      <c r="AP2190" s="75"/>
      <c r="AQ2190" s="75"/>
      <c r="AR2190" s="76"/>
      <c r="AT2190" s="65"/>
      <c r="AU2190" s="77"/>
    </row>
    <row r="2191" spans="37:47">
      <c r="AK2191" s="12"/>
      <c r="AM2191" s="12"/>
      <c r="AN2191" s="75"/>
      <c r="AO2191" s="75"/>
      <c r="AP2191" s="75"/>
      <c r="AQ2191" s="75"/>
      <c r="AR2191" s="76"/>
      <c r="AT2191" s="65"/>
      <c r="AU2191" s="77"/>
    </row>
    <row r="2192" spans="37:47">
      <c r="AK2192" s="12"/>
      <c r="AM2192" s="12"/>
      <c r="AN2192" s="75"/>
      <c r="AO2192" s="75"/>
      <c r="AP2192" s="75"/>
      <c r="AQ2192" s="75"/>
      <c r="AR2192" s="76"/>
      <c r="AT2192" s="65"/>
      <c r="AU2192" s="77"/>
    </row>
    <row r="2193" spans="37:47">
      <c r="AK2193" s="12"/>
      <c r="AM2193" s="12"/>
      <c r="AN2193" s="75"/>
      <c r="AO2193" s="75"/>
      <c r="AP2193" s="75"/>
      <c r="AQ2193" s="75"/>
      <c r="AR2193" s="76"/>
      <c r="AT2193" s="65"/>
      <c r="AU2193" s="77"/>
    </row>
    <row r="2194" spans="37:47">
      <c r="AK2194" s="12"/>
      <c r="AM2194" s="12"/>
      <c r="AN2194" s="75"/>
      <c r="AO2194" s="75"/>
      <c r="AP2194" s="75"/>
      <c r="AQ2194" s="75"/>
      <c r="AR2194" s="76"/>
      <c r="AT2194" s="65"/>
      <c r="AU2194" s="77"/>
    </row>
    <row r="2195" spans="37:47">
      <c r="AK2195" s="12"/>
      <c r="AM2195" s="12"/>
      <c r="AN2195" s="75"/>
      <c r="AO2195" s="75"/>
      <c r="AP2195" s="75"/>
      <c r="AQ2195" s="75"/>
      <c r="AR2195" s="76"/>
      <c r="AT2195" s="65"/>
      <c r="AU2195" s="77"/>
    </row>
    <row r="2196" spans="37:47">
      <c r="AK2196" s="12"/>
      <c r="AM2196" s="12"/>
      <c r="AN2196" s="75"/>
      <c r="AO2196" s="75"/>
      <c r="AP2196" s="75"/>
      <c r="AQ2196" s="75"/>
      <c r="AR2196" s="76"/>
      <c r="AT2196" s="65"/>
      <c r="AU2196" s="77"/>
    </row>
    <row r="2197" spans="37:47">
      <c r="AK2197" s="12"/>
      <c r="AM2197" s="12"/>
      <c r="AN2197" s="75"/>
      <c r="AO2197" s="75"/>
      <c r="AP2197" s="75"/>
      <c r="AQ2197" s="75"/>
      <c r="AR2197" s="76"/>
      <c r="AT2197" s="65"/>
      <c r="AU2197" s="77"/>
    </row>
    <row r="2198" spans="37:47">
      <c r="AK2198" s="12"/>
      <c r="AM2198" s="12"/>
      <c r="AN2198" s="75"/>
      <c r="AO2198" s="75"/>
      <c r="AP2198" s="75"/>
      <c r="AQ2198" s="75"/>
      <c r="AR2198" s="76"/>
      <c r="AT2198" s="65"/>
      <c r="AU2198" s="77"/>
    </row>
    <row r="2199" spans="37:47">
      <c r="AK2199" s="12"/>
      <c r="AM2199" s="12"/>
      <c r="AN2199" s="75"/>
      <c r="AO2199" s="75"/>
      <c r="AP2199" s="75"/>
      <c r="AQ2199" s="75"/>
      <c r="AR2199" s="76"/>
      <c r="AT2199" s="65"/>
      <c r="AU2199" s="77"/>
    </row>
    <row r="2200" spans="37:47">
      <c r="AK2200" s="12"/>
      <c r="AM2200" s="12"/>
      <c r="AN2200" s="75"/>
      <c r="AO2200" s="75"/>
      <c r="AP2200" s="75"/>
      <c r="AQ2200" s="75"/>
      <c r="AR2200" s="76"/>
      <c r="AT2200" s="65"/>
      <c r="AU2200" s="77"/>
    </row>
    <row r="2201" spans="37:47">
      <c r="AK2201" s="12"/>
      <c r="AM2201" s="12"/>
      <c r="AN2201" s="75"/>
      <c r="AO2201" s="75"/>
      <c r="AP2201" s="75"/>
      <c r="AQ2201" s="75"/>
      <c r="AR2201" s="76"/>
      <c r="AT2201" s="65"/>
      <c r="AU2201" s="77"/>
    </row>
    <row r="2202" spans="37:47">
      <c r="AK2202" s="12"/>
      <c r="AM2202" s="12"/>
      <c r="AN2202" s="75"/>
      <c r="AO2202" s="75"/>
      <c r="AP2202" s="75"/>
      <c r="AQ2202" s="75"/>
      <c r="AR2202" s="76"/>
      <c r="AT2202" s="65"/>
      <c r="AU2202" s="77"/>
    </row>
    <row r="2203" spans="37:47">
      <c r="AK2203" s="12"/>
      <c r="AM2203" s="12"/>
      <c r="AN2203" s="75"/>
      <c r="AO2203" s="75"/>
      <c r="AP2203" s="75"/>
      <c r="AQ2203" s="75"/>
      <c r="AR2203" s="76"/>
      <c r="AT2203" s="65"/>
      <c r="AU2203" s="77"/>
    </row>
    <row r="2204" spans="37:47">
      <c r="AK2204" s="12"/>
      <c r="AM2204" s="12"/>
      <c r="AN2204" s="75"/>
      <c r="AO2204" s="75"/>
      <c r="AP2204" s="75"/>
      <c r="AQ2204" s="75"/>
      <c r="AR2204" s="76"/>
      <c r="AT2204" s="65"/>
      <c r="AU2204" s="77"/>
    </row>
    <row r="2205" spans="37:47">
      <c r="AK2205" s="12"/>
      <c r="AM2205" s="12"/>
      <c r="AN2205" s="75"/>
      <c r="AO2205" s="75"/>
      <c r="AP2205" s="75"/>
      <c r="AQ2205" s="75"/>
      <c r="AR2205" s="76"/>
      <c r="AT2205" s="65"/>
      <c r="AU2205" s="77"/>
    </row>
    <row r="2206" spans="37:47">
      <c r="AK2206" s="12"/>
      <c r="AM2206" s="12"/>
      <c r="AN2206" s="75"/>
      <c r="AO2206" s="75"/>
      <c r="AP2206" s="75"/>
      <c r="AQ2206" s="75"/>
      <c r="AR2206" s="76"/>
      <c r="AT2206" s="65"/>
      <c r="AU2206" s="77"/>
    </row>
    <row r="2207" spans="37:47">
      <c r="AK2207" s="12"/>
      <c r="AM2207" s="12"/>
      <c r="AN2207" s="75"/>
      <c r="AO2207" s="75"/>
      <c r="AP2207" s="75"/>
      <c r="AQ2207" s="75"/>
      <c r="AR2207" s="76"/>
      <c r="AT2207" s="65"/>
      <c r="AU2207" s="77"/>
    </row>
    <row r="2208" spans="37:47">
      <c r="AK2208" s="12"/>
      <c r="AM2208" s="12"/>
      <c r="AN2208" s="75"/>
      <c r="AO2208" s="75"/>
      <c r="AP2208" s="75"/>
      <c r="AQ2208" s="75"/>
      <c r="AR2208" s="76"/>
      <c r="AT2208" s="65"/>
      <c r="AU2208" s="77"/>
    </row>
    <row r="2209" spans="37:47">
      <c r="AK2209" s="12"/>
      <c r="AM2209" s="12"/>
      <c r="AN2209" s="75"/>
      <c r="AO2209" s="75"/>
      <c r="AP2209" s="75"/>
      <c r="AQ2209" s="75"/>
      <c r="AR2209" s="76"/>
      <c r="AT2209" s="65"/>
      <c r="AU2209" s="77"/>
    </row>
    <row r="2210" spans="37:47">
      <c r="AK2210" s="12"/>
      <c r="AM2210" s="12"/>
      <c r="AN2210" s="75"/>
      <c r="AO2210" s="75"/>
      <c r="AP2210" s="75"/>
      <c r="AQ2210" s="75"/>
      <c r="AR2210" s="76"/>
      <c r="AT2210" s="65"/>
      <c r="AU2210" s="77"/>
    </row>
    <row r="2211" spans="37:47">
      <c r="AK2211" s="12"/>
      <c r="AM2211" s="12"/>
      <c r="AN2211" s="75"/>
      <c r="AO2211" s="75"/>
      <c r="AP2211" s="75"/>
      <c r="AQ2211" s="75"/>
      <c r="AR2211" s="76"/>
      <c r="AT2211" s="65"/>
      <c r="AU2211" s="77"/>
    </row>
    <row r="2212" spans="37:47">
      <c r="AK2212" s="12"/>
      <c r="AM2212" s="12"/>
      <c r="AN2212" s="75"/>
      <c r="AO2212" s="75"/>
      <c r="AP2212" s="75"/>
      <c r="AQ2212" s="75"/>
      <c r="AR2212" s="76"/>
      <c r="AT2212" s="65"/>
      <c r="AU2212" s="77"/>
    </row>
    <row r="2213" spans="37:47">
      <c r="AK2213" s="12"/>
      <c r="AM2213" s="12"/>
      <c r="AN2213" s="75"/>
      <c r="AO2213" s="75"/>
      <c r="AP2213" s="75"/>
      <c r="AQ2213" s="75"/>
      <c r="AR2213" s="76"/>
      <c r="AT2213" s="65"/>
      <c r="AU2213" s="77"/>
    </row>
    <row r="2214" spans="37:47">
      <c r="AK2214" s="12"/>
      <c r="AM2214" s="12"/>
      <c r="AN2214" s="75"/>
      <c r="AO2214" s="75"/>
      <c r="AP2214" s="75"/>
      <c r="AQ2214" s="75"/>
      <c r="AR2214" s="76"/>
      <c r="AT2214" s="65"/>
      <c r="AU2214" s="77"/>
    </row>
    <row r="2215" spans="37:47">
      <c r="AK2215" s="12"/>
      <c r="AM2215" s="12"/>
      <c r="AN2215" s="75"/>
      <c r="AO2215" s="75"/>
      <c r="AP2215" s="75"/>
      <c r="AQ2215" s="75"/>
      <c r="AR2215" s="76"/>
      <c r="AT2215" s="65"/>
      <c r="AU2215" s="77"/>
    </row>
    <row r="2216" spans="37:47">
      <c r="AK2216" s="12"/>
      <c r="AM2216" s="12"/>
      <c r="AN2216" s="75"/>
      <c r="AO2216" s="75"/>
      <c r="AP2216" s="75"/>
      <c r="AQ2216" s="75"/>
      <c r="AR2216" s="76"/>
      <c r="AT2216" s="65"/>
      <c r="AU2216" s="77"/>
    </row>
    <row r="2217" spans="37:47">
      <c r="AK2217" s="12"/>
      <c r="AM2217" s="12"/>
      <c r="AN2217" s="75"/>
      <c r="AO2217" s="75"/>
      <c r="AP2217" s="75"/>
      <c r="AQ2217" s="75"/>
      <c r="AR2217" s="76"/>
      <c r="AT2217" s="65"/>
      <c r="AU2217" s="77"/>
    </row>
    <row r="2218" spans="37:47">
      <c r="AK2218" s="12"/>
      <c r="AM2218" s="12"/>
      <c r="AN2218" s="75"/>
      <c r="AO2218" s="75"/>
      <c r="AP2218" s="75"/>
      <c r="AQ2218" s="75"/>
      <c r="AR2218" s="76"/>
      <c r="AT2218" s="65"/>
      <c r="AU2218" s="77"/>
    </row>
    <row r="2219" spans="37:47">
      <c r="AK2219" s="12"/>
      <c r="AM2219" s="12"/>
      <c r="AN2219" s="75"/>
      <c r="AO2219" s="75"/>
      <c r="AP2219" s="75"/>
      <c r="AQ2219" s="75"/>
      <c r="AR2219" s="76"/>
      <c r="AT2219" s="65"/>
      <c r="AU2219" s="77"/>
    </row>
    <row r="2220" spans="37:47">
      <c r="AK2220" s="12"/>
      <c r="AM2220" s="12"/>
      <c r="AN2220" s="75"/>
      <c r="AO2220" s="75"/>
      <c r="AP2220" s="75"/>
      <c r="AQ2220" s="75"/>
      <c r="AR2220" s="76"/>
      <c r="AT2220" s="65"/>
      <c r="AU2220" s="77"/>
    </row>
    <row r="2221" spans="37:47">
      <c r="AK2221" s="12"/>
      <c r="AM2221" s="12"/>
      <c r="AN2221" s="75"/>
      <c r="AO2221" s="75"/>
      <c r="AP2221" s="75"/>
      <c r="AQ2221" s="75"/>
      <c r="AR2221" s="76"/>
      <c r="AT2221" s="65"/>
      <c r="AU2221" s="77"/>
    </row>
    <row r="2222" spans="37:47">
      <c r="AK2222" s="12"/>
      <c r="AM2222" s="12"/>
      <c r="AN2222" s="75"/>
      <c r="AO2222" s="75"/>
      <c r="AP2222" s="75"/>
      <c r="AQ2222" s="75"/>
      <c r="AR2222" s="76"/>
      <c r="AT2222" s="65"/>
      <c r="AU2222" s="77"/>
    </row>
    <row r="2223" spans="37:47">
      <c r="AK2223" s="12"/>
      <c r="AM2223" s="12"/>
      <c r="AN2223" s="75"/>
      <c r="AO2223" s="75"/>
      <c r="AP2223" s="75"/>
      <c r="AQ2223" s="75"/>
      <c r="AR2223" s="76"/>
      <c r="AT2223" s="65"/>
      <c r="AU2223" s="77"/>
    </row>
    <row r="2224" spans="37:47">
      <c r="AK2224" s="12"/>
      <c r="AM2224" s="12"/>
      <c r="AN2224" s="75"/>
      <c r="AO2224" s="75"/>
      <c r="AP2224" s="75"/>
      <c r="AQ2224" s="75"/>
      <c r="AR2224" s="76"/>
      <c r="AT2224" s="65"/>
      <c r="AU2224" s="77"/>
    </row>
    <row r="2225" spans="37:47">
      <c r="AK2225" s="12"/>
      <c r="AM2225" s="12"/>
      <c r="AN2225" s="75"/>
      <c r="AO2225" s="75"/>
      <c r="AP2225" s="75"/>
      <c r="AQ2225" s="75"/>
      <c r="AR2225" s="76"/>
      <c r="AT2225" s="65"/>
      <c r="AU2225" s="77"/>
    </row>
    <row r="2226" spans="37:47">
      <c r="AK2226" s="12"/>
      <c r="AM2226" s="12"/>
      <c r="AN2226" s="75"/>
      <c r="AO2226" s="75"/>
      <c r="AP2226" s="75"/>
      <c r="AQ2226" s="75"/>
      <c r="AR2226" s="76"/>
      <c r="AT2226" s="65"/>
      <c r="AU2226" s="77"/>
    </row>
    <row r="2227" spans="37:47">
      <c r="AK2227" s="12"/>
      <c r="AM2227" s="12"/>
      <c r="AN2227" s="75"/>
      <c r="AO2227" s="75"/>
      <c r="AP2227" s="75"/>
      <c r="AQ2227" s="75"/>
      <c r="AR2227" s="76"/>
      <c r="AT2227" s="65"/>
      <c r="AU2227" s="77"/>
    </row>
    <row r="2228" spans="37:47">
      <c r="AK2228" s="12"/>
      <c r="AM2228" s="12"/>
      <c r="AN2228" s="75"/>
      <c r="AO2228" s="75"/>
      <c r="AP2228" s="75"/>
      <c r="AQ2228" s="75"/>
      <c r="AR2228" s="76"/>
      <c r="AT2228" s="65"/>
      <c r="AU2228" s="77"/>
    </row>
    <row r="2229" spans="37:47">
      <c r="AK2229" s="12"/>
      <c r="AM2229" s="12"/>
      <c r="AN2229" s="75"/>
      <c r="AO2229" s="75"/>
      <c r="AP2229" s="75"/>
      <c r="AQ2229" s="75"/>
      <c r="AR2229" s="76"/>
      <c r="AT2229" s="65"/>
      <c r="AU2229" s="77"/>
    </row>
    <row r="2230" spans="37:47">
      <c r="AK2230" s="12"/>
      <c r="AM2230" s="12"/>
      <c r="AN2230" s="75"/>
      <c r="AO2230" s="75"/>
      <c r="AP2230" s="75"/>
      <c r="AQ2230" s="75"/>
      <c r="AR2230" s="76"/>
      <c r="AT2230" s="65"/>
      <c r="AU2230" s="77"/>
    </row>
    <row r="2231" spans="37:47">
      <c r="AK2231" s="12"/>
      <c r="AM2231" s="12"/>
      <c r="AN2231" s="75"/>
      <c r="AO2231" s="75"/>
      <c r="AP2231" s="75"/>
      <c r="AQ2231" s="75"/>
      <c r="AR2231" s="76"/>
      <c r="AT2231" s="65"/>
      <c r="AU2231" s="77"/>
    </row>
    <row r="2232" spans="37:47">
      <c r="AK2232" s="12"/>
      <c r="AM2232" s="12"/>
      <c r="AN2232" s="75"/>
      <c r="AO2232" s="75"/>
      <c r="AP2232" s="75"/>
      <c r="AQ2232" s="75"/>
      <c r="AR2232" s="76"/>
      <c r="AT2232" s="65"/>
      <c r="AU2232" s="77"/>
    </row>
    <row r="2233" spans="37:47">
      <c r="AK2233" s="12"/>
      <c r="AM2233" s="12"/>
      <c r="AN2233" s="75"/>
      <c r="AO2233" s="75"/>
      <c r="AP2233" s="75"/>
      <c r="AQ2233" s="75"/>
      <c r="AR2233" s="76"/>
      <c r="AT2233" s="65"/>
      <c r="AU2233" s="77"/>
    </row>
    <row r="2234" spans="37:47">
      <c r="AK2234" s="12"/>
      <c r="AM2234" s="12"/>
      <c r="AN2234" s="75"/>
      <c r="AO2234" s="75"/>
      <c r="AP2234" s="75"/>
      <c r="AQ2234" s="75"/>
      <c r="AR2234" s="76"/>
      <c r="AT2234" s="65"/>
      <c r="AU2234" s="77"/>
    </row>
    <row r="2235" spans="37:47">
      <c r="AK2235" s="12"/>
      <c r="AM2235" s="12"/>
      <c r="AN2235" s="75"/>
      <c r="AO2235" s="75"/>
      <c r="AP2235" s="75"/>
      <c r="AQ2235" s="75"/>
      <c r="AR2235" s="76"/>
      <c r="AT2235" s="65"/>
      <c r="AU2235" s="77"/>
    </row>
    <row r="2236" spans="37:47">
      <c r="AK2236" s="12"/>
      <c r="AM2236" s="12"/>
      <c r="AN2236" s="75"/>
      <c r="AO2236" s="75"/>
      <c r="AP2236" s="75"/>
      <c r="AQ2236" s="75"/>
      <c r="AR2236" s="76"/>
      <c r="AT2236" s="65"/>
      <c r="AU2236" s="77"/>
    </row>
    <row r="2237" spans="37:47">
      <c r="AK2237" s="12"/>
      <c r="AM2237" s="12"/>
      <c r="AN2237" s="75"/>
      <c r="AO2237" s="75"/>
      <c r="AP2237" s="75"/>
      <c r="AQ2237" s="75"/>
      <c r="AR2237" s="76"/>
      <c r="AT2237" s="65"/>
      <c r="AU2237" s="77"/>
    </row>
    <row r="2238" spans="37:47">
      <c r="AK2238" s="12"/>
      <c r="AM2238" s="12"/>
      <c r="AN2238" s="75"/>
      <c r="AO2238" s="75"/>
      <c r="AP2238" s="75"/>
      <c r="AQ2238" s="75"/>
      <c r="AR2238" s="76"/>
      <c r="AT2238" s="65"/>
      <c r="AU2238" s="77"/>
    </row>
    <row r="2239" spans="37:47">
      <c r="AK2239" s="12"/>
      <c r="AM2239" s="12"/>
      <c r="AN2239" s="75"/>
      <c r="AO2239" s="75"/>
      <c r="AP2239" s="75"/>
      <c r="AQ2239" s="75"/>
      <c r="AR2239" s="76"/>
      <c r="AT2239" s="65"/>
      <c r="AU2239" s="77"/>
    </row>
    <row r="2240" spans="37:47">
      <c r="AK2240" s="12"/>
      <c r="AM2240" s="12"/>
      <c r="AN2240" s="75"/>
      <c r="AO2240" s="75"/>
      <c r="AP2240" s="75"/>
      <c r="AQ2240" s="75"/>
      <c r="AR2240" s="76"/>
      <c r="AT2240" s="65"/>
      <c r="AU2240" s="77"/>
    </row>
    <row r="2241" spans="37:47">
      <c r="AK2241" s="12"/>
      <c r="AM2241" s="12"/>
      <c r="AN2241" s="75"/>
      <c r="AO2241" s="75"/>
      <c r="AP2241" s="75"/>
      <c r="AQ2241" s="75"/>
      <c r="AR2241" s="76"/>
      <c r="AT2241" s="65"/>
      <c r="AU2241" s="77"/>
    </row>
    <row r="2242" spans="37:47">
      <c r="AK2242" s="12"/>
      <c r="AM2242" s="12"/>
      <c r="AN2242" s="75"/>
      <c r="AO2242" s="75"/>
      <c r="AP2242" s="75"/>
      <c r="AQ2242" s="75"/>
      <c r="AR2242" s="76"/>
      <c r="AT2242" s="65"/>
      <c r="AU2242" s="77"/>
    </row>
    <row r="2243" spans="37:47">
      <c r="AK2243" s="12"/>
      <c r="AM2243" s="12"/>
      <c r="AN2243" s="75"/>
      <c r="AO2243" s="75"/>
      <c r="AP2243" s="75"/>
      <c r="AQ2243" s="75"/>
      <c r="AR2243" s="76"/>
      <c r="AT2243" s="65"/>
      <c r="AU2243" s="77"/>
    </row>
    <row r="2244" spans="37:47">
      <c r="AK2244" s="12"/>
      <c r="AM2244" s="12"/>
      <c r="AN2244" s="75"/>
      <c r="AO2244" s="75"/>
      <c r="AP2244" s="75"/>
      <c r="AQ2244" s="75"/>
      <c r="AR2244" s="76"/>
      <c r="AT2244" s="65"/>
      <c r="AU2244" s="77"/>
    </row>
    <row r="2245" spans="37:47">
      <c r="AK2245" s="12"/>
      <c r="AM2245" s="12"/>
      <c r="AN2245" s="75"/>
      <c r="AO2245" s="75"/>
      <c r="AP2245" s="75"/>
      <c r="AQ2245" s="75"/>
      <c r="AR2245" s="76"/>
      <c r="AT2245" s="65"/>
      <c r="AU2245" s="77"/>
    </row>
    <row r="2246" spans="37:47">
      <c r="AK2246" s="12"/>
      <c r="AM2246" s="12"/>
      <c r="AN2246" s="75"/>
      <c r="AO2246" s="75"/>
      <c r="AP2246" s="75"/>
      <c r="AQ2246" s="75"/>
      <c r="AR2246" s="76"/>
      <c r="AT2246" s="65"/>
      <c r="AU2246" s="77"/>
    </row>
    <row r="2247" spans="37:47">
      <c r="AK2247" s="12"/>
      <c r="AM2247" s="12"/>
      <c r="AN2247" s="75"/>
      <c r="AO2247" s="75"/>
      <c r="AP2247" s="75"/>
      <c r="AQ2247" s="75"/>
      <c r="AR2247" s="76"/>
      <c r="AT2247" s="65"/>
      <c r="AU2247" s="77"/>
    </row>
    <row r="2248" spans="37:47">
      <c r="AK2248" s="12"/>
      <c r="AM2248" s="12"/>
      <c r="AN2248" s="75"/>
      <c r="AO2248" s="75"/>
      <c r="AP2248" s="75"/>
      <c r="AQ2248" s="75"/>
      <c r="AR2248" s="76"/>
      <c r="AT2248" s="65"/>
      <c r="AU2248" s="77"/>
    </row>
    <row r="2249" spans="37:47">
      <c r="AK2249" s="12"/>
      <c r="AM2249" s="12"/>
      <c r="AN2249" s="75"/>
      <c r="AO2249" s="75"/>
      <c r="AP2249" s="75"/>
      <c r="AQ2249" s="75"/>
      <c r="AR2249" s="76"/>
      <c r="AT2249" s="65"/>
      <c r="AU2249" s="77"/>
    </row>
    <row r="2250" spans="37:47">
      <c r="AK2250" s="12"/>
      <c r="AM2250" s="12"/>
      <c r="AN2250" s="75"/>
      <c r="AO2250" s="75"/>
      <c r="AP2250" s="75"/>
      <c r="AQ2250" s="75"/>
      <c r="AR2250" s="76"/>
      <c r="AT2250" s="65"/>
      <c r="AU2250" s="77"/>
    </row>
    <row r="2251" spans="37:47">
      <c r="AK2251" s="12"/>
      <c r="AM2251" s="12"/>
      <c r="AN2251" s="75"/>
      <c r="AO2251" s="75"/>
      <c r="AP2251" s="75"/>
      <c r="AQ2251" s="75"/>
      <c r="AR2251" s="76"/>
      <c r="AT2251" s="65"/>
      <c r="AU2251" s="77"/>
    </row>
    <row r="2252" spans="37:47">
      <c r="AK2252" s="12"/>
      <c r="AM2252" s="12"/>
      <c r="AN2252" s="75"/>
      <c r="AO2252" s="75"/>
      <c r="AP2252" s="75"/>
      <c r="AQ2252" s="75"/>
      <c r="AR2252" s="76"/>
      <c r="AT2252" s="65"/>
      <c r="AU2252" s="77"/>
    </row>
    <row r="2253" spans="37:47">
      <c r="AK2253" s="12"/>
      <c r="AM2253" s="12"/>
      <c r="AN2253" s="75"/>
      <c r="AO2253" s="75"/>
      <c r="AP2253" s="75"/>
      <c r="AQ2253" s="75"/>
      <c r="AR2253" s="76"/>
      <c r="AT2253" s="65"/>
      <c r="AU2253" s="77"/>
    </row>
    <row r="2254" spans="37:47">
      <c r="AK2254" s="12"/>
      <c r="AM2254" s="12"/>
      <c r="AN2254" s="75"/>
      <c r="AO2254" s="75"/>
      <c r="AP2254" s="75"/>
      <c r="AQ2254" s="75"/>
      <c r="AR2254" s="76"/>
      <c r="AT2254" s="65"/>
      <c r="AU2254" s="77"/>
    </row>
    <row r="2255" spans="37:47">
      <c r="AK2255" s="12"/>
      <c r="AM2255" s="12"/>
      <c r="AN2255" s="75"/>
      <c r="AO2255" s="75"/>
      <c r="AP2255" s="75"/>
      <c r="AQ2255" s="75"/>
      <c r="AR2255" s="76"/>
      <c r="AT2255" s="65"/>
      <c r="AU2255" s="77"/>
    </row>
    <row r="2256" spans="37:47">
      <c r="AK2256" s="12"/>
      <c r="AM2256" s="12"/>
      <c r="AN2256" s="75"/>
      <c r="AO2256" s="75"/>
      <c r="AP2256" s="75"/>
      <c r="AQ2256" s="75"/>
      <c r="AR2256" s="76"/>
      <c r="AT2256" s="65"/>
      <c r="AU2256" s="77"/>
    </row>
    <row r="2257" spans="37:47">
      <c r="AK2257" s="12"/>
      <c r="AM2257" s="12"/>
      <c r="AN2257" s="75"/>
      <c r="AO2257" s="75"/>
      <c r="AP2257" s="75"/>
      <c r="AQ2257" s="75"/>
      <c r="AR2257" s="76"/>
      <c r="AT2257" s="65"/>
      <c r="AU2257" s="77"/>
    </row>
    <row r="2258" spans="37:47">
      <c r="AK2258" s="12"/>
      <c r="AM2258" s="12"/>
      <c r="AN2258" s="75"/>
      <c r="AO2258" s="75"/>
      <c r="AP2258" s="75"/>
      <c r="AQ2258" s="75"/>
      <c r="AR2258" s="76"/>
      <c r="AT2258" s="65"/>
      <c r="AU2258" s="77"/>
    </row>
    <row r="2259" spans="37:47">
      <c r="AK2259" s="12"/>
      <c r="AM2259" s="12"/>
      <c r="AN2259" s="75"/>
      <c r="AO2259" s="75"/>
      <c r="AP2259" s="75"/>
      <c r="AQ2259" s="75"/>
      <c r="AR2259" s="76"/>
      <c r="AT2259" s="65"/>
      <c r="AU2259" s="77"/>
    </row>
    <row r="2260" spans="37:47">
      <c r="AK2260" s="12"/>
      <c r="AM2260" s="12"/>
      <c r="AN2260" s="75"/>
      <c r="AO2260" s="75"/>
      <c r="AP2260" s="75"/>
      <c r="AQ2260" s="75"/>
      <c r="AR2260" s="76"/>
      <c r="AT2260" s="65"/>
      <c r="AU2260" s="77"/>
    </row>
    <row r="2261" spans="37:47">
      <c r="AK2261" s="12"/>
      <c r="AM2261" s="12"/>
      <c r="AN2261" s="75"/>
      <c r="AO2261" s="75"/>
      <c r="AP2261" s="75"/>
      <c r="AQ2261" s="75"/>
      <c r="AR2261" s="76"/>
      <c r="AT2261" s="65"/>
      <c r="AU2261" s="77"/>
    </row>
    <row r="2262" spans="37:47">
      <c r="AK2262" s="12"/>
      <c r="AM2262" s="12"/>
      <c r="AN2262" s="75"/>
      <c r="AO2262" s="75"/>
      <c r="AP2262" s="75"/>
      <c r="AQ2262" s="75"/>
      <c r="AR2262" s="76"/>
      <c r="AT2262" s="65"/>
      <c r="AU2262" s="77"/>
    </row>
    <row r="2263" spans="37:47">
      <c r="AK2263" s="12"/>
      <c r="AM2263" s="12"/>
      <c r="AN2263" s="75"/>
      <c r="AO2263" s="75"/>
      <c r="AP2263" s="75"/>
      <c r="AQ2263" s="75"/>
      <c r="AR2263" s="76"/>
      <c r="AT2263" s="65"/>
      <c r="AU2263" s="77"/>
    </row>
    <row r="2264" spans="37:47">
      <c r="AK2264" s="12"/>
      <c r="AM2264" s="12"/>
      <c r="AN2264" s="75"/>
      <c r="AO2264" s="75"/>
      <c r="AP2264" s="75"/>
      <c r="AQ2264" s="75"/>
      <c r="AR2264" s="76"/>
      <c r="AT2264" s="65"/>
      <c r="AU2264" s="77"/>
    </row>
    <row r="2265" spans="37:47">
      <c r="AK2265" s="12"/>
      <c r="AM2265" s="12"/>
      <c r="AN2265" s="75"/>
      <c r="AO2265" s="75"/>
      <c r="AP2265" s="75"/>
      <c r="AQ2265" s="75"/>
      <c r="AR2265" s="76"/>
      <c r="AT2265" s="65"/>
      <c r="AU2265" s="77"/>
    </row>
    <row r="2266" spans="37:47">
      <c r="AK2266" s="12"/>
      <c r="AM2266" s="12"/>
      <c r="AN2266" s="75"/>
      <c r="AO2266" s="75"/>
      <c r="AP2266" s="75"/>
      <c r="AQ2266" s="75"/>
      <c r="AR2266" s="76"/>
      <c r="AT2266" s="65"/>
      <c r="AU2266" s="77"/>
    </row>
    <row r="2267" spans="37:47">
      <c r="AK2267" s="12"/>
      <c r="AM2267" s="12"/>
      <c r="AN2267" s="75"/>
      <c r="AO2267" s="75"/>
      <c r="AP2267" s="75"/>
      <c r="AQ2267" s="75"/>
      <c r="AR2267" s="76"/>
      <c r="AT2267" s="65"/>
      <c r="AU2267" s="77"/>
    </row>
    <row r="2268" spans="37:47">
      <c r="AK2268" s="12"/>
      <c r="AM2268" s="12"/>
      <c r="AN2268" s="75"/>
      <c r="AO2268" s="75"/>
      <c r="AP2268" s="75"/>
      <c r="AQ2268" s="75"/>
      <c r="AR2268" s="76"/>
      <c r="AT2268" s="65"/>
      <c r="AU2268" s="77"/>
    </row>
    <row r="2269" spans="37:47">
      <c r="AK2269" s="12"/>
      <c r="AM2269" s="12"/>
      <c r="AN2269" s="75"/>
      <c r="AO2269" s="75"/>
      <c r="AP2269" s="75"/>
      <c r="AQ2269" s="75"/>
      <c r="AR2269" s="76"/>
      <c r="AT2269" s="65"/>
      <c r="AU2269" s="77"/>
    </row>
    <row r="2270" spans="37:47">
      <c r="AK2270" s="12"/>
      <c r="AM2270" s="12"/>
      <c r="AN2270" s="75"/>
      <c r="AO2270" s="75"/>
      <c r="AP2270" s="75"/>
      <c r="AQ2270" s="75"/>
      <c r="AR2270" s="76"/>
      <c r="AT2270" s="65"/>
      <c r="AU2270" s="77"/>
    </row>
    <row r="2271" spans="37:47">
      <c r="AK2271" s="12"/>
      <c r="AM2271" s="12"/>
      <c r="AN2271" s="75"/>
      <c r="AO2271" s="75"/>
      <c r="AP2271" s="75"/>
      <c r="AQ2271" s="75"/>
      <c r="AR2271" s="76"/>
      <c r="AT2271" s="65"/>
      <c r="AU2271" s="77"/>
    </row>
    <row r="2272" spans="37:47">
      <c r="AK2272" s="12"/>
      <c r="AM2272" s="12"/>
      <c r="AN2272" s="75"/>
      <c r="AO2272" s="75"/>
      <c r="AP2272" s="75"/>
      <c r="AQ2272" s="75"/>
      <c r="AR2272" s="76"/>
      <c r="AT2272" s="65"/>
      <c r="AU2272" s="77"/>
    </row>
    <row r="2273" spans="37:47">
      <c r="AK2273" s="12"/>
      <c r="AM2273" s="12"/>
      <c r="AN2273" s="75"/>
      <c r="AO2273" s="75"/>
      <c r="AP2273" s="75"/>
      <c r="AQ2273" s="75"/>
      <c r="AR2273" s="76"/>
      <c r="AT2273" s="65"/>
      <c r="AU2273" s="77"/>
    </row>
    <row r="2274" spans="37:47">
      <c r="AK2274" s="12"/>
      <c r="AM2274" s="12"/>
      <c r="AN2274" s="75"/>
      <c r="AO2274" s="75"/>
      <c r="AP2274" s="75"/>
      <c r="AQ2274" s="75"/>
      <c r="AR2274" s="76"/>
      <c r="AT2274" s="65"/>
      <c r="AU2274" s="77"/>
    </row>
    <row r="2275" spans="37:47">
      <c r="AK2275" s="12"/>
      <c r="AM2275" s="12"/>
      <c r="AN2275" s="75"/>
      <c r="AO2275" s="75"/>
      <c r="AP2275" s="75"/>
      <c r="AQ2275" s="75"/>
      <c r="AR2275" s="76"/>
      <c r="AT2275" s="65"/>
      <c r="AU2275" s="77"/>
    </row>
    <row r="2276" spans="37:47">
      <c r="AK2276" s="12"/>
      <c r="AM2276" s="12"/>
      <c r="AN2276" s="75"/>
      <c r="AO2276" s="75"/>
      <c r="AP2276" s="75"/>
      <c r="AQ2276" s="75"/>
      <c r="AR2276" s="76"/>
      <c r="AT2276" s="65"/>
      <c r="AU2276" s="77"/>
    </row>
    <row r="2277" spans="37:47">
      <c r="AK2277" s="12"/>
      <c r="AM2277" s="12"/>
      <c r="AN2277" s="75"/>
      <c r="AO2277" s="75"/>
      <c r="AP2277" s="75"/>
      <c r="AQ2277" s="75"/>
      <c r="AR2277" s="76"/>
      <c r="AT2277" s="65"/>
      <c r="AU2277" s="77"/>
    </row>
    <row r="2278" spans="37:47">
      <c r="AK2278" s="12"/>
      <c r="AM2278" s="12"/>
      <c r="AN2278" s="75"/>
      <c r="AO2278" s="75"/>
      <c r="AP2278" s="75"/>
      <c r="AQ2278" s="75"/>
      <c r="AR2278" s="76"/>
      <c r="AT2278" s="65"/>
      <c r="AU2278" s="77"/>
    </row>
    <row r="2279" spans="37:47">
      <c r="AK2279" s="12"/>
      <c r="AM2279" s="12"/>
      <c r="AN2279" s="75"/>
      <c r="AO2279" s="75"/>
      <c r="AP2279" s="75"/>
      <c r="AQ2279" s="75"/>
      <c r="AR2279" s="76"/>
      <c r="AT2279" s="65"/>
      <c r="AU2279" s="77"/>
    </row>
    <row r="2280" spans="37:47">
      <c r="AK2280" s="12"/>
      <c r="AM2280" s="12"/>
      <c r="AN2280" s="75"/>
      <c r="AO2280" s="75"/>
      <c r="AP2280" s="75"/>
      <c r="AQ2280" s="75"/>
      <c r="AR2280" s="76"/>
      <c r="AT2280" s="65"/>
      <c r="AU2280" s="77"/>
    </row>
    <row r="2281" spans="37:47">
      <c r="AK2281" s="12"/>
      <c r="AM2281" s="12"/>
      <c r="AN2281" s="75"/>
      <c r="AO2281" s="75"/>
      <c r="AP2281" s="75"/>
      <c r="AQ2281" s="75"/>
      <c r="AR2281" s="76"/>
      <c r="AT2281" s="65"/>
      <c r="AU2281" s="77"/>
    </row>
    <row r="2282" spans="37:47">
      <c r="AK2282" s="12"/>
      <c r="AM2282" s="12"/>
      <c r="AN2282" s="75"/>
      <c r="AO2282" s="75"/>
      <c r="AP2282" s="75"/>
      <c r="AQ2282" s="75"/>
      <c r="AR2282" s="76"/>
      <c r="AT2282" s="65"/>
      <c r="AU2282" s="77"/>
    </row>
    <row r="2283" spans="37:47">
      <c r="AK2283" s="12"/>
      <c r="AM2283" s="12"/>
      <c r="AN2283" s="75"/>
      <c r="AO2283" s="75"/>
      <c r="AP2283" s="75"/>
      <c r="AQ2283" s="75"/>
      <c r="AR2283" s="76"/>
      <c r="AT2283" s="65"/>
      <c r="AU2283" s="77"/>
    </row>
    <row r="2284" spans="37:47">
      <c r="AK2284" s="12"/>
      <c r="AM2284" s="12"/>
      <c r="AN2284" s="75"/>
      <c r="AO2284" s="75"/>
      <c r="AP2284" s="75"/>
      <c r="AQ2284" s="75"/>
      <c r="AR2284" s="76"/>
      <c r="AT2284" s="65"/>
      <c r="AU2284" s="77"/>
    </row>
    <row r="2285" spans="37:47">
      <c r="AK2285" s="12"/>
      <c r="AM2285" s="12"/>
      <c r="AN2285" s="75"/>
      <c r="AO2285" s="75"/>
      <c r="AP2285" s="75"/>
      <c r="AQ2285" s="75"/>
      <c r="AR2285" s="76"/>
      <c r="AT2285" s="65"/>
      <c r="AU2285" s="77"/>
    </row>
    <row r="2286" spans="37:47">
      <c r="AK2286" s="12"/>
      <c r="AM2286" s="12"/>
      <c r="AN2286" s="75"/>
      <c r="AO2286" s="75"/>
      <c r="AP2286" s="75"/>
      <c r="AQ2286" s="75"/>
      <c r="AR2286" s="76"/>
      <c r="AT2286" s="65"/>
      <c r="AU2286" s="77"/>
    </row>
    <row r="2287" spans="37:47">
      <c r="AK2287" s="12"/>
      <c r="AM2287" s="12"/>
      <c r="AN2287" s="75"/>
      <c r="AO2287" s="75"/>
      <c r="AP2287" s="75"/>
      <c r="AQ2287" s="75"/>
      <c r="AR2287" s="76"/>
      <c r="AT2287" s="65"/>
      <c r="AU2287" s="77"/>
    </row>
    <row r="2288" spans="37:47">
      <c r="AK2288" s="12"/>
      <c r="AM2288" s="12"/>
      <c r="AN2288" s="75"/>
      <c r="AO2288" s="75"/>
      <c r="AP2288" s="75"/>
      <c r="AQ2288" s="75"/>
      <c r="AR2288" s="76"/>
      <c r="AT2288" s="65"/>
      <c r="AU2288" s="77"/>
    </row>
    <row r="2289" spans="37:47">
      <c r="AK2289" s="12"/>
      <c r="AM2289" s="12"/>
      <c r="AN2289" s="75"/>
      <c r="AO2289" s="75"/>
      <c r="AP2289" s="75"/>
      <c r="AQ2289" s="75"/>
      <c r="AR2289" s="76"/>
      <c r="AT2289" s="65"/>
      <c r="AU2289" s="77"/>
    </row>
    <row r="2290" spans="37:47">
      <c r="AK2290" s="12"/>
      <c r="AM2290" s="12"/>
      <c r="AN2290" s="75"/>
      <c r="AO2290" s="75"/>
      <c r="AP2290" s="75"/>
      <c r="AQ2290" s="75"/>
      <c r="AR2290" s="76"/>
      <c r="AT2290" s="65"/>
      <c r="AU2290" s="77"/>
    </row>
    <row r="2291" spans="37:47">
      <c r="AK2291" s="12"/>
      <c r="AM2291" s="12"/>
      <c r="AN2291" s="75"/>
      <c r="AO2291" s="75"/>
      <c r="AP2291" s="75"/>
      <c r="AQ2291" s="75"/>
      <c r="AR2291" s="76"/>
      <c r="AT2291" s="65"/>
      <c r="AU2291" s="77"/>
    </row>
    <row r="2292" spans="37:47">
      <c r="AK2292" s="12"/>
      <c r="AM2292" s="12"/>
      <c r="AN2292" s="75"/>
      <c r="AO2292" s="75"/>
      <c r="AP2292" s="75"/>
      <c r="AQ2292" s="75"/>
      <c r="AR2292" s="76"/>
      <c r="AT2292" s="65"/>
      <c r="AU2292" s="77"/>
    </row>
    <row r="2293" spans="37:47">
      <c r="AK2293" s="12"/>
      <c r="AM2293" s="12"/>
      <c r="AN2293" s="75"/>
      <c r="AO2293" s="75"/>
      <c r="AP2293" s="75"/>
      <c r="AQ2293" s="75"/>
      <c r="AR2293" s="76"/>
      <c r="AT2293" s="65"/>
      <c r="AU2293" s="77"/>
    </row>
    <row r="2294" spans="37:47">
      <c r="AK2294" s="12"/>
      <c r="AM2294" s="12"/>
      <c r="AN2294" s="75"/>
      <c r="AO2294" s="75"/>
      <c r="AP2294" s="75"/>
      <c r="AQ2294" s="75"/>
      <c r="AR2294" s="76"/>
      <c r="AT2294" s="65"/>
      <c r="AU2294" s="77"/>
    </row>
    <row r="2295" spans="37:47">
      <c r="AK2295" s="12"/>
      <c r="AM2295" s="12"/>
      <c r="AN2295" s="75"/>
      <c r="AO2295" s="75"/>
      <c r="AP2295" s="75"/>
      <c r="AQ2295" s="75"/>
      <c r="AR2295" s="76"/>
      <c r="AT2295" s="65"/>
      <c r="AU2295" s="77"/>
    </row>
    <row r="2296" spans="37:47">
      <c r="AK2296" s="12"/>
      <c r="AM2296" s="12"/>
      <c r="AN2296" s="75"/>
      <c r="AO2296" s="75"/>
      <c r="AP2296" s="75"/>
      <c r="AQ2296" s="75"/>
      <c r="AR2296" s="76"/>
      <c r="AT2296" s="65"/>
      <c r="AU2296" s="77"/>
    </row>
    <row r="2297" spans="37:47">
      <c r="AK2297" s="12"/>
      <c r="AM2297" s="12"/>
      <c r="AN2297" s="75"/>
      <c r="AO2297" s="75"/>
      <c r="AP2297" s="75"/>
      <c r="AQ2297" s="75"/>
      <c r="AR2297" s="76"/>
      <c r="AT2297" s="65"/>
      <c r="AU2297" s="77"/>
    </row>
    <row r="2298" spans="37:47">
      <c r="AK2298" s="12"/>
      <c r="AM2298" s="12"/>
      <c r="AN2298" s="75"/>
      <c r="AO2298" s="75"/>
      <c r="AP2298" s="75"/>
      <c r="AQ2298" s="75"/>
      <c r="AR2298" s="76"/>
      <c r="AT2298" s="65"/>
      <c r="AU2298" s="77"/>
    </row>
    <row r="2299" spans="37:47">
      <c r="AK2299" s="12"/>
      <c r="AM2299" s="12"/>
      <c r="AN2299" s="75"/>
      <c r="AO2299" s="75"/>
      <c r="AP2299" s="75"/>
      <c r="AQ2299" s="75"/>
      <c r="AR2299" s="76"/>
      <c r="AT2299" s="65"/>
      <c r="AU2299" s="77"/>
    </row>
    <row r="2300" spans="37:47">
      <c r="AK2300" s="12"/>
      <c r="AM2300" s="12"/>
      <c r="AN2300" s="75"/>
      <c r="AO2300" s="75"/>
      <c r="AP2300" s="75"/>
      <c r="AQ2300" s="75"/>
      <c r="AR2300" s="76"/>
      <c r="AT2300" s="65"/>
      <c r="AU2300" s="77"/>
    </row>
    <row r="2301" spans="37:47">
      <c r="AK2301" s="12"/>
      <c r="AM2301" s="12"/>
      <c r="AN2301" s="75"/>
      <c r="AO2301" s="75"/>
      <c r="AP2301" s="75"/>
      <c r="AQ2301" s="75"/>
      <c r="AR2301" s="76"/>
      <c r="AT2301" s="65"/>
      <c r="AU2301" s="77"/>
    </row>
    <row r="2302" spans="37:47">
      <c r="AK2302" s="12"/>
      <c r="AM2302" s="12"/>
      <c r="AN2302" s="75"/>
      <c r="AO2302" s="75"/>
      <c r="AP2302" s="75"/>
      <c r="AQ2302" s="75"/>
      <c r="AR2302" s="76"/>
      <c r="AT2302" s="65"/>
      <c r="AU2302" s="77"/>
    </row>
    <row r="2303" spans="37:47">
      <c r="AK2303" s="12"/>
      <c r="AM2303" s="12"/>
      <c r="AN2303" s="75"/>
      <c r="AO2303" s="75"/>
      <c r="AP2303" s="75"/>
      <c r="AQ2303" s="75"/>
      <c r="AR2303" s="76"/>
      <c r="AT2303" s="65"/>
      <c r="AU2303" s="77"/>
    </row>
    <row r="2304" spans="37:47">
      <c r="AK2304" s="12"/>
      <c r="AM2304" s="12"/>
      <c r="AN2304" s="75"/>
      <c r="AO2304" s="75"/>
      <c r="AP2304" s="75"/>
      <c r="AQ2304" s="75"/>
      <c r="AR2304" s="76"/>
      <c r="AT2304" s="65"/>
      <c r="AU2304" s="77"/>
    </row>
    <row r="2305" spans="37:47">
      <c r="AK2305" s="12"/>
      <c r="AM2305" s="12"/>
      <c r="AN2305" s="75"/>
      <c r="AO2305" s="75"/>
      <c r="AP2305" s="75"/>
      <c r="AQ2305" s="75"/>
      <c r="AR2305" s="76"/>
      <c r="AT2305" s="65"/>
      <c r="AU2305" s="77"/>
    </row>
    <row r="2306" spans="37:47">
      <c r="AK2306" s="12"/>
      <c r="AM2306" s="12"/>
      <c r="AN2306" s="75"/>
      <c r="AO2306" s="75"/>
      <c r="AP2306" s="75"/>
      <c r="AQ2306" s="75"/>
      <c r="AR2306" s="76"/>
      <c r="AT2306" s="65"/>
      <c r="AU2306" s="77"/>
    </row>
    <row r="2307" spans="37:47">
      <c r="AK2307" s="12"/>
      <c r="AM2307" s="12"/>
      <c r="AN2307" s="75"/>
      <c r="AO2307" s="75"/>
      <c r="AP2307" s="75"/>
      <c r="AQ2307" s="75"/>
      <c r="AR2307" s="76"/>
      <c r="AT2307" s="65"/>
      <c r="AU2307" s="77"/>
    </row>
    <row r="2308" spans="37:47">
      <c r="AK2308" s="12"/>
      <c r="AM2308" s="12"/>
      <c r="AN2308" s="75"/>
      <c r="AO2308" s="75"/>
      <c r="AP2308" s="75"/>
      <c r="AQ2308" s="75"/>
      <c r="AR2308" s="76"/>
      <c r="AT2308" s="65"/>
      <c r="AU2308" s="77"/>
    </row>
    <row r="2309" spans="37:47">
      <c r="AK2309" s="12"/>
      <c r="AM2309" s="12"/>
      <c r="AN2309" s="75"/>
      <c r="AO2309" s="75"/>
      <c r="AP2309" s="75"/>
      <c r="AQ2309" s="75"/>
      <c r="AR2309" s="76"/>
      <c r="AT2309" s="65"/>
      <c r="AU2309" s="77"/>
    </row>
    <row r="2310" spans="37:47">
      <c r="AK2310" s="12"/>
      <c r="AM2310" s="12"/>
      <c r="AN2310" s="75"/>
      <c r="AO2310" s="75"/>
      <c r="AP2310" s="75"/>
      <c r="AQ2310" s="75"/>
      <c r="AR2310" s="76"/>
      <c r="AT2310" s="65"/>
      <c r="AU2310" s="77"/>
    </row>
    <row r="2311" spans="37:47">
      <c r="AK2311" s="12"/>
      <c r="AM2311" s="12"/>
      <c r="AN2311" s="75"/>
      <c r="AO2311" s="75"/>
      <c r="AP2311" s="75"/>
      <c r="AQ2311" s="75"/>
      <c r="AR2311" s="76"/>
      <c r="AT2311" s="65"/>
      <c r="AU2311" s="77"/>
    </row>
    <row r="2312" spans="37:47">
      <c r="AK2312" s="12"/>
      <c r="AM2312" s="12"/>
      <c r="AN2312" s="75"/>
      <c r="AO2312" s="75"/>
      <c r="AP2312" s="75"/>
      <c r="AQ2312" s="75"/>
      <c r="AR2312" s="76"/>
      <c r="AT2312" s="65"/>
      <c r="AU2312" s="77"/>
    </row>
    <row r="2313" spans="37:47">
      <c r="AK2313" s="12"/>
      <c r="AM2313" s="12"/>
      <c r="AN2313" s="75"/>
      <c r="AO2313" s="75"/>
      <c r="AP2313" s="75"/>
      <c r="AQ2313" s="75"/>
      <c r="AR2313" s="76"/>
      <c r="AT2313" s="65"/>
      <c r="AU2313" s="77"/>
    </row>
    <row r="2314" spans="37:47">
      <c r="AK2314" s="12"/>
      <c r="AM2314" s="12"/>
      <c r="AN2314" s="75"/>
      <c r="AO2314" s="75"/>
      <c r="AP2314" s="75"/>
      <c r="AQ2314" s="75"/>
      <c r="AR2314" s="76"/>
      <c r="AT2314" s="65"/>
      <c r="AU2314" s="77"/>
    </row>
    <row r="2315" spans="37:47">
      <c r="AK2315" s="12"/>
      <c r="AM2315" s="12"/>
      <c r="AN2315" s="75"/>
      <c r="AO2315" s="75"/>
      <c r="AP2315" s="75"/>
      <c r="AQ2315" s="75"/>
      <c r="AR2315" s="76"/>
      <c r="AT2315" s="65"/>
      <c r="AU2315" s="77"/>
    </row>
    <row r="2316" spans="37:47">
      <c r="AK2316" s="12"/>
      <c r="AM2316" s="12"/>
      <c r="AN2316" s="75"/>
      <c r="AO2316" s="75"/>
      <c r="AP2316" s="75"/>
      <c r="AQ2316" s="75"/>
      <c r="AR2316" s="76"/>
      <c r="AT2316" s="65"/>
      <c r="AU2316" s="77"/>
    </row>
    <row r="2317" spans="37:47">
      <c r="AK2317" s="12"/>
      <c r="AM2317" s="12"/>
      <c r="AN2317" s="75"/>
      <c r="AO2317" s="75"/>
      <c r="AP2317" s="75"/>
      <c r="AQ2317" s="75"/>
      <c r="AR2317" s="76"/>
      <c r="AT2317" s="65"/>
      <c r="AU2317" s="77"/>
    </row>
    <row r="2318" spans="37:47">
      <c r="AK2318" s="12"/>
      <c r="AM2318" s="12"/>
      <c r="AN2318" s="75"/>
      <c r="AO2318" s="75"/>
      <c r="AP2318" s="75"/>
      <c r="AQ2318" s="75"/>
      <c r="AR2318" s="76"/>
      <c r="AT2318" s="65"/>
      <c r="AU2318" s="77"/>
    </row>
    <row r="2319" spans="37:47">
      <c r="AK2319" s="12"/>
      <c r="AM2319" s="12"/>
      <c r="AN2319" s="75"/>
      <c r="AO2319" s="75"/>
      <c r="AP2319" s="75"/>
      <c r="AQ2319" s="75"/>
      <c r="AR2319" s="76"/>
      <c r="AT2319" s="65"/>
      <c r="AU2319" s="77"/>
    </row>
    <row r="2320" spans="37:47">
      <c r="AK2320" s="12"/>
      <c r="AM2320" s="12"/>
      <c r="AN2320" s="75"/>
      <c r="AO2320" s="75"/>
      <c r="AP2320" s="75"/>
      <c r="AQ2320" s="75"/>
      <c r="AR2320" s="76"/>
      <c r="AT2320" s="65"/>
      <c r="AU2320" s="77"/>
    </row>
    <row r="2321" spans="37:47">
      <c r="AK2321" s="12"/>
      <c r="AM2321" s="12"/>
      <c r="AN2321" s="75"/>
      <c r="AO2321" s="75"/>
      <c r="AP2321" s="75"/>
      <c r="AQ2321" s="75"/>
      <c r="AR2321" s="76"/>
      <c r="AT2321" s="65"/>
      <c r="AU2321" s="77"/>
    </row>
    <row r="2322" spans="37:47">
      <c r="AK2322" s="12"/>
      <c r="AM2322" s="12"/>
      <c r="AN2322" s="75"/>
      <c r="AO2322" s="75"/>
      <c r="AP2322" s="75"/>
      <c r="AQ2322" s="75"/>
      <c r="AR2322" s="76"/>
      <c r="AT2322" s="65"/>
      <c r="AU2322" s="77"/>
    </row>
    <row r="2323" spans="37:47">
      <c r="AK2323" s="12"/>
      <c r="AM2323" s="12"/>
      <c r="AN2323" s="75"/>
      <c r="AO2323" s="75"/>
      <c r="AP2323" s="75"/>
      <c r="AQ2323" s="75"/>
      <c r="AR2323" s="76"/>
      <c r="AT2323" s="65"/>
      <c r="AU2323" s="77"/>
    </row>
    <row r="2324" spans="37:47">
      <c r="AK2324" s="12"/>
      <c r="AM2324" s="12"/>
      <c r="AN2324" s="75"/>
      <c r="AO2324" s="75"/>
      <c r="AP2324" s="75"/>
      <c r="AQ2324" s="75"/>
      <c r="AR2324" s="76"/>
      <c r="AT2324" s="65"/>
      <c r="AU2324" s="77"/>
    </row>
    <row r="2325" spans="37:47">
      <c r="AK2325" s="12"/>
      <c r="AM2325" s="12"/>
      <c r="AN2325" s="75"/>
      <c r="AO2325" s="75"/>
      <c r="AP2325" s="75"/>
      <c r="AQ2325" s="75"/>
      <c r="AR2325" s="76"/>
      <c r="AT2325" s="65"/>
      <c r="AU2325" s="77"/>
    </row>
    <row r="2326" spans="37:47">
      <c r="AK2326" s="12"/>
      <c r="AM2326" s="12"/>
      <c r="AN2326" s="75"/>
      <c r="AO2326" s="75"/>
      <c r="AP2326" s="75"/>
      <c r="AQ2326" s="75"/>
      <c r="AR2326" s="76"/>
      <c r="AT2326" s="65"/>
      <c r="AU2326" s="77"/>
    </row>
    <row r="2327" spans="37:47">
      <c r="AK2327" s="12"/>
      <c r="AM2327" s="12"/>
      <c r="AN2327" s="75"/>
      <c r="AO2327" s="75"/>
      <c r="AP2327" s="75"/>
      <c r="AQ2327" s="75"/>
      <c r="AR2327" s="76"/>
      <c r="AT2327" s="65"/>
      <c r="AU2327" s="77"/>
    </row>
    <row r="2328" spans="37:47">
      <c r="AK2328" s="12"/>
      <c r="AM2328" s="12"/>
      <c r="AN2328" s="75"/>
      <c r="AO2328" s="75"/>
      <c r="AP2328" s="75"/>
      <c r="AQ2328" s="75"/>
      <c r="AR2328" s="76"/>
      <c r="AT2328" s="65"/>
      <c r="AU2328" s="77"/>
    </row>
    <row r="2329" spans="37:47">
      <c r="AK2329" s="12"/>
      <c r="AM2329" s="12"/>
      <c r="AN2329" s="75"/>
      <c r="AO2329" s="75"/>
      <c r="AP2329" s="75"/>
      <c r="AQ2329" s="75"/>
      <c r="AR2329" s="76"/>
      <c r="AT2329" s="65"/>
      <c r="AU2329" s="77"/>
    </row>
    <row r="2330" spans="37:47">
      <c r="AK2330" s="12"/>
      <c r="AM2330" s="12"/>
      <c r="AN2330" s="75"/>
      <c r="AO2330" s="75"/>
      <c r="AP2330" s="75"/>
      <c r="AQ2330" s="75"/>
      <c r="AR2330" s="76"/>
      <c r="AT2330" s="65"/>
      <c r="AU2330" s="77"/>
    </row>
    <row r="2331" spans="37:47">
      <c r="AK2331" s="12"/>
      <c r="AM2331" s="12"/>
      <c r="AN2331" s="75"/>
      <c r="AO2331" s="75"/>
      <c r="AP2331" s="75"/>
      <c r="AQ2331" s="75"/>
      <c r="AR2331" s="76"/>
      <c r="AT2331" s="65"/>
      <c r="AU2331" s="77"/>
    </row>
    <row r="2332" spans="37:47">
      <c r="AK2332" s="12"/>
      <c r="AM2332" s="12"/>
      <c r="AN2332" s="75"/>
      <c r="AO2332" s="75"/>
      <c r="AP2332" s="75"/>
      <c r="AQ2332" s="75"/>
      <c r="AR2332" s="76"/>
      <c r="AT2332" s="65"/>
      <c r="AU2332" s="77"/>
    </row>
    <row r="2333" spans="37:47">
      <c r="AK2333" s="12"/>
      <c r="AM2333" s="12"/>
      <c r="AN2333" s="75"/>
      <c r="AO2333" s="75"/>
      <c r="AP2333" s="75"/>
      <c r="AQ2333" s="75"/>
      <c r="AR2333" s="76"/>
      <c r="AT2333" s="65"/>
      <c r="AU2333" s="77"/>
    </row>
    <row r="2334" spans="37:47">
      <c r="AK2334" s="12"/>
      <c r="AM2334" s="12"/>
      <c r="AN2334" s="75"/>
      <c r="AO2334" s="75"/>
      <c r="AP2334" s="75"/>
      <c r="AQ2334" s="75"/>
      <c r="AR2334" s="76"/>
      <c r="AT2334" s="65"/>
      <c r="AU2334" s="77"/>
    </row>
    <row r="2335" spans="37:47">
      <c r="AK2335" s="12"/>
      <c r="AM2335" s="12"/>
      <c r="AN2335" s="75"/>
      <c r="AO2335" s="75"/>
      <c r="AP2335" s="75"/>
      <c r="AQ2335" s="75"/>
      <c r="AR2335" s="76"/>
      <c r="AT2335" s="65"/>
      <c r="AU2335" s="77"/>
    </row>
    <row r="2336" spans="37:47">
      <c r="AK2336" s="12"/>
      <c r="AM2336" s="12"/>
      <c r="AN2336" s="75"/>
      <c r="AO2336" s="75"/>
      <c r="AP2336" s="75"/>
      <c r="AQ2336" s="75"/>
      <c r="AR2336" s="76"/>
      <c r="AT2336" s="65"/>
      <c r="AU2336" s="77"/>
    </row>
    <row r="2337" spans="37:47">
      <c r="AK2337" s="12"/>
      <c r="AM2337" s="12"/>
      <c r="AN2337" s="75"/>
      <c r="AO2337" s="75"/>
      <c r="AP2337" s="75"/>
      <c r="AQ2337" s="75"/>
      <c r="AR2337" s="76"/>
      <c r="AT2337" s="65"/>
      <c r="AU2337" s="77"/>
    </row>
    <row r="2338" spans="37:47">
      <c r="AK2338" s="12"/>
      <c r="AM2338" s="12"/>
      <c r="AN2338" s="75"/>
      <c r="AO2338" s="75"/>
      <c r="AP2338" s="75"/>
      <c r="AQ2338" s="75"/>
      <c r="AR2338" s="76"/>
      <c r="AT2338" s="65"/>
      <c r="AU2338" s="77"/>
    </row>
    <row r="2339" spans="37:47">
      <c r="AK2339" s="12"/>
      <c r="AM2339" s="12"/>
      <c r="AN2339" s="75"/>
      <c r="AO2339" s="75"/>
      <c r="AP2339" s="75"/>
      <c r="AQ2339" s="75"/>
      <c r="AR2339" s="76"/>
      <c r="AT2339" s="65"/>
      <c r="AU2339" s="77"/>
    </row>
    <row r="2340" spans="37:47">
      <c r="AK2340" s="12"/>
      <c r="AM2340" s="12"/>
      <c r="AN2340" s="75"/>
      <c r="AO2340" s="75"/>
      <c r="AP2340" s="75"/>
      <c r="AQ2340" s="75"/>
      <c r="AR2340" s="76"/>
      <c r="AT2340" s="65"/>
      <c r="AU2340" s="77"/>
    </row>
    <row r="2341" spans="37:47">
      <c r="AK2341" s="12"/>
      <c r="AM2341" s="12"/>
      <c r="AN2341" s="75"/>
      <c r="AO2341" s="75"/>
      <c r="AP2341" s="75"/>
      <c r="AQ2341" s="75"/>
      <c r="AR2341" s="76"/>
      <c r="AT2341" s="65"/>
      <c r="AU2341" s="77"/>
    </row>
    <row r="2342" spans="37:47">
      <c r="AK2342" s="12"/>
      <c r="AM2342" s="12"/>
      <c r="AN2342" s="75"/>
      <c r="AO2342" s="75"/>
      <c r="AP2342" s="75"/>
      <c r="AQ2342" s="75"/>
      <c r="AR2342" s="76"/>
      <c r="AT2342" s="65"/>
      <c r="AU2342" s="77"/>
    </row>
    <row r="2343" spans="37:47">
      <c r="AK2343" s="12"/>
      <c r="AM2343" s="12"/>
      <c r="AN2343" s="75"/>
      <c r="AO2343" s="75"/>
      <c r="AP2343" s="75"/>
      <c r="AQ2343" s="75"/>
      <c r="AR2343" s="76"/>
      <c r="AT2343" s="65"/>
      <c r="AU2343" s="77"/>
    </row>
    <row r="2344" spans="37:47">
      <c r="AK2344" s="12"/>
      <c r="AM2344" s="12"/>
      <c r="AN2344" s="75"/>
      <c r="AO2344" s="75"/>
      <c r="AP2344" s="75"/>
      <c r="AQ2344" s="75"/>
      <c r="AR2344" s="76"/>
      <c r="AT2344" s="65"/>
      <c r="AU2344" s="77"/>
    </row>
    <row r="2345" spans="37:47">
      <c r="AK2345" s="12"/>
      <c r="AM2345" s="12"/>
      <c r="AN2345" s="75"/>
      <c r="AO2345" s="75"/>
      <c r="AP2345" s="75"/>
      <c r="AQ2345" s="75"/>
      <c r="AR2345" s="76"/>
      <c r="AT2345" s="65"/>
      <c r="AU2345" s="77"/>
    </row>
    <row r="2346" spans="37:47">
      <c r="AK2346" s="12"/>
      <c r="AM2346" s="12"/>
      <c r="AN2346" s="75"/>
      <c r="AO2346" s="75"/>
      <c r="AP2346" s="75"/>
      <c r="AQ2346" s="75"/>
      <c r="AR2346" s="76"/>
      <c r="AT2346" s="65"/>
      <c r="AU2346" s="77"/>
    </row>
    <row r="2347" spans="37:47">
      <c r="AK2347" s="12"/>
      <c r="AM2347" s="12"/>
      <c r="AN2347" s="75"/>
      <c r="AO2347" s="75"/>
      <c r="AP2347" s="75"/>
      <c r="AQ2347" s="75"/>
      <c r="AR2347" s="76"/>
      <c r="AT2347" s="65"/>
      <c r="AU2347" s="77"/>
    </row>
    <row r="2348" spans="37:47">
      <c r="AK2348" s="12"/>
      <c r="AM2348" s="12"/>
      <c r="AN2348" s="75"/>
      <c r="AO2348" s="75"/>
      <c r="AP2348" s="75"/>
      <c r="AQ2348" s="75"/>
      <c r="AR2348" s="76"/>
      <c r="AT2348" s="65"/>
      <c r="AU2348" s="77"/>
    </row>
    <row r="2349" spans="37:47">
      <c r="AK2349" s="12"/>
      <c r="AM2349" s="12"/>
      <c r="AN2349" s="75"/>
      <c r="AO2349" s="75"/>
      <c r="AP2349" s="75"/>
      <c r="AQ2349" s="75"/>
      <c r="AR2349" s="76"/>
      <c r="AT2349" s="65"/>
      <c r="AU2349" s="77"/>
    </row>
    <row r="2350" spans="37:47">
      <c r="AK2350" s="12"/>
      <c r="AM2350" s="12"/>
      <c r="AN2350" s="75"/>
      <c r="AO2350" s="75"/>
      <c r="AP2350" s="75"/>
      <c r="AQ2350" s="75"/>
      <c r="AR2350" s="76"/>
      <c r="AT2350" s="65"/>
      <c r="AU2350" s="77"/>
    </row>
    <row r="2351" spans="37:47">
      <c r="AK2351" s="12"/>
      <c r="AM2351" s="12"/>
      <c r="AN2351" s="75"/>
      <c r="AO2351" s="75"/>
      <c r="AP2351" s="75"/>
      <c r="AQ2351" s="75"/>
      <c r="AR2351" s="76"/>
      <c r="AT2351" s="65"/>
      <c r="AU2351" s="77"/>
    </row>
    <row r="2352" spans="37:47">
      <c r="AK2352" s="12"/>
      <c r="AM2352" s="12"/>
      <c r="AN2352" s="75"/>
      <c r="AO2352" s="75"/>
      <c r="AP2352" s="75"/>
      <c r="AQ2352" s="75"/>
      <c r="AR2352" s="76"/>
      <c r="AT2352" s="65"/>
      <c r="AU2352" s="77"/>
    </row>
    <row r="2353" spans="37:47">
      <c r="AK2353" s="12"/>
      <c r="AM2353" s="12"/>
      <c r="AN2353" s="75"/>
      <c r="AO2353" s="75"/>
      <c r="AP2353" s="75"/>
      <c r="AQ2353" s="75"/>
      <c r="AR2353" s="76"/>
      <c r="AT2353" s="65"/>
      <c r="AU2353" s="77"/>
    </row>
    <row r="2354" spans="37:47">
      <c r="AK2354" s="12"/>
      <c r="AM2354" s="12"/>
      <c r="AN2354" s="75"/>
      <c r="AO2354" s="75"/>
      <c r="AP2354" s="75"/>
      <c r="AQ2354" s="75"/>
      <c r="AR2354" s="76"/>
      <c r="AT2354" s="65"/>
      <c r="AU2354" s="77"/>
    </row>
    <row r="2355" spans="37:47">
      <c r="AK2355" s="12"/>
      <c r="AM2355" s="12"/>
      <c r="AN2355" s="75"/>
      <c r="AO2355" s="75"/>
      <c r="AP2355" s="75"/>
      <c r="AQ2355" s="75"/>
      <c r="AR2355" s="76"/>
      <c r="AT2355" s="65"/>
      <c r="AU2355" s="77"/>
    </row>
    <row r="2356" spans="37:47">
      <c r="AK2356" s="12"/>
      <c r="AM2356" s="12"/>
      <c r="AN2356" s="75"/>
      <c r="AO2356" s="75"/>
      <c r="AP2356" s="75"/>
      <c r="AQ2356" s="75"/>
      <c r="AR2356" s="76"/>
      <c r="AT2356" s="65"/>
      <c r="AU2356" s="77"/>
    </row>
    <row r="2357" spans="37:47">
      <c r="AK2357" s="12"/>
      <c r="AM2357" s="12"/>
      <c r="AN2357" s="75"/>
      <c r="AO2357" s="75"/>
      <c r="AP2357" s="75"/>
      <c r="AQ2357" s="75"/>
      <c r="AR2357" s="76"/>
      <c r="AT2357" s="65"/>
      <c r="AU2357" s="77"/>
    </row>
    <row r="2358" spans="37:47">
      <c r="AK2358" s="12"/>
      <c r="AM2358" s="12"/>
      <c r="AN2358" s="75"/>
      <c r="AO2358" s="75"/>
      <c r="AP2358" s="75"/>
      <c r="AQ2358" s="75"/>
      <c r="AR2358" s="76"/>
      <c r="AT2358" s="65"/>
      <c r="AU2358" s="77"/>
    </row>
    <row r="2359" spans="37:47">
      <c r="AK2359" s="12"/>
      <c r="AM2359" s="12"/>
      <c r="AN2359" s="75"/>
      <c r="AO2359" s="75"/>
      <c r="AP2359" s="75"/>
      <c r="AQ2359" s="75"/>
      <c r="AR2359" s="76"/>
      <c r="AT2359" s="65"/>
      <c r="AU2359" s="77"/>
    </row>
    <row r="2360" spans="37:47">
      <c r="AK2360" s="12"/>
      <c r="AM2360" s="12"/>
      <c r="AN2360" s="75"/>
      <c r="AO2360" s="75"/>
      <c r="AP2360" s="75"/>
      <c r="AQ2360" s="75"/>
      <c r="AR2360" s="76"/>
      <c r="AT2360" s="65"/>
      <c r="AU2360" s="77"/>
    </row>
    <row r="2361" spans="37:47">
      <c r="AK2361" s="12"/>
      <c r="AM2361" s="12"/>
      <c r="AN2361" s="75"/>
      <c r="AO2361" s="75"/>
      <c r="AP2361" s="75"/>
      <c r="AQ2361" s="75"/>
      <c r="AR2361" s="76"/>
      <c r="AT2361" s="65"/>
      <c r="AU2361" s="77"/>
    </row>
    <row r="2362" spans="37:47">
      <c r="AK2362" s="12"/>
      <c r="AM2362" s="12"/>
      <c r="AN2362" s="75"/>
      <c r="AO2362" s="75"/>
      <c r="AP2362" s="75"/>
      <c r="AQ2362" s="75"/>
      <c r="AR2362" s="76"/>
      <c r="AT2362" s="65"/>
      <c r="AU2362" s="77"/>
    </row>
    <row r="2363" spans="37:47">
      <c r="AK2363" s="12"/>
      <c r="AM2363" s="12"/>
      <c r="AN2363" s="75"/>
      <c r="AO2363" s="75"/>
      <c r="AP2363" s="75"/>
      <c r="AQ2363" s="75"/>
      <c r="AR2363" s="76"/>
      <c r="AT2363" s="65"/>
      <c r="AU2363" s="77"/>
    </row>
    <row r="2364" spans="37:47">
      <c r="AK2364" s="12"/>
      <c r="AM2364" s="12"/>
      <c r="AN2364" s="75"/>
      <c r="AO2364" s="75"/>
      <c r="AP2364" s="75"/>
      <c r="AQ2364" s="75"/>
      <c r="AR2364" s="76"/>
      <c r="AT2364" s="65"/>
      <c r="AU2364" s="77"/>
    </row>
    <row r="2365" spans="37:47">
      <c r="AK2365" s="12"/>
      <c r="AM2365" s="12"/>
      <c r="AN2365" s="75"/>
      <c r="AO2365" s="75"/>
      <c r="AP2365" s="75"/>
      <c r="AQ2365" s="75"/>
      <c r="AR2365" s="76"/>
      <c r="AT2365" s="65"/>
      <c r="AU2365" s="77"/>
    </row>
    <row r="2366" spans="37:47">
      <c r="AK2366" s="12"/>
      <c r="AM2366" s="12"/>
      <c r="AN2366" s="75"/>
      <c r="AO2366" s="75"/>
      <c r="AP2366" s="75"/>
      <c r="AQ2366" s="75"/>
      <c r="AR2366" s="76"/>
      <c r="AT2366" s="65"/>
      <c r="AU2366" s="77"/>
    </row>
    <row r="2367" spans="37:47">
      <c r="AK2367" s="12"/>
      <c r="AM2367" s="12"/>
      <c r="AN2367" s="75"/>
      <c r="AO2367" s="75"/>
      <c r="AP2367" s="75"/>
      <c r="AQ2367" s="75"/>
      <c r="AR2367" s="76"/>
      <c r="AT2367" s="65"/>
      <c r="AU2367" s="77"/>
    </row>
    <row r="2368" spans="37:47">
      <c r="AK2368" s="12"/>
      <c r="AM2368" s="12"/>
      <c r="AN2368" s="75"/>
      <c r="AO2368" s="75"/>
      <c r="AP2368" s="75"/>
      <c r="AQ2368" s="75"/>
      <c r="AR2368" s="76"/>
      <c r="AT2368" s="65"/>
      <c r="AU2368" s="77"/>
    </row>
    <row r="2369" spans="37:47">
      <c r="AK2369" s="12"/>
      <c r="AM2369" s="12"/>
      <c r="AN2369" s="75"/>
      <c r="AO2369" s="75"/>
      <c r="AP2369" s="75"/>
      <c r="AQ2369" s="75"/>
      <c r="AR2369" s="76"/>
      <c r="AT2369" s="65"/>
      <c r="AU2369" s="77"/>
    </row>
    <row r="2370" spans="37:47">
      <c r="AK2370" s="12"/>
      <c r="AM2370" s="12"/>
      <c r="AN2370" s="75"/>
      <c r="AO2370" s="75"/>
      <c r="AP2370" s="75"/>
      <c r="AQ2370" s="75"/>
      <c r="AR2370" s="76"/>
      <c r="AT2370" s="65"/>
      <c r="AU2370" s="77"/>
    </row>
    <row r="2371" spans="37:47">
      <c r="AK2371" s="12"/>
      <c r="AM2371" s="12"/>
      <c r="AN2371" s="75"/>
      <c r="AO2371" s="75"/>
      <c r="AP2371" s="75"/>
      <c r="AQ2371" s="75"/>
      <c r="AR2371" s="76"/>
      <c r="AT2371" s="65"/>
      <c r="AU2371" s="77"/>
    </row>
    <row r="2372" spans="37:47">
      <c r="AK2372" s="12"/>
      <c r="AM2372" s="12"/>
      <c r="AN2372" s="75"/>
      <c r="AO2372" s="75"/>
      <c r="AP2372" s="75"/>
      <c r="AQ2372" s="75"/>
      <c r="AR2372" s="76"/>
      <c r="AT2372" s="65"/>
      <c r="AU2372" s="77"/>
    </row>
    <row r="2373" spans="37:47">
      <c r="AK2373" s="12"/>
      <c r="AM2373" s="12"/>
      <c r="AN2373" s="75"/>
      <c r="AO2373" s="75"/>
      <c r="AP2373" s="75"/>
      <c r="AQ2373" s="75"/>
      <c r="AR2373" s="76"/>
      <c r="AT2373" s="65"/>
      <c r="AU2373" s="77"/>
    </row>
    <row r="2374" spans="37:47">
      <c r="AK2374" s="12"/>
      <c r="AM2374" s="12"/>
      <c r="AN2374" s="75"/>
      <c r="AO2374" s="75"/>
      <c r="AP2374" s="75"/>
      <c r="AQ2374" s="75"/>
      <c r="AR2374" s="76"/>
      <c r="AT2374" s="65"/>
      <c r="AU2374" s="77"/>
    </row>
    <row r="2375" spans="37:47">
      <c r="AK2375" s="12"/>
      <c r="AM2375" s="12"/>
      <c r="AN2375" s="75"/>
      <c r="AO2375" s="75"/>
      <c r="AP2375" s="75"/>
      <c r="AQ2375" s="75"/>
      <c r="AR2375" s="76"/>
      <c r="AT2375" s="65"/>
      <c r="AU2375" s="77"/>
    </row>
    <row r="2376" spans="37:47">
      <c r="AK2376" s="12"/>
      <c r="AM2376" s="12"/>
      <c r="AN2376" s="75"/>
      <c r="AO2376" s="75"/>
      <c r="AP2376" s="75"/>
      <c r="AQ2376" s="75"/>
      <c r="AR2376" s="76"/>
      <c r="AT2376" s="65"/>
      <c r="AU2376" s="77"/>
    </row>
    <row r="2377" spans="37:47">
      <c r="AK2377" s="12"/>
      <c r="AM2377" s="12"/>
      <c r="AN2377" s="75"/>
      <c r="AO2377" s="75"/>
      <c r="AP2377" s="75"/>
      <c r="AQ2377" s="75"/>
      <c r="AR2377" s="76"/>
      <c r="AT2377" s="65"/>
      <c r="AU2377" s="77"/>
    </row>
    <row r="2378" spans="37:47">
      <c r="AK2378" s="12"/>
      <c r="AM2378" s="12"/>
      <c r="AN2378" s="75"/>
      <c r="AO2378" s="75"/>
      <c r="AP2378" s="75"/>
      <c r="AQ2378" s="75"/>
      <c r="AR2378" s="76"/>
      <c r="AT2378" s="65"/>
      <c r="AU2378" s="77"/>
    </row>
    <row r="2379" spans="37:47">
      <c r="AK2379" s="12"/>
      <c r="AM2379" s="12"/>
      <c r="AN2379" s="75"/>
      <c r="AO2379" s="75"/>
      <c r="AP2379" s="75"/>
      <c r="AQ2379" s="75"/>
      <c r="AR2379" s="76"/>
      <c r="AT2379" s="65"/>
      <c r="AU2379" s="77"/>
    </row>
    <row r="2380" spans="37:47">
      <c r="AK2380" s="12"/>
      <c r="AM2380" s="12"/>
      <c r="AN2380" s="75"/>
      <c r="AO2380" s="75"/>
      <c r="AP2380" s="75"/>
      <c r="AQ2380" s="75"/>
      <c r="AR2380" s="76"/>
      <c r="AT2380" s="65"/>
      <c r="AU2380" s="77"/>
    </row>
    <row r="2381" spans="37:47">
      <c r="AK2381" s="12"/>
      <c r="AM2381" s="12"/>
      <c r="AN2381" s="75"/>
      <c r="AO2381" s="75"/>
      <c r="AP2381" s="75"/>
      <c r="AQ2381" s="75"/>
      <c r="AR2381" s="76"/>
      <c r="AT2381" s="65"/>
      <c r="AU2381" s="77"/>
    </row>
    <row r="2382" spans="37:47">
      <c r="AK2382" s="12"/>
      <c r="AM2382" s="12"/>
      <c r="AN2382" s="75"/>
      <c r="AO2382" s="75"/>
      <c r="AP2382" s="75"/>
      <c r="AQ2382" s="75"/>
      <c r="AR2382" s="76"/>
      <c r="AT2382" s="65"/>
      <c r="AU2382" s="77"/>
    </row>
    <row r="2383" spans="37:47">
      <c r="AK2383" s="12"/>
      <c r="AM2383" s="12"/>
      <c r="AN2383" s="75"/>
      <c r="AO2383" s="75"/>
      <c r="AP2383" s="75"/>
      <c r="AQ2383" s="75"/>
      <c r="AR2383" s="76"/>
      <c r="AT2383" s="65"/>
      <c r="AU2383" s="77"/>
    </row>
    <row r="2384" spans="37:47">
      <c r="AK2384" s="12"/>
      <c r="AM2384" s="12"/>
      <c r="AN2384" s="75"/>
      <c r="AO2384" s="75"/>
      <c r="AP2384" s="75"/>
      <c r="AQ2384" s="75"/>
      <c r="AR2384" s="76"/>
      <c r="AT2384" s="65"/>
      <c r="AU2384" s="77"/>
    </row>
    <row r="2385" spans="37:47">
      <c r="AK2385" s="12"/>
      <c r="AM2385" s="12"/>
      <c r="AN2385" s="75"/>
      <c r="AO2385" s="75"/>
      <c r="AP2385" s="75"/>
      <c r="AQ2385" s="75"/>
      <c r="AR2385" s="76"/>
      <c r="AT2385" s="65"/>
      <c r="AU2385" s="77"/>
    </row>
    <row r="2386" spans="37:47">
      <c r="AK2386" s="12"/>
      <c r="AM2386" s="12"/>
      <c r="AN2386" s="75"/>
      <c r="AO2386" s="75"/>
      <c r="AP2386" s="75"/>
      <c r="AQ2386" s="75"/>
      <c r="AR2386" s="76"/>
      <c r="AT2386" s="65"/>
      <c r="AU2386" s="77"/>
    </row>
    <row r="2387" spans="37:47">
      <c r="AK2387" s="12"/>
      <c r="AM2387" s="12"/>
      <c r="AN2387" s="75"/>
      <c r="AO2387" s="75"/>
      <c r="AP2387" s="75"/>
      <c r="AQ2387" s="75"/>
      <c r="AR2387" s="76"/>
      <c r="AT2387" s="65"/>
      <c r="AU2387" s="77"/>
    </row>
    <row r="2388" spans="37:47">
      <c r="AK2388" s="12"/>
      <c r="AM2388" s="12"/>
      <c r="AN2388" s="75"/>
      <c r="AO2388" s="75"/>
      <c r="AP2388" s="75"/>
      <c r="AQ2388" s="75"/>
      <c r="AR2388" s="76"/>
      <c r="AT2388" s="65"/>
      <c r="AU2388" s="77"/>
    </row>
    <row r="2389" spans="37:47">
      <c r="AK2389" s="12"/>
      <c r="AM2389" s="12"/>
      <c r="AN2389" s="75"/>
      <c r="AO2389" s="75"/>
      <c r="AP2389" s="75"/>
      <c r="AQ2389" s="75"/>
      <c r="AR2389" s="76"/>
      <c r="AT2389" s="65"/>
      <c r="AU2389" s="77"/>
    </row>
    <row r="2390" spans="37:47">
      <c r="AK2390" s="12"/>
      <c r="AM2390" s="12"/>
      <c r="AN2390" s="75"/>
      <c r="AO2390" s="75"/>
      <c r="AP2390" s="75"/>
      <c r="AQ2390" s="75"/>
      <c r="AR2390" s="76"/>
      <c r="AT2390" s="65"/>
      <c r="AU2390" s="77"/>
    </row>
    <row r="2391" spans="37:47">
      <c r="AK2391" s="12"/>
      <c r="AM2391" s="12"/>
      <c r="AN2391" s="75"/>
      <c r="AO2391" s="75"/>
      <c r="AP2391" s="75"/>
      <c r="AQ2391" s="75"/>
      <c r="AR2391" s="76"/>
      <c r="AT2391" s="65"/>
      <c r="AU2391" s="77"/>
    </row>
    <row r="2392" spans="37:47">
      <c r="AK2392" s="12"/>
      <c r="AM2392" s="12"/>
      <c r="AN2392" s="75"/>
      <c r="AO2392" s="75"/>
      <c r="AP2392" s="75"/>
      <c r="AQ2392" s="75"/>
      <c r="AR2392" s="76"/>
      <c r="AT2392" s="65"/>
      <c r="AU2392" s="77"/>
    </row>
    <row r="2393" spans="37:47">
      <c r="AK2393" s="12"/>
      <c r="AM2393" s="12"/>
      <c r="AN2393" s="75"/>
      <c r="AO2393" s="75"/>
      <c r="AP2393" s="75"/>
      <c r="AQ2393" s="75"/>
      <c r="AR2393" s="76"/>
      <c r="AT2393" s="65"/>
      <c r="AU2393" s="77"/>
    </row>
    <row r="2394" spans="37:47">
      <c r="AK2394" s="12"/>
      <c r="AM2394" s="12"/>
      <c r="AN2394" s="75"/>
      <c r="AO2394" s="75"/>
      <c r="AP2394" s="75"/>
      <c r="AQ2394" s="75"/>
      <c r="AR2394" s="76"/>
      <c r="AT2394" s="65"/>
      <c r="AU2394" s="77"/>
    </row>
    <row r="2395" spans="37:47">
      <c r="AK2395" s="12"/>
      <c r="AM2395" s="12"/>
      <c r="AN2395" s="75"/>
      <c r="AO2395" s="75"/>
      <c r="AP2395" s="75"/>
      <c r="AQ2395" s="75"/>
      <c r="AR2395" s="76"/>
      <c r="AT2395" s="65"/>
      <c r="AU2395" s="77"/>
    </row>
    <row r="2396" spans="37:47">
      <c r="AK2396" s="12"/>
      <c r="AM2396" s="12"/>
      <c r="AN2396" s="75"/>
      <c r="AO2396" s="75"/>
      <c r="AP2396" s="75"/>
      <c r="AQ2396" s="75"/>
      <c r="AR2396" s="76"/>
      <c r="AT2396" s="65"/>
      <c r="AU2396" s="77"/>
    </row>
    <row r="2397" spans="37:47">
      <c r="AK2397" s="12"/>
      <c r="AM2397" s="12"/>
      <c r="AN2397" s="75"/>
      <c r="AO2397" s="75"/>
      <c r="AP2397" s="75"/>
      <c r="AQ2397" s="75"/>
      <c r="AR2397" s="76"/>
      <c r="AT2397" s="65"/>
      <c r="AU2397" s="77"/>
    </row>
    <row r="2398" spans="37:47">
      <c r="AK2398" s="12"/>
      <c r="AM2398" s="12"/>
      <c r="AN2398" s="75"/>
      <c r="AO2398" s="75"/>
      <c r="AP2398" s="75"/>
      <c r="AQ2398" s="75"/>
      <c r="AR2398" s="76"/>
      <c r="AT2398" s="65"/>
      <c r="AU2398" s="77"/>
    </row>
    <row r="2399" spans="37:47">
      <c r="AK2399" s="12"/>
      <c r="AM2399" s="12"/>
      <c r="AN2399" s="75"/>
      <c r="AO2399" s="75"/>
      <c r="AP2399" s="75"/>
      <c r="AQ2399" s="75"/>
      <c r="AR2399" s="76"/>
      <c r="AT2399" s="65"/>
      <c r="AU2399" s="77"/>
    </row>
    <row r="2400" spans="37:47">
      <c r="AK2400" s="12"/>
      <c r="AM2400" s="12"/>
      <c r="AN2400" s="75"/>
      <c r="AO2400" s="75"/>
      <c r="AP2400" s="75"/>
      <c r="AQ2400" s="75"/>
      <c r="AR2400" s="76"/>
      <c r="AT2400" s="65"/>
      <c r="AU2400" s="77"/>
    </row>
    <row r="2401" spans="37:47">
      <c r="AK2401" s="12"/>
      <c r="AM2401" s="12"/>
      <c r="AN2401" s="75"/>
      <c r="AO2401" s="75"/>
      <c r="AP2401" s="75"/>
      <c r="AQ2401" s="75"/>
      <c r="AR2401" s="76"/>
      <c r="AT2401" s="65"/>
      <c r="AU2401" s="77"/>
    </row>
    <row r="2402" spans="37:47">
      <c r="AK2402" s="12"/>
      <c r="AM2402" s="12"/>
      <c r="AN2402" s="75"/>
      <c r="AO2402" s="75"/>
      <c r="AP2402" s="75"/>
      <c r="AQ2402" s="75"/>
      <c r="AR2402" s="76"/>
      <c r="AT2402" s="65"/>
      <c r="AU2402" s="77"/>
    </row>
    <row r="2403" spans="37:47">
      <c r="AK2403" s="12"/>
      <c r="AM2403" s="12"/>
      <c r="AN2403" s="75"/>
      <c r="AO2403" s="75"/>
      <c r="AP2403" s="75"/>
      <c r="AQ2403" s="75"/>
      <c r="AR2403" s="76"/>
      <c r="AT2403" s="65"/>
      <c r="AU2403" s="77"/>
    </row>
    <row r="2404" spans="37:47">
      <c r="AK2404" s="12"/>
      <c r="AM2404" s="12"/>
      <c r="AN2404" s="75"/>
      <c r="AO2404" s="75"/>
      <c r="AP2404" s="75"/>
      <c r="AQ2404" s="75"/>
      <c r="AR2404" s="76"/>
      <c r="AT2404" s="65"/>
      <c r="AU2404" s="77"/>
    </row>
    <row r="2405" spans="37:47">
      <c r="AK2405" s="12"/>
      <c r="AM2405" s="12"/>
      <c r="AN2405" s="75"/>
      <c r="AO2405" s="75"/>
      <c r="AP2405" s="75"/>
      <c r="AQ2405" s="75"/>
      <c r="AR2405" s="76"/>
      <c r="AT2405" s="65"/>
      <c r="AU2405" s="77"/>
    </row>
    <row r="2406" spans="37:47">
      <c r="AK2406" s="12"/>
      <c r="AM2406" s="12"/>
      <c r="AN2406" s="75"/>
      <c r="AO2406" s="75"/>
      <c r="AP2406" s="75"/>
      <c r="AQ2406" s="75"/>
      <c r="AR2406" s="76"/>
      <c r="AT2406" s="65"/>
      <c r="AU2406" s="77"/>
    </row>
    <row r="2407" spans="37:47">
      <c r="AK2407" s="12"/>
      <c r="AM2407" s="12"/>
      <c r="AN2407" s="75"/>
      <c r="AO2407" s="75"/>
      <c r="AP2407" s="75"/>
      <c r="AQ2407" s="75"/>
      <c r="AR2407" s="76"/>
      <c r="AT2407" s="65"/>
      <c r="AU2407" s="77"/>
    </row>
    <row r="2408" spans="37:47">
      <c r="AK2408" s="12"/>
      <c r="AM2408" s="12"/>
      <c r="AN2408" s="75"/>
      <c r="AO2408" s="75"/>
      <c r="AP2408" s="75"/>
      <c r="AQ2408" s="75"/>
      <c r="AR2408" s="76"/>
      <c r="AT2408" s="65"/>
      <c r="AU2408" s="77"/>
    </row>
    <row r="2409" spans="37:47">
      <c r="AK2409" s="12"/>
      <c r="AM2409" s="12"/>
      <c r="AN2409" s="75"/>
      <c r="AO2409" s="75"/>
      <c r="AP2409" s="75"/>
      <c r="AQ2409" s="75"/>
      <c r="AR2409" s="76"/>
      <c r="AT2409" s="65"/>
      <c r="AU2409" s="77"/>
    </row>
    <row r="2410" spans="37:47">
      <c r="AK2410" s="12"/>
      <c r="AM2410" s="12"/>
      <c r="AN2410" s="75"/>
      <c r="AO2410" s="75"/>
      <c r="AP2410" s="75"/>
      <c r="AQ2410" s="75"/>
      <c r="AR2410" s="76"/>
      <c r="AT2410" s="65"/>
      <c r="AU2410" s="77"/>
    </row>
    <row r="2411" spans="37:47">
      <c r="AK2411" s="12"/>
      <c r="AM2411" s="12"/>
      <c r="AN2411" s="75"/>
      <c r="AO2411" s="75"/>
      <c r="AP2411" s="75"/>
      <c r="AQ2411" s="75"/>
      <c r="AR2411" s="76"/>
      <c r="AT2411" s="65"/>
      <c r="AU2411" s="77"/>
    </row>
    <row r="2412" spans="37:47">
      <c r="AK2412" s="12"/>
      <c r="AM2412" s="12"/>
      <c r="AN2412" s="75"/>
      <c r="AO2412" s="75"/>
      <c r="AP2412" s="75"/>
      <c r="AQ2412" s="75"/>
      <c r="AR2412" s="76"/>
      <c r="AT2412" s="65"/>
      <c r="AU2412" s="77"/>
    </row>
    <row r="2413" spans="37:47">
      <c r="AK2413" s="12"/>
      <c r="AM2413" s="12"/>
      <c r="AN2413" s="75"/>
      <c r="AO2413" s="75"/>
      <c r="AP2413" s="75"/>
      <c r="AQ2413" s="75"/>
      <c r="AR2413" s="76"/>
      <c r="AT2413" s="65"/>
      <c r="AU2413" s="77"/>
    </row>
    <row r="2414" spans="37:47">
      <c r="AK2414" s="12"/>
      <c r="AM2414" s="12"/>
      <c r="AN2414" s="75"/>
      <c r="AO2414" s="75"/>
      <c r="AP2414" s="75"/>
      <c r="AQ2414" s="75"/>
      <c r="AR2414" s="76"/>
      <c r="AT2414" s="65"/>
      <c r="AU2414" s="77"/>
    </row>
    <row r="2415" spans="37:47">
      <c r="AK2415" s="12"/>
      <c r="AM2415" s="12"/>
      <c r="AN2415" s="75"/>
      <c r="AO2415" s="75"/>
      <c r="AP2415" s="75"/>
      <c r="AQ2415" s="75"/>
      <c r="AR2415" s="76"/>
      <c r="AT2415" s="65"/>
      <c r="AU2415" s="77"/>
    </row>
    <row r="2416" spans="37:47">
      <c r="AK2416" s="12"/>
      <c r="AM2416" s="12"/>
      <c r="AN2416" s="75"/>
      <c r="AO2416" s="75"/>
      <c r="AP2416" s="75"/>
      <c r="AQ2416" s="75"/>
      <c r="AR2416" s="76"/>
      <c r="AT2416" s="65"/>
      <c r="AU2416" s="77"/>
    </row>
    <row r="2417" spans="37:47">
      <c r="AK2417" s="12"/>
      <c r="AM2417" s="12"/>
      <c r="AN2417" s="75"/>
      <c r="AO2417" s="75"/>
      <c r="AP2417" s="75"/>
      <c r="AQ2417" s="75"/>
      <c r="AR2417" s="76"/>
      <c r="AT2417" s="65"/>
      <c r="AU2417" s="77"/>
    </row>
    <row r="2418" spans="37:47">
      <c r="AK2418" s="12"/>
      <c r="AM2418" s="12"/>
      <c r="AN2418" s="75"/>
      <c r="AO2418" s="75"/>
      <c r="AP2418" s="75"/>
      <c r="AQ2418" s="75"/>
      <c r="AR2418" s="76"/>
      <c r="AT2418" s="65"/>
      <c r="AU2418" s="77"/>
    </row>
    <row r="2419" spans="37:47">
      <c r="AK2419" s="12"/>
      <c r="AM2419" s="12"/>
      <c r="AN2419" s="75"/>
      <c r="AO2419" s="75"/>
      <c r="AP2419" s="75"/>
      <c r="AQ2419" s="75"/>
      <c r="AR2419" s="76"/>
      <c r="AT2419" s="65"/>
      <c r="AU2419" s="77"/>
    </row>
    <row r="2420" spans="37:47">
      <c r="AK2420" s="12"/>
      <c r="AM2420" s="12"/>
      <c r="AN2420" s="75"/>
      <c r="AO2420" s="75"/>
      <c r="AP2420" s="75"/>
      <c r="AQ2420" s="75"/>
      <c r="AR2420" s="76"/>
      <c r="AT2420" s="65"/>
      <c r="AU2420" s="77"/>
    </row>
    <row r="2421" spans="37:47">
      <c r="AK2421" s="12"/>
      <c r="AM2421" s="12"/>
      <c r="AN2421" s="75"/>
      <c r="AO2421" s="75"/>
      <c r="AP2421" s="75"/>
      <c r="AQ2421" s="75"/>
      <c r="AR2421" s="76"/>
      <c r="AT2421" s="65"/>
      <c r="AU2421" s="77"/>
    </row>
    <row r="2422" spans="37:47">
      <c r="AK2422" s="12"/>
      <c r="AM2422" s="12"/>
      <c r="AN2422" s="75"/>
      <c r="AO2422" s="75"/>
      <c r="AP2422" s="75"/>
      <c r="AQ2422" s="75"/>
      <c r="AR2422" s="76"/>
      <c r="AT2422" s="65"/>
      <c r="AU2422" s="77"/>
    </row>
    <row r="2423" spans="37:47">
      <c r="AK2423" s="12"/>
      <c r="AM2423" s="12"/>
      <c r="AN2423" s="75"/>
      <c r="AO2423" s="75"/>
      <c r="AP2423" s="75"/>
      <c r="AQ2423" s="75"/>
      <c r="AR2423" s="76"/>
      <c r="AT2423" s="65"/>
      <c r="AU2423" s="77"/>
    </row>
    <row r="2424" spans="37:47">
      <c r="AK2424" s="12"/>
      <c r="AM2424" s="12"/>
      <c r="AN2424" s="75"/>
      <c r="AO2424" s="75"/>
      <c r="AP2424" s="75"/>
      <c r="AQ2424" s="75"/>
      <c r="AR2424" s="76"/>
      <c r="AT2424" s="65"/>
      <c r="AU2424" s="77"/>
    </row>
    <row r="2425" spans="37:47">
      <c r="AK2425" s="12"/>
      <c r="AM2425" s="12"/>
      <c r="AN2425" s="75"/>
      <c r="AO2425" s="75"/>
      <c r="AP2425" s="75"/>
      <c r="AQ2425" s="75"/>
      <c r="AR2425" s="76"/>
      <c r="AT2425" s="65"/>
      <c r="AU2425" s="77"/>
    </row>
    <row r="2426" spans="37:47">
      <c r="AK2426" s="12"/>
      <c r="AM2426" s="12"/>
      <c r="AN2426" s="75"/>
      <c r="AO2426" s="75"/>
      <c r="AP2426" s="75"/>
      <c r="AQ2426" s="75"/>
      <c r="AR2426" s="76"/>
      <c r="AT2426" s="65"/>
      <c r="AU2426" s="77"/>
    </row>
    <row r="2427" spans="37:47">
      <c r="AK2427" s="12"/>
      <c r="AM2427" s="12"/>
      <c r="AN2427" s="75"/>
      <c r="AO2427" s="75"/>
      <c r="AP2427" s="75"/>
      <c r="AQ2427" s="75"/>
      <c r="AR2427" s="76"/>
      <c r="AT2427" s="65"/>
      <c r="AU2427" s="77"/>
    </row>
    <row r="2428" spans="37:47">
      <c r="AK2428" s="12"/>
      <c r="AM2428" s="12"/>
      <c r="AN2428" s="75"/>
      <c r="AO2428" s="75"/>
      <c r="AP2428" s="75"/>
      <c r="AQ2428" s="75"/>
      <c r="AR2428" s="76"/>
      <c r="AT2428" s="65"/>
      <c r="AU2428" s="77"/>
    </row>
    <row r="2429" spans="37:47">
      <c r="AK2429" s="12"/>
      <c r="AM2429" s="12"/>
      <c r="AN2429" s="75"/>
      <c r="AO2429" s="75"/>
      <c r="AP2429" s="75"/>
      <c r="AQ2429" s="75"/>
      <c r="AR2429" s="76"/>
      <c r="AT2429" s="65"/>
      <c r="AU2429" s="77"/>
    </row>
    <row r="2430" spans="37:47">
      <c r="AK2430" s="12"/>
      <c r="AM2430" s="12"/>
      <c r="AN2430" s="75"/>
      <c r="AO2430" s="75"/>
      <c r="AP2430" s="75"/>
      <c r="AQ2430" s="75"/>
      <c r="AR2430" s="76"/>
      <c r="AT2430" s="65"/>
      <c r="AU2430" s="77"/>
    </row>
    <row r="2431" spans="37:47">
      <c r="AK2431" s="12"/>
      <c r="AM2431" s="12"/>
      <c r="AN2431" s="75"/>
      <c r="AO2431" s="75"/>
      <c r="AP2431" s="75"/>
      <c r="AQ2431" s="75"/>
      <c r="AR2431" s="76"/>
      <c r="AT2431" s="65"/>
      <c r="AU2431" s="77"/>
    </row>
    <row r="2432" spans="37:47">
      <c r="AK2432" s="12"/>
      <c r="AM2432" s="12"/>
      <c r="AN2432" s="75"/>
      <c r="AO2432" s="75"/>
      <c r="AP2432" s="75"/>
      <c r="AQ2432" s="75"/>
      <c r="AR2432" s="76"/>
      <c r="AT2432" s="65"/>
      <c r="AU2432" s="77"/>
    </row>
    <row r="2433" spans="37:47">
      <c r="AK2433" s="12"/>
      <c r="AM2433" s="12"/>
      <c r="AN2433" s="75"/>
      <c r="AO2433" s="75"/>
      <c r="AP2433" s="75"/>
      <c r="AQ2433" s="75"/>
      <c r="AR2433" s="76"/>
      <c r="AT2433" s="65"/>
      <c r="AU2433" s="77"/>
    </row>
    <row r="2434" spans="37:47">
      <c r="AK2434" s="12"/>
      <c r="AM2434" s="12"/>
      <c r="AN2434" s="75"/>
      <c r="AO2434" s="75"/>
      <c r="AP2434" s="75"/>
      <c r="AQ2434" s="75"/>
      <c r="AR2434" s="76"/>
      <c r="AT2434" s="65"/>
      <c r="AU2434" s="77"/>
    </row>
    <row r="2435" spans="37:47">
      <c r="AK2435" s="12"/>
      <c r="AM2435" s="12"/>
      <c r="AN2435" s="75"/>
      <c r="AO2435" s="75"/>
      <c r="AP2435" s="75"/>
      <c r="AQ2435" s="75"/>
      <c r="AR2435" s="76"/>
      <c r="AT2435" s="65"/>
      <c r="AU2435" s="77"/>
    </row>
    <row r="2436" spans="37:47">
      <c r="AK2436" s="12"/>
      <c r="AM2436" s="12"/>
      <c r="AN2436" s="75"/>
      <c r="AO2436" s="75"/>
      <c r="AP2436" s="75"/>
      <c r="AQ2436" s="75"/>
      <c r="AR2436" s="76"/>
      <c r="AT2436" s="65"/>
      <c r="AU2436" s="77"/>
    </row>
    <row r="2437" spans="37:47">
      <c r="AK2437" s="12"/>
      <c r="AM2437" s="12"/>
      <c r="AN2437" s="75"/>
      <c r="AO2437" s="75"/>
      <c r="AP2437" s="75"/>
      <c r="AQ2437" s="75"/>
      <c r="AR2437" s="76"/>
      <c r="AT2437" s="65"/>
      <c r="AU2437" s="77"/>
    </row>
    <row r="2438" spans="37:47">
      <c r="AK2438" s="12"/>
      <c r="AM2438" s="12"/>
      <c r="AN2438" s="75"/>
      <c r="AO2438" s="75"/>
      <c r="AP2438" s="75"/>
      <c r="AQ2438" s="75"/>
      <c r="AR2438" s="76"/>
      <c r="AT2438" s="65"/>
      <c r="AU2438" s="77"/>
    </row>
    <row r="2439" spans="37:47">
      <c r="AK2439" s="12"/>
      <c r="AM2439" s="12"/>
      <c r="AN2439" s="75"/>
      <c r="AO2439" s="75"/>
      <c r="AP2439" s="75"/>
      <c r="AQ2439" s="75"/>
      <c r="AR2439" s="76"/>
      <c r="AT2439" s="65"/>
      <c r="AU2439" s="77"/>
    </row>
    <row r="2440" spans="37:47">
      <c r="AK2440" s="12"/>
      <c r="AM2440" s="12"/>
      <c r="AN2440" s="75"/>
      <c r="AO2440" s="75"/>
      <c r="AP2440" s="75"/>
      <c r="AQ2440" s="75"/>
      <c r="AR2440" s="76"/>
      <c r="AT2440" s="65"/>
      <c r="AU2440" s="77"/>
    </row>
    <row r="2441" spans="37:47">
      <c r="AK2441" s="12"/>
      <c r="AM2441" s="12"/>
      <c r="AN2441" s="75"/>
      <c r="AO2441" s="75"/>
      <c r="AP2441" s="75"/>
      <c r="AQ2441" s="75"/>
      <c r="AR2441" s="76"/>
      <c r="AT2441" s="65"/>
      <c r="AU2441" s="77"/>
    </row>
    <row r="2442" spans="37:47">
      <c r="AK2442" s="12"/>
      <c r="AM2442" s="12"/>
      <c r="AN2442" s="75"/>
      <c r="AO2442" s="75"/>
      <c r="AP2442" s="75"/>
      <c r="AQ2442" s="75"/>
      <c r="AR2442" s="76"/>
      <c r="AT2442" s="65"/>
      <c r="AU2442" s="77"/>
    </row>
    <row r="2443" spans="37:47">
      <c r="AK2443" s="12"/>
      <c r="AM2443" s="12"/>
      <c r="AN2443" s="75"/>
      <c r="AO2443" s="75"/>
      <c r="AP2443" s="75"/>
      <c r="AQ2443" s="75"/>
      <c r="AR2443" s="76"/>
      <c r="AT2443" s="65"/>
      <c r="AU2443" s="77"/>
    </row>
    <row r="2444" spans="37:47">
      <c r="AK2444" s="12"/>
      <c r="AM2444" s="12"/>
      <c r="AN2444" s="75"/>
      <c r="AO2444" s="75"/>
      <c r="AP2444" s="75"/>
      <c r="AQ2444" s="75"/>
      <c r="AR2444" s="76"/>
      <c r="AT2444" s="65"/>
      <c r="AU2444" s="77"/>
    </row>
    <row r="2445" spans="37:47">
      <c r="AK2445" s="12"/>
      <c r="AM2445" s="12"/>
      <c r="AN2445" s="75"/>
      <c r="AO2445" s="75"/>
      <c r="AP2445" s="75"/>
      <c r="AQ2445" s="75"/>
      <c r="AR2445" s="76"/>
      <c r="AT2445" s="65"/>
      <c r="AU2445" s="77"/>
    </row>
    <row r="2446" spans="37:47">
      <c r="AK2446" s="12"/>
      <c r="AM2446" s="12"/>
      <c r="AN2446" s="75"/>
      <c r="AO2446" s="75"/>
      <c r="AP2446" s="75"/>
      <c r="AQ2446" s="75"/>
      <c r="AR2446" s="76"/>
      <c r="AT2446" s="65"/>
      <c r="AU2446" s="77"/>
    </row>
    <row r="2447" spans="37:47">
      <c r="AK2447" s="12"/>
      <c r="AM2447" s="12"/>
      <c r="AN2447" s="75"/>
      <c r="AO2447" s="75"/>
      <c r="AP2447" s="75"/>
      <c r="AQ2447" s="75"/>
      <c r="AR2447" s="76"/>
      <c r="AT2447" s="65"/>
      <c r="AU2447" s="77"/>
    </row>
    <row r="2448" spans="37:47">
      <c r="AK2448" s="12"/>
      <c r="AM2448" s="12"/>
      <c r="AN2448" s="75"/>
      <c r="AO2448" s="75"/>
      <c r="AP2448" s="75"/>
      <c r="AQ2448" s="75"/>
      <c r="AR2448" s="76"/>
      <c r="AT2448" s="65"/>
      <c r="AU2448" s="77"/>
    </row>
    <row r="2449" spans="37:47">
      <c r="AK2449" s="12"/>
      <c r="AM2449" s="12"/>
      <c r="AN2449" s="75"/>
      <c r="AO2449" s="75"/>
      <c r="AP2449" s="75"/>
      <c r="AQ2449" s="75"/>
      <c r="AR2449" s="76"/>
      <c r="AT2449" s="65"/>
      <c r="AU2449" s="77"/>
    </row>
    <row r="2450" spans="37:47">
      <c r="AK2450" s="12"/>
      <c r="AM2450" s="12"/>
      <c r="AN2450" s="75"/>
      <c r="AO2450" s="75"/>
      <c r="AP2450" s="75"/>
      <c r="AQ2450" s="75"/>
      <c r="AR2450" s="76"/>
      <c r="AT2450" s="65"/>
      <c r="AU2450" s="77"/>
    </row>
    <row r="2451" spans="37:47">
      <c r="AK2451" s="12"/>
      <c r="AM2451" s="12"/>
      <c r="AN2451" s="75"/>
      <c r="AO2451" s="75"/>
      <c r="AP2451" s="75"/>
      <c r="AQ2451" s="75"/>
      <c r="AR2451" s="76"/>
      <c r="AT2451" s="65"/>
      <c r="AU2451" s="77"/>
    </row>
    <row r="2452" spans="37:47">
      <c r="AK2452" s="12"/>
      <c r="AM2452" s="12"/>
      <c r="AN2452" s="75"/>
      <c r="AO2452" s="75"/>
      <c r="AP2452" s="75"/>
      <c r="AQ2452" s="75"/>
      <c r="AR2452" s="76"/>
      <c r="AT2452" s="65"/>
      <c r="AU2452" s="77"/>
    </row>
    <row r="2453" spans="37:47">
      <c r="AK2453" s="12"/>
      <c r="AM2453" s="12"/>
      <c r="AN2453" s="75"/>
      <c r="AO2453" s="75"/>
      <c r="AP2453" s="75"/>
      <c r="AQ2453" s="75"/>
      <c r="AR2453" s="76"/>
      <c r="AT2453" s="65"/>
      <c r="AU2453" s="77"/>
    </row>
    <row r="2454" spans="37:47">
      <c r="AK2454" s="12"/>
      <c r="AM2454" s="12"/>
      <c r="AN2454" s="75"/>
      <c r="AO2454" s="75"/>
      <c r="AP2454" s="75"/>
      <c r="AQ2454" s="75"/>
      <c r="AR2454" s="76"/>
      <c r="AT2454" s="65"/>
      <c r="AU2454" s="77"/>
    </row>
    <row r="2455" spans="37:47">
      <c r="AK2455" s="12"/>
      <c r="AM2455" s="12"/>
      <c r="AN2455" s="75"/>
      <c r="AO2455" s="75"/>
      <c r="AP2455" s="75"/>
      <c r="AQ2455" s="75"/>
      <c r="AR2455" s="76"/>
      <c r="AT2455" s="65"/>
      <c r="AU2455" s="77"/>
    </row>
    <row r="2456" spans="37:47">
      <c r="AK2456" s="12"/>
      <c r="AM2456" s="12"/>
      <c r="AN2456" s="75"/>
      <c r="AO2456" s="75"/>
      <c r="AP2456" s="75"/>
      <c r="AQ2456" s="75"/>
      <c r="AR2456" s="76"/>
      <c r="AT2456" s="65"/>
      <c r="AU2456" s="77"/>
    </row>
    <row r="2457" spans="37:47">
      <c r="AK2457" s="12"/>
      <c r="AM2457" s="12"/>
      <c r="AN2457" s="75"/>
      <c r="AO2457" s="75"/>
      <c r="AP2457" s="75"/>
      <c r="AQ2457" s="75"/>
      <c r="AR2457" s="76"/>
      <c r="AT2457" s="65"/>
      <c r="AU2457" s="77"/>
    </row>
    <row r="2458" spans="37:47">
      <c r="AK2458" s="12"/>
      <c r="AM2458" s="12"/>
      <c r="AN2458" s="75"/>
      <c r="AO2458" s="75"/>
      <c r="AP2458" s="75"/>
      <c r="AQ2458" s="75"/>
      <c r="AR2458" s="76"/>
      <c r="AT2458" s="65"/>
      <c r="AU2458" s="77"/>
    </row>
    <row r="2459" spans="37:47">
      <c r="AK2459" s="12"/>
      <c r="AM2459" s="12"/>
      <c r="AN2459" s="75"/>
      <c r="AO2459" s="75"/>
      <c r="AP2459" s="75"/>
      <c r="AQ2459" s="75"/>
      <c r="AR2459" s="76"/>
      <c r="AT2459" s="65"/>
      <c r="AU2459" s="77"/>
    </row>
    <row r="2460" spans="37:47">
      <c r="AK2460" s="12"/>
      <c r="AM2460" s="12"/>
      <c r="AN2460" s="75"/>
      <c r="AO2460" s="75"/>
      <c r="AP2460" s="75"/>
      <c r="AQ2460" s="75"/>
      <c r="AR2460" s="76"/>
      <c r="AT2460" s="65"/>
      <c r="AU2460" s="77"/>
    </row>
    <row r="2461" spans="37:47">
      <c r="AK2461" s="12"/>
      <c r="AM2461" s="12"/>
      <c r="AN2461" s="75"/>
      <c r="AO2461" s="75"/>
      <c r="AP2461" s="75"/>
      <c r="AQ2461" s="75"/>
      <c r="AR2461" s="76"/>
      <c r="AT2461" s="65"/>
      <c r="AU2461" s="77"/>
    </row>
    <row r="2462" spans="37:47">
      <c r="AK2462" s="12"/>
      <c r="AM2462" s="12"/>
      <c r="AN2462" s="75"/>
      <c r="AO2462" s="75"/>
      <c r="AP2462" s="75"/>
      <c r="AQ2462" s="75"/>
      <c r="AR2462" s="76"/>
      <c r="AT2462" s="65"/>
      <c r="AU2462" s="77"/>
    </row>
    <row r="2463" spans="37:47">
      <c r="AK2463" s="12"/>
      <c r="AM2463" s="12"/>
      <c r="AN2463" s="75"/>
      <c r="AO2463" s="75"/>
      <c r="AP2463" s="75"/>
      <c r="AQ2463" s="75"/>
      <c r="AR2463" s="76"/>
      <c r="AT2463" s="65"/>
      <c r="AU2463" s="77"/>
    </row>
    <row r="2464" spans="37:47">
      <c r="AK2464" s="12"/>
      <c r="AM2464" s="12"/>
      <c r="AN2464" s="75"/>
      <c r="AO2464" s="75"/>
      <c r="AP2464" s="75"/>
      <c r="AQ2464" s="75"/>
      <c r="AR2464" s="76"/>
      <c r="AT2464" s="65"/>
      <c r="AU2464" s="77"/>
    </row>
    <row r="2465" spans="37:47">
      <c r="AK2465" s="12"/>
      <c r="AM2465" s="12"/>
      <c r="AN2465" s="75"/>
      <c r="AO2465" s="75"/>
      <c r="AP2465" s="75"/>
      <c r="AQ2465" s="75"/>
      <c r="AR2465" s="76"/>
      <c r="AT2465" s="65"/>
      <c r="AU2465" s="77"/>
    </row>
    <row r="2466" spans="37:47">
      <c r="AK2466" s="12"/>
      <c r="AM2466" s="12"/>
      <c r="AN2466" s="75"/>
      <c r="AO2466" s="75"/>
      <c r="AP2466" s="75"/>
      <c r="AQ2466" s="75"/>
      <c r="AR2466" s="76"/>
      <c r="AT2466" s="65"/>
      <c r="AU2466" s="77"/>
    </row>
    <row r="2467" spans="37:47">
      <c r="AK2467" s="12"/>
      <c r="AM2467" s="12"/>
      <c r="AN2467" s="75"/>
      <c r="AO2467" s="75"/>
      <c r="AP2467" s="75"/>
      <c r="AQ2467" s="75"/>
      <c r="AR2467" s="76"/>
      <c r="AT2467" s="65"/>
      <c r="AU2467" s="77"/>
    </row>
    <row r="2468" spans="37:47">
      <c r="AK2468" s="12"/>
      <c r="AM2468" s="12"/>
      <c r="AN2468" s="75"/>
      <c r="AO2468" s="75"/>
      <c r="AP2468" s="75"/>
      <c r="AQ2468" s="75"/>
      <c r="AR2468" s="76"/>
      <c r="AT2468" s="65"/>
      <c r="AU2468" s="77"/>
    </row>
    <row r="2469" spans="37:47">
      <c r="AK2469" s="12"/>
      <c r="AM2469" s="12"/>
      <c r="AN2469" s="75"/>
      <c r="AO2469" s="75"/>
      <c r="AP2469" s="75"/>
      <c r="AQ2469" s="75"/>
      <c r="AR2469" s="76"/>
      <c r="AT2469" s="65"/>
      <c r="AU2469" s="77"/>
    </row>
    <row r="2470" spans="37:47">
      <c r="AK2470" s="12"/>
      <c r="AM2470" s="12"/>
      <c r="AN2470" s="75"/>
      <c r="AO2470" s="75"/>
      <c r="AP2470" s="75"/>
      <c r="AQ2470" s="75"/>
      <c r="AR2470" s="76"/>
      <c r="AT2470" s="65"/>
      <c r="AU2470" s="77"/>
    </row>
    <row r="2471" spans="37:47">
      <c r="AK2471" s="12"/>
      <c r="AM2471" s="12"/>
      <c r="AN2471" s="75"/>
      <c r="AO2471" s="75"/>
      <c r="AP2471" s="75"/>
      <c r="AQ2471" s="75"/>
      <c r="AR2471" s="76"/>
      <c r="AT2471" s="65"/>
      <c r="AU2471" s="77"/>
    </row>
    <row r="2472" spans="37:47">
      <c r="AK2472" s="12"/>
      <c r="AM2472" s="12"/>
      <c r="AN2472" s="75"/>
      <c r="AO2472" s="75"/>
      <c r="AP2472" s="75"/>
      <c r="AQ2472" s="75"/>
      <c r="AR2472" s="76"/>
      <c r="AT2472" s="65"/>
      <c r="AU2472" s="77"/>
    </row>
    <row r="2473" spans="37:47">
      <c r="AK2473" s="12"/>
      <c r="AM2473" s="12"/>
      <c r="AN2473" s="75"/>
      <c r="AO2473" s="75"/>
      <c r="AP2473" s="75"/>
      <c r="AQ2473" s="75"/>
      <c r="AR2473" s="76"/>
      <c r="AT2473" s="65"/>
      <c r="AU2473" s="77"/>
    </row>
    <row r="2474" spans="37:47">
      <c r="AK2474" s="12"/>
      <c r="AM2474" s="12"/>
      <c r="AN2474" s="75"/>
      <c r="AO2474" s="75"/>
      <c r="AP2474" s="75"/>
      <c r="AQ2474" s="75"/>
      <c r="AR2474" s="76"/>
      <c r="AT2474" s="65"/>
      <c r="AU2474" s="77"/>
    </row>
    <row r="2475" spans="37:47">
      <c r="AK2475" s="12"/>
      <c r="AM2475" s="12"/>
      <c r="AN2475" s="75"/>
      <c r="AO2475" s="75"/>
      <c r="AP2475" s="75"/>
      <c r="AQ2475" s="75"/>
      <c r="AR2475" s="76"/>
      <c r="AT2475" s="65"/>
      <c r="AU2475" s="77"/>
    </row>
    <row r="2476" spans="37:47">
      <c r="AK2476" s="12"/>
      <c r="AM2476" s="12"/>
      <c r="AN2476" s="75"/>
      <c r="AO2476" s="75"/>
      <c r="AP2476" s="75"/>
      <c r="AQ2476" s="75"/>
      <c r="AR2476" s="76"/>
      <c r="AT2476" s="65"/>
      <c r="AU2476" s="77"/>
    </row>
    <row r="2477" spans="37:47">
      <c r="AK2477" s="12"/>
      <c r="AM2477" s="12"/>
      <c r="AN2477" s="75"/>
      <c r="AO2477" s="75"/>
      <c r="AP2477" s="75"/>
      <c r="AQ2477" s="75"/>
      <c r="AR2477" s="76"/>
      <c r="AT2477" s="65"/>
      <c r="AU2477" s="77"/>
    </row>
    <row r="2478" spans="37:47">
      <c r="AK2478" s="12"/>
      <c r="AM2478" s="12"/>
      <c r="AN2478" s="75"/>
      <c r="AO2478" s="75"/>
      <c r="AP2478" s="75"/>
      <c r="AQ2478" s="75"/>
      <c r="AR2478" s="76"/>
      <c r="AT2478" s="65"/>
      <c r="AU2478" s="77"/>
    </row>
    <row r="2479" spans="37:47">
      <c r="AK2479" s="12"/>
      <c r="AM2479" s="12"/>
      <c r="AN2479" s="75"/>
      <c r="AO2479" s="75"/>
      <c r="AP2479" s="75"/>
      <c r="AQ2479" s="75"/>
      <c r="AR2479" s="76"/>
      <c r="AT2479" s="65"/>
      <c r="AU2479" s="77"/>
    </row>
    <row r="2480" spans="37:47">
      <c r="AK2480" s="12"/>
      <c r="AM2480" s="12"/>
      <c r="AN2480" s="75"/>
      <c r="AO2480" s="75"/>
      <c r="AP2480" s="75"/>
      <c r="AQ2480" s="75"/>
      <c r="AR2480" s="76"/>
      <c r="AT2480" s="65"/>
      <c r="AU2480" s="77"/>
    </row>
    <row r="2481" spans="37:47">
      <c r="AK2481" s="12"/>
      <c r="AM2481" s="12"/>
      <c r="AN2481" s="75"/>
      <c r="AO2481" s="75"/>
      <c r="AP2481" s="75"/>
      <c r="AQ2481" s="75"/>
      <c r="AR2481" s="76"/>
      <c r="AT2481" s="65"/>
      <c r="AU2481" s="77"/>
    </row>
    <row r="2482" spans="37:47">
      <c r="AK2482" s="12"/>
      <c r="AM2482" s="12"/>
      <c r="AN2482" s="75"/>
      <c r="AO2482" s="75"/>
      <c r="AP2482" s="75"/>
      <c r="AQ2482" s="75"/>
      <c r="AR2482" s="76"/>
      <c r="AT2482" s="65"/>
      <c r="AU2482" s="77"/>
    </row>
    <row r="2483" spans="37:47">
      <c r="AK2483" s="12"/>
      <c r="AM2483" s="12"/>
      <c r="AN2483" s="75"/>
      <c r="AO2483" s="75"/>
      <c r="AP2483" s="75"/>
      <c r="AQ2483" s="75"/>
      <c r="AR2483" s="76"/>
      <c r="AT2483" s="65"/>
      <c r="AU2483" s="77"/>
    </row>
    <row r="2484" spans="37:47">
      <c r="AK2484" s="12"/>
      <c r="AM2484" s="12"/>
      <c r="AN2484" s="75"/>
      <c r="AO2484" s="75"/>
      <c r="AP2484" s="75"/>
      <c r="AQ2484" s="75"/>
      <c r="AR2484" s="76"/>
      <c r="AT2484" s="65"/>
      <c r="AU2484" s="77"/>
    </row>
    <row r="2485" spans="37:47">
      <c r="AK2485" s="12"/>
      <c r="AM2485" s="12"/>
      <c r="AN2485" s="75"/>
      <c r="AO2485" s="75"/>
      <c r="AP2485" s="75"/>
      <c r="AQ2485" s="75"/>
      <c r="AR2485" s="76"/>
      <c r="AT2485" s="65"/>
      <c r="AU2485" s="77"/>
    </row>
    <row r="2486" spans="37:47">
      <c r="AK2486" s="12"/>
      <c r="AM2486" s="12"/>
      <c r="AN2486" s="75"/>
      <c r="AO2486" s="75"/>
      <c r="AP2486" s="75"/>
      <c r="AQ2486" s="75"/>
      <c r="AR2486" s="76"/>
      <c r="AT2486" s="65"/>
      <c r="AU2486" s="77"/>
    </row>
    <row r="2487" spans="37:47">
      <c r="AK2487" s="12"/>
      <c r="AM2487" s="12"/>
      <c r="AN2487" s="75"/>
      <c r="AO2487" s="75"/>
      <c r="AP2487" s="75"/>
      <c r="AQ2487" s="75"/>
      <c r="AR2487" s="76"/>
      <c r="AT2487" s="65"/>
      <c r="AU2487" s="77"/>
    </row>
    <row r="2488" spans="37:47">
      <c r="AK2488" s="12"/>
      <c r="AM2488" s="12"/>
      <c r="AN2488" s="75"/>
      <c r="AO2488" s="75"/>
      <c r="AP2488" s="75"/>
      <c r="AQ2488" s="75"/>
      <c r="AR2488" s="76"/>
      <c r="AT2488" s="65"/>
      <c r="AU2488" s="77"/>
    </row>
    <row r="2489" spans="37:47">
      <c r="AK2489" s="12"/>
      <c r="AM2489" s="12"/>
      <c r="AN2489" s="75"/>
      <c r="AO2489" s="75"/>
      <c r="AP2489" s="75"/>
      <c r="AQ2489" s="75"/>
      <c r="AR2489" s="76"/>
      <c r="AT2489" s="65"/>
      <c r="AU2489" s="77"/>
    </row>
    <row r="2490" spans="37:47">
      <c r="AK2490" s="12"/>
      <c r="AM2490" s="12"/>
      <c r="AN2490" s="75"/>
      <c r="AO2490" s="75"/>
      <c r="AP2490" s="75"/>
      <c r="AQ2490" s="75"/>
      <c r="AR2490" s="76"/>
      <c r="AT2490" s="65"/>
      <c r="AU2490" s="77"/>
    </row>
    <row r="2491" spans="37:47">
      <c r="AK2491" s="12"/>
      <c r="AM2491" s="12"/>
      <c r="AN2491" s="75"/>
      <c r="AO2491" s="75"/>
      <c r="AP2491" s="75"/>
      <c r="AQ2491" s="75"/>
      <c r="AR2491" s="76"/>
      <c r="AT2491" s="65"/>
      <c r="AU2491" s="77"/>
    </row>
    <row r="2492" spans="37:47">
      <c r="AK2492" s="12"/>
      <c r="AM2492" s="12"/>
      <c r="AN2492" s="75"/>
      <c r="AO2492" s="75"/>
      <c r="AP2492" s="75"/>
      <c r="AQ2492" s="75"/>
      <c r="AR2492" s="76"/>
      <c r="AT2492" s="65"/>
      <c r="AU2492" s="77"/>
    </row>
    <row r="2493" spans="37:47">
      <c r="AK2493" s="12"/>
      <c r="AM2493" s="12"/>
      <c r="AN2493" s="75"/>
      <c r="AO2493" s="75"/>
      <c r="AP2493" s="75"/>
      <c r="AQ2493" s="75"/>
      <c r="AR2493" s="76"/>
      <c r="AT2493" s="65"/>
      <c r="AU2493" s="77"/>
    </row>
    <row r="2494" spans="37:47">
      <c r="AK2494" s="12"/>
      <c r="AM2494" s="12"/>
      <c r="AN2494" s="75"/>
      <c r="AO2494" s="75"/>
      <c r="AP2494" s="75"/>
      <c r="AQ2494" s="75"/>
      <c r="AR2494" s="76"/>
      <c r="AT2494" s="65"/>
      <c r="AU2494" s="77"/>
    </row>
    <row r="2495" spans="37:47">
      <c r="AK2495" s="12"/>
      <c r="AM2495" s="12"/>
      <c r="AN2495" s="75"/>
      <c r="AO2495" s="75"/>
      <c r="AP2495" s="75"/>
      <c r="AQ2495" s="75"/>
      <c r="AR2495" s="76"/>
      <c r="AT2495" s="65"/>
      <c r="AU2495" s="77"/>
    </row>
    <row r="2496" spans="37:47">
      <c r="AK2496" s="12"/>
      <c r="AM2496" s="12"/>
      <c r="AN2496" s="75"/>
      <c r="AO2496" s="75"/>
      <c r="AP2496" s="75"/>
      <c r="AQ2496" s="75"/>
      <c r="AR2496" s="76"/>
      <c r="AT2496" s="65"/>
      <c r="AU2496" s="77"/>
    </row>
    <row r="2497" spans="37:47">
      <c r="AK2497" s="12"/>
      <c r="AM2497" s="12"/>
      <c r="AN2497" s="75"/>
      <c r="AO2497" s="75"/>
      <c r="AP2497" s="75"/>
      <c r="AQ2497" s="75"/>
      <c r="AR2497" s="76"/>
      <c r="AT2497" s="65"/>
      <c r="AU2497" s="77"/>
    </row>
    <row r="2498" spans="37:47">
      <c r="AK2498" s="12"/>
      <c r="AM2498" s="12"/>
      <c r="AN2498" s="75"/>
      <c r="AO2498" s="75"/>
      <c r="AP2498" s="75"/>
      <c r="AQ2498" s="75"/>
      <c r="AR2498" s="76"/>
      <c r="AT2498" s="65"/>
      <c r="AU2498" s="77"/>
    </row>
    <row r="2499" spans="37:47">
      <c r="AK2499" s="12"/>
      <c r="AM2499" s="12"/>
      <c r="AN2499" s="75"/>
      <c r="AO2499" s="75"/>
      <c r="AP2499" s="75"/>
      <c r="AQ2499" s="75"/>
      <c r="AR2499" s="76"/>
      <c r="AT2499" s="65"/>
      <c r="AU2499" s="77"/>
    </row>
    <row r="2500" spans="37:47">
      <c r="AK2500" s="12"/>
      <c r="AM2500" s="12"/>
      <c r="AN2500" s="75"/>
      <c r="AO2500" s="75"/>
      <c r="AP2500" s="75"/>
      <c r="AQ2500" s="75"/>
      <c r="AR2500" s="76"/>
      <c r="AT2500" s="65"/>
      <c r="AU2500" s="77"/>
    </row>
    <row r="2501" spans="37:47">
      <c r="AK2501" s="12"/>
      <c r="AM2501" s="12"/>
      <c r="AN2501" s="75"/>
      <c r="AO2501" s="75"/>
      <c r="AP2501" s="75"/>
      <c r="AQ2501" s="75"/>
      <c r="AR2501" s="76"/>
      <c r="AT2501" s="65"/>
      <c r="AU2501" s="77"/>
    </row>
    <row r="2502" spans="37:47">
      <c r="AK2502" s="12"/>
      <c r="AM2502" s="12"/>
      <c r="AN2502" s="75"/>
      <c r="AO2502" s="75"/>
      <c r="AP2502" s="75"/>
      <c r="AQ2502" s="75"/>
      <c r="AR2502" s="76"/>
      <c r="AT2502" s="65"/>
      <c r="AU2502" s="77"/>
    </row>
    <row r="2503" spans="37:47">
      <c r="AK2503" s="12"/>
      <c r="AM2503" s="12"/>
      <c r="AN2503" s="75"/>
      <c r="AO2503" s="75"/>
      <c r="AP2503" s="75"/>
      <c r="AQ2503" s="75"/>
      <c r="AR2503" s="76"/>
      <c r="AT2503" s="65"/>
      <c r="AU2503" s="77"/>
    </row>
    <row r="2504" spans="37:47">
      <c r="AK2504" s="12"/>
      <c r="AM2504" s="12"/>
      <c r="AN2504" s="75"/>
      <c r="AO2504" s="75"/>
      <c r="AP2504" s="75"/>
      <c r="AQ2504" s="75"/>
      <c r="AR2504" s="76"/>
      <c r="AT2504" s="65"/>
      <c r="AU2504" s="77"/>
    </row>
    <row r="2505" spans="37:47">
      <c r="AK2505" s="12"/>
      <c r="AM2505" s="12"/>
      <c r="AN2505" s="75"/>
      <c r="AO2505" s="75"/>
      <c r="AP2505" s="75"/>
      <c r="AQ2505" s="75"/>
      <c r="AR2505" s="76"/>
      <c r="AT2505" s="65"/>
      <c r="AU2505" s="77"/>
    </row>
    <row r="2506" spans="37:47">
      <c r="AK2506" s="12"/>
      <c r="AM2506" s="12"/>
      <c r="AN2506" s="75"/>
      <c r="AO2506" s="75"/>
      <c r="AP2506" s="75"/>
      <c r="AQ2506" s="75"/>
      <c r="AR2506" s="76"/>
      <c r="AT2506" s="65"/>
      <c r="AU2506" s="77"/>
    </row>
    <row r="2507" spans="37:47">
      <c r="AK2507" s="12"/>
      <c r="AM2507" s="12"/>
      <c r="AN2507" s="75"/>
      <c r="AO2507" s="75"/>
      <c r="AP2507" s="75"/>
      <c r="AQ2507" s="75"/>
      <c r="AR2507" s="76"/>
      <c r="AT2507" s="65"/>
      <c r="AU2507" s="77"/>
    </row>
    <row r="2508" spans="37:47">
      <c r="AK2508" s="12"/>
      <c r="AM2508" s="12"/>
      <c r="AN2508" s="75"/>
      <c r="AO2508" s="75"/>
      <c r="AP2508" s="75"/>
      <c r="AQ2508" s="75"/>
      <c r="AR2508" s="76"/>
      <c r="AT2508" s="65"/>
      <c r="AU2508" s="77"/>
    </row>
    <row r="2509" spans="37:47">
      <c r="AK2509" s="12"/>
      <c r="AM2509" s="12"/>
      <c r="AN2509" s="75"/>
      <c r="AO2509" s="75"/>
      <c r="AP2509" s="75"/>
      <c r="AQ2509" s="75"/>
      <c r="AR2509" s="76"/>
      <c r="AT2509" s="65"/>
      <c r="AU2509" s="77"/>
    </row>
    <row r="2510" spans="37:47">
      <c r="AK2510" s="12"/>
      <c r="AM2510" s="12"/>
      <c r="AN2510" s="75"/>
      <c r="AO2510" s="75"/>
      <c r="AP2510" s="75"/>
      <c r="AQ2510" s="75"/>
      <c r="AR2510" s="76"/>
      <c r="AT2510" s="65"/>
      <c r="AU2510" s="77"/>
    </row>
    <row r="2511" spans="37:47">
      <c r="AK2511" s="12"/>
      <c r="AM2511" s="12"/>
      <c r="AN2511" s="75"/>
      <c r="AO2511" s="75"/>
      <c r="AP2511" s="75"/>
      <c r="AQ2511" s="75"/>
      <c r="AR2511" s="76"/>
      <c r="AT2511" s="65"/>
      <c r="AU2511" s="77"/>
    </row>
    <row r="2512" spans="37:47">
      <c r="AK2512" s="12"/>
      <c r="AM2512" s="12"/>
      <c r="AN2512" s="75"/>
      <c r="AO2512" s="75"/>
      <c r="AP2512" s="75"/>
      <c r="AQ2512" s="75"/>
      <c r="AR2512" s="76"/>
      <c r="AT2512" s="65"/>
      <c r="AU2512" s="77"/>
    </row>
    <row r="2513" spans="37:47">
      <c r="AK2513" s="12"/>
      <c r="AM2513" s="12"/>
      <c r="AN2513" s="75"/>
      <c r="AO2513" s="75"/>
      <c r="AP2513" s="75"/>
      <c r="AQ2513" s="75"/>
      <c r="AR2513" s="76"/>
      <c r="AT2513" s="65"/>
      <c r="AU2513" s="77"/>
    </row>
    <row r="2514" spans="37:47">
      <c r="AK2514" s="12"/>
      <c r="AM2514" s="12"/>
      <c r="AN2514" s="75"/>
      <c r="AO2514" s="75"/>
      <c r="AP2514" s="75"/>
      <c r="AQ2514" s="75"/>
      <c r="AR2514" s="76"/>
      <c r="AT2514" s="65"/>
      <c r="AU2514" s="77"/>
    </row>
    <row r="2515" spans="37:47">
      <c r="AK2515" s="12"/>
      <c r="AM2515" s="12"/>
      <c r="AN2515" s="75"/>
      <c r="AO2515" s="75"/>
      <c r="AP2515" s="75"/>
      <c r="AQ2515" s="75"/>
      <c r="AR2515" s="76"/>
      <c r="AT2515" s="65"/>
      <c r="AU2515" s="77"/>
    </row>
    <row r="2516" spans="37:47">
      <c r="AK2516" s="12"/>
      <c r="AM2516" s="12"/>
      <c r="AN2516" s="75"/>
      <c r="AO2516" s="75"/>
      <c r="AP2516" s="75"/>
      <c r="AQ2516" s="75"/>
      <c r="AR2516" s="76"/>
      <c r="AT2516" s="65"/>
      <c r="AU2516" s="77"/>
    </row>
    <row r="2517" spans="37:47">
      <c r="AK2517" s="12"/>
      <c r="AM2517" s="12"/>
      <c r="AN2517" s="75"/>
      <c r="AO2517" s="75"/>
      <c r="AP2517" s="75"/>
      <c r="AQ2517" s="75"/>
      <c r="AR2517" s="76"/>
      <c r="AT2517" s="65"/>
      <c r="AU2517" s="77"/>
    </row>
    <row r="2518" spans="37:47">
      <c r="AK2518" s="12"/>
      <c r="AM2518" s="12"/>
      <c r="AN2518" s="75"/>
      <c r="AO2518" s="75"/>
      <c r="AP2518" s="75"/>
      <c r="AQ2518" s="75"/>
      <c r="AR2518" s="76"/>
      <c r="AT2518" s="65"/>
      <c r="AU2518" s="77"/>
    </row>
    <row r="2519" spans="37:47">
      <c r="AK2519" s="12"/>
      <c r="AM2519" s="12"/>
      <c r="AN2519" s="75"/>
      <c r="AO2519" s="75"/>
      <c r="AP2519" s="75"/>
      <c r="AQ2519" s="75"/>
      <c r="AR2519" s="76"/>
      <c r="AT2519" s="65"/>
      <c r="AU2519" s="77"/>
    </row>
    <row r="2520" spans="37:47">
      <c r="AK2520" s="12"/>
      <c r="AM2520" s="12"/>
      <c r="AN2520" s="75"/>
      <c r="AO2520" s="75"/>
      <c r="AP2520" s="75"/>
      <c r="AQ2520" s="75"/>
      <c r="AR2520" s="76"/>
      <c r="AT2520" s="65"/>
      <c r="AU2520" s="77"/>
    </row>
    <row r="2521" spans="37:47">
      <c r="AK2521" s="12"/>
      <c r="AM2521" s="12"/>
      <c r="AN2521" s="75"/>
      <c r="AO2521" s="75"/>
      <c r="AP2521" s="75"/>
      <c r="AQ2521" s="75"/>
      <c r="AR2521" s="76"/>
      <c r="AT2521" s="65"/>
      <c r="AU2521" s="77"/>
    </row>
    <row r="2522" spans="37:47">
      <c r="AK2522" s="12"/>
      <c r="AM2522" s="12"/>
      <c r="AN2522" s="75"/>
      <c r="AO2522" s="75"/>
      <c r="AP2522" s="75"/>
      <c r="AQ2522" s="75"/>
      <c r="AR2522" s="76"/>
      <c r="AT2522" s="65"/>
      <c r="AU2522" s="77"/>
    </row>
    <row r="2523" spans="37:47">
      <c r="AK2523" s="12"/>
      <c r="AM2523" s="12"/>
      <c r="AN2523" s="75"/>
      <c r="AO2523" s="75"/>
      <c r="AP2523" s="75"/>
      <c r="AQ2523" s="75"/>
      <c r="AR2523" s="76"/>
      <c r="AT2523" s="65"/>
      <c r="AU2523" s="77"/>
    </row>
    <row r="2524" spans="37:47">
      <c r="AK2524" s="12"/>
      <c r="AM2524" s="12"/>
      <c r="AN2524" s="75"/>
      <c r="AO2524" s="75"/>
      <c r="AP2524" s="75"/>
      <c r="AQ2524" s="75"/>
      <c r="AR2524" s="76"/>
      <c r="AT2524" s="65"/>
      <c r="AU2524" s="77"/>
    </row>
    <row r="2525" spans="37:47">
      <c r="AK2525" s="12"/>
      <c r="AM2525" s="12"/>
      <c r="AN2525" s="75"/>
      <c r="AO2525" s="75"/>
      <c r="AP2525" s="75"/>
      <c r="AQ2525" s="75"/>
      <c r="AR2525" s="76"/>
      <c r="AT2525" s="65"/>
      <c r="AU2525" s="77"/>
    </row>
    <row r="2526" spans="37:47">
      <c r="AK2526" s="12"/>
      <c r="AM2526" s="12"/>
      <c r="AN2526" s="75"/>
      <c r="AO2526" s="75"/>
      <c r="AP2526" s="75"/>
      <c r="AQ2526" s="75"/>
      <c r="AR2526" s="76"/>
      <c r="AT2526" s="65"/>
      <c r="AU2526" s="77"/>
    </row>
    <row r="2527" spans="37:47">
      <c r="AK2527" s="12"/>
      <c r="AM2527" s="12"/>
      <c r="AN2527" s="75"/>
      <c r="AO2527" s="75"/>
      <c r="AP2527" s="75"/>
      <c r="AQ2527" s="75"/>
      <c r="AR2527" s="76"/>
      <c r="AT2527" s="65"/>
      <c r="AU2527" s="77"/>
    </row>
    <row r="2528" spans="37:47">
      <c r="AK2528" s="12"/>
      <c r="AM2528" s="12"/>
      <c r="AN2528" s="75"/>
      <c r="AO2528" s="75"/>
      <c r="AP2528" s="75"/>
      <c r="AQ2528" s="75"/>
      <c r="AR2528" s="76"/>
      <c r="AT2528" s="65"/>
      <c r="AU2528" s="77"/>
    </row>
    <row r="2529" spans="37:47">
      <c r="AK2529" s="12"/>
      <c r="AM2529" s="12"/>
      <c r="AN2529" s="75"/>
      <c r="AO2529" s="75"/>
      <c r="AP2529" s="75"/>
      <c r="AQ2529" s="75"/>
      <c r="AR2529" s="76"/>
      <c r="AT2529" s="65"/>
      <c r="AU2529" s="77"/>
    </row>
    <row r="2530" spans="37:47">
      <c r="AK2530" s="12"/>
      <c r="AM2530" s="12"/>
      <c r="AN2530" s="75"/>
      <c r="AO2530" s="75"/>
      <c r="AP2530" s="75"/>
      <c r="AQ2530" s="75"/>
      <c r="AR2530" s="76"/>
      <c r="AT2530" s="65"/>
      <c r="AU2530" s="77"/>
    </row>
    <row r="2531" spans="37:47">
      <c r="AK2531" s="12"/>
      <c r="AM2531" s="12"/>
      <c r="AN2531" s="75"/>
      <c r="AO2531" s="75"/>
      <c r="AP2531" s="75"/>
      <c r="AQ2531" s="75"/>
      <c r="AR2531" s="76"/>
      <c r="AT2531" s="65"/>
      <c r="AU2531" s="77"/>
    </row>
    <row r="2532" spans="37:47">
      <c r="AK2532" s="12"/>
      <c r="AM2532" s="12"/>
      <c r="AN2532" s="75"/>
      <c r="AO2532" s="75"/>
      <c r="AP2532" s="75"/>
      <c r="AQ2532" s="75"/>
      <c r="AR2532" s="76"/>
      <c r="AT2532" s="65"/>
      <c r="AU2532" s="77"/>
    </row>
    <row r="2533" spans="37:47">
      <c r="AK2533" s="12"/>
      <c r="AM2533" s="12"/>
      <c r="AN2533" s="75"/>
      <c r="AO2533" s="75"/>
      <c r="AP2533" s="75"/>
      <c r="AQ2533" s="75"/>
      <c r="AR2533" s="76"/>
      <c r="AT2533" s="65"/>
      <c r="AU2533" s="77"/>
    </row>
    <row r="2534" spans="37:47">
      <c r="AK2534" s="12"/>
      <c r="AM2534" s="12"/>
      <c r="AN2534" s="75"/>
      <c r="AO2534" s="75"/>
      <c r="AP2534" s="75"/>
      <c r="AQ2534" s="75"/>
      <c r="AR2534" s="76"/>
      <c r="AT2534" s="65"/>
      <c r="AU2534" s="77"/>
    </row>
    <row r="2535" spans="37:47">
      <c r="AK2535" s="12"/>
      <c r="AM2535" s="12"/>
      <c r="AN2535" s="75"/>
      <c r="AO2535" s="75"/>
      <c r="AP2535" s="75"/>
      <c r="AQ2535" s="75"/>
      <c r="AR2535" s="76"/>
      <c r="AT2535" s="65"/>
      <c r="AU2535" s="77"/>
    </row>
    <row r="2536" spans="37:47">
      <c r="AK2536" s="12"/>
      <c r="AM2536" s="12"/>
      <c r="AN2536" s="75"/>
      <c r="AO2536" s="75"/>
      <c r="AP2536" s="75"/>
      <c r="AQ2536" s="75"/>
      <c r="AR2536" s="76"/>
      <c r="AT2536" s="65"/>
      <c r="AU2536" s="77"/>
    </row>
    <row r="2537" spans="37:47">
      <c r="AK2537" s="12"/>
      <c r="AM2537" s="12"/>
      <c r="AN2537" s="75"/>
      <c r="AO2537" s="75"/>
      <c r="AP2537" s="75"/>
      <c r="AQ2537" s="75"/>
      <c r="AR2537" s="76"/>
      <c r="AT2537" s="65"/>
      <c r="AU2537" s="77"/>
    </row>
    <row r="2538" spans="37:47">
      <c r="AK2538" s="12"/>
      <c r="AM2538" s="12"/>
      <c r="AN2538" s="75"/>
      <c r="AO2538" s="75"/>
      <c r="AP2538" s="75"/>
      <c r="AQ2538" s="75"/>
      <c r="AR2538" s="76"/>
      <c r="AT2538" s="65"/>
      <c r="AU2538" s="77"/>
    </row>
    <row r="2539" spans="37:47">
      <c r="AK2539" s="12"/>
      <c r="AM2539" s="12"/>
      <c r="AN2539" s="75"/>
      <c r="AO2539" s="75"/>
      <c r="AP2539" s="75"/>
      <c r="AQ2539" s="75"/>
      <c r="AR2539" s="76"/>
      <c r="AT2539" s="65"/>
      <c r="AU2539" s="77"/>
    </row>
    <row r="2540" spans="37:47">
      <c r="AK2540" s="12"/>
      <c r="AM2540" s="12"/>
      <c r="AN2540" s="75"/>
      <c r="AO2540" s="75"/>
      <c r="AP2540" s="75"/>
      <c r="AQ2540" s="75"/>
      <c r="AR2540" s="76"/>
      <c r="AT2540" s="65"/>
      <c r="AU2540" s="77"/>
    </row>
    <row r="2541" spans="37:47">
      <c r="AK2541" s="12"/>
      <c r="AM2541" s="12"/>
      <c r="AN2541" s="75"/>
      <c r="AO2541" s="75"/>
      <c r="AP2541" s="75"/>
      <c r="AQ2541" s="75"/>
      <c r="AR2541" s="76"/>
      <c r="AT2541" s="65"/>
      <c r="AU2541" s="77"/>
    </row>
    <row r="2542" spans="37:47">
      <c r="AK2542" s="12"/>
      <c r="AM2542" s="12"/>
      <c r="AN2542" s="75"/>
      <c r="AO2542" s="75"/>
      <c r="AP2542" s="75"/>
      <c r="AQ2542" s="75"/>
      <c r="AR2542" s="76"/>
      <c r="AT2542" s="65"/>
      <c r="AU2542" s="77"/>
    </row>
    <row r="2543" spans="37:47">
      <c r="AK2543" s="12"/>
      <c r="AM2543" s="12"/>
      <c r="AN2543" s="75"/>
      <c r="AO2543" s="75"/>
      <c r="AP2543" s="75"/>
      <c r="AQ2543" s="75"/>
      <c r="AR2543" s="76"/>
      <c r="AT2543" s="65"/>
      <c r="AU2543" s="77"/>
    </row>
    <row r="2544" spans="37:47">
      <c r="AK2544" s="12"/>
      <c r="AM2544" s="12"/>
      <c r="AN2544" s="75"/>
      <c r="AO2544" s="75"/>
      <c r="AP2544" s="75"/>
      <c r="AQ2544" s="75"/>
      <c r="AR2544" s="76"/>
      <c r="AT2544" s="65"/>
      <c r="AU2544" s="77"/>
    </row>
    <row r="2545" spans="37:47">
      <c r="AK2545" s="12"/>
      <c r="AM2545" s="12"/>
      <c r="AN2545" s="75"/>
      <c r="AO2545" s="75"/>
      <c r="AP2545" s="75"/>
      <c r="AQ2545" s="75"/>
      <c r="AR2545" s="76"/>
      <c r="AT2545" s="65"/>
      <c r="AU2545" s="77"/>
    </row>
    <row r="2546" spans="37:47">
      <c r="AK2546" s="12"/>
      <c r="AM2546" s="12"/>
      <c r="AN2546" s="75"/>
      <c r="AO2546" s="75"/>
      <c r="AP2546" s="75"/>
      <c r="AQ2546" s="75"/>
      <c r="AR2546" s="76"/>
      <c r="AT2546" s="65"/>
      <c r="AU2546" s="77"/>
    </row>
    <row r="2547" spans="37:47">
      <c r="AK2547" s="12"/>
      <c r="AM2547" s="12"/>
      <c r="AN2547" s="75"/>
      <c r="AO2547" s="75"/>
      <c r="AP2547" s="75"/>
      <c r="AQ2547" s="75"/>
      <c r="AR2547" s="76"/>
      <c r="AT2547" s="65"/>
      <c r="AU2547" s="77"/>
    </row>
    <row r="2548" spans="37:47">
      <c r="AK2548" s="12"/>
      <c r="AM2548" s="12"/>
      <c r="AN2548" s="75"/>
      <c r="AO2548" s="75"/>
      <c r="AP2548" s="75"/>
      <c r="AQ2548" s="75"/>
      <c r="AR2548" s="76"/>
      <c r="AT2548" s="65"/>
      <c r="AU2548" s="77"/>
    </row>
    <row r="2549" spans="37:47">
      <c r="AK2549" s="12"/>
      <c r="AM2549" s="12"/>
      <c r="AN2549" s="75"/>
      <c r="AO2549" s="75"/>
      <c r="AP2549" s="75"/>
      <c r="AQ2549" s="75"/>
      <c r="AR2549" s="76"/>
      <c r="AT2549" s="65"/>
      <c r="AU2549" s="77"/>
    </row>
    <row r="2550" spans="37:47">
      <c r="AK2550" s="12"/>
      <c r="AM2550" s="12"/>
      <c r="AN2550" s="75"/>
      <c r="AO2550" s="75"/>
      <c r="AP2550" s="75"/>
      <c r="AQ2550" s="75"/>
      <c r="AR2550" s="76"/>
      <c r="AT2550" s="65"/>
      <c r="AU2550" s="77"/>
    </row>
    <row r="2551" spans="37:47">
      <c r="AK2551" s="12"/>
      <c r="AM2551" s="12"/>
      <c r="AN2551" s="75"/>
      <c r="AO2551" s="75"/>
      <c r="AP2551" s="75"/>
      <c r="AQ2551" s="75"/>
      <c r="AR2551" s="76"/>
      <c r="AT2551" s="65"/>
      <c r="AU2551" s="77"/>
    </row>
    <row r="2552" spans="37:47">
      <c r="AK2552" s="12"/>
      <c r="AM2552" s="12"/>
      <c r="AN2552" s="75"/>
      <c r="AO2552" s="75"/>
      <c r="AP2552" s="75"/>
      <c r="AQ2552" s="75"/>
      <c r="AR2552" s="76"/>
      <c r="AT2552" s="65"/>
      <c r="AU2552" s="77"/>
    </row>
    <row r="2553" spans="37:47">
      <c r="AK2553" s="12"/>
      <c r="AM2553" s="12"/>
      <c r="AN2553" s="75"/>
      <c r="AO2553" s="75"/>
      <c r="AP2553" s="75"/>
      <c r="AQ2553" s="75"/>
      <c r="AR2553" s="76"/>
      <c r="AT2553" s="65"/>
      <c r="AU2553" s="77"/>
    </row>
    <row r="2554" spans="37:47">
      <c r="AK2554" s="12"/>
      <c r="AM2554" s="12"/>
      <c r="AN2554" s="75"/>
      <c r="AO2554" s="75"/>
      <c r="AP2554" s="75"/>
      <c r="AQ2554" s="75"/>
      <c r="AR2554" s="76"/>
      <c r="AT2554" s="65"/>
      <c r="AU2554" s="77"/>
    </row>
    <row r="2555" spans="37:47">
      <c r="AK2555" s="12"/>
      <c r="AM2555" s="12"/>
      <c r="AN2555" s="75"/>
      <c r="AO2555" s="75"/>
      <c r="AP2555" s="75"/>
      <c r="AQ2555" s="75"/>
      <c r="AR2555" s="76"/>
      <c r="AT2555" s="65"/>
      <c r="AU2555" s="77"/>
    </row>
    <row r="2556" spans="37:47">
      <c r="AK2556" s="12"/>
      <c r="AM2556" s="12"/>
      <c r="AN2556" s="75"/>
      <c r="AO2556" s="75"/>
      <c r="AP2556" s="75"/>
      <c r="AQ2556" s="75"/>
      <c r="AR2556" s="76"/>
      <c r="AT2556" s="65"/>
      <c r="AU2556" s="77"/>
    </row>
    <row r="2557" spans="37:47">
      <c r="AK2557" s="12"/>
      <c r="AM2557" s="12"/>
      <c r="AN2557" s="75"/>
      <c r="AO2557" s="75"/>
      <c r="AP2557" s="75"/>
      <c r="AQ2557" s="75"/>
      <c r="AR2557" s="76"/>
      <c r="AT2557" s="65"/>
      <c r="AU2557" s="77"/>
    </row>
    <row r="2558" spans="37:47">
      <c r="AK2558" s="12"/>
      <c r="AM2558" s="12"/>
      <c r="AN2558" s="75"/>
      <c r="AO2558" s="75"/>
      <c r="AP2558" s="75"/>
      <c r="AQ2558" s="75"/>
      <c r="AR2558" s="76"/>
      <c r="AT2558" s="65"/>
      <c r="AU2558" s="77"/>
    </row>
    <row r="2559" spans="37:47">
      <c r="AK2559" s="12"/>
      <c r="AM2559" s="12"/>
      <c r="AN2559" s="75"/>
      <c r="AO2559" s="75"/>
      <c r="AP2559" s="75"/>
      <c r="AQ2559" s="75"/>
      <c r="AR2559" s="76"/>
      <c r="AT2559" s="65"/>
      <c r="AU2559" s="77"/>
    </row>
    <row r="2560" spans="37:47">
      <c r="AK2560" s="12"/>
      <c r="AM2560" s="12"/>
      <c r="AN2560" s="75"/>
      <c r="AO2560" s="75"/>
      <c r="AP2560" s="75"/>
      <c r="AQ2560" s="75"/>
      <c r="AR2560" s="76"/>
      <c r="AT2560" s="65"/>
      <c r="AU2560" s="77"/>
    </row>
    <row r="2561" spans="37:47">
      <c r="AK2561" s="12"/>
      <c r="AM2561" s="12"/>
      <c r="AN2561" s="75"/>
      <c r="AO2561" s="75"/>
      <c r="AP2561" s="75"/>
      <c r="AQ2561" s="75"/>
      <c r="AR2561" s="76"/>
      <c r="AT2561" s="65"/>
      <c r="AU2561" s="77"/>
    </row>
    <row r="2562" spans="37:47">
      <c r="AK2562" s="12"/>
      <c r="AM2562" s="12"/>
      <c r="AN2562" s="75"/>
      <c r="AO2562" s="75"/>
      <c r="AP2562" s="75"/>
      <c r="AQ2562" s="75"/>
      <c r="AR2562" s="76"/>
      <c r="AT2562" s="65"/>
      <c r="AU2562" s="77"/>
    </row>
    <row r="2563" spans="37:47">
      <c r="AK2563" s="12"/>
      <c r="AM2563" s="12"/>
      <c r="AN2563" s="75"/>
      <c r="AO2563" s="75"/>
      <c r="AP2563" s="75"/>
      <c r="AQ2563" s="75"/>
      <c r="AR2563" s="76"/>
      <c r="AT2563" s="65"/>
      <c r="AU2563" s="77"/>
    </row>
    <row r="2564" spans="37:47">
      <c r="AK2564" s="12"/>
      <c r="AM2564" s="12"/>
      <c r="AN2564" s="75"/>
      <c r="AO2564" s="75"/>
      <c r="AP2564" s="75"/>
      <c r="AQ2564" s="75"/>
      <c r="AR2564" s="76"/>
      <c r="AT2564" s="65"/>
      <c r="AU2564" s="77"/>
    </row>
    <row r="2565" spans="37:47">
      <c r="AK2565" s="12"/>
      <c r="AM2565" s="12"/>
      <c r="AN2565" s="75"/>
      <c r="AO2565" s="75"/>
      <c r="AP2565" s="75"/>
      <c r="AQ2565" s="75"/>
      <c r="AR2565" s="76"/>
      <c r="AT2565" s="65"/>
      <c r="AU2565" s="77"/>
    </row>
    <row r="2566" spans="37:47">
      <c r="AK2566" s="12"/>
      <c r="AM2566" s="12"/>
      <c r="AN2566" s="75"/>
      <c r="AO2566" s="75"/>
      <c r="AP2566" s="75"/>
      <c r="AQ2566" s="75"/>
      <c r="AR2566" s="76"/>
      <c r="AT2566" s="65"/>
      <c r="AU2566" s="77"/>
    </row>
    <row r="2567" spans="37:47">
      <c r="AK2567" s="12"/>
      <c r="AM2567" s="12"/>
      <c r="AN2567" s="75"/>
      <c r="AO2567" s="75"/>
      <c r="AP2567" s="75"/>
      <c r="AQ2567" s="75"/>
      <c r="AR2567" s="76"/>
      <c r="AT2567" s="65"/>
      <c r="AU2567" s="77"/>
    </row>
    <row r="2568" spans="37:47">
      <c r="AK2568" s="12"/>
      <c r="AM2568" s="12"/>
      <c r="AN2568" s="75"/>
      <c r="AO2568" s="75"/>
      <c r="AP2568" s="75"/>
      <c r="AQ2568" s="75"/>
      <c r="AR2568" s="76"/>
      <c r="AT2568" s="65"/>
      <c r="AU2568" s="77"/>
    </row>
    <row r="2569" spans="37:47">
      <c r="AK2569" s="12"/>
      <c r="AM2569" s="12"/>
      <c r="AN2569" s="75"/>
      <c r="AO2569" s="75"/>
      <c r="AP2569" s="75"/>
      <c r="AQ2569" s="75"/>
      <c r="AR2569" s="76"/>
      <c r="AT2569" s="65"/>
      <c r="AU2569" s="77"/>
    </row>
    <row r="2570" spans="37:47">
      <c r="AK2570" s="12"/>
      <c r="AM2570" s="12"/>
      <c r="AN2570" s="75"/>
      <c r="AO2570" s="75"/>
      <c r="AP2570" s="75"/>
      <c r="AQ2570" s="75"/>
      <c r="AR2570" s="76"/>
      <c r="AT2570" s="65"/>
      <c r="AU2570" s="77"/>
    </row>
    <row r="2571" spans="37:47">
      <c r="AK2571" s="12"/>
      <c r="AM2571" s="12"/>
      <c r="AN2571" s="75"/>
      <c r="AO2571" s="75"/>
      <c r="AP2571" s="75"/>
      <c r="AQ2571" s="75"/>
      <c r="AR2571" s="76"/>
      <c r="AT2571" s="65"/>
      <c r="AU2571" s="77"/>
    </row>
    <row r="2572" spans="37:47">
      <c r="AK2572" s="12"/>
      <c r="AM2572" s="12"/>
      <c r="AN2572" s="75"/>
      <c r="AO2572" s="75"/>
      <c r="AP2572" s="75"/>
      <c r="AQ2572" s="75"/>
      <c r="AR2572" s="76"/>
      <c r="AT2572" s="65"/>
      <c r="AU2572" s="77"/>
    </row>
    <row r="2573" spans="37:47">
      <c r="AK2573" s="12"/>
      <c r="AM2573" s="12"/>
      <c r="AN2573" s="75"/>
      <c r="AO2573" s="75"/>
      <c r="AP2573" s="75"/>
      <c r="AQ2573" s="75"/>
      <c r="AR2573" s="76"/>
      <c r="AT2573" s="65"/>
      <c r="AU2573" s="77"/>
    </row>
    <row r="2574" spans="37:47">
      <c r="AK2574" s="12"/>
      <c r="AM2574" s="12"/>
      <c r="AN2574" s="75"/>
      <c r="AO2574" s="75"/>
      <c r="AP2574" s="75"/>
      <c r="AQ2574" s="75"/>
      <c r="AR2574" s="76"/>
      <c r="AT2574" s="65"/>
      <c r="AU2574" s="77"/>
    </row>
    <row r="2575" spans="37:47">
      <c r="AK2575" s="12"/>
      <c r="AM2575" s="12"/>
      <c r="AN2575" s="75"/>
      <c r="AO2575" s="75"/>
      <c r="AP2575" s="75"/>
      <c r="AQ2575" s="75"/>
      <c r="AR2575" s="76"/>
      <c r="AT2575" s="65"/>
      <c r="AU2575" s="77"/>
    </row>
    <row r="2576" spans="37:47">
      <c r="AK2576" s="12"/>
      <c r="AM2576" s="12"/>
      <c r="AN2576" s="75"/>
      <c r="AO2576" s="75"/>
      <c r="AP2576" s="75"/>
      <c r="AQ2576" s="75"/>
      <c r="AR2576" s="76"/>
      <c r="AT2576" s="65"/>
      <c r="AU2576" s="77"/>
    </row>
    <row r="2577" spans="37:47">
      <c r="AK2577" s="12"/>
      <c r="AM2577" s="12"/>
      <c r="AN2577" s="75"/>
      <c r="AO2577" s="75"/>
      <c r="AP2577" s="75"/>
      <c r="AQ2577" s="75"/>
      <c r="AR2577" s="76"/>
      <c r="AT2577" s="65"/>
      <c r="AU2577" s="77"/>
    </row>
    <row r="2578" spans="37:47">
      <c r="AK2578" s="12"/>
      <c r="AM2578" s="12"/>
      <c r="AN2578" s="75"/>
      <c r="AO2578" s="75"/>
      <c r="AP2578" s="75"/>
      <c r="AQ2578" s="75"/>
      <c r="AR2578" s="76"/>
      <c r="AT2578" s="65"/>
      <c r="AU2578" s="77"/>
    </row>
    <row r="2579" spans="37:47">
      <c r="AK2579" s="12"/>
      <c r="AM2579" s="12"/>
      <c r="AN2579" s="75"/>
      <c r="AO2579" s="75"/>
      <c r="AP2579" s="75"/>
      <c r="AQ2579" s="75"/>
      <c r="AR2579" s="76"/>
      <c r="AT2579" s="65"/>
      <c r="AU2579" s="77"/>
    </row>
    <row r="2580" spans="37:47">
      <c r="AK2580" s="12"/>
      <c r="AM2580" s="12"/>
      <c r="AN2580" s="75"/>
      <c r="AO2580" s="75"/>
      <c r="AP2580" s="75"/>
      <c r="AQ2580" s="75"/>
      <c r="AR2580" s="76"/>
      <c r="AT2580" s="65"/>
      <c r="AU2580" s="77"/>
    </row>
    <row r="2581" spans="37:47">
      <c r="AK2581" s="12"/>
      <c r="AM2581" s="12"/>
      <c r="AN2581" s="75"/>
      <c r="AO2581" s="75"/>
      <c r="AP2581" s="75"/>
      <c r="AQ2581" s="75"/>
      <c r="AR2581" s="76"/>
      <c r="AT2581" s="65"/>
      <c r="AU2581" s="77"/>
    </row>
    <row r="2582" spans="37:47">
      <c r="AK2582" s="12"/>
      <c r="AM2582" s="12"/>
      <c r="AN2582" s="75"/>
      <c r="AO2582" s="75"/>
      <c r="AP2582" s="75"/>
      <c r="AQ2582" s="75"/>
      <c r="AR2582" s="76"/>
      <c r="AT2582" s="65"/>
      <c r="AU2582" s="77"/>
    </row>
    <row r="2583" spans="37:47">
      <c r="AK2583" s="12"/>
      <c r="AM2583" s="12"/>
      <c r="AN2583" s="75"/>
      <c r="AO2583" s="75"/>
      <c r="AP2583" s="75"/>
      <c r="AQ2583" s="75"/>
      <c r="AR2583" s="76"/>
      <c r="AT2583" s="65"/>
      <c r="AU2583" s="77"/>
    </row>
    <row r="2584" spans="37:47">
      <c r="AK2584" s="12"/>
      <c r="AM2584" s="12"/>
      <c r="AN2584" s="75"/>
      <c r="AO2584" s="75"/>
      <c r="AP2584" s="75"/>
      <c r="AQ2584" s="75"/>
      <c r="AR2584" s="76"/>
      <c r="AT2584" s="65"/>
      <c r="AU2584" s="77"/>
    </row>
    <row r="2585" spans="37:47">
      <c r="AK2585" s="12"/>
      <c r="AM2585" s="12"/>
      <c r="AN2585" s="75"/>
      <c r="AO2585" s="75"/>
      <c r="AP2585" s="75"/>
      <c r="AQ2585" s="75"/>
      <c r="AR2585" s="76"/>
      <c r="AT2585" s="65"/>
      <c r="AU2585" s="77"/>
    </row>
    <row r="2586" spans="37:47">
      <c r="AK2586" s="12"/>
      <c r="AM2586" s="12"/>
      <c r="AN2586" s="75"/>
      <c r="AO2586" s="75"/>
      <c r="AP2586" s="75"/>
      <c r="AQ2586" s="75"/>
      <c r="AR2586" s="76"/>
      <c r="AT2586" s="65"/>
      <c r="AU2586" s="77"/>
    </row>
    <row r="2587" spans="37:47">
      <c r="AK2587" s="12"/>
      <c r="AM2587" s="12"/>
      <c r="AN2587" s="75"/>
      <c r="AO2587" s="75"/>
      <c r="AP2587" s="75"/>
      <c r="AQ2587" s="75"/>
      <c r="AR2587" s="76"/>
      <c r="AT2587" s="65"/>
      <c r="AU2587" s="77"/>
    </row>
    <row r="2588" spans="37:47">
      <c r="AK2588" s="12"/>
      <c r="AM2588" s="12"/>
      <c r="AN2588" s="75"/>
      <c r="AO2588" s="75"/>
      <c r="AP2588" s="75"/>
      <c r="AQ2588" s="75"/>
      <c r="AR2588" s="76"/>
      <c r="AT2588" s="65"/>
      <c r="AU2588" s="77"/>
    </row>
    <row r="2589" spans="37:47">
      <c r="AK2589" s="12"/>
      <c r="AM2589" s="12"/>
      <c r="AN2589" s="75"/>
      <c r="AO2589" s="75"/>
      <c r="AP2589" s="75"/>
      <c r="AQ2589" s="75"/>
      <c r="AR2589" s="76"/>
      <c r="AT2589" s="65"/>
      <c r="AU2589" s="77"/>
    </row>
    <row r="2590" spans="37:47">
      <c r="AK2590" s="12"/>
      <c r="AM2590" s="12"/>
      <c r="AN2590" s="75"/>
      <c r="AO2590" s="75"/>
      <c r="AP2590" s="75"/>
      <c r="AQ2590" s="75"/>
      <c r="AR2590" s="76"/>
      <c r="AT2590" s="65"/>
      <c r="AU2590" s="77"/>
    </row>
    <row r="2591" spans="37:47">
      <c r="AK2591" s="12"/>
      <c r="AM2591" s="12"/>
      <c r="AN2591" s="75"/>
      <c r="AO2591" s="75"/>
      <c r="AP2591" s="75"/>
      <c r="AQ2591" s="75"/>
      <c r="AR2591" s="76"/>
      <c r="AT2591" s="65"/>
      <c r="AU2591" s="77"/>
    </row>
    <row r="2592" spans="37:47">
      <c r="AK2592" s="12"/>
      <c r="AM2592" s="12"/>
      <c r="AN2592" s="75"/>
      <c r="AO2592" s="75"/>
      <c r="AP2592" s="75"/>
      <c r="AQ2592" s="75"/>
      <c r="AR2592" s="76"/>
      <c r="AT2592" s="65"/>
      <c r="AU2592" s="77"/>
    </row>
    <row r="2593" spans="37:47">
      <c r="AK2593" s="12"/>
      <c r="AM2593" s="12"/>
      <c r="AN2593" s="75"/>
      <c r="AO2593" s="75"/>
      <c r="AP2593" s="75"/>
      <c r="AQ2593" s="75"/>
      <c r="AR2593" s="76"/>
      <c r="AT2593" s="65"/>
      <c r="AU2593" s="77"/>
    </row>
    <row r="2594" spans="37:47">
      <c r="AK2594" s="12"/>
      <c r="AM2594" s="12"/>
      <c r="AN2594" s="75"/>
      <c r="AO2594" s="75"/>
      <c r="AP2594" s="75"/>
      <c r="AQ2594" s="75"/>
      <c r="AR2594" s="76"/>
      <c r="AT2594" s="65"/>
      <c r="AU2594" s="77"/>
    </row>
    <row r="2595" spans="37:47">
      <c r="AK2595" s="12"/>
      <c r="AM2595" s="12"/>
      <c r="AN2595" s="75"/>
      <c r="AO2595" s="75"/>
      <c r="AP2595" s="75"/>
      <c r="AQ2595" s="75"/>
      <c r="AR2595" s="76"/>
      <c r="AT2595" s="65"/>
      <c r="AU2595" s="77"/>
    </row>
    <row r="2596" spans="37:47">
      <c r="AK2596" s="12"/>
      <c r="AM2596" s="12"/>
      <c r="AN2596" s="75"/>
      <c r="AO2596" s="75"/>
      <c r="AP2596" s="75"/>
      <c r="AQ2596" s="75"/>
      <c r="AR2596" s="76"/>
      <c r="AT2596" s="65"/>
      <c r="AU2596" s="77"/>
    </row>
    <row r="2597" spans="37:47">
      <c r="AK2597" s="12"/>
      <c r="AM2597" s="12"/>
      <c r="AN2597" s="75"/>
      <c r="AO2597" s="75"/>
      <c r="AP2597" s="75"/>
      <c r="AQ2597" s="75"/>
      <c r="AR2597" s="76"/>
      <c r="AT2597" s="65"/>
      <c r="AU2597" s="77"/>
    </row>
    <row r="2598" spans="37:47">
      <c r="AK2598" s="12"/>
      <c r="AM2598" s="12"/>
      <c r="AN2598" s="75"/>
      <c r="AO2598" s="75"/>
      <c r="AP2598" s="75"/>
      <c r="AQ2598" s="75"/>
      <c r="AR2598" s="76"/>
      <c r="AT2598" s="65"/>
      <c r="AU2598" s="77"/>
    </row>
    <row r="2599" spans="37:47">
      <c r="AK2599" s="12"/>
      <c r="AM2599" s="12"/>
      <c r="AN2599" s="75"/>
      <c r="AO2599" s="75"/>
      <c r="AP2599" s="75"/>
      <c r="AQ2599" s="75"/>
      <c r="AR2599" s="76"/>
      <c r="AT2599" s="65"/>
      <c r="AU2599" s="77"/>
    </row>
    <row r="2600" spans="37:47">
      <c r="AK2600" s="12"/>
      <c r="AM2600" s="12"/>
      <c r="AN2600" s="75"/>
      <c r="AO2600" s="75"/>
      <c r="AP2600" s="75"/>
      <c r="AQ2600" s="75"/>
      <c r="AR2600" s="76"/>
      <c r="AT2600" s="65"/>
      <c r="AU2600" s="77"/>
    </row>
    <row r="2601" spans="37:47">
      <c r="AK2601" s="12"/>
      <c r="AM2601" s="12"/>
      <c r="AN2601" s="75"/>
      <c r="AO2601" s="75"/>
      <c r="AP2601" s="75"/>
      <c r="AQ2601" s="75"/>
      <c r="AR2601" s="76"/>
      <c r="AT2601" s="65"/>
      <c r="AU2601" s="77"/>
    </row>
    <row r="2602" spans="37:47">
      <c r="AK2602" s="12"/>
      <c r="AM2602" s="12"/>
      <c r="AN2602" s="75"/>
      <c r="AO2602" s="75"/>
      <c r="AP2602" s="75"/>
      <c r="AQ2602" s="75"/>
      <c r="AR2602" s="76"/>
      <c r="AT2602" s="65"/>
      <c r="AU2602" s="77"/>
    </row>
    <row r="2603" spans="37:47">
      <c r="AK2603" s="12"/>
      <c r="AM2603" s="12"/>
      <c r="AN2603" s="75"/>
      <c r="AO2603" s="75"/>
      <c r="AP2603" s="75"/>
      <c r="AQ2603" s="75"/>
      <c r="AR2603" s="76"/>
      <c r="AT2603" s="65"/>
      <c r="AU2603" s="77"/>
    </row>
    <row r="2604" spans="37:47">
      <c r="AK2604" s="12"/>
      <c r="AM2604" s="12"/>
      <c r="AN2604" s="75"/>
      <c r="AO2604" s="75"/>
      <c r="AP2604" s="75"/>
      <c r="AQ2604" s="75"/>
      <c r="AR2604" s="76"/>
      <c r="AT2604" s="65"/>
      <c r="AU2604" s="77"/>
    </row>
    <row r="2605" spans="37:47">
      <c r="AK2605" s="12"/>
      <c r="AM2605" s="12"/>
      <c r="AN2605" s="75"/>
      <c r="AO2605" s="75"/>
      <c r="AP2605" s="75"/>
      <c r="AQ2605" s="75"/>
      <c r="AR2605" s="76"/>
      <c r="AT2605" s="65"/>
      <c r="AU2605" s="77"/>
    </row>
    <row r="2606" spans="37:47">
      <c r="AK2606" s="12"/>
      <c r="AM2606" s="12"/>
      <c r="AN2606" s="75"/>
      <c r="AO2606" s="75"/>
      <c r="AP2606" s="75"/>
      <c r="AQ2606" s="75"/>
      <c r="AR2606" s="76"/>
      <c r="AT2606" s="65"/>
      <c r="AU2606" s="77"/>
    </row>
    <row r="2607" spans="37:47">
      <c r="AK2607" s="12"/>
      <c r="AM2607" s="12"/>
      <c r="AN2607" s="75"/>
      <c r="AO2607" s="75"/>
      <c r="AP2607" s="75"/>
      <c r="AQ2607" s="75"/>
      <c r="AR2607" s="76"/>
      <c r="AT2607" s="65"/>
      <c r="AU2607" s="77"/>
    </row>
    <row r="2608" spans="37:47">
      <c r="AK2608" s="12"/>
      <c r="AM2608" s="12"/>
      <c r="AN2608" s="75"/>
      <c r="AO2608" s="75"/>
      <c r="AP2608" s="75"/>
      <c r="AQ2608" s="75"/>
      <c r="AR2608" s="76"/>
      <c r="AT2608" s="65"/>
      <c r="AU2608" s="77"/>
    </row>
    <row r="2609" spans="37:47">
      <c r="AK2609" s="12"/>
      <c r="AM2609" s="12"/>
      <c r="AN2609" s="75"/>
      <c r="AO2609" s="75"/>
      <c r="AP2609" s="75"/>
      <c r="AQ2609" s="75"/>
      <c r="AR2609" s="76"/>
      <c r="AT2609" s="65"/>
      <c r="AU2609" s="77"/>
    </row>
    <row r="2610" spans="37:47">
      <c r="AK2610" s="12"/>
      <c r="AM2610" s="12"/>
      <c r="AN2610" s="75"/>
      <c r="AO2610" s="75"/>
      <c r="AP2610" s="75"/>
      <c r="AQ2610" s="75"/>
      <c r="AR2610" s="76"/>
      <c r="AT2610" s="65"/>
      <c r="AU2610" s="77"/>
    </row>
    <row r="2611" spans="37:47">
      <c r="AK2611" s="12"/>
      <c r="AM2611" s="12"/>
      <c r="AN2611" s="75"/>
      <c r="AO2611" s="75"/>
      <c r="AP2611" s="75"/>
      <c r="AQ2611" s="75"/>
      <c r="AR2611" s="76"/>
      <c r="AT2611" s="65"/>
      <c r="AU2611" s="77"/>
    </row>
    <row r="2612" spans="37:47">
      <c r="AK2612" s="12"/>
      <c r="AM2612" s="12"/>
      <c r="AN2612" s="75"/>
      <c r="AO2612" s="75"/>
      <c r="AP2612" s="75"/>
      <c r="AQ2612" s="75"/>
      <c r="AR2612" s="76"/>
      <c r="AT2612" s="65"/>
      <c r="AU2612" s="77"/>
    </row>
    <row r="2613" spans="37:47">
      <c r="AK2613" s="12"/>
      <c r="AM2613" s="12"/>
      <c r="AN2613" s="75"/>
      <c r="AO2613" s="75"/>
      <c r="AP2613" s="75"/>
      <c r="AQ2613" s="75"/>
      <c r="AR2613" s="76"/>
      <c r="AT2613" s="65"/>
      <c r="AU2613" s="77"/>
    </row>
    <row r="2614" spans="37:47">
      <c r="AK2614" s="12"/>
      <c r="AM2614" s="12"/>
      <c r="AN2614" s="75"/>
      <c r="AO2614" s="75"/>
      <c r="AP2614" s="75"/>
      <c r="AQ2614" s="75"/>
      <c r="AR2614" s="76"/>
      <c r="AT2614" s="65"/>
      <c r="AU2614" s="77"/>
    </row>
    <row r="2615" spans="37:47">
      <c r="AK2615" s="12"/>
      <c r="AM2615" s="12"/>
      <c r="AN2615" s="75"/>
      <c r="AO2615" s="75"/>
      <c r="AP2615" s="75"/>
      <c r="AQ2615" s="75"/>
      <c r="AR2615" s="76"/>
      <c r="AT2615" s="65"/>
      <c r="AU2615" s="77"/>
    </row>
    <row r="2616" spans="37:47">
      <c r="AK2616" s="12"/>
      <c r="AM2616" s="12"/>
      <c r="AN2616" s="75"/>
      <c r="AO2616" s="75"/>
      <c r="AP2616" s="75"/>
      <c r="AQ2616" s="75"/>
      <c r="AR2616" s="76"/>
      <c r="AT2616" s="65"/>
      <c r="AU2616" s="77"/>
    </row>
    <row r="2617" spans="37:47">
      <c r="AK2617" s="12"/>
      <c r="AM2617" s="12"/>
      <c r="AN2617" s="75"/>
      <c r="AO2617" s="75"/>
      <c r="AP2617" s="75"/>
      <c r="AQ2617" s="75"/>
      <c r="AR2617" s="76"/>
      <c r="AT2617" s="65"/>
      <c r="AU2617" s="77"/>
    </row>
    <row r="2618" spans="37:47">
      <c r="AK2618" s="12"/>
      <c r="AM2618" s="12"/>
      <c r="AN2618" s="75"/>
      <c r="AO2618" s="75"/>
      <c r="AP2618" s="75"/>
      <c r="AQ2618" s="75"/>
      <c r="AR2618" s="76"/>
      <c r="AT2618" s="65"/>
      <c r="AU2618" s="77"/>
    </row>
    <row r="2619" spans="37:47">
      <c r="AK2619" s="12"/>
      <c r="AM2619" s="12"/>
      <c r="AN2619" s="75"/>
      <c r="AO2619" s="75"/>
      <c r="AP2619" s="75"/>
      <c r="AQ2619" s="75"/>
      <c r="AR2619" s="76"/>
      <c r="AT2619" s="65"/>
      <c r="AU2619" s="77"/>
    </row>
    <row r="2620" spans="37:47">
      <c r="AK2620" s="12"/>
      <c r="AM2620" s="12"/>
      <c r="AN2620" s="75"/>
      <c r="AO2620" s="75"/>
      <c r="AP2620" s="75"/>
      <c r="AQ2620" s="75"/>
      <c r="AR2620" s="76"/>
      <c r="AT2620" s="65"/>
      <c r="AU2620" s="77"/>
    </row>
    <row r="2621" spans="37:47">
      <c r="AK2621" s="12"/>
      <c r="AM2621" s="12"/>
      <c r="AN2621" s="75"/>
      <c r="AO2621" s="75"/>
      <c r="AP2621" s="75"/>
      <c r="AQ2621" s="75"/>
      <c r="AR2621" s="76"/>
      <c r="AT2621" s="65"/>
      <c r="AU2621" s="77"/>
    </row>
    <row r="2622" spans="37:47">
      <c r="AK2622" s="12"/>
      <c r="AM2622" s="12"/>
      <c r="AN2622" s="75"/>
      <c r="AO2622" s="75"/>
      <c r="AP2622" s="75"/>
      <c r="AQ2622" s="75"/>
      <c r="AR2622" s="76"/>
      <c r="AT2622" s="65"/>
      <c r="AU2622" s="77"/>
    </row>
    <row r="2623" spans="37:47">
      <c r="AK2623" s="12"/>
      <c r="AM2623" s="12"/>
      <c r="AN2623" s="75"/>
      <c r="AO2623" s="75"/>
      <c r="AP2623" s="75"/>
      <c r="AQ2623" s="75"/>
      <c r="AR2623" s="76"/>
      <c r="AT2623" s="65"/>
      <c r="AU2623" s="77"/>
    </row>
    <row r="2624" spans="37:47">
      <c r="AK2624" s="12"/>
      <c r="AM2624" s="12"/>
      <c r="AN2624" s="75"/>
      <c r="AO2624" s="75"/>
      <c r="AP2624" s="75"/>
      <c r="AQ2624" s="75"/>
      <c r="AR2624" s="76"/>
      <c r="AT2624" s="65"/>
      <c r="AU2624" s="77"/>
    </row>
    <row r="2625" spans="37:47">
      <c r="AK2625" s="12"/>
      <c r="AM2625" s="12"/>
      <c r="AN2625" s="75"/>
      <c r="AO2625" s="75"/>
      <c r="AP2625" s="75"/>
      <c r="AQ2625" s="75"/>
      <c r="AR2625" s="76"/>
      <c r="AT2625" s="65"/>
      <c r="AU2625" s="77"/>
    </row>
    <row r="2626" spans="37:47">
      <c r="AK2626" s="12"/>
      <c r="AM2626" s="12"/>
      <c r="AN2626" s="75"/>
      <c r="AO2626" s="75"/>
      <c r="AP2626" s="75"/>
      <c r="AQ2626" s="75"/>
      <c r="AR2626" s="76"/>
      <c r="AT2626" s="65"/>
      <c r="AU2626" s="77"/>
    </row>
    <row r="2627" spans="37:47">
      <c r="AK2627" s="12"/>
      <c r="AM2627" s="12"/>
      <c r="AN2627" s="75"/>
      <c r="AO2627" s="75"/>
      <c r="AP2627" s="75"/>
      <c r="AQ2627" s="75"/>
      <c r="AR2627" s="76"/>
      <c r="AT2627" s="65"/>
      <c r="AU2627" s="77"/>
    </row>
    <row r="2628" spans="37:47">
      <c r="AK2628" s="12"/>
      <c r="AM2628" s="12"/>
      <c r="AN2628" s="75"/>
      <c r="AO2628" s="75"/>
      <c r="AP2628" s="75"/>
      <c r="AQ2628" s="75"/>
      <c r="AR2628" s="76"/>
      <c r="AT2628" s="65"/>
      <c r="AU2628" s="77"/>
    </row>
    <row r="2629" spans="37:47">
      <c r="AK2629" s="12"/>
      <c r="AM2629" s="12"/>
      <c r="AN2629" s="75"/>
      <c r="AO2629" s="75"/>
      <c r="AP2629" s="75"/>
      <c r="AQ2629" s="75"/>
      <c r="AR2629" s="76"/>
      <c r="AT2629" s="65"/>
      <c r="AU2629" s="77"/>
    </row>
    <row r="2630" spans="37:47">
      <c r="AK2630" s="12"/>
      <c r="AM2630" s="12"/>
      <c r="AN2630" s="75"/>
      <c r="AO2630" s="75"/>
      <c r="AP2630" s="75"/>
      <c r="AQ2630" s="75"/>
      <c r="AR2630" s="76"/>
      <c r="AT2630" s="65"/>
      <c r="AU2630" s="77"/>
    </row>
    <row r="2631" spans="37:47">
      <c r="AK2631" s="12"/>
      <c r="AM2631" s="12"/>
      <c r="AN2631" s="75"/>
      <c r="AO2631" s="75"/>
      <c r="AP2631" s="75"/>
      <c r="AQ2631" s="75"/>
      <c r="AR2631" s="76"/>
      <c r="AT2631" s="65"/>
      <c r="AU2631" s="77"/>
    </row>
    <row r="2632" spans="37:47">
      <c r="AK2632" s="12"/>
      <c r="AM2632" s="12"/>
      <c r="AN2632" s="75"/>
      <c r="AO2632" s="75"/>
      <c r="AP2632" s="75"/>
      <c r="AQ2632" s="75"/>
      <c r="AR2632" s="76"/>
      <c r="AT2632" s="65"/>
      <c r="AU2632" s="77"/>
    </row>
    <row r="2633" spans="37:47">
      <c r="AK2633" s="12"/>
      <c r="AM2633" s="12"/>
      <c r="AN2633" s="75"/>
      <c r="AO2633" s="75"/>
      <c r="AP2633" s="75"/>
      <c r="AQ2633" s="75"/>
      <c r="AR2633" s="76"/>
      <c r="AT2633" s="65"/>
      <c r="AU2633" s="77"/>
    </row>
    <row r="2634" spans="37:47">
      <c r="AK2634" s="12"/>
      <c r="AM2634" s="12"/>
      <c r="AN2634" s="75"/>
      <c r="AO2634" s="75"/>
      <c r="AP2634" s="75"/>
      <c r="AQ2634" s="75"/>
      <c r="AR2634" s="76"/>
      <c r="AT2634" s="65"/>
      <c r="AU2634" s="77"/>
    </row>
    <row r="2635" spans="37:47">
      <c r="AK2635" s="12"/>
      <c r="AM2635" s="12"/>
      <c r="AN2635" s="75"/>
      <c r="AO2635" s="75"/>
      <c r="AP2635" s="75"/>
      <c r="AQ2635" s="75"/>
      <c r="AR2635" s="76"/>
      <c r="AT2635" s="65"/>
      <c r="AU2635" s="77"/>
    </row>
    <row r="2636" spans="37:47">
      <c r="AK2636" s="12"/>
      <c r="AM2636" s="12"/>
      <c r="AN2636" s="75"/>
      <c r="AO2636" s="75"/>
      <c r="AP2636" s="75"/>
      <c r="AQ2636" s="75"/>
      <c r="AR2636" s="76"/>
      <c r="AT2636" s="65"/>
      <c r="AU2636" s="77"/>
    </row>
    <row r="2637" spans="37:47">
      <c r="AK2637" s="12"/>
      <c r="AM2637" s="12"/>
      <c r="AN2637" s="75"/>
      <c r="AO2637" s="75"/>
      <c r="AP2637" s="75"/>
      <c r="AQ2637" s="75"/>
      <c r="AR2637" s="76"/>
      <c r="AT2637" s="65"/>
      <c r="AU2637" s="77"/>
    </row>
    <row r="2638" spans="37:47">
      <c r="AK2638" s="12"/>
      <c r="AM2638" s="12"/>
      <c r="AN2638" s="75"/>
      <c r="AO2638" s="75"/>
      <c r="AP2638" s="75"/>
      <c r="AQ2638" s="75"/>
      <c r="AR2638" s="76"/>
      <c r="AT2638" s="65"/>
      <c r="AU2638" s="77"/>
    </row>
    <row r="2639" spans="37:47">
      <c r="AK2639" s="12"/>
      <c r="AM2639" s="12"/>
      <c r="AN2639" s="75"/>
      <c r="AO2639" s="75"/>
      <c r="AP2639" s="75"/>
      <c r="AQ2639" s="75"/>
      <c r="AR2639" s="76"/>
      <c r="AT2639" s="65"/>
      <c r="AU2639" s="77"/>
    </row>
    <row r="2640" spans="37:47">
      <c r="AK2640" s="12"/>
      <c r="AM2640" s="12"/>
      <c r="AN2640" s="75"/>
      <c r="AO2640" s="75"/>
      <c r="AP2640" s="75"/>
      <c r="AQ2640" s="75"/>
      <c r="AR2640" s="76"/>
      <c r="AT2640" s="65"/>
      <c r="AU2640" s="77"/>
    </row>
    <row r="2641" spans="37:47">
      <c r="AK2641" s="12"/>
      <c r="AM2641" s="12"/>
      <c r="AN2641" s="75"/>
      <c r="AO2641" s="75"/>
      <c r="AP2641" s="75"/>
      <c r="AQ2641" s="75"/>
      <c r="AR2641" s="76"/>
      <c r="AT2641" s="65"/>
      <c r="AU2641" s="77"/>
    </row>
    <row r="2642" spans="37:47">
      <c r="AK2642" s="12"/>
      <c r="AM2642" s="12"/>
      <c r="AN2642" s="75"/>
      <c r="AO2642" s="75"/>
      <c r="AP2642" s="75"/>
      <c r="AQ2642" s="75"/>
      <c r="AR2642" s="76"/>
      <c r="AT2642" s="65"/>
      <c r="AU2642" s="77"/>
    </row>
    <row r="2643" spans="37:47">
      <c r="AK2643" s="12"/>
      <c r="AM2643" s="12"/>
      <c r="AN2643" s="75"/>
      <c r="AO2643" s="75"/>
      <c r="AP2643" s="75"/>
      <c r="AQ2643" s="75"/>
      <c r="AR2643" s="76"/>
      <c r="AT2643" s="65"/>
      <c r="AU2643" s="77"/>
    </row>
    <row r="2644" spans="37:47">
      <c r="AK2644" s="12"/>
      <c r="AM2644" s="12"/>
      <c r="AN2644" s="75"/>
      <c r="AO2644" s="75"/>
      <c r="AP2644" s="75"/>
      <c r="AQ2644" s="75"/>
      <c r="AR2644" s="76"/>
      <c r="AT2644" s="65"/>
      <c r="AU2644" s="77"/>
    </row>
    <row r="2645" spans="37:47">
      <c r="AK2645" s="12"/>
      <c r="AM2645" s="12"/>
      <c r="AN2645" s="75"/>
      <c r="AO2645" s="75"/>
      <c r="AP2645" s="75"/>
      <c r="AQ2645" s="75"/>
      <c r="AR2645" s="76"/>
      <c r="AT2645" s="65"/>
      <c r="AU2645" s="77"/>
    </row>
    <row r="2646" spans="37:47">
      <c r="AK2646" s="12"/>
      <c r="AM2646" s="12"/>
      <c r="AN2646" s="75"/>
      <c r="AO2646" s="75"/>
      <c r="AP2646" s="75"/>
      <c r="AQ2646" s="75"/>
      <c r="AR2646" s="76"/>
      <c r="AT2646" s="65"/>
      <c r="AU2646" s="77"/>
    </row>
    <row r="2647" spans="37:47">
      <c r="AK2647" s="12"/>
      <c r="AM2647" s="12"/>
      <c r="AN2647" s="75"/>
      <c r="AO2647" s="75"/>
      <c r="AP2647" s="75"/>
      <c r="AQ2647" s="75"/>
      <c r="AR2647" s="76"/>
      <c r="AT2647" s="65"/>
      <c r="AU2647" s="77"/>
    </row>
    <row r="2648" spans="37:47">
      <c r="AK2648" s="12"/>
      <c r="AM2648" s="12"/>
      <c r="AN2648" s="75"/>
      <c r="AO2648" s="75"/>
      <c r="AP2648" s="75"/>
      <c r="AQ2648" s="75"/>
      <c r="AR2648" s="76"/>
      <c r="AT2648" s="65"/>
      <c r="AU2648" s="77"/>
    </row>
    <row r="2649" spans="37:47">
      <c r="AK2649" s="12"/>
      <c r="AM2649" s="12"/>
      <c r="AN2649" s="75"/>
      <c r="AO2649" s="75"/>
      <c r="AP2649" s="75"/>
      <c r="AQ2649" s="75"/>
      <c r="AR2649" s="76"/>
      <c r="AT2649" s="65"/>
      <c r="AU2649" s="77"/>
    </row>
    <row r="2650" spans="37:47">
      <c r="AK2650" s="12"/>
      <c r="AM2650" s="12"/>
      <c r="AN2650" s="75"/>
      <c r="AO2650" s="75"/>
      <c r="AP2650" s="75"/>
      <c r="AQ2650" s="75"/>
      <c r="AR2650" s="76"/>
      <c r="AT2650" s="65"/>
      <c r="AU2650" s="77"/>
    </row>
    <row r="2651" spans="37:47">
      <c r="AK2651" s="12"/>
      <c r="AM2651" s="12"/>
      <c r="AN2651" s="75"/>
      <c r="AO2651" s="75"/>
      <c r="AP2651" s="75"/>
      <c r="AQ2651" s="75"/>
      <c r="AR2651" s="76"/>
      <c r="AT2651" s="65"/>
      <c r="AU2651" s="77"/>
    </row>
    <row r="2652" spans="37:47">
      <c r="AK2652" s="12"/>
      <c r="AM2652" s="12"/>
      <c r="AN2652" s="75"/>
      <c r="AO2652" s="75"/>
      <c r="AP2652" s="75"/>
      <c r="AQ2652" s="75"/>
      <c r="AR2652" s="76"/>
      <c r="AT2652" s="65"/>
      <c r="AU2652" s="77"/>
    </row>
    <row r="2653" spans="37:47">
      <c r="AK2653" s="12"/>
      <c r="AM2653" s="12"/>
      <c r="AN2653" s="75"/>
      <c r="AO2653" s="75"/>
      <c r="AP2653" s="75"/>
      <c r="AQ2653" s="75"/>
      <c r="AR2653" s="76"/>
      <c r="AT2653" s="65"/>
      <c r="AU2653" s="77"/>
    </row>
    <row r="2654" spans="37:47">
      <c r="AK2654" s="12"/>
      <c r="AM2654" s="12"/>
      <c r="AN2654" s="75"/>
      <c r="AO2654" s="75"/>
      <c r="AP2654" s="75"/>
      <c r="AQ2654" s="75"/>
      <c r="AR2654" s="76"/>
      <c r="AT2654" s="65"/>
      <c r="AU2654" s="77"/>
    </row>
    <row r="2655" spans="37:47">
      <c r="AK2655" s="12"/>
      <c r="AM2655" s="12"/>
      <c r="AN2655" s="75"/>
      <c r="AO2655" s="75"/>
      <c r="AP2655" s="75"/>
      <c r="AQ2655" s="75"/>
      <c r="AR2655" s="76"/>
      <c r="AT2655" s="65"/>
      <c r="AU2655" s="77"/>
    </row>
    <row r="2656" spans="37:47">
      <c r="AK2656" s="12"/>
      <c r="AM2656" s="12"/>
      <c r="AN2656" s="75"/>
      <c r="AO2656" s="75"/>
      <c r="AP2656" s="75"/>
      <c r="AQ2656" s="75"/>
      <c r="AR2656" s="76"/>
      <c r="AT2656" s="65"/>
      <c r="AU2656" s="77"/>
    </row>
    <row r="2657" spans="37:47">
      <c r="AK2657" s="12"/>
      <c r="AM2657" s="12"/>
      <c r="AN2657" s="75"/>
      <c r="AO2657" s="75"/>
      <c r="AP2657" s="75"/>
      <c r="AQ2657" s="75"/>
      <c r="AR2657" s="76"/>
      <c r="AT2657" s="65"/>
      <c r="AU2657" s="77"/>
    </row>
    <row r="2658" spans="37:47">
      <c r="AK2658" s="12"/>
      <c r="AM2658" s="12"/>
      <c r="AN2658" s="75"/>
      <c r="AO2658" s="75"/>
      <c r="AP2658" s="75"/>
      <c r="AQ2658" s="75"/>
      <c r="AR2658" s="76"/>
      <c r="AT2658" s="65"/>
      <c r="AU2658" s="77"/>
    </row>
    <row r="2659" spans="37:47">
      <c r="AK2659" s="12"/>
      <c r="AM2659" s="12"/>
      <c r="AN2659" s="75"/>
      <c r="AO2659" s="75"/>
      <c r="AP2659" s="75"/>
      <c r="AQ2659" s="75"/>
      <c r="AR2659" s="76"/>
      <c r="AT2659" s="65"/>
      <c r="AU2659" s="77"/>
    </row>
    <row r="2660" spans="37:47">
      <c r="AK2660" s="12"/>
      <c r="AM2660" s="12"/>
      <c r="AN2660" s="75"/>
      <c r="AO2660" s="75"/>
      <c r="AP2660" s="75"/>
      <c r="AQ2660" s="75"/>
      <c r="AR2660" s="76"/>
      <c r="AT2660" s="65"/>
      <c r="AU2660" s="77"/>
    </row>
    <row r="2661" spans="37:47">
      <c r="AK2661" s="12"/>
      <c r="AM2661" s="12"/>
      <c r="AN2661" s="75"/>
      <c r="AO2661" s="75"/>
      <c r="AP2661" s="75"/>
      <c r="AQ2661" s="75"/>
      <c r="AR2661" s="76"/>
      <c r="AT2661" s="65"/>
      <c r="AU2661" s="77"/>
    </row>
    <row r="2662" spans="37:47">
      <c r="AK2662" s="12"/>
      <c r="AM2662" s="12"/>
      <c r="AN2662" s="75"/>
      <c r="AO2662" s="75"/>
      <c r="AP2662" s="75"/>
      <c r="AQ2662" s="75"/>
      <c r="AR2662" s="76"/>
      <c r="AT2662" s="65"/>
      <c r="AU2662" s="77"/>
    </row>
    <row r="2663" spans="37:47">
      <c r="AK2663" s="12"/>
      <c r="AM2663" s="12"/>
      <c r="AN2663" s="75"/>
      <c r="AO2663" s="75"/>
      <c r="AP2663" s="75"/>
      <c r="AQ2663" s="75"/>
      <c r="AR2663" s="76"/>
      <c r="AT2663" s="65"/>
      <c r="AU2663" s="77"/>
    </row>
    <row r="2664" spans="37:47">
      <c r="AK2664" s="12"/>
      <c r="AM2664" s="12"/>
      <c r="AN2664" s="75"/>
      <c r="AO2664" s="75"/>
      <c r="AP2664" s="75"/>
      <c r="AQ2664" s="75"/>
      <c r="AR2664" s="76"/>
      <c r="AT2664" s="65"/>
      <c r="AU2664" s="77"/>
    </row>
    <row r="2665" spans="37:47">
      <c r="AK2665" s="12"/>
      <c r="AM2665" s="12"/>
      <c r="AN2665" s="75"/>
      <c r="AO2665" s="75"/>
      <c r="AP2665" s="75"/>
      <c r="AQ2665" s="75"/>
      <c r="AR2665" s="76"/>
      <c r="AT2665" s="65"/>
      <c r="AU2665" s="77"/>
    </row>
    <row r="2666" spans="37:47">
      <c r="AK2666" s="12"/>
      <c r="AM2666" s="12"/>
      <c r="AN2666" s="75"/>
      <c r="AO2666" s="75"/>
      <c r="AP2666" s="75"/>
      <c r="AQ2666" s="75"/>
      <c r="AR2666" s="76"/>
      <c r="AT2666" s="65"/>
      <c r="AU2666" s="77"/>
    </row>
    <row r="2667" spans="37:47">
      <c r="AK2667" s="12"/>
      <c r="AM2667" s="12"/>
      <c r="AN2667" s="75"/>
      <c r="AO2667" s="75"/>
      <c r="AP2667" s="75"/>
      <c r="AQ2667" s="75"/>
      <c r="AR2667" s="76"/>
      <c r="AT2667" s="65"/>
      <c r="AU2667" s="77"/>
    </row>
    <row r="2668" spans="37:47">
      <c r="AK2668" s="12"/>
      <c r="AM2668" s="12"/>
      <c r="AN2668" s="75"/>
      <c r="AO2668" s="75"/>
      <c r="AP2668" s="75"/>
      <c r="AQ2668" s="75"/>
      <c r="AR2668" s="76"/>
      <c r="AT2668" s="65"/>
      <c r="AU2668" s="77"/>
    </row>
    <row r="2669" spans="37:47">
      <c r="AK2669" s="12"/>
      <c r="AM2669" s="12"/>
      <c r="AN2669" s="75"/>
      <c r="AO2669" s="75"/>
      <c r="AP2669" s="75"/>
      <c r="AQ2669" s="75"/>
      <c r="AR2669" s="76"/>
      <c r="AT2669" s="65"/>
      <c r="AU2669" s="77"/>
    </row>
    <row r="2670" spans="37:47">
      <c r="AK2670" s="12"/>
      <c r="AM2670" s="12"/>
      <c r="AN2670" s="75"/>
      <c r="AO2670" s="75"/>
      <c r="AP2670" s="75"/>
      <c r="AQ2670" s="75"/>
      <c r="AR2670" s="76"/>
      <c r="AT2670" s="65"/>
      <c r="AU2670" s="77"/>
    </row>
    <row r="2671" spans="37:47">
      <c r="AK2671" s="12"/>
      <c r="AM2671" s="12"/>
      <c r="AN2671" s="75"/>
      <c r="AO2671" s="75"/>
      <c r="AP2671" s="75"/>
      <c r="AQ2671" s="75"/>
      <c r="AR2671" s="76"/>
      <c r="AT2671" s="65"/>
      <c r="AU2671" s="77"/>
    </row>
    <row r="2672" spans="37:47">
      <c r="AK2672" s="12"/>
      <c r="AM2672" s="12"/>
      <c r="AN2672" s="75"/>
      <c r="AO2672" s="75"/>
      <c r="AP2672" s="75"/>
      <c r="AQ2672" s="75"/>
      <c r="AR2672" s="76"/>
      <c r="AT2672" s="65"/>
      <c r="AU2672" s="77"/>
    </row>
    <row r="2673" spans="37:47">
      <c r="AK2673" s="12"/>
      <c r="AM2673" s="12"/>
      <c r="AN2673" s="75"/>
      <c r="AO2673" s="75"/>
      <c r="AP2673" s="75"/>
      <c r="AQ2673" s="75"/>
      <c r="AR2673" s="76"/>
      <c r="AT2673" s="65"/>
      <c r="AU2673" s="77"/>
    </row>
    <row r="2674" spans="37:47">
      <c r="AK2674" s="12"/>
      <c r="AM2674" s="12"/>
      <c r="AN2674" s="75"/>
      <c r="AO2674" s="75"/>
      <c r="AP2674" s="75"/>
      <c r="AQ2674" s="75"/>
      <c r="AR2674" s="76"/>
      <c r="AT2674" s="65"/>
      <c r="AU2674" s="77"/>
    </row>
    <row r="2675" spans="37:47">
      <c r="AK2675" s="12"/>
      <c r="AM2675" s="12"/>
      <c r="AN2675" s="75"/>
      <c r="AO2675" s="75"/>
      <c r="AP2675" s="75"/>
      <c r="AQ2675" s="75"/>
      <c r="AR2675" s="76"/>
      <c r="AT2675" s="65"/>
      <c r="AU2675" s="77"/>
    </row>
    <row r="2676" spans="37:47">
      <c r="AK2676" s="12"/>
      <c r="AM2676" s="12"/>
      <c r="AN2676" s="75"/>
      <c r="AO2676" s="75"/>
      <c r="AP2676" s="75"/>
      <c r="AQ2676" s="75"/>
      <c r="AR2676" s="76"/>
      <c r="AT2676" s="65"/>
      <c r="AU2676" s="77"/>
    </row>
    <row r="2677" spans="37:47">
      <c r="AK2677" s="12"/>
      <c r="AM2677" s="12"/>
      <c r="AN2677" s="75"/>
      <c r="AO2677" s="75"/>
      <c r="AP2677" s="75"/>
      <c r="AQ2677" s="75"/>
      <c r="AR2677" s="76"/>
      <c r="AT2677" s="65"/>
      <c r="AU2677" s="77"/>
    </row>
    <row r="2678" spans="37:47">
      <c r="AK2678" s="12"/>
      <c r="AM2678" s="12"/>
      <c r="AN2678" s="75"/>
      <c r="AO2678" s="75"/>
      <c r="AP2678" s="75"/>
      <c r="AQ2678" s="75"/>
      <c r="AR2678" s="76"/>
      <c r="AT2678" s="65"/>
      <c r="AU2678" s="77"/>
    </row>
    <row r="2679" spans="37:47">
      <c r="AK2679" s="12"/>
      <c r="AM2679" s="12"/>
      <c r="AN2679" s="75"/>
      <c r="AO2679" s="75"/>
      <c r="AP2679" s="75"/>
      <c r="AQ2679" s="75"/>
      <c r="AR2679" s="76"/>
      <c r="AT2679" s="65"/>
      <c r="AU2679" s="77"/>
    </row>
    <row r="2680" spans="37:47">
      <c r="AK2680" s="12"/>
      <c r="AM2680" s="12"/>
      <c r="AN2680" s="75"/>
      <c r="AO2680" s="75"/>
      <c r="AP2680" s="75"/>
      <c r="AQ2680" s="75"/>
      <c r="AR2680" s="76"/>
      <c r="AT2680" s="65"/>
      <c r="AU2680" s="77"/>
    </row>
    <row r="2681" spans="37:47">
      <c r="AK2681" s="12"/>
      <c r="AM2681" s="12"/>
      <c r="AN2681" s="75"/>
      <c r="AO2681" s="75"/>
      <c r="AP2681" s="75"/>
      <c r="AQ2681" s="75"/>
      <c r="AR2681" s="76"/>
      <c r="AT2681" s="65"/>
      <c r="AU2681" s="77"/>
    </row>
    <row r="2682" spans="37:47">
      <c r="AK2682" s="12"/>
      <c r="AM2682" s="12"/>
      <c r="AN2682" s="75"/>
      <c r="AO2682" s="75"/>
      <c r="AP2682" s="75"/>
      <c r="AQ2682" s="75"/>
      <c r="AR2682" s="76"/>
      <c r="AT2682" s="65"/>
      <c r="AU2682" s="77"/>
    </row>
    <row r="2683" spans="37:47">
      <c r="AK2683" s="12"/>
      <c r="AM2683" s="12"/>
      <c r="AN2683" s="75"/>
      <c r="AO2683" s="75"/>
      <c r="AP2683" s="75"/>
      <c r="AQ2683" s="75"/>
      <c r="AR2683" s="76"/>
      <c r="AT2683" s="65"/>
      <c r="AU2683" s="77"/>
    </row>
    <row r="2684" spans="37:47">
      <c r="AK2684" s="12"/>
      <c r="AM2684" s="12"/>
      <c r="AN2684" s="75"/>
      <c r="AO2684" s="75"/>
      <c r="AP2684" s="75"/>
      <c r="AQ2684" s="75"/>
      <c r="AR2684" s="76"/>
      <c r="AT2684" s="65"/>
      <c r="AU2684" s="77"/>
    </row>
    <row r="2685" spans="37:47">
      <c r="AK2685" s="12"/>
      <c r="AM2685" s="12"/>
      <c r="AN2685" s="75"/>
      <c r="AO2685" s="75"/>
      <c r="AP2685" s="75"/>
      <c r="AQ2685" s="75"/>
      <c r="AR2685" s="76"/>
      <c r="AT2685" s="65"/>
      <c r="AU2685" s="77"/>
    </row>
    <row r="2686" spans="37:47">
      <c r="AK2686" s="12"/>
      <c r="AM2686" s="12"/>
      <c r="AN2686" s="75"/>
      <c r="AO2686" s="75"/>
      <c r="AP2686" s="75"/>
      <c r="AQ2686" s="75"/>
      <c r="AR2686" s="76"/>
      <c r="AT2686" s="65"/>
      <c r="AU2686" s="77"/>
    </row>
    <row r="2687" spans="37:47">
      <c r="AK2687" s="12"/>
      <c r="AM2687" s="12"/>
      <c r="AN2687" s="75"/>
      <c r="AO2687" s="75"/>
      <c r="AP2687" s="75"/>
      <c r="AQ2687" s="75"/>
      <c r="AR2687" s="76"/>
      <c r="AT2687" s="65"/>
      <c r="AU2687" s="77"/>
    </row>
    <row r="2688" spans="37:47">
      <c r="AK2688" s="12"/>
      <c r="AM2688" s="12"/>
      <c r="AN2688" s="75"/>
      <c r="AO2688" s="75"/>
      <c r="AP2688" s="75"/>
      <c r="AQ2688" s="75"/>
      <c r="AR2688" s="76"/>
      <c r="AT2688" s="65"/>
      <c r="AU2688" s="77"/>
    </row>
    <row r="2689" spans="37:47">
      <c r="AK2689" s="12"/>
      <c r="AM2689" s="12"/>
      <c r="AN2689" s="75"/>
      <c r="AO2689" s="75"/>
      <c r="AP2689" s="75"/>
      <c r="AQ2689" s="75"/>
      <c r="AR2689" s="76"/>
      <c r="AT2689" s="65"/>
      <c r="AU2689" s="77"/>
    </row>
    <row r="2690" spans="37:47">
      <c r="AK2690" s="12"/>
      <c r="AM2690" s="12"/>
      <c r="AN2690" s="75"/>
      <c r="AO2690" s="75"/>
      <c r="AP2690" s="75"/>
      <c r="AQ2690" s="75"/>
      <c r="AR2690" s="76"/>
      <c r="AT2690" s="65"/>
      <c r="AU2690" s="77"/>
    </row>
    <row r="2691" spans="37:47">
      <c r="AK2691" s="12"/>
      <c r="AM2691" s="12"/>
      <c r="AN2691" s="75"/>
      <c r="AO2691" s="75"/>
      <c r="AP2691" s="75"/>
      <c r="AQ2691" s="75"/>
      <c r="AR2691" s="76"/>
      <c r="AT2691" s="65"/>
      <c r="AU2691" s="77"/>
    </row>
    <row r="2692" spans="37:47">
      <c r="AK2692" s="12"/>
      <c r="AM2692" s="12"/>
      <c r="AN2692" s="75"/>
      <c r="AO2692" s="75"/>
      <c r="AP2692" s="75"/>
      <c r="AQ2692" s="75"/>
      <c r="AR2692" s="76"/>
      <c r="AT2692" s="65"/>
      <c r="AU2692" s="77"/>
    </row>
    <row r="2693" spans="37:47">
      <c r="AK2693" s="12"/>
      <c r="AM2693" s="12"/>
      <c r="AN2693" s="75"/>
      <c r="AO2693" s="75"/>
      <c r="AP2693" s="75"/>
      <c r="AQ2693" s="75"/>
      <c r="AR2693" s="76"/>
      <c r="AT2693" s="65"/>
      <c r="AU2693" s="77"/>
    </row>
    <row r="2694" spans="37:47">
      <c r="AK2694" s="12"/>
      <c r="AM2694" s="12"/>
      <c r="AN2694" s="75"/>
      <c r="AO2694" s="75"/>
      <c r="AP2694" s="75"/>
      <c r="AQ2694" s="75"/>
      <c r="AR2694" s="76"/>
      <c r="AT2694" s="65"/>
      <c r="AU2694" s="77"/>
    </row>
    <row r="2695" spans="37:47">
      <c r="AK2695" s="12"/>
      <c r="AM2695" s="12"/>
      <c r="AN2695" s="75"/>
      <c r="AO2695" s="75"/>
      <c r="AP2695" s="75"/>
      <c r="AQ2695" s="75"/>
      <c r="AR2695" s="76"/>
      <c r="AT2695" s="65"/>
      <c r="AU2695" s="77"/>
    </row>
    <row r="2696" spans="37:47">
      <c r="AK2696" s="12"/>
      <c r="AM2696" s="12"/>
      <c r="AN2696" s="75"/>
      <c r="AO2696" s="75"/>
      <c r="AP2696" s="75"/>
      <c r="AQ2696" s="75"/>
      <c r="AR2696" s="76"/>
      <c r="AT2696" s="65"/>
      <c r="AU2696" s="77"/>
    </row>
    <row r="2697" spans="37:47">
      <c r="AK2697" s="12"/>
      <c r="AM2697" s="12"/>
      <c r="AN2697" s="75"/>
      <c r="AO2697" s="75"/>
      <c r="AP2697" s="75"/>
      <c r="AQ2697" s="75"/>
      <c r="AR2697" s="76"/>
      <c r="AT2697" s="65"/>
      <c r="AU2697" s="77"/>
    </row>
    <row r="2698" spans="37:47">
      <c r="AK2698" s="12"/>
      <c r="AM2698" s="12"/>
      <c r="AN2698" s="75"/>
      <c r="AO2698" s="75"/>
      <c r="AP2698" s="75"/>
      <c r="AQ2698" s="75"/>
      <c r="AR2698" s="76"/>
      <c r="AT2698" s="65"/>
      <c r="AU2698" s="77"/>
    </row>
    <row r="2699" spans="37:47">
      <c r="AK2699" s="12"/>
      <c r="AM2699" s="12"/>
      <c r="AN2699" s="75"/>
      <c r="AO2699" s="75"/>
      <c r="AP2699" s="75"/>
      <c r="AQ2699" s="75"/>
      <c r="AR2699" s="76"/>
      <c r="AT2699" s="65"/>
      <c r="AU2699" s="77"/>
    </row>
    <row r="2700" spans="37:47">
      <c r="AK2700" s="12"/>
      <c r="AM2700" s="12"/>
      <c r="AN2700" s="75"/>
      <c r="AO2700" s="75"/>
      <c r="AP2700" s="75"/>
      <c r="AQ2700" s="75"/>
      <c r="AR2700" s="76"/>
      <c r="AT2700" s="65"/>
      <c r="AU2700" s="77"/>
    </row>
    <row r="2701" spans="37:47">
      <c r="AK2701" s="12"/>
      <c r="AM2701" s="12"/>
      <c r="AN2701" s="75"/>
      <c r="AO2701" s="75"/>
      <c r="AP2701" s="75"/>
      <c r="AQ2701" s="75"/>
      <c r="AR2701" s="76"/>
      <c r="AT2701" s="65"/>
      <c r="AU2701" s="77"/>
    </row>
    <row r="2702" spans="37:47">
      <c r="AK2702" s="12"/>
      <c r="AM2702" s="12"/>
      <c r="AN2702" s="75"/>
      <c r="AO2702" s="75"/>
      <c r="AP2702" s="75"/>
      <c r="AQ2702" s="75"/>
      <c r="AR2702" s="76"/>
      <c r="AT2702" s="65"/>
      <c r="AU2702" s="77"/>
    </row>
    <row r="2703" spans="37:47">
      <c r="AK2703" s="12"/>
      <c r="AM2703" s="12"/>
      <c r="AN2703" s="75"/>
      <c r="AO2703" s="75"/>
      <c r="AP2703" s="75"/>
      <c r="AQ2703" s="75"/>
      <c r="AR2703" s="76"/>
      <c r="AT2703" s="65"/>
      <c r="AU2703" s="77"/>
    </row>
    <row r="2704" spans="37:47">
      <c r="AK2704" s="12"/>
      <c r="AM2704" s="12"/>
      <c r="AN2704" s="75"/>
      <c r="AO2704" s="75"/>
      <c r="AP2704" s="75"/>
      <c r="AQ2704" s="75"/>
      <c r="AR2704" s="76"/>
      <c r="AT2704" s="65"/>
      <c r="AU2704" s="77"/>
    </row>
    <row r="2705" spans="37:47">
      <c r="AK2705" s="12"/>
      <c r="AM2705" s="12"/>
      <c r="AN2705" s="75"/>
      <c r="AO2705" s="75"/>
      <c r="AP2705" s="75"/>
      <c r="AQ2705" s="75"/>
      <c r="AR2705" s="76"/>
      <c r="AT2705" s="65"/>
      <c r="AU2705" s="77"/>
    </row>
    <row r="2706" spans="37:47">
      <c r="AK2706" s="12"/>
      <c r="AM2706" s="12"/>
      <c r="AN2706" s="75"/>
      <c r="AO2706" s="75"/>
      <c r="AP2706" s="75"/>
      <c r="AQ2706" s="75"/>
      <c r="AR2706" s="76"/>
      <c r="AT2706" s="65"/>
      <c r="AU2706" s="77"/>
    </row>
    <row r="2707" spans="37:47">
      <c r="AK2707" s="12"/>
      <c r="AM2707" s="12"/>
      <c r="AN2707" s="75"/>
      <c r="AO2707" s="75"/>
      <c r="AP2707" s="75"/>
      <c r="AQ2707" s="75"/>
      <c r="AR2707" s="76"/>
      <c r="AT2707" s="65"/>
      <c r="AU2707" s="77"/>
    </row>
    <row r="2708" spans="37:47">
      <c r="AK2708" s="12"/>
      <c r="AM2708" s="12"/>
      <c r="AN2708" s="75"/>
      <c r="AO2708" s="75"/>
      <c r="AP2708" s="75"/>
      <c r="AQ2708" s="75"/>
      <c r="AR2708" s="76"/>
      <c r="AT2708" s="65"/>
      <c r="AU2708" s="77"/>
    </row>
    <row r="2709" spans="37:47">
      <c r="AK2709" s="12"/>
      <c r="AM2709" s="12"/>
      <c r="AN2709" s="75"/>
      <c r="AO2709" s="75"/>
      <c r="AP2709" s="75"/>
      <c r="AQ2709" s="75"/>
      <c r="AR2709" s="76"/>
      <c r="AT2709" s="65"/>
      <c r="AU2709" s="77"/>
    </row>
    <row r="2710" spans="37:47">
      <c r="AK2710" s="12"/>
      <c r="AM2710" s="12"/>
      <c r="AN2710" s="75"/>
      <c r="AO2710" s="75"/>
      <c r="AP2710" s="75"/>
      <c r="AQ2710" s="75"/>
      <c r="AR2710" s="76"/>
      <c r="AT2710" s="65"/>
      <c r="AU2710" s="77"/>
    </row>
    <row r="2711" spans="37:47">
      <c r="AK2711" s="12"/>
      <c r="AM2711" s="12"/>
      <c r="AN2711" s="75"/>
      <c r="AO2711" s="75"/>
      <c r="AP2711" s="75"/>
      <c r="AQ2711" s="75"/>
      <c r="AR2711" s="76"/>
      <c r="AT2711" s="65"/>
      <c r="AU2711" s="77"/>
    </row>
    <row r="2712" spans="37:47">
      <c r="AK2712" s="12"/>
      <c r="AM2712" s="12"/>
      <c r="AN2712" s="75"/>
      <c r="AO2712" s="75"/>
      <c r="AP2712" s="75"/>
      <c r="AQ2712" s="75"/>
      <c r="AR2712" s="76"/>
      <c r="AT2712" s="65"/>
      <c r="AU2712" s="77"/>
    </row>
    <row r="2713" spans="37:47">
      <c r="AK2713" s="12"/>
      <c r="AM2713" s="12"/>
      <c r="AN2713" s="75"/>
      <c r="AO2713" s="75"/>
      <c r="AP2713" s="75"/>
      <c r="AQ2713" s="75"/>
      <c r="AR2713" s="76"/>
      <c r="AT2713" s="65"/>
      <c r="AU2713" s="77"/>
    </row>
    <row r="2714" spans="37:47">
      <c r="AK2714" s="12"/>
      <c r="AM2714" s="12"/>
      <c r="AN2714" s="75"/>
      <c r="AO2714" s="75"/>
      <c r="AP2714" s="75"/>
      <c r="AQ2714" s="75"/>
      <c r="AR2714" s="76"/>
      <c r="AT2714" s="65"/>
      <c r="AU2714" s="77"/>
    </row>
    <row r="2715" spans="37:47">
      <c r="AK2715" s="12"/>
      <c r="AM2715" s="12"/>
      <c r="AN2715" s="75"/>
      <c r="AO2715" s="75"/>
      <c r="AP2715" s="75"/>
      <c r="AQ2715" s="75"/>
      <c r="AR2715" s="76"/>
      <c r="AT2715" s="65"/>
      <c r="AU2715" s="77"/>
    </row>
    <row r="2716" spans="37:47">
      <c r="AK2716" s="12"/>
      <c r="AM2716" s="12"/>
      <c r="AN2716" s="75"/>
      <c r="AO2716" s="75"/>
      <c r="AP2716" s="75"/>
      <c r="AQ2716" s="75"/>
      <c r="AR2716" s="76"/>
      <c r="AT2716" s="65"/>
      <c r="AU2716" s="77"/>
    </row>
    <row r="2717" spans="37:47">
      <c r="AK2717" s="12"/>
      <c r="AM2717" s="12"/>
      <c r="AN2717" s="75"/>
      <c r="AO2717" s="75"/>
      <c r="AP2717" s="75"/>
      <c r="AQ2717" s="75"/>
      <c r="AR2717" s="76"/>
      <c r="AT2717" s="65"/>
      <c r="AU2717" s="77"/>
    </row>
    <row r="2718" spans="37:47">
      <c r="AK2718" s="12"/>
      <c r="AM2718" s="12"/>
      <c r="AN2718" s="75"/>
      <c r="AO2718" s="75"/>
      <c r="AP2718" s="75"/>
      <c r="AQ2718" s="75"/>
      <c r="AR2718" s="76"/>
      <c r="AT2718" s="65"/>
      <c r="AU2718" s="77"/>
    </row>
    <row r="2719" spans="37:47">
      <c r="AK2719" s="12"/>
      <c r="AM2719" s="12"/>
      <c r="AN2719" s="75"/>
      <c r="AO2719" s="75"/>
      <c r="AP2719" s="75"/>
      <c r="AQ2719" s="75"/>
      <c r="AR2719" s="76"/>
      <c r="AT2719" s="65"/>
      <c r="AU2719" s="77"/>
    </row>
    <row r="2720" spans="37:47">
      <c r="AK2720" s="12"/>
      <c r="AM2720" s="12"/>
      <c r="AN2720" s="75"/>
      <c r="AO2720" s="75"/>
      <c r="AP2720" s="75"/>
      <c r="AQ2720" s="75"/>
      <c r="AR2720" s="76"/>
      <c r="AT2720" s="65"/>
      <c r="AU2720" s="77"/>
    </row>
    <row r="2721" spans="37:47">
      <c r="AK2721" s="12"/>
      <c r="AM2721" s="12"/>
      <c r="AN2721" s="75"/>
      <c r="AO2721" s="75"/>
      <c r="AP2721" s="75"/>
      <c r="AQ2721" s="75"/>
      <c r="AR2721" s="76"/>
      <c r="AT2721" s="65"/>
      <c r="AU2721" s="77"/>
    </row>
    <row r="2722" spans="37:47">
      <c r="AK2722" s="12"/>
      <c r="AM2722" s="12"/>
      <c r="AN2722" s="75"/>
      <c r="AO2722" s="75"/>
      <c r="AP2722" s="75"/>
      <c r="AQ2722" s="75"/>
      <c r="AR2722" s="76"/>
      <c r="AT2722" s="65"/>
      <c r="AU2722" s="77"/>
    </row>
    <row r="2723" spans="37:47">
      <c r="AK2723" s="12"/>
      <c r="AM2723" s="12"/>
      <c r="AN2723" s="75"/>
      <c r="AO2723" s="75"/>
      <c r="AP2723" s="75"/>
      <c r="AQ2723" s="75"/>
      <c r="AR2723" s="76"/>
      <c r="AT2723" s="65"/>
      <c r="AU2723" s="77"/>
    </row>
    <row r="2724" spans="37:47">
      <c r="AK2724" s="12"/>
      <c r="AM2724" s="12"/>
      <c r="AN2724" s="75"/>
      <c r="AO2724" s="75"/>
      <c r="AP2724" s="75"/>
      <c r="AQ2724" s="75"/>
      <c r="AR2724" s="76"/>
      <c r="AT2724" s="65"/>
      <c r="AU2724" s="77"/>
    </row>
    <row r="2725" spans="37:47">
      <c r="AK2725" s="12"/>
      <c r="AM2725" s="12"/>
      <c r="AN2725" s="75"/>
      <c r="AO2725" s="75"/>
      <c r="AP2725" s="75"/>
      <c r="AQ2725" s="75"/>
      <c r="AR2725" s="76"/>
      <c r="AT2725" s="65"/>
      <c r="AU2725" s="77"/>
    </row>
    <row r="2726" spans="37:47">
      <c r="AK2726" s="12"/>
      <c r="AM2726" s="12"/>
      <c r="AN2726" s="75"/>
      <c r="AO2726" s="75"/>
      <c r="AP2726" s="75"/>
      <c r="AQ2726" s="75"/>
      <c r="AR2726" s="76"/>
      <c r="AT2726" s="65"/>
      <c r="AU2726" s="77"/>
    </row>
    <row r="2727" spans="37:47">
      <c r="AK2727" s="12"/>
      <c r="AM2727" s="12"/>
      <c r="AN2727" s="75"/>
      <c r="AO2727" s="75"/>
      <c r="AP2727" s="75"/>
      <c r="AQ2727" s="75"/>
      <c r="AR2727" s="76"/>
      <c r="AT2727" s="65"/>
      <c r="AU2727" s="77"/>
    </row>
    <row r="2728" spans="37:47">
      <c r="AK2728" s="12"/>
      <c r="AM2728" s="12"/>
      <c r="AN2728" s="75"/>
      <c r="AO2728" s="75"/>
      <c r="AP2728" s="75"/>
      <c r="AQ2728" s="75"/>
      <c r="AR2728" s="76"/>
      <c r="AT2728" s="65"/>
      <c r="AU2728" s="77"/>
    </row>
    <row r="2729" spans="37:47">
      <c r="AK2729" s="12"/>
      <c r="AM2729" s="12"/>
      <c r="AN2729" s="75"/>
      <c r="AO2729" s="75"/>
      <c r="AP2729" s="75"/>
      <c r="AQ2729" s="75"/>
      <c r="AR2729" s="76"/>
      <c r="AT2729" s="65"/>
      <c r="AU2729" s="77"/>
    </row>
    <row r="2730" spans="37:47">
      <c r="AK2730" s="12"/>
      <c r="AM2730" s="12"/>
      <c r="AN2730" s="75"/>
      <c r="AO2730" s="75"/>
      <c r="AP2730" s="75"/>
      <c r="AQ2730" s="75"/>
      <c r="AR2730" s="76"/>
      <c r="AT2730" s="65"/>
      <c r="AU2730" s="77"/>
    </row>
    <row r="2731" spans="37:47">
      <c r="AK2731" s="12"/>
      <c r="AM2731" s="12"/>
      <c r="AN2731" s="75"/>
      <c r="AO2731" s="75"/>
      <c r="AP2731" s="75"/>
      <c r="AQ2731" s="75"/>
      <c r="AR2731" s="76"/>
      <c r="AT2731" s="65"/>
      <c r="AU2731" s="77"/>
    </row>
    <row r="2732" spans="37:47">
      <c r="AK2732" s="12"/>
      <c r="AM2732" s="12"/>
      <c r="AN2732" s="75"/>
      <c r="AO2732" s="75"/>
      <c r="AP2732" s="75"/>
      <c r="AQ2732" s="75"/>
      <c r="AR2732" s="76"/>
      <c r="AT2732" s="65"/>
      <c r="AU2732" s="77"/>
    </row>
    <row r="2733" spans="37:47">
      <c r="AK2733" s="12"/>
      <c r="AM2733" s="12"/>
      <c r="AN2733" s="75"/>
      <c r="AO2733" s="75"/>
      <c r="AP2733" s="75"/>
      <c r="AQ2733" s="75"/>
      <c r="AR2733" s="76"/>
      <c r="AT2733" s="65"/>
      <c r="AU2733" s="77"/>
    </row>
    <row r="2734" spans="37:47">
      <c r="AK2734" s="12"/>
      <c r="AM2734" s="12"/>
      <c r="AN2734" s="75"/>
      <c r="AO2734" s="75"/>
      <c r="AP2734" s="75"/>
      <c r="AQ2734" s="75"/>
      <c r="AR2734" s="76"/>
      <c r="AT2734" s="65"/>
      <c r="AU2734" s="77"/>
    </row>
    <row r="2735" spans="37:47">
      <c r="AK2735" s="12"/>
      <c r="AM2735" s="12"/>
      <c r="AN2735" s="75"/>
      <c r="AO2735" s="75"/>
      <c r="AP2735" s="75"/>
      <c r="AQ2735" s="75"/>
      <c r="AR2735" s="76"/>
      <c r="AT2735" s="65"/>
      <c r="AU2735" s="77"/>
    </row>
    <row r="2736" spans="37:47">
      <c r="AK2736" s="12"/>
      <c r="AM2736" s="12"/>
      <c r="AN2736" s="75"/>
      <c r="AO2736" s="75"/>
      <c r="AP2736" s="75"/>
      <c r="AQ2736" s="75"/>
      <c r="AR2736" s="76"/>
      <c r="AT2736" s="65"/>
      <c r="AU2736" s="77"/>
    </row>
    <row r="2737" spans="37:47">
      <c r="AK2737" s="12"/>
      <c r="AM2737" s="12"/>
      <c r="AN2737" s="75"/>
      <c r="AO2737" s="75"/>
      <c r="AP2737" s="75"/>
      <c r="AQ2737" s="75"/>
      <c r="AR2737" s="76"/>
      <c r="AT2737" s="65"/>
      <c r="AU2737" s="77"/>
    </row>
    <row r="2738" spans="37:47">
      <c r="AK2738" s="12"/>
      <c r="AM2738" s="12"/>
      <c r="AN2738" s="75"/>
      <c r="AO2738" s="75"/>
      <c r="AP2738" s="75"/>
      <c r="AQ2738" s="75"/>
      <c r="AR2738" s="76"/>
      <c r="AT2738" s="65"/>
      <c r="AU2738" s="77"/>
    </row>
    <row r="2739" spans="37:47">
      <c r="AK2739" s="12"/>
      <c r="AM2739" s="12"/>
      <c r="AN2739" s="75"/>
      <c r="AO2739" s="75"/>
      <c r="AP2739" s="75"/>
      <c r="AQ2739" s="75"/>
      <c r="AR2739" s="76"/>
      <c r="AT2739" s="65"/>
      <c r="AU2739" s="77"/>
    </row>
    <row r="2740" spans="37:47">
      <c r="AK2740" s="12"/>
      <c r="AM2740" s="12"/>
      <c r="AN2740" s="75"/>
      <c r="AO2740" s="75"/>
      <c r="AP2740" s="75"/>
      <c r="AQ2740" s="75"/>
      <c r="AR2740" s="76"/>
      <c r="AT2740" s="65"/>
      <c r="AU2740" s="77"/>
    </row>
    <row r="2741" spans="37:47">
      <c r="AK2741" s="12"/>
      <c r="AM2741" s="12"/>
      <c r="AN2741" s="75"/>
      <c r="AO2741" s="75"/>
      <c r="AP2741" s="75"/>
      <c r="AQ2741" s="75"/>
      <c r="AR2741" s="76"/>
      <c r="AT2741" s="65"/>
      <c r="AU2741" s="77"/>
    </row>
    <row r="2742" spans="37:47">
      <c r="AK2742" s="12"/>
      <c r="AM2742" s="12"/>
      <c r="AN2742" s="75"/>
      <c r="AO2742" s="75"/>
      <c r="AP2742" s="75"/>
      <c r="AQ2742" s="75"/>
      <c r="AR2742" s="76"/>
      <c r="AT2742" s="65"/>
      <c r="AU2742" s="77"/>
    </row>
    <row r="2743" spans="37:47">
      <c r="AK2743" s="12"/>
      <c r="AM2743" s="12"/>
      <c r="AN2743" s="75"/>
      <c r="AO2743" s="75"/>
      <c r="AP2743" s="75"/>
      <c r="AQ2743" s="75"/>
      <c r="AR2743" s="76"/>
      <c r="AT2743" s="65"/>
      <c r="AU2743" s="77"/>
    </row>
    <row r="2744" spans="37:47">
      <c r="AK2744" s="12"/>
      <c r="AM2744" s="12"/>
      <c r="AN2744" s="75"/>
      <c r="AO2744" s="75"/>
      <c r="AP2744" s="75"/>
      <c r="AQ2744" s="75"/>
      <c r="AR2744" s="76"/>
      <c r="AT2744" s="65"/>
      <c r="AU2744" s="77"/>
    </row>
    <row r="2745" spans="37:47">
      <c r="AK2745" s="12"/>
      <c r="AM2745" s="12"/>
      <c r="AN2745" s="75"/>
      <c r="AO2745" s="75"/>
      <c r="AP2745" s="75"/>
      <c r="AQ2745" s="75"/>
      <c r="AR2745" s="76"/>
      <c r="AT2745" s="65"/>
      <c r="AU2745" s="77"/>
    </row>
    <row r="2746" spans="37:47">
      <c r="AK2746" s="12"/>
      <c r="AM2746" s="12"/>
      <c r="AN2746" s="75"/>
      <c r="AO2746" s="75"/>
      <c r="AP2746" s="75"/>
      <c r="AQ2746" s="75"/>
      <c r="AR2746" s="76"/>
      <c r="AT2746" s="65"/>
      <c r="AU2746" s="77"/>
    </row>
    <row r="2747" spans="37:47">
      <c r="AK2747" s="12"/>
      <c r="AM2747" s="12"/>
      <c r="AN2747" s="75"/>
      <c r="AO2747" s="75"/>
      <c r="AP2747" s="75"/>
      <c r="AQ2747" s="75"/>
      <c r="AR2747" s="76"/>
      <c r="AT2747" s="65"/>
      <c r="AU2747" s="77"/>
    </row>
    <row r="2748" spans="37:47">
      <c r="AK2748" s="12"/>
      <c r="AM2748" s="12"/>
      <c r="AN2748" s="75"/>
      <c r="AO2748" s="75"/>
      <c r="AP2748" s="75"/>
      <c r="AQ2748" s="75"/>
      <c r="AR2748" s="76"/>
      <c r="AT2748" s="65"/>
      <c r="AU2748" s="77"/>
    </row>
    <row r="2749" spans="37:47">
      <c r="AK2749" s="12"/>
      <c r="AM2749" s="12"/>
      <c r="AN2749" s="75"/>
      <c r="AO2749" s="75"/>
      <c r="AP2749" s="75"/>
      <c r="AQ2749" s="75"/>
      <c r="AR2749" s="76"/>
      <c r="AT2749" s="65"/>
      <c r="AU2749" s="77"/>
    </row>
    <row r="2750" spans="37:47">
      <c r="AK2750" s="12"/>
      <c r="AM2750" s="12"/>
      <c r="AN2750" s="75"/>
      <c r="AO2750" s="75"/>
      <c r="AP2750" s="75"/>
      <c r="AQ2750" s="75"/>
      <c r="AR2750" s="76"/>
      <c r="AT2750" s="65"/>
      <c r="AU2750" s="77"/>
    </row>
    <row r="2751" spans="37:47">
      <c r="AK2751" s="12"/>
      <c r="AM2751" s="12"/>
      <c r="AN2751" s="75"/>
      <c r="AO2751" s="75"/>
      <c r="AP2751" s="75"/>
      <c r="AQ2751" s="75"/>
      <c r="AR2751" s="76"/>
      <c r="AT2751" s="65"/>
      <c r="AU2751" s="77"/>
    </row>
    <row r="2752" spans="37:47">
      <c r="AK2752" s="12"/>
      <c r="AM2752" s="12"/>
      <c r="AN2752" s="75"/>
      <c r="AO2752" s="75"/>
      <c r="AP2752" s="75"/>
      <c r="AQ2752" s="75"/>
      <c r="AR2752" s="76"/>
      <c r="AT2752" s="65"/>
      <c r="AU2752" s="77"/>
    </row>
    <row r="2753" spans="37:47">
      <c r="AK2753" s="12"/>
      <c r="AM2753" s="12"/>
      <c r="AN2753" s="75"/>
      <c r="AO2753" s="75"/>
      <c r="AP2753" s="75"/>
      <c r="AQ2753" s="75"/>
      <c r="AR2753" s="76"/>
      <c r="AT2753" s="65"/>
      <c r="AU2753" s="77"/>
    </row>
    <row r="2754" spans="37:47">
      <c r="AK2754" s="12"/>
      <c r="AM2754" s="12"/>
      <c r="AN2754" s="75"/>
      <c r="AO2754" s="75"/>
      <c r="AP2754" s="75"/>
      <c r="AQ2754" s="75"/>
      <c r="AR2754" s="76"/>
      <c r="AT2754" s="65"/>
      <c r="AU2754" s="77"/>
    </row>
    <row r="2755" spans="37:47">
      <c r="AK2755" s="12"/>
      <c r="AM2755" s="12"/>
      <c r="AN2755" s="75"/>
      <c r="AO2755" s="75"/>
      <c r="AP2755" s="75"/>
      <c r="AQ2755" s="75"/>
      <c r="AR2755" s="76"/>
      <c r="AT2755" s="65"/>
      <c r="AU2755" s="77"/>
    </row>
    <row r="2756" spans="37:47">
      <c r="AK2756" s="12"/>
      <c r="AM2756" s="12"/>
      <c r="AN2756" s="75"/>
      <c r="AO2756" s="75"/>
      <c r="AP2756" s="75"/>
      <c r="AQ2756" s="75"/>
      <c r="AR2756" s="76"/>
      <c r="AT2756" s="65"/>
      <c r="AU2756" s="77"/>
    </row>
    <row r="2757" spans="37:47">
      <c r="AK2757" s="12"/>
      <c r="AM2757" s="12"/>
      <c r="AN2757" s="75"/>
      <c r="AO2757" s="75"/>
      <c r="AP2757" s="75"/>
      <c r="AQ2757" s="75"/>
      <c r="AR2757" s="76"/>
      <c r="AT2757" s="65"/>
      <c r="AU2757" s="77"/>
    </row>
    <row r="2758" spans="37:47">
      <c r="AK2758" s="12"/>
      <c r="AM2758" s="12"/>
      <c r="AN2758" s="75"/>
      <c r="AO2758" s="75"/>
      <c r="AP2758" s="75"/>
      <c r="AQ2758" s="75"/>
      <c r="AR2758" s="76"/>
      <c r="AT2758" s="65"/>
      <c r="AU2758" s="77"/>
    </row>
    <row r="2759" spans="37:47">
      <c r="AK2759" s="12"/>
      <c r="AM2759" s="12"/>
      <c r="AN2759" s="75"/>
      <c r="AO2759" s="75"/>
      <c r="AP2759" s="75"/>
      <c r="AQ2759" s="75"/>
      <c r="AR2759" s="76"/>
      <c r="AT2759" s="65"/>
      <c r="AU2759" s="77"/>
    </row>
    <row r="2760" spans="37:47">
      <c r="AK2760" s="12"/>
      <c r="AM2760" s="12"/>
      <c r="AN2760" s="75"/>
      <c r="AO2760" s="75"/>
      <c r="AP2760" s="75"/>
      <c r="AQ2760" s="75"/>
      <c r="AR2760" s="76"/>
      <c r="AT2760" s="65"/>
      <c r="AU2760" s="77"/>
    </row>
    <row r="2761" spans="37:47">
      <c r="AK2761" s="12"/>
      <c r="AM2761" s="12"/>
      <c r="AN2761" s="75"/>
      <c r="AO2761" s="75"/>
      <c r="AP2761" s="75"/>
      <c r="AQ2761" s="75"/>
      <c r="AR2761" s="76"/>
      <c r="AT2761" s="65"/>
      <c r="AU2761" s="77"/>
    </row>
    <row r="2762" spans="37:47">
      <c r="AK2762" s="12"/>
      <c r="AM2762" s="12"/>
      <c r="AN2762" s="75"/>
      <c r="AO2762" s="75"/>
      <c r="AP2762" s="75"/>
      <c r="AQ2762" s="75"/>
      <c r="AR2762" s="76"/>
      <c r="AT2762" s="65"/>
      <c r="AU2762" s="77"/>
    </row>
    <row r="2763" spans="37:47">
      <c r="AK2763" s="12"/>
      <c r="AM2763" s="12"/>
      <c r="AN2763" s="75"/>
      <c r="AO2763" s="75"/>
      <c r="AP2763" s="75"/>
      <c r="AQ2763" s="75"/>
      <c r="AR2763" s="76"/>
      <c r="AT2763" s="65"/>
      <c r="AU2763" s="77"/>
    </row>
    <row r="2764" spans="37:47">
      <c r="AK2764" s="12"/>
      <c r="AM2764" s="12"/>
      <c r="AN2764" s="75"/>
      <c r="AO2764" s="75"/>
      <c r="AP2764" s="75"/>
      <c r="AQ2764" s="75"/>
      <c r="AR2764" s="76"/>
      <c r="AT2764" s="65"/>
      <c r="AU2764" s="77"/>
    </row>
    <row r="2765" spans="37:47">
      <c r="AK2765" s="12"/>
      <c r="AM2765" s="12"/>
      <c r="AN2765" s="75"/>
      <c r="AO2765" s="75"/>
      <c r="AP2765" s="75"/>
      <c r="AQ2765" s="75"/>
      <c r="AR2765" s="76"/>
      <c r="AT2765" s="65"/>
      <c r="AU2765" s="77"/>
    </row>
    <row r="2766" spans="37:47">
      <c r="AK2766" s="12"/>
      <c r="AM2766" s="12"/>
      <c r="AN2766" s="75"/>
      <c r="AO2766" s="75"/>
      <c r="AP2766" s="75"/>
      <c r="AQ2766" s="75"/>
      <c r="AR2766" s="76"/>
      <c r="AT2766" s="65"/>
      <c r="AU2766" s="77"/>
    </row>
    <row r="2767" spans="37:47">
      <c r="AK2767" s="12"/>
      <c r="AM2767" s="12"/>
      <c r="AN2767" s="75"/>
      <c r="AO2767" s="75"/>
      <c r="AP2767" s="75"/>
      <c r="AQ2767" s="75"/>
      <c r="AR2767" s="76"/>
      <c r="AT2767" s="65"/>
      <c r="AU2767" s="77"/>
    </row>
    <row r="2768" spans="37:47">
      <c r="AK2768" s="12"/>
      <c r="AM2768" s="12"/>
      <c r="AN2768" s="75"/>
      <c r="AO2768" s="75"/>
      <c r="AP2768" s="75"/>
      <c r="AQ2768" s="75"/>
      <c r="AR2768" s="76"/>
      <c r="AT2768" s="65"/>
      <c r="AU2768" s="77"/>
    </row>
    <row r="2769" spans="37:47">
      <c r="AK2769" s="12"/>
      <c r="AM2769" s="12"/>
      <c r="AN2769" s="75"/>
      <c r="AO2769" s="75"/>
      <c r="AP2769" s="75"/>
      <c r="AQ2769" s="75"/>
      <c r="AR2769" s="76"/>
      <c r="AT2769" s="65"/>
      <c r="AU2769" s="77"/>
    </row>
    <row r="2770" spans="37:47">
      <c r="AK2770" s="12"/>
      <c r="AM2770" s="12"/>
      <c r="AN2770" s="75"/>
      <c r="AO2770" s="75"/>
      <c r="AP2770" s="75"/>
      <c r="AQ2770" s="75"/>
      <c r="AR2770" s="76"/>
      <c r="AT2770" s="65"/>
      <c r="AU2770" s="77"/>
    </row>
    <row r="2771" spans="37:47">
      <c r="AK2771" s="12"/>
      <c r="AM2771" s="12"/>
      <c r="AN2771" s="75"/>
      <c r="AO2771" s="75"/>
      <c r="AP2771" s="75"/>
      <c r="AQ2771" s="75"/>
      <c r="AR2771" s="76"/>
      <c r="AT2771" s="65"/>
      <c r="AU2771" s="77"/>
    </row>
    <row r="2772" spans="37:47">
      <c r="AK2772" s="12"/>
      <c r="AM2772" s="12"/>
      <c r="AN2772" s="75"/>
      <c r="AO2772" s="75"/>
      <c r="AP2772" s="75"/>
      <c r="AQ2772" s="75"/>
      <c r="AR2772" s="76"/>
      <c r="AT2772" s="65"/>
      <c r="AU2772" s="77"/>
    </row>
    <row r="2773" spans="37:47">
      <c r="AK2773" s="12"/>
      <c r="AM2773" s="12"/>
      <c r="AN2773" s="75"/>
      <c r="AO2773" s="75"/>
      <c r="AP2773" s="75"/>
      <c r="AQ2773" s="75"/>
      <c r="AR2773" s="76"/>
      <c r="AT2773" s="65"/>
      <c r="AU2773" s="77"/>
    </row>
    <row r="2774" spans="37:47">
      <c r="AK2774" s="12"/>
      <c r="AM2774" s="12"/>
      <c r="AN2774" s="75"/>
      <c r="AO2774" s="75"/>
      <c r="AP2774" s="75"/>
      <c r="AQ2774" s="75"/>
      <c r="AR2774" s="76"/>
      <c r="AT2774" s="65"/>
      <c r="AU2774" s="77"/>
    </row>
    <row r="2775" spans="37:47">
      <c r="AK2775" s="12"/>
      <c r="AM2775" s="12"/>
      <c r="AN2775" s="75"/>
      <c r="AO2775" s="75"/>
      <c r="AP2775" s="75"/>
      <c r="AQ2775" s="75"/>
      <c r="AR2775" s="76"/>
      <c r="AT2775" s="65"/>
      <c r="AU2775" s="77"/>
    </row>
    <row r="2776" spans="37:47">
      <c r="AK2776" s="12"/>
      <c r="AM2776" s="12"/>
      <c r="AN2776" s="75"/>
      <c r="AO2776" s="75"/>
      <c r="AP2776" s="75"/>
      <c r="AQ2776" s="75"/>
      <c r="AR2776" s="76"/>
      <c r="AT2776" s="65"/>
      <c r="AU2776" s="77"/>
    </row>
    <row r="2777" spans="37:47">
      <c r="AK2777" s="12"/>
      <c r="AM2777" s="12"/>
      <c r="AN2777" s="75"/>
      <c r="AO2777" s="75"/>
      <c r="AP2777" s="75"/>
      <c r="AQ2777" s="75"/>
      <c r="AR2777" s="76"/>
      <c r="AT2777" s="65"/>
      <c r="AU2777" s="77"/>
    </row>
    <row r="2778" spans="37:47">
      <c r="AK2778" s="12"/>
      <c r="AM2778" s="12"/>
      <c r="AN2778" s="75"/>
      <c r="AO2778" s="75"/>
      <c r="AP2778" s="75"/>
      <c r="AQ2778" s="75"/>
      <c r="AR2778" s="76"/>
      <c r="AT2778" s="65"/>
      <c r="AU2778" s="77"/>
    </row>
    <row r="2779" spans="37:47">
      <c r="AK2779" s="12"/>
      <c r="AM2779" s="12"/>
      <c r="AN2779" s="75"/>
      <c r="AO2779" s="75"/>
      <c r="AP2779" s="75"/>
      <c r="AQ2779" s="75"/>
      <c r="AR2779" s="76"/>
      <c r="AT2779" s="65"/>
      <c r="AU2779" s="77"/>
    </row>
    <row r="2780" spans="37:47">
      <c r="AK2780" s="12"/>
      <c r="AM2780" s="12"/>
      <c r="AN2780" s="75"/>
      <c r="AO2780" s="75"/>
      <c r="AP2780" s="75"/>
      <c r="AQ2780" s="75"/>
      <c r="AR2780" s="76"/>
      <c r="AT2780" s="65"/>
      <c r="AU2780" s="77"/>
    </row>
    <row r="2781" spans="37:47">
      <c r="AK2781" s="12"/>
      <c r="AM2781" s="12"/>
      <c r="AN2781" s="75"/>
      <c r="AO2781" s="75"/>
      <c r="AP2781" s="75"/>
      <c r="AQ2781" s="75"/>
      <c r="AR2781" s="76"/>
      <c r="AT2781" s="65"/>
      <c r="AU2781" s="77"/>
    </row>
    <row r="2782" spans="37:47">
      <c r="AK2782" s="12"/>
      <c r="AM2782" s="12"/>
      <c r="AN2782" s="75"/>
      <c r="AO2782" s="75"/>
      <c r="AP2782" s="75"/>
      <c r="AQ2782" s="75"/>
      <c r="AR2782" s="76"/>
      <c r="AT2782" s="65"/>
      <c r="AU2782" s="77"/>
    </row>
    <row r="2783" spans="37:47">
      <c r="AK2783" s="12"/>
      <c r="AM2783" s="12"/>
      <c r="AN2783" s="75"/>
      <c r="AO2783" s="75"/>
      <c r="AP2783" s="75"/>
      <c r="AQ2783" s="75"/>
      <c r="AR2783" s="76"/>
      <c r="AT2783" s="65"/>
      <c r="AU2783" s="77"/>
    </row>
    <row r="2784" spans="37:47">
      <c r="AK2784" s="12"/>
      <c r="AM2784" s="12"/>
      <c r="AN2784" s="75"/>
      <c r="AO2784" s="75"/>
      <c r="AP2784" s="75"/>
      <c r="AQ2784" s="75"/>
      <c r="AR2784" s="76"/>
      <c r="AT2784" s="65"/>
      <c r="AU2784" s="77"/>
    </row>
    <row r="2785" spans="37:47">
      <c r="AK2785" s="12"/>
      <c r="AM2785" s="12"/>
      <c r="AN2785" s="75"/>
      <c r="AO2785" s="75"/>
      <c r="AP2785" s="75"/>
      <c r="AQ2785" s="75"/>
      <c r="AR2785" s="76"/>
      <c r="AT2785" s="65"/>
      <c r="AU2785" s="77"/>
    </row>
    <row r="2786" spans="37:47">
      <c r="AK2786" s="12"/>
      <c r="AM2786" s="12"/>
      <c r="AN2786" s="75"/>
      <c r="AO2786" s="75"/>
      <c r="AP2786" s="75"/>
      <c r="AQ2786" s="75"/>
      <c r="AR2786" s="76"/>
      <c r="AT2786" s="65"/>
      <c r="AU2786" s="77"/>
    </row>
    <row r="2787" spans="37:47">
      <c r="AK2787" s="12"/>
      <c r="AM2787" s="12"/>
      <c r="AN2787" s="75"/>
      <c r="AO2787" s="75"/>
      <c r="AP2787" s="75"/>
      <c r="AQ2787" s="75"/>
      <c r="AR2787" s="76"/>
      <c r="AT2787" s="65"/>
      <c r="AU2787" s="77"/>
    </row>
    <row r="2788" spans="37:47">
      <c r="AK2788" s="12"/>
      <c r="AM2788" s="12"/>
      <c r="AN2788" s="75"/>
      <c r="AO2788" s="75"/>
      <c r="AP2788" s="75"/>
      <c r="AQ2788" s="75"/>
      <c r="AR2788" s="76"/>
      <c r="AT2788" s="65"/>
      <c r="AU2788" s="77"/>
    </row>
    <row r="2789" spans="37:47">
      <c r="AK2789" s="12"/>
      <c r="AM2789" s="12"/>
      <c r="AN2789" s="75"/>
      <c r="AO2789" s="75"/>
      <c r="AP2789" s="75"/>
      <c r="AQ2789" s="75"/>
      <c r="AR2789" s="76"/>
      <c r="AT2789" s="65"/>
      <c r="AU2789" s="77"/>
    </row>
    <row r="2790" spans="37:47">
      <c r="AK2790" s="12"/>
      <c r="AM2790" s="12"/>
      <c r="AN2790" s="75"/>
      <c r="AO2790" s="75"/>
      <c r="AP2790" s="75"/>
      <c r="AQ2790" s="75"/>
      <c r="AR2790" s="76"/>
      <c r="AT2790" s="65"/>
      <c r="AU2790" s="77"/>
    </row>
    <row r="2791" spans="37:47">
      <c r="AK2791" s="12"/>
      <c r="AM2791" s="12"/>
      <c r="AN2791" s="75"/>
      <c r="AO2791" s="75"/>
      <c r="AP2791" s="75"/>
      <c r="AQ2791" s="75"/>
      <c r="AR2791" s="76"/>
      <c r="AT2791" s="65"/>
      <c r="AU2791" s="77"/>
    </row>
    <row r="2792" spans="37:47">
      <c r="AK2792" s="12"/>
      <c r="AM2792" s="12"/>
      <c r="AN2792" s="75"/>
      <c r="AO2792" s="75"/>
      <c r="AP2792" s="75"/>
      <c r="AQ2792" s="75"/>
      <c r="AR2792" s="76"/>
      <c r="AT2792" s="65"/>
      <c r="AU2792" s="77"/>
    </row>
    <row r="2793" spans="37:47">
      <c r="AK2793" s="12"/>
      <c r="AM2793" s="12"/>
      <c r="AN2793" s="75"/>
      <c r="AO2793" s="75"/>
      <c r="AP2793" s="75"/>
      <c r="AQ2793" s="75"/>
      <c r="AR2793" s="76"/>
      <c r="AT2793" s="65"/>
      <c r="AU2793" s="77"/>
    </row>
    <row r="2794" spans="37:47">
      <c r="AK2794" s="12"/>
      <c r="AM2794" s="12"/>
      <c r="AN2794" s="75"/>
      <c r="AO2794" s="75"/>
      <c r="AP2794" s="75"/>
      <c r="AQ2794" s="75"/>
      <c r="AR2794" s="76"/>
      <c r="AT2794" s="65"/>
      <c r="AU2794" s="77"/>
    </row>
    <row r="2795" spans="37:47">
      <c r="AK2795" s="12"/>
      <c r="AM2795" s="12"/>
      <c r="AN2795" s="75"/>
      <c r="AO2795" s="75"/>
      <c r="AP2795" s="75"/>
      <c r="AQ2795" s="75"/>
      <c r="AR2795" s="76"/>
      <c r="AT2795" s="65"/>
      <c r="AU2795" s="77"/>
    </row>
    <row r="2796" spans="37:47">
      <c r="AK2796" s="12"/>
      <c r="AM2796" s="12"/>
      <c r="AN2796" s="75"/>
      <c r="AO2796" s="75"/>
      <c r="AP2796" s="75"/>
      <c r="AQ2796" s="75"/>
      <c r="AR2796" s="76"/>
      <c r="AT2796" s="65"/>
      <c r="AU2796" s="77"/>
    </row>
    <row r="2797" spans="37:47">
      <c r="AK2797" s="12"/>
      <c r="AM2797" s="12"/>
      <c r="AN2797" s="75"/>
      <c r="AO2797" s="75"/>
      <c r="AP2797" s="75"/>
      <c r="AQ2797" s="75"/>
      <c r="AR2797" s="76"/>
      <c r="AT2797" s="65"/>
      <c r="AU2797" s="77"/>
    </row>
    <row r="2798" spans="37:47">
      <c r="AK2798" s="12"/>
      <c r="AM2798" s="12"/>
      <c r="AN2798" s="75"/>
      <c r="AO2798" s="75"/>
      <c r="AP2798" s="75"/>
      <c r="AQ2798" s="75"/>
      <c r="AR2798" s="76"/>
      <c r="AT2798" s="65"/>
      <c r="AU2798" s="77"/>
    </row>
    <row r="2799" spans="37:47">
      <c r="AK2799" s="12"/>
      <c r="AM2799" s="12"/>
      <c r="AN2799" s="75"/>
      <c r="AO2799" s="75"/>
      <c r="AP2799" s="75"/>
      <c r="AQ2799" s="75"/>
      <c r="AR2799" s="76"/>
      <c r="AT2799" s="65"/>
      <c r="AU2799" s="77"/>
    </row>
    <row r="2800" spans="37:47">
      <c r="AK2800" s="12"/>
      <c r="AM2800" s="12"/>
      <c r="AN2800" s="75"/>
      <c r="AO2800" s="75"/>
      <c r="AP2800" s="75"/>
      <c r="AQ2800" s="75"/>
      <c r="AR2800" s="76"/>
      <c r="AT2800" s="65"/>
      <c r="AU2800" s="77"/>
    </row>
    <row r="2801" spans="37:47">
      <c r="AK2801" s="12"/>
      <c r="AM2801" s="12"/>
      <c r="AN2801" s="75"/>
      <c r="AO2801" s="75"/>
      <c r="AP2801" s="75"/>
      <c r="AQ2801" s="75"/>
      <c r="AR2801" s="76"/>
      <c r="AT2801" s="65"/>
      <c r="AU2801" s="77"/>
    </row>
    <row r="2802" spans="37:47">
      <c r="AK2802" s="12"/>
      <c r="AM2802" s="12"/>
      <c r="AN2802" s="75"/>
      <c r="AO2802" s="75"/>
      <c r="AP2802" s="75"/>
      <c r="AQ2802" s="75"/>
      <c r="AR2802" s="76"/>
      <c r="AT2802" s="65"/>
      <c r="AU2802" s="77"/>
    </row>
    <row r="2803" spans="37:47">
      <c r="AK2803" s="12"/>
      <c r="AM2803" s="12"/>
      <c r="AN2803" s="75"/>
      <c r="AO2803" s="75"/>
      <c r="AP2803" s="75"/>
      <c r="AQ2803" s="75"/>
      <c r="AR2803" s="76"/>
      <c r="AT2803" s="65"/>
      <c r="AU2803" s="77"/>
    </row>
    <row r="2804" spans="37:47">
      <c r="AK2804" s="12"/>
      <c r="AM2804" s="12"/>
      <c r="AN2804" s="75"/>
      <c r="AO2804" s="75"/>
      <c r="AP2804" s="75"/>
      <c r="AQ2804" s="75"/>
      <c r="AR2804" s="76"/>
      <c r="AT2804" s="65"/>
      <c r="AU2804" s="77"/>
    </row>
    <row r="2805" spans="37:47">
      <c r="AK2805" s="12"/>
      <c r="AM2805" s="12"/>
      <c r="AN2805" s="75"/>
      <c r="AO2805" s="75"/>
      <c r="AP2805" s="75"/>
      <c r="AQ2805" s="75"/>
      <c r="AR2805" s="76"/>
      <c r="AT2805" s="65"/>
      <c r="AU2805" s="77"/>
    </row>
    <row r="2806" spans="37:47">
      <c r="AK2806" s="12"/>
      <c r="AM2806" s="12"/>
      <c r="AN2806" s="75"/>
      <c r="AO2806" s="75"/>
      <c r="AP2806" s="75"/>
      <c r="AQ2806" s="75"/>
      <c r="AR2806" s="76"/>
      <c r="AT2806" s="65"/>
      <c r="AU2806" s="77"/>
    </row>
    <row r="2807" spans="37:47">
      <c r="AK2807" s="12"/>
      <c r="AM2807" s="12"/>
      <c r="AN2807" s="75"/>
      <c r="AO2807" s="75"/>
      <c r="AP2807" s="75"/>
      <c r="AQ2807" s="75"/>
      <c r="AR2807" s="76"/>
      <c r="AT2807" s="65"/>
      <c r="AU2807" s="77"/>
    </row>
    <row r="2808" spans="37:47">
      <c r="AK2808" s="12"/>
      <c r="AM2808" s="12"/>
      <c r="AN2808" s="75"/>
      <c r="AO2808" s="75"/>
      <c r="AP2808" s="75"/>
      <c r="AQ2808" s="75"/>
      <c r="AR2808" s="76"/>
      <c r="AT2808" s="65"/>
      <c r="AU2808" s="77"/>
    </row>
    <row r="2809" spans="37:47">
      <c r="AK2809" s="12"/>
      <c r="AM2809" s="12"/>
      <c r="AN2809" s="75"/>
      <c r="AO2809" s="75"/>
      <c r="AP2809" s="75"/>
      <c r="AQ2809" s="75"/>
      <c r="AR2809" s="76"/>
      <c r="AT2809" s="65"/>
      <c r="AU2809" s="77"/>
    </row>
    <row r="2810" spans="37:47">
      <c r="AK2810" s="12"/>
      <c r="AM2810" s="12"/>
      <c r="AN2810" s="75"/>
      <c r="AO2810" s="75"/>
      <c r="AP2810" s="75"/>
      <c r="AQ2810" s="75"/>
      <c r="AR2810" s="76"/>
      <c r="AT2810" s="65"/>
      <c r="AU2810" s="77"/>
    </row>
    <row r="2811" spans="37:47">
      <c r="AK2811" s="12"/>
      <c r="AM2811" s="12"/>
      <c r="AN2811" s="75"/>
      <c r="AO2811" s="75"/>
      <c r="AP2811" s="75"/>
      <c r="AQ2811" s="75"/>
      <c r="AR2811" s="76"/>
      <c r="AT2811" s="65"/>
      <c r="AU2811" s="77"/>
    </row>
    <row r="2812" spans="37:47">
      <c r="AK2812" s="12"/>
      <c r="AM2812" s="12"/>
      <c r="AN2812" s="75"/>
      <c r="AO2812" s="75"/>
      <c r="AP2812" s="75"/>
      <c r="AQ2812" s="75"/>
      <c r="AR2812" s="76"/>
      <c r="AT2812" s="65"/>
      <c r="AU2812" s="77"/>
    </row>
    <row r="2813" spans="37:47">
      <c r="AK2813" s="12"/>
      <c r="AM2813" s="12"/>
      <c r="AN2813" s="75"/>
      <c r="AO2813" s="75"/>
      <c r="AP2813" s="75"/>
      <c r="AQ2813" s="75"/>
      <c r="AR2813" s="76"/>
      <c r="AT2813" s="65"/>
      <c r="AU2813" s="77"/>
    </row>
    <row r="2814" spans="37:47">
      <c r="AK2814" s="12"/>
      <c r="AM2814" s="12"/>
      <c r="AN2814" s="75"/>
      <c r="AO2814" s="75"/>
      <c r="AP2814" s="75"/>
      <c r="AQ2814" s="75"/>
      <c r="AR2814" s="76"/>
      <c r="AT2814" s="65"/>
      <c r="AU2814" s="77"/>
    </row>
    <row r="2815" spans="37:47">
      <c r="AK2815" s="12"/>
      <c r="AM2815" s="12"/>
      <c r="AN2815" s="75"/>
      <c r="AO2815" s="75"/>
      <c r="AP2815" s="75"/>
      <c r="AQ2815" s="75"/>
      <c r="AR2815" s="76"/>
      <c r="AT2815" s="65"/>
      <c r="AU2815" s="77"/>
    </row>
    <row r="2816" spans="37:47">
      <c r="AK2816" s="12"/>
      <c r="AM2816" s="12"/>
      <c r="AN2816" s="75"/>
      <c r="AO2816" s="75"/>
      <c r="AP2816" s="75"/>
      <c r="AQ2816" s="75"/>
      <c r="AR2816" s="76"/>
      <c r="AT2816" s="65"/>
      <c r="AU2816" s="77"/>
    </row>
    <row r="2817" spans="37:47">
      <c r="AK2817" s="12"/>
      <c r="AM2817" s="12"/>
      <c r="AN2817" s="75"/>
      <c r="AO2817" s="75"/>
      <c r="AP2817" s="75"/>
      <c r="AQ2817" s="75"/>
      <c r="AR2817" s="76"/>
      <c r="AT2817" s="65"/>
      <c r="AU2817" s="77"/>
    </row>
    <row r="2818" spans="37:47">
      <c r="AK2818" s="12"/>
      <c r="AM2818" s="12"/>
      <c r="AN2818" s="75"/>
      <c r="AO2818" s="75"/>
      <c r="AP2818" s="75"/>
      <c r="AQ2818" s="75"/>
      <c r="AR2818" s="76"/>
      <c r="AT2818" s="65"/>
      <c r="AU2818" s="77"/>
    </row>
    <row r="2819" spans="37:47">
      <c r="AK2819" s="12"/>
      <c r="AM2819" s="12"/>
      <c r="AN2819" s="75"/>
      <c r="AO2819" s="75"/>
      <c r="AP2819" s="75"/>
      <c r="AQ2819" s="75"/>
      <c r="AR2819" s="76"/>
      <c r="AT2819" s="65"/>
      <c r="AU2819" s="77"/>
    </row>
    <row r="2820" spans="37:47">
      <c r="AK2820" s="12"/>
      <c r="AM2820" s="12"/>
      <c r="AN2820" s="75"/>
      <c r="AO2820" s="75"/>
      <c r="AP2820" s="75"/>
      <c r="AQ2820" s="75"/>
      <c r="AR2820" s="76"/>
      <c r="AT2820" s="65"/>
      <c r="AU2820" s="77"/>
    </row>
    <row r="2821" spans="37:47">
      <c r="AK2821" s="12"/>
      <c r="AM2821" s="12"/>
      <c r="AN2821" s="75"/>
      <c r="AO2821" s="75"/>
      <c r="AP2821" s="75"/>
      <c r="AQ2821" s="75"/>
      <c r="AR2821" s="76"/>
      <c r="AT2821" s="65"/>
      <c r="AU2821" s="77"/>
    </row>
    <row r="2822" spans="37:47">
      <c r="AK2822" s="12"/>
      <c r="AM2822" s="12"/>
      <c r="AN2822" s="75"/>
      <c r="AO2822" s="75"/>
      <c r="AP2822" s="75"/>
      <c r="AQ2822" s="75"/>
      <c r="AR2822" s="76"/>
      <c r="AT2822" s="65"/>
      <c r="AU2822" s="77"/>
    </row>
    <row r="2823" spans="37:47">
      <c r="AK2823" s="12"/>
      <c r="AM2823" s="12"/>
      <c r="AN2823" s="75"/>
      <c r="AO2823" s="75"/>
      <c r="AP2823" s="75"/>
      <c r="AQ2823" s="75"/>
      <c r="AR2823" s="76"/>
      <c r="AT2823" s="65"/>
      <c r="AU2823" s="77"/>
    </row>
    <row r="2824" spans="37:47">
      <c r="AK2824" s="12"/>
      <c r="AM2824" s="12"/>
      <c r="AN2824" s="75"/>
      <c r="AO2824" s="75"/>
      <c r="AP2824" s="75"/>
      <c r="AQ2824" s="75"/>
      <c r="AR2824" s="76"/>
      <c r="AT2824" s="65"/>
      <c r="AU2824" s="77"/>
    </row>
    <row r="2825" spans="37:47">
      <c r="AK2825" s="12"/>
      <c r="AM2825" s="12"/>
      <c r="AN2825" s="75"/>
      <c r="AO2825" s="75"/>
      <c r="AP2825" s="75"/>
      <c r="AQ2825" s="75"/>
      <c r="AR2825" s="76"/>
      <c r="AT2825" s="65"/>
      <c r="AU2825" s="77"/>
    </row>
    <row r="2826" spans="37:47">
      <c r="AK2826" s="12"/>
      <c r="AM2826" s="12"/>
      <c r="AN2826" s="75"/>
      <c r="AO2826" s="75"/>
      <c r="AP2826" s="75"/>
      <c r="AQ2826" s="75"/>
      <c r="AR2826" s="76"/>
      <c r="AT2826" s="65"/>
      <c r="AU2826" s="77"/>
    </row>
    <row r="2827" spans="37:47">
      <c r="AK2827" s="12"/>
      <c r="AM2827" s="12"/>
      <c r="AN2827" s="75"/>
      <c r="AO2827" s="75"/>
      <c r="AP2827" s="75"/>
      <c r="AQ2827" s="75"/>
      <c r="AR2827" s="76"/>
      <c r="AT2827" s="65"/>
      <c r="AU2827" s="77"/>
    </row>
    <row r="2828" spans="37:47">
      <c r="AK2828" s="12"/>
      <c r="AM2828" s="12"/>
      <c r="AN2828" s="75"/>
      <c r="AO2828" s="75"/>
      <c r="AP2828" s="75"/>
      <c r="AQ2828" s="75"/>
      <c r="AR2828" s="76"/>
      <c r="AT2828" s="65"/>
      <c r="AU2828" s="77"/>
    </row>
    <row r="2829" spans="37:47">
      <c r="AK2829" s="12"/>
      <c r="AM2829" s="12"/>
      <c r="AN2829" s="75"/>
      <c r="AO2829" s="75"/>
      <c r="AP2829" s="75"/>
      <c r="AQ2829" s="75"/>
      <c r="AR2829" s="76"/>
      <c r="AT2829" s="65"/>
      <c r="AU2829" s="77"/>
    </row>
    <row r="2830" spans="37:47">
      <c r="AK2830" s="12"/>
      <c r="AM2830" s="12"/>
      <c r="AN2830" s="75"/>
      <c r="AO2830" s="75"/>
      <c r="AP2830" s="75"/>
      <c r="AQ2830" s="75"/>
      <c r="AR2830" s="76"/>
      <c r="AT2830" s="65"/>
      <c r="AU2830" s="77"/>
    </row>
    <row r="2831" spans="37:47">
      <c r="AK2831" s="12"/>
      <c r="AM2831" s="12"/>
      <c r="AN2831" s="75"/>
      <c r="AO2831" s="75"/>
      <c r="AP2831" s="75"/>
      <c r="AQ2831" s="75"/>
      <c r="AR2831" s="76"/>
      <c r="AT2831" s="65"/>
      <c r="AU2831" s="77"/>
    </row>
    <row r="2832" spans="37:47">
      <c r="AK2832" s="12"/>
      <c r="AM2832" s="12"/>
      <c r="AN2832" s="75"/>
      <c r="AO2832" s="75"/>
      <c r="AP2832" s="75"/>
      <c r="AQ2832" s="75"/>
      <c r="AR2832" s="76"/>
      <c r="AT2832" s="65"/>
      <c r="AU2832" s="77"/>
    </row>
    <row r="2833" spans="37:47">
      <c r="AK2833" s="12"/>
      <c r="AM2833" s="12"/>
      <c r="AN2833" s="75"/>
      <c r="AO2833" s="75"/>
      <c r="AP2833" s="75"/>
      <c r="AQ2833" s="75"/>
      <c r="AR2833" s="76"/>
      <c r="AT2833" s="65"/>
      <c r="AU2833" s="77"/>
    </row>
    <row r="2834" spans="37:47">
      <c r="AK2834" s="12"/>
      <c r="AM2834" s="12"/>
      <c r="AN2834" s="75"/>
      <c r="AO2834" s="75"/>
      <c r="AP2834" s="75"/>
      <c r="AQ2834" s="75"/>
      <c r="AR2834" s="76"/>
      <c r="AT2834" s="65"/>
      <c r="AU2834" s="77"/>
    </row>
    <row r="2835" spans="37:47">
      <c r="AK2835" s="12"/>
      <c r="AM2835" s="12"/>
      <c r="AN2835" s="75"/>
      <c r="AO2835" s="75"/>
      <c r="AP2835" s="75"/>
      <c r="AQ2835" s="75"/>
      <c r="AR2835" s="76"/>
      <c r="AT2835" s="65"/>
      <c r="AU2835" s="77"/>
    </row>
    <row r="2836" spans="37:47">
      <c r="AK2836" s="12"/>
      <c r="AM2836" s="12"/>
      <c r="AN2836" s="75"/>
      <c r="AO2836" s="75"/>
      <c r="AP2836" s="75"/>
      <c r="AQ2836" s="75"/>
      <c r="AR2836" s="76"/>
      <c r="AT2836" s="65"/>
      <c r="AU2836" s="77"/>
    </row>
    <row r="2837" spans="37:47">
      <c r="AK2837" s="12"/>
      <c r="AM2837" s="12"/>
      <c r="AN2837" s="75"/>
      <c r="AO2837" s="75"/>
      <c r="AP2837" s="75"/>
      <c r="AQ2837" s="75"/>
      <c r="AR2837" s="76"/>
      <c r="AT2837" s="65"/>
      <c r="AU2837" s="77"/>
    </row>
    <row r="2838" spans="37:47">
      <c r="AK2838" s="12"/>
      <c r="AM2838" s="12"/>
      <c r="AN2838" s="75"/>
      <c r="AO2838" s="75"/>
      <c r="AP2838" s="75"/>
      <c r="AQ2838" s="75"/>
      <c r="AR2838" s="76"/>
      <c r="AT2838" s="65"/>
      <c r="AU2838" s="77"/>
    </row>
    <row r="2839" spans="37:47">
      <c r="AK2839" s="12"/>
      <c r="AM2839" s="12"/>
      <c r="AN2839" s="75"/>
      <c r="AO2839" s="75"/>
      <c r="AP2839" s="75"/>
      <c r="AQ2839" s="75"/>
      <c r="AR2839" s="76"/>
      <c r="AT2839" s="65"/>
      <c r="AU2839" s="77"/>
    </row>
    <row r="2840" spans="37:47">
      <c r="AK2840" s="12"/>
      <c r="AM2840" s="12"/>
      <c r="AN2840" s="75"/>
      <c r="AO2840" s="75"/>
      <c r="AP2840" s="75"/>
      <c r="AQ2840" s="75"/>
      <c r="AR2840" s="76"/>
      <c r="AT2840" s="65"/>
      <c r="AU2840" s="77"/>
    </row>
    <row r="2841" spans="37:47">
      <c r="AK2841" s="12"/>
      <c r="AM2841" s="12"/>
      <c r="AN2841" s="75"/>
      <c r="AO2841" s="75"/>
      <c r="AP2841" s="75"/>
      <c r="AQ2841" s="75"/>
      <c r="AR2841" s="76"/>
      <c r="AT2841" s="65"/>
      <c r="AU2841" s="77"/>
    </row>
    <row r="2842" spans="37:47">
      <c r="AK2842" s="12"/>
      <c r="AM2842" s="12"/>
      <c r="AN2842" s="75"/>
      <c r="AO2842" s="75"/>
      <c r="AP2842" s="75"/>
      <c r="AQ2842" s="75"/>
      <c r="AR2842" s="76"/>
      <c r="AT2842" s="65"/>
      <c r="AU2842" s="77"/>
    </row>
    <row r="2843" spans="37:47">
      <c r="AK2843" s="12"/>
      <c r="AM2843" s="12"/>
      <c r="AN2843" s="75"/>
      <c r="AO2843" s="75"/>
      <c r="AP2843" s="75"/>
      <c r="AQ2843" s="75"/>
      <c r="AR2843" s="76"/>
      <c r="AT2843" s="65"/>
      <c r="AU2843" s="77"/>
    </row>
    <row r="2844" spans="37:47">
      <c r="AK2844" s="12"/>
      <c r="AM2844" s="12"/>
      <c r="AN2844" s="75"/>
      <c r="AO2844" s="75"/>
      <c r="AP2844" s="75"/>
      <c r="AQ2844" s="75"/>
      <c r="AR2844" s="76"/>
      <c r="AT2844" s="65"/>
      <c r="AU2844" s="77"/>
    </row>
    <row r="2845" spans="37:47">
      <c r="AK2845" s="12"/>
      <c r="AM2845" s="12"/>
      <c r="AN2845" s="75"/>
      <c r="AO2845" s="75"/>
      <c r="AP2845" s="75"/>
      <c r="AQ2845" s="75"/>
      <c r="AR2845" s="76"/>
      <c r="AT2845" s="65"/>
      <c r="AU2845" s="77"/>
    </row>
    <row r="2846" spans="37:47">
      <c r="AK2846" s="12"/>
      <c r="AM2846" s="12"/>
      <c r="AN2846" s="75"/>
      <c r="AO2846" s="75"/>
      <c r="AP2846" s="75"/>
      <c r="AQ2846" s="75"/>
      <c r="AR2846" s="76"/>
      <c r="AT2846" s="65"/>
      <c r="AU2846" s="77"/>
    </row>
    <row r="2847" spans="37:47">
      <c r="AK2847" s="12"/>
      <c r="AM2847" s="12"/>
      <c r="AN2847" s="75"/>
      <c r="AO2847" s="75"/>
      <c r="AP2847" s="75"/>
      <c r="AQ2847" s="75"/>
      <c r="AR2847" s="76"/>
      <c r="AT2847" s="65"/>
      <c r="AU2847" s="77"/>
    </row>
    <row r="2848" spans="37:47">
      <c r="AK2848" s="12"/>
      <c r="AM2848" s="12"/>
      <c r="AN2848" s="75"/>
      <c r="AO2848" s="75"/>
      <c r="AP2848" s="75"/>
      <c r="AQ2848" s="75"/>
      <c r="AR2848" s="76"/>
      <c r="AT2848" s="65"/>
      <c r="AU2848" s="77"/>
    </row>
    <row r="2849" spans="37:47">
      <c r="AK2849" s="12"/>
      <c r="AM2849" s="12"/>
      <c r="AN2849" s="75"/>
      <c r="AO2849" s="75"/>
      <c r="AP2849" s="75"/>
      <c r="AQ2849" s="75"/>
      <c r="AR2849" s="76"/>
      <c r="AT2849" s="65"/>
      <c r="AU2849" s="77"/>
    </row>
    <row r="2850" spans="37:47">
      <c r="AK2850" s="12"/>
      <c r="AM2850" s="12"/>
      <c r="AN2850" s="75"/>
      <c r="AO2850" s="75"/>
      <c r="AP2850" s="75"/>
      <c r="AQ2850" s="75"/>
      <c r="AR2850" s="76"/>
      <c r="AT2850" s="65"/>
      <c r="AU2850" s="77"/>
    </row>
    <row r="2851" spans="37:47">
      <c r="AK2851" s="12"/>
      <c r="AM2851" s="12"/>
      <c r="AN2851" s="75"/>
      <c r="AO2851" s="75"/>
      <c r="AP2851" s="75"/>
      <c r="AQ2851" s="75"/>
      <c r="AR2851" s="76"/>
      <c r="AT2851" s="65"/>
      <c r="AU2851" s="77"/>
    </row>
    <row r="2852" spans="37:47">
      <c r="AK2852" s="12"/>
      <c r="AM2852" s="12"/>
      <c r="AN2852" s="75"/>
      <c r="AO2852" s="75"/>
      <c r="AP2852" s="75"/>
      <c r="AQ2852" s="75"/>
      <c r="AR2852" s="76"/>
      <c r="AT2852" s="65"/>
      <c r="AU2852" s="77"/>
    </row>
    <row r="2853" spans="37:47">
      <c r="AK2853" s="12"/>
      <c r="AM2853" s="12"/>
      <c r="AN2853" s="75"/>
      <c r="AO2853" s="75"/>
      <c r="AP2853" s="75"/>
      <c r="AQ2853" s="75"/>
      <c r="AR2853" s="76"/>
      <c r="AT2853" s="65"/>
      <c r="AU2853" s="77"/>
    </row>
    <row r="2854" spans="37:47">
      <c r="AK2854" s="12"/>
      <c r="AM2854" s="12"/>
      <c r="AN2854" s="75"/>
      <c r="AO2854" s="75"/>
      <c r="AP2854" s="75"/>
      <c r="AQ2854" s="75"/>
      <c r="AR2854" s="76"/>
      <c r="AT2854" s="65"/>
      <c r="AU2854" s="77"/>
    </row>
    <row r="2855" spans="37:47">
      <c r="AK2855" s="12"/>
      <c r="AM2855" s="12"/>
      <c r="AN2855" s="75"/>
      <c r="AO2855" s="75"/>
      <c r="AP2855" s="75"/>
      <c r="AQ2855" s="75"/>
      <c r="AR2855" s="76"/>
      <c r="AT2855" s="65"/>
      <c r="AU2855" s="77"/>
    </row>
    <row r="2856" spans="37:47">
      <c r="AK2856" s="12"/>
      <c r="AM2856" s="12"/>
      <c r="AN2856" s="75"/>
      <c r="AO2856" s="75"/>
      <c r="AP2856" s="75"/>
      <c r="AQ2856" s="75"/>
      <c r="AR2856" s="76"/>
      <c r="AT2856" s="65"/>
      <c r="AU2856" s="77"/>
    </row>
    <row r="2857" spans="37:47">
      <c r="AK2857" s="12"/>
      <c r="AM2857" s="12"/>
      <c r="AN2857" s="75"/>
      <c r="AO2857" s="75"/>
      <c r="AP2857" s="75"/>
      <c r="AQ2857" s="75"/>
      <c r="AR2857" s="76"/>
      <c r="AT2857" s="65"/>
      <c r="AU2857" s="77"/>
    </row>
    <row r="2858" spans="37:47">
      <c r="AK2858" s="12"/>
      <c r="AM2858" s="12"/>
      <c r="AN2858" s="75"/>
      <c r="AO2858" s="75"/>
      <c r="AP2858" s="75"/>
      <c r="AQ2858" s="75"/>
      <c r="AR2858" s="76"/>
      <c r="AT2858" s="65"/>
      <c r="AU2858" s="77"/>
    </row>
    <row r="2859" spans="37:47">
      <c r="AK2859" s="12"/>
      <c r="AM2859" s="12"/>
      <c r="AN2859" s="75"/>
      <c r="AO2859" s="75"/>
      <c r="AP2859" s="75"/>
      <c r="AQ2859" s="75"/>
      <c r="AR2859" s="76"/>
      <c r="AT2859" s="65"/>
      <c r="AU2859" s="77"/>
    </row>
    <row r="2860" spans="37:47">
      <c r="AK2860" s="12"/>
      <c r="AM2860" s="12"/>
      <c r="AN2860" s="75"/>
      <c r="AO2860" s="75"/>
      <c r="AP2860" s="75"/>
      <c r="AQ2860" s="75"/>
      <c r="AR2860" s="76"/>
      <c r="AT2860" s="65"/>
      <c r="AU2860" s="77"/>
    </row>
    <row r="2861" spans="37:47">
      <c r="AK2861" s="12"/>
      <c r="AM2861" s="12"/>
      <c r="AN2861" s="75"/>
      <c r="AO2861" s="75"/>
      <c r="AP2861" s="75"/>
      <c r="AQ2861" s="75"/>
      <c r="AR2861" s="76"/>
      <c r="AT2861" s="65"/>
      <c r="AU2861" s="77"/>
    </row>
    <row r="2862" spans="37:47">
      <c r="AK2862" s="12"/>
      <c r="AM2862" s="12"/>
      <c r="AN2862" s="75"/>
      <c r="AO2862" s="75"/>
      <c r="AP2862" s="75"/>
      <c r="AQ2862" s="75"/>
      <c r="AR2862" s="76"/>
      <c r="AT2862" s="65"/>
      <c r="AU2862" s="77"/>
    </row>
    <row r="2863" spans="37:47">
      <c r="AK2863" s="12"/>
      <c r="AM2863" s="12"/>
      <c r="AN2863" s="75"/>
      <c r="AO2863" s="75"/>
      <c r="AP2863" s="75"/>
      <c r="AQ2863" s="75"/>
      <c r="AR2863" s="76"/>
      <c r="AT2863" s="65"/>
      <c r="AU2863" s="77"/>
    </row>
    <row r="2864" spans="37:47">
      <c r="AK2864" s="12"/>
      <c r="AM2864" s="12"/>
      <c r="AN2864" s="75"/>
      <c r="AO2864" s="75"/>
      <c r="AP2864" s="75"/>
      <c r="AQ2864" s="75"/>
      <c r="AR2864" s="76"/>
      <c r="AT2864" s="65"/>
      <c r="AU2864" s="77"/>
    </row>
    <row r="2865" spans="37:47">
      <c r="AK2865" s="12"/>
      <c r="AM2865" s="12"/>
      <c r="AN2865" s="75"/>
      <c r="AO2865" s="75"/>
      <c r="AP2865" s="75"/>
      <c r="AQ2865" s="75"/>
      <c r="AR2865" s="76"/>
      <c r="AT2865" s="65"/>
      <c r="AU2865" s="77"/>
    </row>
    <row r="2866" spans="37:47">
      <c r="AK2866" s="12"/>
      <c r="AM2866" s="12"/>
      <c r="AN2866" s="75"/>
      <c r="AO2866" s="75"/>
      <c r="AP2866" s="75"/>
      <c r="AQ2866" s="75"/>
      <c r="AR2866" s="76"/>
      <c r="AT2866" s="65"/>
      <c r="AU2866" s="77"/>
    </row>
    <row r="2867" spans="37:47">
      <c r="AK2867" s="12"/>
      <c r="AM2867" s="12"/>
      <c r="AN2867" s="75"/>
      <c r="AO2867" s="75"/>
      <c r="AP2867" s="75"/>
      <c r="AQ2867" s="75"/>
      <c r="AR2867" s="76"/>
      <c r="AT2867" s="65"/>
      <c r="AU2867" s="77"/>
    </row>
    <row r="2868" spans="37:47">
      <c r="AK2868" s="12"/>
      <c r="AM2868" s="12"/>
      <c r="AN2868" s="75"/>
      <c r="AO2868" s="75"/>
      <c r="AP2868" s="75"/>
      <c r="AQ2868" s="75"/>
      <c r="AR2868" s="76"/>
      <c r="AT2868" s="65"/>
      <c r="AU2868" s="77"/>
    </row>
    <row r="2869" spans="37:47">
      <c r="AK2869" s="12"/>
      <c r="AM2869" s="12"/>
      <c r="AN2869" s="75"/>
      <c r="AO2869" s="75"/>
      <c r="AP2869" s="75"/>
      <c r="AQ2869" s="75"/>
      <c r="AR2869" s="76"/>
      <c r="AT2869" s="65"/>
      <c r="AU2869" s="77"/>
    </row>
    <row r="2870" spans="37:47">
      <c r="AK2870" s="12"/>
      <c r="AM2870" s="12"/>
      <c r="AN2870" s="75"/>
      <c r="AO2870" s="75"/>
      <c r="AP2870" s="75"/>
      <c r="AQ2870" s="75"/>
      <c r="AR2870" s="76"/>
      <c r="AT2870" s="65"/>
      <c r="AU2870" s="77"/>
    </row>
    <row r="2871" spans="37:47">
      <c r="AK2871" s="12"/>
      <c r="AM2871" s="12"/>
      <c r="AN2871" s="75"/>
      <c r="AO2871" s="75"/>
      <c r="AP2871" s="75"/>
      <c r="AQ2871" s="75"/>
      <c r="AR2871" s="76"/>
      <c r="AT2871" s="65"/>
      <c r="AU2871" s="77"/>
    </row>
    <row r="2872" spans="37:47">
      <c r="AK2872" s="12"/>
      <c r="AM2872" s="12"/>
      <c r="AN2872" s="75"/>
      <c r="AO2872" s="75"/>
      <c r="AP2872" s="75"/>
      <c r="AQ2872" s="75"/>
      <c r="AR2872" s="76"/>
      <c r="AT2872" s="65"/>
      <c r="AU2872" s="77"/>
    </row>
    <row r="2873" spans="37:47">
      <c r="AK2873" s="12"/>
      <c r="AM2873" s="12"/>
      <c r="AN2873" s="75"/>
      <c r="AO2873" s="75"/>
      <c r="AP2873" s="75"/>
      <c r="AQ2873" s="75"/>
      <c r="AR2873" s="76"/>
      <c r="AT2873" s="65"/>
      <c r="AU2873" s="77"/>
    </row>
    <row r="2874" spans="37:47">
      <c r="AK2874" s="12"/>
      <c r="AM2874" s="12"/>
      <c r="AN2874" s="75"/>
      <c r="AO2874" s="75"/>
      <c r="AP2874" s="75"/>
      <c r="AQ2874" s="75"/>
      <c r="AR2874" s="76"/>
      <c r="AT2874" s="65"/>
      <c r="AU2874" s="77"/>
    </row>
    <row r="2875" spans="37:47">
      <c r="AK2875" s="12"/>
      <c r="AM2875" s="12"/>
      <c r="AN2875" s="75"/>
      <c r="AO2875" s="75"/>
      <c r="AP2875" s="75"/>
      <c r="AQ2875" s="75"/>
      <c r="AR2875" s="76"/>
      <c r="AT2875" s="65"/>
      <c r="AU2875" s="77"/>
    </row>
    <row r="2876" spans="37:47">
      <c r="AK2876" s="12"/>
      <c r="AM2876" s="12"/>
      <c r="AN2876" s="75"/>
      <c r="AO2876" s="75"/>
      <c r="AP2876" s="75"/>
      <c r="AQ2876" s="75"/>
      <c r="AR2876" s="76"/>
      <c r="AT2876" s="65"/>
      <c r="AU2876" s="77"/>
    </row>
    <row r="2877" spans="37:47">
      <c r="AK2877" s="12"/>
      <c r="AM2877" s="12"/>
      <c r="AN2877" s="75"/>
      <c r="AO2877" s="75"/>
      <c r="AP2877" s="75"/>
      <c r="AQ2877" s="75"/>
      <c r="AR2877" s="76"/>
      <c r="AT2877" s="65"/>
      <c r="AU2877" s="77"/>
    </row>
    <row r="2878" spans="37:47">
      <c r="AK2878" s="12"/>
      <c r="AM2878" s="12"/>
      <c r="AN2878" s="75"/>
      <c r="AO2878" s="75"/>
      <c r="AP2878" s="75"/>
      <c r="AQ2878" s="75"/>
      <c r="AR2878" s="76"/>
      <c r="AT2878" s="65"/>
      <c r="AU2878" s="77"/>
    </row>
    <row r="2879" spans="37:47">
      <c r="AK2879" s="12"/>
      <c r="AM2879" s="12"/>
      <c r="AN2879" s="75"/>
      <c r="AO2879" s="75"/>
      <c r="AP2879" s="75"/>
      <c r="AQ2879" s="75"/>
      <c r="AR2879" s="76"/>
      <c r="AT2879" s="65"/>
      <c r="AU2879" s="77"/>
    </row>
    <row r="2880" spans="37:47">
      <c r="AK2880" s="12"/>
      <c r="AM2880" s="12"/>
      <c r="AN2880" s="75"/>
      <c r="AO2880" s="75"/>
      <c r="AP2880" s="75"/>
      <c r="AQ2880" s="75"/>
      <c r="AR2880" s="76"/>
      <c r="AT2880" s="65"/>
      <c r="AU2880" s="77"/>
    </row>
    <row r="2881" spans="37:47">
      <c r="AK2881" s="12"/>
      <c r="AM2881" s="12"/>
      <c r="AN2881" s="75"/>
      <c r="AO2881" s="75"/>
      <c r="AP2881" s="75"/>
      <c r="AQ2881" s="75"/>
      <c r="AR2881" s="76"/>
      <c r="AT2881" s="65"/>
      <c r="AU2881" s="77"/>
    </row>
    <row r="2882" spans="37:47">
      <c r="AK2882" s="12"/>
      <c r="AM2882" s="12"/>
      <c r="AN2882" s="75"/>
      <c r="AO2882" s="75"/>
      <c r="AP2882" s="75"/>
      <c r="AQ2882" s="75"/>
      <c r="AR2882" s="76"/>
      <c r="AT2882" s="65"/>
      <c r="AU2882" s="77"/>
    </row>
    <row r="2883" spans="37:47">
      <c r="AK2883" s="12"/>
      <c r="AM2883" s="12"/>
      <c r="AN2883" s="75"/>
      <c r="AO2883" s="75"/>
      <c r="AP2883" s="75"/>
      <c r="AQ2883" s="75"/>
      <c r="AR2883" s="76"/>
      <c r="AT2883" s="65"/>
      <c r="AU2883" s="77"/>
    </row>
    <row r="2884" spans="37:47">
      <c r="AK2884" s="12"/>
      <c r="AM2884" s="12"/>
      <c r="AN2884" s="75"/>
      <c r="AO2884" s="75"/>
      <c r="AP2884" s="75"/>
      <c r="AQ2884" s="75"/>
      <c r="AR2884" s="76"/>
      <c r="AT2884" s="65"/>
      <c r="AU2884" s="77"/>
    </row>
    <row r="2885" spans="37:47">
      <c r="AK2885" s="12"/>
      <c r="AM2885" s="12"/>
      <c r="AN2885" s="75"/>
      <c r="AO2885" s="75"/>
      <c r="AP2885" s="75"/>
      <c r="AQ2885" s="75"/>
      <c r="AR2885" s="76"/>
      <c r="AT2885" s="65"/>
      <c r="AU2885" s="77"/>
    </row>
    <row r="2886" spans="37:47">
      <c r="AK2886" s="12"/>
      <c r="AM2886" s="12"/>
      <c r="AN2886" s="75"/>
      <c r="AO2886" s="75"/>
      <c r="AP2886" s="75"/>
      <c r="AQ2886" s="75"/>
      <c r="AR2886" s="76"/>
      <c r="AT2886" s="65"/>
      <c r="AU2886" s="77"/>
    </row>
    <row r="2887" spans="37:47">
      <c r="AK2887" s="12"/>
      <c r="AM2887" s="12"/>
      <c r="AN2887" s="75"/>
      <c r="AO2887" s="75"/>
      <c r="AP2887" s="75"/>
      <c r="AQ2887" s="75"/>
      <c r="AR2887" s="76"/>
      <c r="AT2887" s="65"/>
      <c r="AU2887" s="77"/>
    </row>
    <row r="2888" spans="37:47">
      <c r="AK2888" s="12"/>
      <c r="AM2888" s="12"/>
      <c r="AN2888" s="75"/>
      <c r="AO2888" s="75"/>
      <c r="AP2888" s="75"/>
      <c r="AQ2888" s="75"/>
      <c r="AR2888" s="76"/>
      <c r="AT2888" s="65"/>
      <c r="AU2888" s="77"/>
    </row>
    <row r="2889" spans="37:47">
      <c r="AK2889" s="12"/>
      <c r="AM2889" s="12"/>
      <c r="AN2889" s="75"/>
      <c r="AO2889" s="75"/>
      <c r="AP2889" s="75"/>
      <c r="AQ2889" s="75"/>
      <c r="AR2889" s="76"/>
      <c r="AT2889" s="65"/>
      <c r="AU2889" s="77"/>
    </row>
    <row r="2890" spans="37:47">
      <c r="AK2890" s="12"/>
      <c r="AM2890" s="12"/>
      <c r="AN2890" s="75"/>
      <c r="AO2890" s="75"/>
      <c r="AP2890" s="75"/>
      <c r="AQ2890" s="75"/>
      <c r="AR2890" s="76"/>
      <c r="AT2890" s="65"/>
      <c r="AU2890" s="77"/>
    </row>
    <row r="2891" spans="37:47">
      <c r="AK2891" s="12"/>
      <c r="AM2891" s="12"/>
      <c r="AN2891" s="75"/>
      <c r="AO2891" s="75"/>
      <c r="AP2891" s="75"/>
      <c r="AQ2891" s="75"/>
      <c r="AR2891" s="76"/>
      <c r="AT2891" s="65"/>
      <c r="AU2891" s="77"/>
    </row>
    <row r="2892" spans="37:47">
      <c r="AK2892" s="12"/>
      <c r="AM2892" s="12"/>
      <c r="AN2892" s="75"/>
      <c r="AO2892" s="75"/>
      <c r="AP2892" s="75"/>
      <c r="AQ2892" s="75"/>
      <c r="AR2892" s="76"/>
      <c r="AT2892" s="65"/>
      <c r="AU2892" s="77"/>
    </row>
    <row r="2893" spans="37:47">
      <c r="AK2893" s="12"/>
      <c r="AM2893" s="12"/>
      <c r="AN2893" s="75"/>
      <c r="AO2893" s="75"/>
      <c r="AP2893" s="75"/>
      <c r="AQ2893" s="75"/>
      <c r="AR2893" s="76"/>
      <c r="AT2893" s="65"/>
      <c r="AU2893" s="77"/>
    </row>
    <row r="2894" spans="37:47">
      <c r="AK2894" s="12"/>
      <c r="AM2894" s="12"/>
      <c r="AN2894" s="75"/>
      <c r="AO2894" s="75"/>
      <c r="AP2894" s="75"/>
      <c r="AQ2894" s="75"/>
      <c r="AR2894" s="76"/>
      <c r="AT2894" s="65"/>
      <c r="AU2894" s="77"/>
    </row>
    <row r="2895" spans="37:47">
      <c r="AK2895" s="12"/>
      <c r="AM2895" s="12"/>
      <c r="AN2895" s="75"/>
      <c r="AO2895" s="75"/>
      <c r="AP2895" s="75"/>
      <c r="AQ2895" s="75"/>
      <c r="AR2895" s="76"/>
      <c r="AT2895" s="65"/>
      <c r="AU2895" s="77"/>
    </row>
    <row r="2896" spans="37:47">
      <c r="AK2896" s="12"/>
      <c r="AM2896" s="12"/>
      <c r="AN2896" s="75"/>
      <c r="AO2896" s="75"/>
      <c r="AP2896" s="75"/>
      <c r="AQ2896" s="75"/>
      <c r="AR2896" s="76"/>
      <c r="AT2896" s="65"/>
      <c r="AU2896" s="77"/>
    </row>
    <row r="2897" spans="37:47">
      <c r="AK2897" s="12"/>
      <c r="AM2897" s="12"/>
      <c r="AN2897" s="75"/>
      <c r="AO2897" s="75"/>
      <c r="AP2897" s="75"/>
      <c r="AQ2897" s="75"/>
      <c r="AR2897" s="76"/>
      <c r="AT2897" s="65"/>
      <c r="AU2897" s="77"/>
    </row>
    <row r="2898" spans="37:47">
      <c r="AK2898" s="12"/>
      <c r="AM2898" s="12"/>
      <c r="AN2898" s="75"/>
      <c r="AO2898" s="75"/>
      <c r="AP2898" s="75"/>
      <c r="AQ2898" s="75"/>
      <c r="AR2898" s="76"/>
      <c r="AT2898" s="65"/>
      <c r="AU2898" s="77"/>
    </row>
    <row r="2899" spans="37:47">
      <c r="AK2899" s="12"/>
      <c r="AM2899" s="12"/>
      <c r="AN2899" s="75"/>
      <c r="AO2899" s="75"/>
      <c r="AP2899" s="75"/>
      <c r="AQ2899" s="75"/>
      <c r="AR2899" s="76"/>
      <c r="AT2899" s="65"/>
      <c r="AU2899" s="77"/>
    </row>
    <row r="2900" spans="37:47">
      <c r="AK2900" s="12"/>
      <c r="AM2900" s="12"/>
      <c r="AN2900" s="75"/>
      <c r="AO2900" s="75"/>
      <c r="AP2900" s="75"/>
      <c r="AQ2900" s="75"/>
      <c r="AR2900" s="76"/>
      <c r="AT2900" s="65"/>
      <c r="AU2900" s="77"/>
    </row>
    <row r="2901" spans="37:47">
      <c r="AK2901" s="12"/>
      <c r="AM2901" s="12"/>
      <c r="AN2901" s="75"/>
      <c r="AO2901" s="75"/>
      <c r="AP2901" s="75"/>
      <c r="AQ2901" s="75"/>
      <c r="AR2901" s="76"/>
      <c r="AT2901" s="65"/>
      <c r="AU2901" s="77"/>
    </row>
    <row r="2902" spans="37:47">
      <c r="AK2902" s="12"/>
      <c r="AM2902" s="12"/>
      <c r="AN2902" s="75"/>
      <c r="AO2902" s="75"/>
      <c r="AP2902" s="75"/>
      <c r="AQ2902" s="75"/>
      <c r="AR2902" s="76"/>
      <c r="AT2902" s="65"/>
      <c r="AU2902" s="77"/>
    </row>
    <row r="2903" spans="37:47">
      <c r="AK2903" s="12"/>
      <c r="AM2903" s="12"/>
      <c r="AN2903" s="75"/>
      <c r="AO2903" s="75"/>
      <c r="AP2903" s="75"/>
      <c r="AQ2903" s="75"/>
      <c r="AR2903" s="76"/>
      <c r="AT2903" s="65"/>
      <c r="AU2903" s="77"/>
    </row>
    <row r="2904" spans="37:47">
      <c r="AK2904" s="12"/>
      <c r="AM2904" s="12"/>
      <c r="AN2904" s="75"/>
      <c r="AO2904" s="75"/>
      <c r="AP2904" s="75"/>
      <c r="AQ2904" s="75"/>
      <c r="AR2904" s="76"/>
      <c r="AT2904" s="65"/>
      <c r="AU2904" s="77"/>
    </row>
    <row r="2905" spans="37:47">
      <c r="AK2905" s="12"/>
      <c r="AM2905" s="12"/>
      <c r="AN2905" s="75"/>
      <c r="AO2905" s="75"/>
      <c r="AP2905" s="75"/>
      <c r="AQ2905" s="75"/>
      <c r="AR2905" s="76"/>
      <c r="AT2905" s="65"/>
      <c r="AU2905" s="77"/>
    </row>
    <row r="2906" spans="37:47">
      <c r="AK2906" s="12"/>
      <c r="AM2906" s="12"/>
      <c r="AN2906" s="75"/>
      <c r="AO2906" s="75"/>
      <c r="AP2906" s="75"/>
      <c r="AQ2906" s="75"/>
      <c r="AR2906" s="76"/>
      <c r="AT2906" s="65"/>
      <c r="AU2906" s="77"/>
    </row>
    <row r="2907" spans="37:47">
      <c r="AK2907" s="12"/>
      <c r="AM2907" s="12"/>
      <c r="AN2907" s="75"/>
      <c r="AO2907" s="75"/>
      <c r="AP2907" s="75"/>
      <c r="AQ2907" s="75"/>
      <c r="AR2907" s="76"/>
      <c r="AT2907" s="65"/>
      <c r="AU2907" s="77"/>
    </row>
    <row r="2908" spans="37:47">
      <c r="AK2908" s="12"/>
      <c r="AM2908" s="12"/>
      <c r="AN2908" s="75"/>
      <c r="AO2908" s="75"/>
      <c r="AP2908" s="75"/>
      <c r="AQ2908" s="75"/>
      <c r="AR2908" s="76"/>
      <c r="AT2908" s="65"/>
      <c r="AU2908" s="77"/>
    </row>
    <row r="2909" spans="37:47">
      <c r="AK2909" s="12"/>
      <c r="AM2909" s="12"/>
      <c r="AN2909" s="75"/>
      <c r="AO2909" s="75"/>
      <c r="AP2909" s="75"/>
      <c r="AQ2909" s="75"/>
      <c r="AR2909" s="76"/>
      <c r="AT2909" s="65"/>
      <c r="AU2909" s="77"/>
    </row>
    <row r="2910" spans="37:47">
      <c r="AK2910" s="12"/>
      <c r="AM2910" s="12"/>
      <c r="AN2910" s="75"/>
      <c r="AO2910" s="75"/>
      <c r="AP2910" s="75"/>
      <c r="AQ2910" s="75"/>
      <c r="AR2910" s="76"/>
      <c r="AT2910" s="65"/>
      <c r="AU2910" s="77"/>
    </row>
    <row r="2911" spans="37:47">
      <c r="AK2911" s="12"/>
      <c r="AM2911" s="12"/>
      <c r="AN2911" s="75"/>
      <c r="AO2911" s="75"/>
      <c r="AP2911" s="75"/>
      <c r="AQ2911" s="75"/>
      <c r="AR2911" s="76"/>
      <c r="AT2911" s="65"/>
      <c r="AU2911" s="77"/>
    </row>
    <row r="2912" spans="37:47">
      <c r="AK2912" s="12"/>
      <c r="AM2912" s="12"/>
      <c r="AN2912" s="75"/>
      <c r="AO2912" s="75"/>
      <c r="AP2912" s="75"/>
      <c r="AQ2912" s="75"/>
      <c r="AR2912" s="76"/>
      <c r="AT2912" s="65"/>
      <c r="AU2912" s="77"/>
    </row>
    <row r="2913" spans="37:47">
      <c r="AK2913" s="12"/>
      <c r="AM2913" s="12"/>
      <c r="AN2913" s="75"/>
      <c r="AO2913" s="75"/>
      <c r="AP2913" s="75"/>
      <c r="AQ2913" s="75"/>
      <c r="AR2913" s="76"/>
      <c r="AT2913" s="65"/>
      <c r="AU2913" s="77"/>
    </row>
    <row r="2914" spans="37:47">
      <c r="AK2914" s="12"/>
      <c r="AM2914" s="12"/>
      <c r="AN2914" s="75"/>
      <c r="AO2914" s="75"/>
      <c r="AP2914" s="75"/>
      <c r="AQ2914" s="75"/>
      <c r="AR2914" s="76"/>
      <c r="AT2914" s="65"/>
      <c r="AU2914" s="77"/>
    </row>
    <row r="2915" spans="37:47">
      <c r="AK2915" s="12"/>
      <c r="AM2915" s="12"/>
      <c r="AN2915" s="75"/>
      <c r="AO2915" s="75"/>
      <c r="AP2915" s="75"/>
      <c r="AQ2915" s="75"/>
      <c r="AR2915" s="76"/>
      <c r="AT2915" s="65"/>
      <c r="AU2915" s="77"/>
    </row>
    <row r="2916" spans="37:47">
      <c r="AK2916" s="12"/>
      <c r="AM2916" s="12"/>
      <c r="AN2916" s="75"/>
      <c r="AO2916" s="75"/>
      <c r="AP2916" s="75"/>
      <c r="AQ2916" s="75"/>
      <c r="AR2916" s="76"/>
      <c r="AT2916" s="65"/>
      <c r="AU2916" s="77"/>
    </row>
    <row r="2917" spans="37:47">
      <c r="AK2917" s="12"/>
      <c r="AM2917" s="12"/>
      <c r="AN2917" s="75"/>
      <c r="AO2917" s="75"/>
      <c r="AP2917" s="75"/>
      <c r="AQ2917" s="75"/>
      <c r="AR2917" s="76"/>
      <c r="AT2917" s="65"/>
      <c r="AU2917" s="77"/>
    </row>
    <row r="2918" spans="37:47">
      <c r="AK2918" s="12"/>
      <c r="AM2918" s="12"/>
      <c r="AN2918" s="75"/>
      <c r="AO2918" s="75"/>
      <c r="AP2918" s="75"/>
      <c r="AQ2918" s="75"/>
      <c r="AR2918" s="76"/>
      <c r="AT2918" s="65"/>
      <c r="AU2918" s="77"/>
    </row>
    <row r="2919" spans="37:47">
      <c r="AK2919" s="12"/>
      <c r="AM2919" s="12"/>
      <c r="AN2919" s="75"/>
      <c r="AO2919" s="75"/>
      <c r="AP2919" s="75"/>
      <c r="AQ2919" s="75"/>
      <c r="AR2919" s="76"/>
      <c r="AT2919" s="65"/>
      <c r="AU2919" s="77"/>
    </row>
    <row r="2920" spans="37:47">
      <c r="AK2920" s="12"/>
      <c r="AM2920" s="12"/>
      <c r="AN2920" s="75"/>
      <c r="AO2920" s="75"/>
      <c r="AP2920" s="75"/>
      <c r="AQ2920" s="75"/>
      <c r="AR2920" s="76"/>
      <c r="AT2920" s="65"/>
      <c r="AU2920" s="77"/>
    </row>
    <row r="2921" spans="37:47">
      <c r="AK2921" s="12"/>
      <c r="AM2921" s="12"/>
      <c r="AN2921" s="75"/>
      <c r="AO2921" s="75"/>
      <c r="AP2921" s="75"/>
      <c r="AQ2921" s="75"/>
      <c r="AR2921" s="76"/>
      <c r="AT2921" s="65"/>
      <c r="AU2921" s="77"/>
    </row>
    <row r="2922" spans="37:47">
      <c r="AK2922" s="12"/>
      <c r="AM2922" s="12"/>
      <c r="AN2922" s="75"/>
      <c r="AO2922" s="75"/>
      <c r="AP2922" s="75"/>
      <c r="AQ2922" s="75"/>
      <c r="AR2922" s="76"/>
      <c r="AT2922" s="65"/>
      <c r="AU2922" s="77"/>
    </row>
    <row r="2923" spans="37:47">
      <c r="AK2923" s="12"/>
      <c r="AM2923" s="12"/>
      <c r="AN2923" s="75"/>
      <c r="AO2923" s="75"/>
      <c r="AP2923" s="75"/>
      <c r="AQ2923" s="75"/>
      <c r="AR2923" s="76"/>
      <c r="AT2923" s="65"/>
      <c r="AU2923" s="77"/>
    </row>
    <row r="2924" spans="37:47">
      <c r="AK2924" s="12"/>
      <c r="AM2924" s="12"/>
      <c r="AN2924" s="75"/>
      <c r="AO2924" s="75"/>
      <c r="AP2924" s="75"/>
      <c r="AQ2924" s="75"/>
      <c r="AR2924" s="76"/>
      <c r="AT2924" s="65"/>
      <c r="AU2924" s="77"/>
    </row>
    <row r="2925" spans="37:47">
      <c r="AK2925" s="12"/>
      <c r="AM2925" s="12"/>
      <c r="AN2925" s="75"/>
      <c r="AO2925" s="75"/>
      <c r="AP2925" s="75"/>
      <c r="AQ2925" s="75"/>
      <c r="AR2925" s="76"/>
      <c r="AT2925" s="65"/>
      <c r="AU2925" s="77"/>
    </row>
    <row r="2926" spans="37:47">
      <c r="AK2926" s="12"/>
      <c r="AM2926" s="12"/>
      <c r="AN2926" s="75"/>
      <c r="AO2926" s="75"/>
      <c r="AP2926" s="75"/>
      <c r="AQ2926" s="75"/>
      <c r="AR2926" s="76"/>
      <c r="AT2926" s="65"/>
      <c r="AU2926" s="77"/>
    </row>
    <row r="2927" spans="37:47">
      <c r="AK2927" s="12"/>
      <c r="AM2927" s="12"/>
      <c r="AN2927" s="75"/>
      <c r="AO2927" s="75"/>
      <c r="AP2927" s="75"/>
      <c r="AQ2927" s="75"/>
      <c r="AR2927" s="76"/>
      <c r="AT2927" s="65"/>
      <c r="AU2927" s="77"/>
    </row>
    <row r="2928" spans="37:47">
      <c r="AK2928" s="12"/>
      <c r="AM2928" s="12"/>
      <c r="AN2928" s="75"/>
      <c r="AO2928" s="75"/>
      <c r="AP2928" s="75"/>
      <c r="AQ2928" s="75"/>
      <c r="AR2928" s="76"/>
      <c r="AT2928" s="65"/>
      <c r="AU2928" s="77"/>
    </row>
    <row r="2929" spans="37:47">
      <c r="AK2929" s="12"/>
      <c r="AM2929" s="12"/>
      <c r="AN2929" s="75"/>
      <c r="AO2929" s="75"/>
      <c r="AP2929" s="75"/>
      <c r="AQ2929" s="75"/>
      <c r="AR2929" s="76"/>
      <c r="AT2929" s="65"/>
      <c r="AU2929" s="77"/>
    </row>
    <row r="2930" spans="37:47">
      <c r="AK2930" s="12"/>
      <c r="AM2930" s="12"/>
      <c r="AN2930" s="75"/>
      <c r="AO2930" s="75"/>
      <c r="AP2930" s="75"/>
      <c r="AQ2930" s="75"/>
      <c r="AR2930" s="76"/>
      <c r="AT2930" s="65"/>
      <c r="AU2930" s="77"/>
    </row>
    <row r="2931" spans="37:47">
      <c r="AK2931" s="12"/>
      <c r="AM2931" s="12"/>
      <c r="AN2931" s="75"/>
      <c r="AO2931" s="75"/>
      <c r="AP2931" s="75"/>
      <c r="AQ2931" s="75"/>
      <c r="AR2931" s="76"/>
      <c r="AT2931" s="65"/>
      <c r="AU2931" s="77"/>
    </row>
    <row r="2932" spans="37:47">
      <c r="AK2932" s="12"/>
      <c r="AM2932" s="12"/>
      <c r="AN2932" s="75"/>
      <c r="AO2932" s="75"/>
      <c r="AP2932" s="75"/>
      <c r="AQ2932" s="75"/>
      <c r="AR2932" s="76"/>
      <c r="AT2932" s="65"/>
      <c r="AU2932" s="77"/>
    </row>
    <row r="2933" spans="37:47">
      <c r="AK2933" s="12"/>
      <c r="AM2933" s="12"/>
      <c r="AN2933" s="75"/>
      <c r="AO2933" s="75"/>
      <c r="AP2933" s="75"/>
      <c r="AQ2933" s="75"/>
      <c r="AR2933" s="76"/>
      <c r="AT2933" s="65"/>
      <c r="AU2933" s="77"/>
    </row>
    <row r="2934" spans="37:47">
      <c r="AK2934" s="12"/>
      <c r="AM2934" s="12"/>
      <c r="AN2934" s="75"/>
      <c r="AO2934" s="75"/>
      <c r="AP2934" s="75"/>
      <c r="AQ2934" s="75"/>
      <c r="AR2934" s="76"/>
      <c r="AT2934" s="65"/>
      <c r="AU2934" s="77"/>
    </row>
    <row r="2935" spans="37:47">
      <c r="AK2935" s="12"/>
      <c r="AM2935" s="12"/>
      <c r="AN2935" s="75"/>
      <c r="AO2935" s="75"/>
      <c r="AP2935" s="75"/>
      <c r="AQ2935" s="75"/>
      <c r="AR2935" s="76"/>
      <c r="AT2935" s="65"/>
      <c r="AU2935" s="77"/>
    </row>
    <row r="2936" spans="37:47">
      <c r="AK2936" s="12"/>
      <c r="AM2936" s="12"/>
      <c r="AN2936" s="75"/>
      <c r="AO2936" s="75"/>
      <c r="AP2936" s="75"/>
      <c r="AQ2936" s="75"/>
      <c r="AR2936" s="76"/>
      <c r="AT2936" s="65"/>
      <c r="AU2936" s="77"/>
    </row>
    <row r="2937" spans="37:47">
      <c r="AK2937" s="12"/>
      <c r="AM2937" s="12"/>
      <c r="AN2937" s="75"/>
      <c r="AO2937" s="75"/>
      <c r="AP2937" s="75"/>
      <c r="AQ2937" s="75"/>
      <c r="AR2937" s="76"/>
      <c r="AT2937" s="65"/>
      <c r="AU2937" s="77"/>
    </row>
    <row r="2938" spans="37:47">
      <c r="AK2938" s="12"/>
      <c r="AM2938" s="12"/>
      <c r="AN2938" s="75"/>
      <c r="AO2938" s="75"/>
      <c r="AP2938" s="75"/>
      <c r="AQ2938" s="75"/>
      <c r="AR2938" s="76"/>
      <c r="AT2938" s="65"/>
      <c r="AU2938" s="77"/>
    </row>
    <row r="2939" spans="37:47">
      <c r="AK2939" s="12"/>
      <c r="AM2939" s="12"/>
      <c r="AN2939" s="75"/>
      <c r="AO2939" s="75"/>
      <c r="AP2939" s="75"/>
      <c r="AQ2939" s="75"/>
      <c r="AR2939" s="76"/>
      <c r="AT2939" s="65"/>
      <c r="AU2939" s="77"/>
    </row>
    <row r="2940" spans="37:47">
      <c r="AK2940" s="12"/>
      <c r="AM2940" s="12"/>
      <c r="AN2940" s="75"/>
      <c r="AO2940" s="75"/>
      <c r="AP2940" s="75"/>
      <c r="AQ2940" s="75"/>
      <c r="AR2940" s="76"/>
      <c r="AT2940" s="65"/>
      <c r="AU2940" s="77"/>
    </row>
    <row r="2941" spans="37:47">
      <c r="AK2941" s="12"/>
      <c r="AM2941" s="12"/>
      <c r="AN2941" s="75"/>
      <c r="AO2941" s="75"/>
      <c r="AP2941" s="75"/>
      <c r="AQ2941" s="75"/>
      <c r="AR2941" s="76"/>
      <c r="AT2941" s="65"/>
      <c r="AU2941" s="77"/>
    </row>
    <row r="2942" spans="37:47">
      <c r="AK2942" s="12"/>
      <c r="AM2942" s="12"/>
      <c r="AN2942" s="75"/>
      <c r="AO2942" s="75"/>
      <c r="AP2942" s="75"/>
      <c r="AQ2942" s="75"/>
      <c r="AR2942" s="76"/>
      <c r="AT2942" s="65"/>
      <c r="AU2942" s="77"/>
    </row>
    <row r="2943" spans="37:47">
      <c r="AK2943" s="12"/>
      <c r="AM2943" s="12"/>
      <c r="AN2943" s="75"/>
      <c r="AO2943" s="75"/>
      <c r="AP2943" s="75"/>
      <c r="AQ2943" s="75"/>
      <c r="AR2943" s="76"/>
      <c r="AT2943" s="65"/>
      <c r="AU2943" s="77"/>
    </row>
    <row r="2944" spans="37:47">
      <c r="AK2944" s="12"/>
      <c r="AM2944" s="12"/>
      <c r="AN2944" s="75"/>
      <c r="AO2944" s="75"/>
      <c r="AP2944" s="75"/>
      <c r="AQ2944" s="75"/>
      <c r="AR2944" s="76"/>
      <c r="AT2944" s="65"/>
      <c r="AU2944" s="77"/>
    </row>
    <row r="2945" spans="37:47">
      <c r="AK2945" s="12"/>
      <c r="AM2945" s="12"/>
      <c r="AN2945" s="75"/>
      <c r="AO2945" s="75"/>
      <c r="AP2945" s="75"/>
      <c r="AQ2945" s="75"/>
      <c r="AR2945" s="76"/>
      <c r="AT2945" s="65"/>
      <c r="AU2945" s="77"/>
    </row>
    <row r="2946" spans="37:47">
      <c r="AK2946" s="12"/>
      <c r="AM2946" s="12"/>
      <c r="AN2946" s="75"/>
      <c r="AO2946" s="75"/>
      <c r="AP2946" s="75"/>
      <c r="AQ2946" s="75"/>
      <c r="AR2946" s="76"/>
      <c r="AT2946" s="65"/>
      <c r="AU2946" s="77"/>
    </row>
    <row r="2947" spans="37:47">
      <c r="AK2947" s="12"/>
      <c r="AM2947" s="12"/>
      <c r="AN2947" s="75"/>
      <c r="AO2947" s="75"/>
      <c r="AP2947" s="75"/>
      <c r="AQ2947" s="75"/>
      <c r="AR2947" s="76"/>
      <c r="AT2947" s="65"/>
      <c r="AU2947" s="77"/>
    </row>
    <row r="2948" spans="37:47">
      <c r="AK2948" s="12"/>
      <c r="AM2948" s="12"/>
      <c r="AN2948" s="75"/>
      <c r="AO2948" s="75"/>
      <c r="AP2948" s="75"/>
      <c r="AQ2948" s="75"/>
      <c r="AR2948" s="76"/>
      <c r="AT2948" s="65"/>
      <c r="AU2948" s="77"/>
    </row>
    <row r="2949" spans="37:47">
      <c r="AK2949" s="12"/>
      <c r="AM2949" s="12"/>
      <c r="AN2949" s="75"/>
      <c r="AO2949" s="75"/>
      <c r="AP2949" s="75"/>
      <c r="AQ2949" s="75"/>
      <c r="AR2949" s="76"/>
      <c r="AT2949" s="65"/>
      <c r="AU2949" s="77"/>
    </row>
    <row r="2950" spans="37:47">
      <c r="AK2950" s="12"/>
      <c r="AM2950" s="12"/>
      <c r="AN2950" s="75"/>
      <c r="AO2950" s="75"/>
      <c r="AP2950" s="75"/>
      <c r="AQ2950" s="75"/>
      <c r="AR2950" s="76"/>
      <c r="AT2950" s="65"/>
      <c r="AU2950" s="77"/>
    </row>
    <row r="2951" spans="37:47">
      <c r="AK2951" s="12"/>
      <c r="AM2951" s="12"/>
      <c r="AN2951" s="75"/>
      <c r="AO2951" s="75"/>
      <c r="AP2951" s="75"/>
      <c r="AQ2951" s="75"/>
      <c r="AR2951" s="76"/>
      <c r="AT2951" s="65"/>
      <c r="AU2951" s="77"/>
    </row>
    <row r="2952" spans="37:47">
      <c r="AK2952" s="12"/>
      <c r="AM2952" s="12"/>
      <c r="AN2952" s="75"/>
      <c r="AO2952" s="75"/>
      <c r="AP2952" s="75"/>
      <c r="AQ2952" s="75"/>
      <c r="AR2952" s="76"/>
      <c r="AT2952" s="65"/>
      <c r="AU2952" s="77"/>
    </row>
    <row r="2953" spans="37:47">
      <c r="AK2953" s="12"/>
      <c r="AM2953" s="12"/>
      <c r="AN2953" s="75"/>
      <c r="AO2953" s="75"/>
      <c r="AP2953" s="75"/>
      <c r="AQ2953" s="75"/>
      <c r="AR2953" s="76"/>
      <c r="AT2953" s="65"/>
      <c r="AU2953" s="77"/>
    </row>
    <row r="2954" spans="37:47">
      <c r="AK2954" s="12"/>
      <c r="AM2954" s="12"/>
      <c r="AN2954" s="75"/>
      <c r="AO2954" s="75"/>
      <c r="AP2954" s="75"/>
      <c r="AQ2954" s="75"/>
      <c r="AR2954" s="76"/>
      <c r="AT2954" s="65"/>
      <c r="AU2954" s="77"/>
    </row>
    <row r="2955" spans="37:47">
      <c r="AK2955" s="12"/>
      <c r="AM2955" s="12"/>
      <c r="AN2955" s="75"/>
      <c r="AO2955" s="75"/>
      <c r="AP2955" s="75"/>
      <c r="AQ2955" s="75"/>
      <c r="AR2955" s="76"/>
      <c r="AT2955" s="65"/>
      <c r="AU2955" s="77"/>
    </row>
    <row r="2956" spans="37:47">
      <c r="AK2956" s="12"/>
      <c r="AM2956" s="12"/>
      <c r="AN2956" s="75"/>
      <c r="AO2956" s="75"/>
      <c r="AP2956" s="75"/>
      <c r="AQ2956" s="75"/>
      <c r="AR2956" s="76"/>
      <c r="AT2956" s="65"/>
      <c r="AU2956" s="77"/>
    </row>
    <row r="2957" spans="37:47">
      <c r="AK2957" s="12"/>
      <c r="AM2957" s="12"/>
      <c r="AN2957" s="75"/>
      <c r="AO2957" s="75"/>
      <c r="AP2957" s="75"/>
      <c r="AQ2957" s="75"/>
      <c r="AR2957" s="76"/>
      <c r="AT2957" s="65"/>
      <c r="AU2957" s="77"/>
    </row>
    <row r="2958" spans="37:47">
      <c r="AK2958" s="12"/>
      <c r="AM2958" s="12"/>
      <c r="AN2958" s="75"/>
      <c r="AO2958" s="75"/>
      <c r="AP2958" s="75"/>
      <c r="AQ2958" s="75"/>
      <c r="AR2958" s="76"/>
      <c r="AT2958" s="65"/>
      <c r="AU2958" s="77"/>
    </row>
    <row r="2959" spans="37:47">
      <c r="AK2959" s="12"/>
      <c r="AM2959" s="12"/>
      <c r="AN2959" s="75"/>
      <c r="AO2959" s="75"/>
      <c r="AP2959" s="75"/>
      <c r="AQ2959" s="75"/>
      <c r="AR2959" s="76"/>
      <c r="AT2959" s="65"/>
      <c r="AU2959" s="77"/>
    </row>
    <row r="2960" spans="37:47">
      <c r="AK2960" s="12"/>
      <c r="AM2960" s="12"/>
      <c r="AN2960" s="75"/>
      <c r="AO2960" s="75"/>
      <c r="AP2960" s="75"/>
      <c r="AQ2960" s="75"/>
      <c r="AR2960" s="76"/>
      <c r="AT2960" s="65"/>
      <c r="AU2960" s="77"/>
    </row>
    <row r="2961" spans="37:47">
      <c r="AK2961" s="12"/>
      <c r="AM2961" s="12"/>
      <c r="AN2961" s="75"/>
      <c r="AO2961" s="75"/>
      <c r="AP2961" s="75"/>
      <c r="AQ2961" s="75"/>
      <c r="AR2961" s="76"/>
      <c r="AT2961" s="65"/>
      <c r="AU2961" s="77"/>
    </row>
    <row r="2962" spans="37:47">
      <c r="AK2962" s="12"/>
      <c r="AM2962" s="12"/>
      <c r="AN2962" s="75"/>
      <c r="AO2962" s="75"/>
      <c r="AP2962" s="75"/>
      <c r="AQ2962" s="75"/>
      <c r="AR2962" s="76"/>
      <c r="AT2962" s="65"/>
      <c r="AU2962" s="77"/>
    </row>
    <row r="2963" spans="37:47">
      <c r="AK2963" s="12"/>
      <c r="AM2963" s="12"/>
      <c r="AN2963" s="75"/>
      <c r="AO2963" s="75"/>
      <c r="AP2963" s="75"/>
      <c r="AQ2963" s="75"/>
      <c r="AR2963" s="76"/>
      <c r="AT2963" s="65"/>
      <c r="AU2963" s="77"/>
    </row>
    <row r="2964" spans="37:47">
      <c r="AK2964" s="12"/>
      <c r="AM2964" s="12"/>
      <c r="AN2964" s="75"/>
      <c r="AO2964" s="75"/>
      <c r="AP2964" s="75"/>
      <c r="AQ2964" s="75"/>
      <c r="AR2964" s="76"/>
      <c r="AT2964" s="65"/>
      <c r="AU2964" s="77"/>
    </row>
    <row r="2965" spans="37:47">
      <c r="AK2965" s="12"/>
      <c r="AM2965" s="12"/>
      <c r="AN2965" s="75"/>
      <c r="AO2965" s="75"/>
      <c r="AP2965" s="75"/>
      <c r="AQ2965" s="75"/>
      <c r="AR2965" s="76"/>
      <c r="AT2965" s="65"/>
      <c r="AU2965" s="77"/>
    </row>
    <row r="2966" spans="37:47">
      <c r="AK2966" s="12"/>
      <c r="AM2966" s="12"/>
      <c r="AN2966" s="75"/>
      <c r="AO2966" s="75"/>
      <c r="AP2966" s="75"/>
      <c r="AQ2966" s="75"/>
      <c r="AR2966" s="76"/>
      <c r="AT2966" s="65"/>
      <c r="AU2966" s="77"/>
    </row>
    <row r="2967" spans="37:47">
      <c r="AK2967" s="12"/>
      <c r="AM2967" s="12"/>
      <c r="AN2967" s="75"/>
      <c r="AO2967" s="75"/>
      <c r="AP2967" s="75"/>
      <c r="AQ2967" s="75"/>
      <c r="AR2967" s="76"/>
      <c r="AT2967" s="65"/>
      <c r="AU2967" s="77"/>
    </row>
    <row r="2968" spans="37:47">
      <c r="AK2968" s="12"/>
      <c r="AM2968" s="12"/>
      <c r="AN2968" s="75"/>
      <c r="AO2968" s="75"/>
      <c r="AP2968" s="75"/>
      <c r="AQ2968" s="75"/>
      <c r="AR2968" s="76"/>
      <c r="AT2968" s="65"/>
      <c r="AU2968" s="77"/>
    </row>
    <row r="2969" spans="37:47">
      <c r="AK2969" s="12"/>
      <c r="AM2969" s="12"/>
      <c r="AN2969" s="75"/>
      <c r="AO2969" s="75"/>
      <c r="AP2969" s="75"/>
      <c r="AQ2969" s="75"/>
      <c r="AR2969" s="76"/>
      <c r="AT2969" s="65"/>
      <c r="AU2969" s="77"/>
    </row>
    <row r="2970" spans="37:47">
      <c r="AK2970" s="12"/>
      <c r="AM2970" s="12"/>
      <c r="AN2970" s="75"/>
      <c r="AO2970" s="75"/>
      <c r="AP2970" s="75"/>
      <c r="AQ2970" s="75"/>
      <c r="AR2970" s="76"/>
      <c r="AT2970" s="65"/>
      <c r="AU2970" s="77"/>
    </row>
    <row r="2971" spans="37:47">
      <c r="AK2971" s="12"/>
      <c r="AM2971" s="12"/>
      <c r="AN2971" s="75"/>
      <c r="AO2971" s="75"/>
      <c r="AP2971" s="75"/>
      <c r="AQ2971" s="75"/>
      <c r="AR2971" s="76"/>
      <c r="AT2971" s="65"/>
      <c r="AU2971" s="77"/>
    </row>
    <row r="2972" spans="37:47">
      <c r="AK2972" s="12"/>
      <c r="AM2972" s="12"/>
      <c r="AN2972" s="75"/>
      <c r="AO2972" s="75"/>
      <c r="AP2972" s="75"/>
      <c r="AQ2972" s="75"/>
      <c r="AR2972" s="76"/>
      <c r="AT2972" s="65"/>
      <c r="AU2972" s="77"/>
    </row>
    <row r="2973" spans="37:47">
      <c r="AK2973" s="12"/>
      <c r="AM2973" s="12"/>
      <c r="AN2973" s="75"/>
      <c r="AO2973" s="75"/>
      <c r="AP2973" s="75"/>
      <c r="AQ2973" s="75"/>
      <c r="AR2973" s="76"/>
      <c r="AT2973" s="65"/>
      <c r="AU2973" s="77"/>
    </row>
    <row r="2974" spans="37:47">
      <c r="AK2974" s="12"/>
      <c r="AM2974" s="12"/>
      <c r="AN2974" s="75"/>
      <c r="AO2974" s="75"/>
      <c r="AP2974" s="75"/>
      <c r="AQ2974" s="75"/>
      <c r="AR2974" s="76"/>
      <c r="AT2974" s="65"/>
      <c r="AU2974" s="77"/>
    </row>
    <row r="2975" spans="37:47">
      <c r="AK2975" s="12"/>
      <c r="AM2975" s="12"/>
      <c r="AN2975" s="75"/>
      <c r="AO2975" s="75"/>
      <c r="AP2975" s="75"/>
      <c r="AQ2975" s="75"/>
      <c r="AR2975" s="76"/>
      <c r="AT2975" s="65"/>
      <c r="AU2975" s="77"/>
    </row>
    <row r="2976" spans="37:47">
      <c r="AK2976" s="12"/>
      <c r="AM2976" s="12"/>
      <c r="AN2976" s="75"/>
      <c r="AO2976" s="75"/>
      <c r="AP2976" s="75"/>
      <c r="AQ2976" s="75"/>
      <c r="AR2976" s="76"/>
      <c r="AT2976" s="65"/>
      <c r="AU2976" s="77"/>
    </row>
    <row r="2977" spans="37:47">
      <c r="AK2977" s="12"/>
      <c r="AM2977" s="12"/>
      <c r="AN2977" s="75"/>
      <c r="AO2977" s="75"/>
      <c r="AP2977" s="75"/>
      <c r="AQ2977" s="75"/>
      <c r="AR2977" s="76"/>
      <c r="AT2977" s="65"/>
      <c r="AU2977" s="77"/>
    </row>
    <row r="2978" spans="37:47">
      <c r="AK2978" s="12"/>
      <c r="AM2978" s="12"/>
      <c r="AN2978" s="75"/>
      <c r="AO2978" s="75"/>
      <c r="AP2978" s="75"/>
      <c r="AQ2978" s="75"/>
      <c r="AR2978" s="76"/>
      <c r="AT2978" s="65"/>
      <c r="AU2978" s="77"/>
    </row>
    <row r="2979" spans="37:47">
      <c r="AK2979" s="12"/>
      <c r="AM2979" s="12"/>
      <c r="AN2979" s="75"/>
      <c r="AO2979" s="75"/>
      <c r="AP2979" s="75"/>
      <c r="AQ2979" s="75"/>
      <c r="AR2979" s="76"/>
      <c r="AT2979" s="65"/>
      <c r="AU2979" s="77"/>
    </row>
    <row r="2980" spans="37:47">
      <c r="AK2980" s="12"/>
      <c r="AM2980" s="12"/>
      <c r="AN2980" s="75"/>
      <c r="AO2980" s="75"/>
      <c r="AP2980" s="75"/>
      <c r="AQ2980" s="75"/>
      <c r="AR2980" s="76"/>
      <c r="AT2980" s="65"/>
      <c r="AU2980" s="77"/>
    </row>
    <row r="2981" spans="37:47">
      <c r="AK2981" s="12"/>
      <c r="AM2981" s="12"/>
      <c r="AN2981" s="75"/>
      <c r="AO2981" s="75"/>
      <c r="AP2981" s="75"/>
      <c r="AQ2981" s="75"/>
      <c r="AR2981" s="76"/>
      <c r="AT2981" s="65"/>
      <c r="AU2981" s="77"/>
    </row>
    <row r="2982" spans="37:47">
      <c r="AK2982" s="12"/>
      <c r="AM2982" s="12"/>
      <c r="AN2982" s="75"/>
      <c r="AO2982" s="75"/>
      <c r="AP2982" s="75"/>
      <c r="AQ2982" s="75"/>
      <c r="AR2982" s="76"/>
      <c r="AT2982" s="65"/>
      <c r="AU2982" s="77"/>
    </row>
    <row r="2983" spans="37:47">
      <c r="AK2983" s="12"/>
      <c r="AM2983" s="12"/>
      <c r="AN2983" s="75"/>
      <c r="AO2983" s="75"/>
      <c r="AP2983" s="75"/>
      <c r="AQ2983" s="75"/>
      <c r="AR2983" s="76"/>
      <c r="AT2983" s="65"/>
      <c r="AU2983" s="77"/>
    </row>
    <row r="2984" spans="37:47">
      <c r="AK2984" s="12"/>
      <c r="AM2984" s="12"/>
      <c r="AN2984" s="75"/>
      <c r="AO2984" s="75"/>
      <c r="AP2984" s="75"/>
      <c r="AQ2984" s="75"/>
      <c r="AR2984" s="76"/>
      <c r="AT2984" s="65"/>
      <c r="AU2984" s="77"/>
    </row>
    <row r="2985" spans="37:47">
      <c r="AK2985" s="12"/>
      <c r="AM2985" s="12"/>
      <c r="AN2985" s="75"/>
      <c r="AO2985" s="75"/>
      <c r="AP2985" s="75"/>
      <c r="AQ2985" s="75"/>
      <c r="AR2985" s="76"/>
      <c r="AT2985" s="65"/>
      <c r="AU2985" s="77"/>
    </row>
    <row r="2986" spans="37:47">
      <c r="AK2986" s="12"/>
      <c r="AM2986" s="12"/>
      <c r="AN2986" s="75"/>
      <c r="AO2986" s="75"/>
      <c r="AP2986" s="75"/>
      <c r="AQ2986" s="75"/>
      <c r="AR2986" s="76"/>
      <c r="AT2986" s="65"/>
      <c r="AU2986" s="77"/>
    </row>
    <row r="2987" spans="37:47">
      <c r="AK2987" s="12"/>
      <c r="AM2987" s="12"/>
      <c r="AN2987" s="75"/>
      <c r="AO2987" s="75"/>
      <c r="AP2987" s="75"/>
      <c r="AQ2987" s="75"/>
      <c r="AR2987" s="76"/>
      <c r="AT2987" s="65"/>
      <c r="AU2987" s="77"/>
    </row>
    <row r="2988" spans="37:47">
      <c r="AK2988" s="12"/>
      <c r="AM2988" s="12"/>
      <c r="AN2988" s="75"/>
      <c r="AO2988" s="75"/>
      <c r="AP2988" s="75"/>
      <c r="AQ2988" s="75"/>
      <c r="AR2988" s="76"/>
      <c r="AT2988" s="65"/>
      <c r="AU2988" s="77"/>
    </row>
    <row r="2989" spans="37:47">
      <c r="AK2989" s="12"/>
      <c r="AM2989" s="12"/>
      <c r="AN2989" s="75"/>
      <c r="AO2989" s="75"/>
      <c r="AP2989" s="75"/>
      <c r="AQ2989" s="75"/>
      <c r="AR2989" s="76"/>
      <c r="AT2989" s="65"/>
      <c r="AU2989" s="77"/>
    </row>
    <row r="2990" spans="37:47">
      <c r="AK2990" s="12"/>
      <c r="AM2990" s="12"/>
      <c r="AN2990" s="75"/>
      <c r="AO2990" s="75"/>
      <c r="AP2990" s="75"/>
      <c r="AQ2990" s="75"/>
      <c r="AR2990" s="76"/>
      <c r="AT2990" s="65"/>
      <c r="AU2990" s="77"/>
    </row>
    <row r="2991" spans="37:47">
      <c r="AK2991" s="12"/>
      <c r="AM2991" s="12"/>
      <c r="AN2991" s="75"/>
      <c r="AO2991" s="75"/>
      <c r="AP2991" s="75"/>
      <c r="AQ2991" s="75"/>
      <c r="AR2991" s="76"/>
      <c r="AT2991" s="65"/>
      <c r="AU2991" s="77"/>
    </row>
    <row r="2992" spans="37:47">
      <c r="AK2992" s="12"/>
      <c r="AM2992" s="12"/>
      <c r="AN2992" s="75"/>
      <c r="AO2992" s="75"/>
      <c r="AP2992" s="75"/>
      <c r="AQ2992" s="75"/>
      <c r="AR2992" s="76"/>
      <c r="AT2992" s="65"/>
      <c r="AU2992" s="77"/>
    </row>
    <row r="2993" spans="37:47">
      <c r="AK2993" s="12"/>
      <c r="AM2993" s="12"/>
      <c r="AN2993" s="75"/>
      <c r="AO2993" s="75"/>
      <c r="AP2993" s="75"/>
      <c r="AQ2993" s="75"/>
      <c r="AR2993" s="76"/>
      <c r="AT2993" s="65"/>
      <c r="AU2993" s="77"/>
    </row>
    <row r="2994" spans="37:47">
      <c r="AK2994" s="12"/>
      <c r="AM2994" s="12"/>
      <c r="AN2994" s="75"/>
      <c r="AO2994" s="75"/>
      <c r="AP2994" s="75"/>
      <c r="AQ2994" s="75"/>
      <c r="AR2994" s="76"/>
      <c r="AT2994" s="65"/>
      <c r="AU2994" s="77"/>
    </row>
    <row r="2995" spans="37:47">
      <c r="AK2995" s="12"/>
      <c r="AM2995" s="12"/>
      <c r="AN2995" s="75"/>
      <c r="AO2995" s="75"/>
      <c r="AP2995" s="75"/>
      <c r="AQ2995" s="75"/>
      <c r="AR2995" s="76"/>
      <c r="AT2995" s="65"/>
      <c r="AU2995" s="77"/>
    </row>
    <row r="2996" spans="37:47">
      <c r="AK2996" s="12"/>
      <c r="AM2996" s="12"/>
      <c r="AN2996" s="75"/>
      <c r="AO2996" s="75"/>
      <c r="AP2996" s="75"/>
      <c r="AQ2996" s="75"/>
      <c r="AR2996" s="76"/>
      <c r="AT2996" s="65"/>
      <c r="AU2996" s="77"/>
    </row>
    <row r="2997" spans="37:47">
      <c r="AK2997" s="12"/>
      <c r="AM2997" s="12"/>
      <c r="AN2997" s="75"/>
      <c r="AO2997" s="75"/>
      <c r="AP2997" s="75"/>
      <c r="AQ2997" s="75"/>
      <c r="AR2997" s="76"/>
      <c r="AT2997" s="65"/>
      <c r="AU2997" s="77"/>
    </row>
    <row r="2998" spans="37:47">
      <c r="AK2998" s="12"/>
      <c r="AM2998" s="12"/>
      <c r="AN2998" s="75"/>
      <c r="AO2998" s="75"/>
      <c r="AP2998" s="75"/>
      <c r="AQ2998" s="75"/>
      <c r="AR2998" s="76"/>
      <c r="AT2998" s="65"/>
      <c r="AU2998" s="77"/>
    </row>
    <row r="2999" spans="37:47">
      <c r="AK2999" s="12"/>
      <c r="AM2999" s="12"/>
      <c r="AN2999" s="75"/>
      <c r="AO2999" s="75"/>
      <c r="AP2999" s="75"/>
      <c r="AQ2999" s="75"/>
      <c r="AR2999" s="76"/>
      <c r="AT2999" s="65"/>
      <c r="AU2999" s="77"/>
    </row>
    <row r="3000" spans="37:47">
      <c r="AK3000" s="12"/>
      <c r="AM3000" s="12"/>
      <c r="AN3000" s="75"/>
      <c r="AO3000" s="75"/>
      <c r="AP3000" s="75"/>
      <c r="AQ3000" s="75"/>
      <c r="AR3000" s="76"/>
      <c r="AT3000" s="65"/>
      <c r="AU3000" s="77"/>
    </row>
    <row r="3001" spans="37:47">
      <c r="AK3001" s="12"/>
      <c r="AM3001" s="12"/>
      <c r="AN3001" s="75"/>
      <c r="AO3001" s="75"/>
      <c r="AP3001" s="75"/>
      <c r="AQ3001" s="75"/>
      <c r="AR3001" s="76"/>
      <c r="AT3001" s="65"/>
      <c r="AU3001" s="77"/>
    </row>
    <row r="3002" spans="37:47">
      <c r="AK3002" s="12"/>
      <c r="AM3002" s="12"/>
      <c r="AN3002" s="75"/>
      <c r="AO3002" s="75"/>
      <c r="AP3002" s="75"/>
      <c r="AQ3002" s="75"/>
      <c r="AR3002" s="76"/>
      <c r="AT3002" s="65"/>
      <c r="AU3002" s="77"/>
    </row>
    <row r="3003" spans="37:47">
      <c r="AK3003" s="12"/>
      <c r="AM3003" s="12"/>
      <c r="AN3003" s="75"/>
      <c r="AO3003" s="75"/>
      <c r="AP3003" s="75"/>
      <c r="AQ3003" s="75"/>
      <c r="AR3003" s="76"/>
      <c r="AT3003" s="65"/>
      <c r="AU3003" s="77"/>
    </row>
    <row r="3004" spans="37:47">
      <c r="AK3004" s="12"/>
      <c r="AM3004" s="12"/>
      <c r="AN3004" s="75"/>
      <c r="AO3004" s="75"/>
      <c r="AP3004" s="75"/>
      <c r="AQ3004" s="75"/>
      <c r="AR3004" s="76"/>
      <c r="AT3004" s="65"/>
      <c r="AU3004" s="77"/>
    </row>
    <row r="3005" spans="37:47">
      <c r="AK3005" s="12"/>
      <c r="AM3005" s="12"/>
      <c r="AN3005" s="75"/>
      <c r="AO3005" s="75"/>
      <c r="AP3005" s="75"/>
      <c r="AQ3005" s="75"/>
      <c r="AR3005" s="76"/>
      <c r="AT3005" s="65"/>
      <c r="AU3005" s="77"/>
    </row>
    <row r="3006" spans="37:47">
      <c r="AK3006" s="12"/>
      <c r="AM3006" s="12"/>
      <c r="AN3006" s="75"/>
      <c r="AO3006" s="75"/>
      <c r="AP3006" s="75"/>
      <c r="AQ3006" s="75"/>
      <c r="AR3006" s="76"/>
      <c r="AT3006" s="65"/>
      <c r="AU3006" s="77"/>
    </row>
    <row r="3007" spans="37:47">
      <c r="AK3007" s="12"/>
      <c r="AM3007" s="12"/>
      <c r="AN3007" s="75"/>
      <c r="AO3007" s="75"/>
      <c r="AP3007" s="75"/>
      <c r="AQ3007" s="75"/>
      <c r="AR3007" s="76"/>
      <c r="AT3007" s="65"/>
      <c r="AU3007" s="77"/>
    </row>
    <row r="3008" spans="37:47">
      <c r="AK3008" s="12"/>
      <c r="AM3008" s="12"/>
      <c r="AN3008" s="75"/>
      <c r="AO3008" s="75"/>
      <c r="AP3008" s="75"/>
      <c r="AQ3008" s="75"/>
      <c r="AR3008" s="76"/>
      <c r="AT3008" s="65"/>
      <c r="AU3008" s="77"/>
    </row>
    <row r="3009" spans="37:47">
      <c r="AK3009" s="12"/>
      <c r="AM3009" s="12"/>
      <c r="AN3009" s="75"/>
      <c r="AO3009" s="75"/>
      <c r="AP3009" s="75"/>
      <c r="AQ3009" s="75"/>
      <c r="AR3009" s="76"/>
      <c r="AT3009" s="65"/>
      <c r="AU3009" s="77"/>
    </row>
    <row r="3010" spans="37:47">
      <c r="AK3010" s="12"/>
      <c r="AM3010" s="12"/>
      <c r="AN3010" s="75"/>
      <c r="AO3010" s="75"/>
      <c r="AP3010" s="75"/>
      <c r="AQ3010" s="75"/>
      <c r="AR3010" s="76"/>
      <c r="AT3010" s="65"/>
      <c r="AU3010" s="77"/>
    </row>
    <row r="3011" spans="37:47">
      <c r="AK3011" s="12"/>
      <c r="AM3011" s="12"/>
      <c r="AN3011" s="75"/>
      <c r="AO3011" s="75"/>
      <c r="AP3011" s="75"/>
      <c r="AQ3011" s="75"/>
      <c r="AR3011" s="76"/>
      <c r="AT3011" s="65"/>
      <c r="AU3011" s="77"/>
    </row>
    <row r="3012" spans="37:47">
      <c r="AK3012" s="12"/>
      <c r="AM3012" s="12"/>
      <c r="AN3012" s="75"/>
      <c r="AO3012" s="75"/>
      <c r="AP3012" s="75"/>
      <c r="AQ3012" s="75"/>
      <c r="AR3012" s="76"/>
      <c r="AT3012" s="65"/>
      <c r="AU3012" s="77"/>
    </row>
    <row r="3013" spans="37:47">
      <c r="AK3013" s="12"/>
      <c r="AM3013" s="12"/>
      <c r="AN3013" s="75"/>
      <c r="AO3013" s="75"/>
      <c r="AP3013" s="75"/>
      <c r="AQ3013" s="75"/>
      <c r="AR3013" s="76"/>
      <c r="AT3013" s="65"/>
      <c r="AU3013" s="77"/>
    </row>
    <row r="3014" spans="37:47">
      <c r="AK3014" s="12"/>
      <c r="AM3014" s="12"/>
      <c r="AN3014" s="75"/>
      <c r="AO3014" s="75"/>
      <c r="AP3014" s="75"/>
      <c r="AQ3014" s="75"/>
      <c r="AR3014" s="76"/>
      <c r="AT3014" s="65"/>
      <c r="AU3014" s="77"/>
    </row>
    <row r="3015" spans="37:47">
      <c r="AK3015" s="12"/>
      <c r="AM3015" s="12"/>
      <c r="AN3015" s="75"/>
      <c r="AO3015" s="75"/>
      <c r="AP3015" s="75"/>
      <c r="AQ3015" s="75"/>
      <c r="AR3015" s="76"/>
      <c r="AT3015" s="65"/>
      <c r="AU3015" s="77"/>
    </row>
    <row r="3016" spans="37:47">
      <c r="AK3016" s="12"/>
      <c r="AM3016" s="12"/>
      <c r="AN3016" s="75"/>
      <c r="AO3016" s="75"/>
      <c r="AP3016" s="75"/>
      <c r="AQ3016" s="75"/>
      <c r="AR3016" s="76"/>
      <c r="AT3016" s="65"/>
      <c r="AU3016" s="77"/>
    </row>
    <row r="3017" spans="37:47">
      <c r="AK3017" s="12"/>
      <c r="AM3017" s="12"/>
      <c r="AN3017" s="75"/>
      <c r="AO3017" s="75"/>
      <c r="AP3017" s="75"/>
      <c r="AQ3017" s="75"/>
      <c r="AR3017" s="76"/>
      <c r="AT3017" s="65"/>
      <c r="AU3017" s="77"/>
    </row>
    <row r="3018" spans="37:47">
      <c r="AK3018" s="12"/>
      <c r="AM3018" s="12"/>
      <c r="AN3018" s="75"/>
      <c r="AO3018" s="75"/>
      <c r="AP3018" s="75"/>
      <c r="AQ3018" s="75"/>
      <c r="AR3018" s="76"/>
      <c r="AT3018" s="65"/>
      <c r="AU3018" s="77"/>
    </row>
    <row r="3019" spans="37:47">
      <c r="AK3019" s="12"/>
      <c r="AM3019" s="12"/>
      <c r="AN3019" s="75"/>
      <c r="AO3019" s="75"/>
      <c r="AP3019" s="75"/>
      <c r="AQ3019" s="75"/>
      <c r="AR3019" s="76"/>
      <c r="AT3019" s="65"/>
      <c r="AU3019" s="77"/>
    </row>
    <row r="3020" spans="37:47">
      <c r="AK3020" s="12"/>
      <c r="AM3020" s="12"/>
      <c r="AN3020" s="75"/>
      <c r="AO3020" s="75"/>
      <c r="AP3020" s="75"/>
      <c r="AQ3020" s="75"/>
      <c r="AR3020" s="76"/>
      <c r="AT3020" s="65"/>
      <c r="AU3020" s="77"/>
    </row>
    <row r="3021" spans="37:47">
      <c r="AK3021" s="12"/>
      <c r="AM3021" s="12"/>
      <c r="AN3021" s="75"/>
      <c r="AO3021" s="75"/>
      <c r="AP3021" s="75"/>
      <c r="AQ3021" s="75"/>
      <c r="AR3021" s="76"/>
      <c r="AT3021" s="65"/>
      <c r="AU3021" s="77"/>
    </row>
    <row r="3022" spans="37:47">
      <c r="AK3022" s="12"/>
      <c r="AM3022" s="12"/>
      <c r="AN3022" s="75"/>
      <c r="AO3022" s="75"/>
      <c r="AP3022" s="75"/>
      <c r="AQ3022" s="75"/>
      <c r="AR3022" s="76"/>
      <c r="AT3022" s="65"/>
      <c r="AU3022" s="77"/>
    </row>
    <row r="3023" spans="37:47">
      <c r="AK3023" s="12"/>
      <c r="AM3023" s="12"/>
      <c r="AN3023" s="75"/>
      <c r="AO3023" s="75"/>
      <c r="AP3023" s="75"/>
      <c r="AQ3023" s="75"/>
      <c r="AR3023" s="76"/>
      <c r="AT3023" s="65"/>
      <c r="AU3023" s="77"/>
    </row>
    <row r="3024" spans="37:47">
      <c r="AK3024" s="12"/>
      <c r="AM3024" s="12"/>
      <c r="AN3024" s="75"/>
      <c r="AO3024" s="75"/>
      <c r="AP3024" s="75"/>
      <c r="AQ3024" s="75"/>
      <c r="AR3024" s="76"/>
      <c r="AT3024" s="65"/>
      <c r="AU3024" s="77"/>
    </row>
    <row r="3025" spans="37:47">
      <c r="AK3025" s="12"/>
      <c r="AM3025" s="12"/>
      <c r="AN3025" s="75"/>
      <c r="AO3025" s="75"/>
      <c r="AP3025" s="75"/>
      <c r="AQ3025" s="75"/>
      <c r="AR3025" s="76"/>
      <c r="AT3025" s="65"/>
      <c r="AU3025" s="77"/>
    </row>
    <row r="3026" spans="37:47">
      <c r="AK3026" s="12"/>
      <c r="AM3026" s="12"/>
      <c r="AN3026" s="75"/>
      <c r="AO3026" s="75"/>
      <c r="AP3026" s="75"/>
      <c r="AQ3026" s="75"/>
      <c r="AR3026" s="76"/>
      <c r="AT3026" s="65"/>
      <c r="AU3026" s="77"/>
    </row>
    <row r="3027" spans="37:47">
      <c r="AK3027" s="12"/>
      <c r="AM3027" s="12"/>
      <c r="AN3027" s="75"/>
      <c r="AO3027" s="75"/>
      <c r="AP3027" s="75"/>
      <c r="AQ3027" s="75"/>
      <c r="AR3027" s="76"/>
      <c r="AT3027" s="65"/>
      <c r="AU3027" s="77"/>
    </row>
    <row r="3028" spans="37:47">
      <c r="AK3028" s="12"/>
      <c r="AM3028" s="12"/>
      <c r="AN3028" s="75"/>
      <c r="AO3028" s="75"/>
      <c r="AP3028" s="75"/>
      <c r="AQ3028" s="75"/>
      <c r="AR3028" s="76"/>
      <c r="AT3028" s="65"/>
      <c r="AU3028" s="77"/>
    </row>
    <row r="3029" spans="37:47">
      <c r="AK3029" s="12"/>
      <c r="AM3029" s="12"/>
      <c r="AN3029" s="75"/>
      <c r="AO3029" s="75"/>
      <c r="AP3029" s="75"/>
      <c r="AQ3029" s="75"/>
      <c r="AR3029" s="76"/>
      <c r="AT3029" s="65"/>
      <c r="AU3029" s="77"/>
    </row>
    <row r="3030" spans="37:47">
      <c r="AK3030" s="12"/>
      <c r="AM3030" s="12"/>
      <c r="AN3030" s="75"/>
      <c r="AO3030" s="75"/>
      <c r="AP3030" s="75"/>
      <c r="AQ3030" s="75"/>
      <c r="AR3030" s="76"/>
      <c r="AT3030" s="65"/>
      <c r="AU3030" s="77"/>
    </row>
    <row r="3031" spans="37:47">
      <c r="AK3031" s="12"/>
      <c r="AM3031" s="12"/>
      <c r="AN3031" s="75"/>
      <c r="AO3031" s="75"/>
      <c r="AP3031" s="75"/>
      <c r="AQ3031" s="75"/>
      <c r="AR3031" s="76"/>
      <c r="AT3031" s="65"/>
      <c r="AU3031" s="77"/>
    </row>
    <row r="3032" spans="37:47">
      <c r="AK3032" s="12"/>
      <c r="AM3032" s="12"/>
      <c r="AN3032" s="75"/>
      <c r="AO3032" s="75"/>
      <c r="AP3032" s="75"/>
      <c r="AQ3032" s="75"/>
      <c r="AR3032" s="76"/>
      <c r="AT3032" s="65"/>
      <c r="AU3032" s="77"/>
    </row>
    <row r="3033" spans="37:47">
      <c r="AK3033" s="12"/>
      <c r="AM3033" s="12"/>
      <c r="AN3033" s="75"/>
      <c r="AO3033" s="75"/>
      <c r="AP3033" s="75"/>
      <c r="AQ3033" s="75"/>
      <c r="AR3033" s="76"/>
      <c r="AT3033" s="65"/>
      <c r="AU3033" s="77"/>
    </row>
    <row r="3034" spans="37:47">
      <c r="AK3034" s="12"/>
      <c r="AM3034" s="12"/>
      <c r="AN3034" s="75"/>
      <c r="AO3034" s="75"/>
      <c r="AP3034" s="75"/>
      <c r="AQ3034" s="75"/>
      <c r="AR3034" s="76"/>
      <c r="AT3034" s="65"/>
      <c r="AU3034" s="77"/>
    </row>
    <row r="3035" spans="37:47">
      <c r="AK3035" s="12"/>
      <c r="AM3035" s="12"/>
      <c r="AN3035" s="75"/>
      <c r="AO3035" s="75"/>
      <c r="AP3035" s="75"/>
      <c r="AQ3035" s="75"/>
      <c r="AR3035" s="76"/>
      <c r="AT3035" s="65"/>
      <c r="AU3035" s="77"/>
    </row>
    <row r="3036" spans="37:47">
      <c r="AK3036" s="12"/>
      <c r="AM3036" s="12"/>
      <c r="AN3036" s="75"/>
      <c r="AO3036" s="75"/>
      <c r="AP3036" s="75"/>
      <c r="AQ3036" s="75"/>
      <c r="AR3036" s="76"/>
      <c r="AT3036" s="65"/>
      <c r="AU3036" s="77"/>
    </row>
    <row r="3037" spans="37:47">
      <c r="AK3037" s="12"/>
      <c r="AM3037" s="12"/>
      <c r="AN3037" s="75"/>
      <c r="AO3037" s="75"/>
      <c r="AP3037" s="75"/>
      <c r="AQ3037" s="75"/>
      <c r="AR3037" s="76"/>
      <c r="AT3037" s="65"/>
      <c r="AU3037" s="77"/>
    </row>
    <row r="3038" spans="37:47">
      <c r="AK3038" s="12"/>
      <c r="AM3038" s="12"/>
      <c r="AN3038" s="75"/>
      <c r="AO3038" s="75"/>
      <c r="AP3038" s="75"/>
      <c r="AQ3038" s="75"/>
      <c r="AR3038" s="76"/>
      <c r="AT3038" s="65"/>
      <c r="AU3038" s="77"/>
    </row>
    <row r="3039" spans="37:47">
      <c r="AK3039" s="12"/>
      <c r="AM3039" s="12"/>
      <c r="AN3039" s="75"/>
      <c r="AO3039" s="75"/>
      <c r="AP3039" s="75"/>
      <c r="AQ3039" s="75"/>
      <c r="AR3039" s="76"/>
      <c r="AT3039" s="65"/>
      <c r="AU3039" s="77"/>
    </row>
    <row r="3040" spans="37:47">
      <c r="AK3040" s="12"/>
      <c r="AM3040" s="12"/>
      <c r="AN3040" s="75"/>
      <c r="AO3040" s="75"/>
      <c r="AP3040" s="75"/>
      <c r="AQ3040" s="75"/>
      <c r="AR3040" s="76"/>
      <c r="AT3040" s="65"/>
      <c r="AU3040" s="77"/>
    </row>
    <row r="3041" spans="37:47">
      <c r="AK3041" s="12"/>
      <c r="AM3041" s="12"/>
      <c r="AN3041" s="75"/>
      <c r="AO3041" s="75"/>
      <c r="AP3041" s="75"/>
      <c r="AQ3041" s="75"/>
      <c r="AR3041" s="76"/>
      <c r="AT3041" s="65"/>
      <c r="AU3041" s="77"/>
    </row>
  </sheetData>
  <mergeCells count="27">
    <mergeCell ref="V25:V26"/>
    <mergeCell ref="F25:G25"/>
    <mergeCell ref="I25:I26"/>
    <mergeCell ref="P25:P26"/>
    <mergeCell ref="Q25:Q26"/>
    <mergeCell ref="R25:R26"/>
    <mergeCell ref="U25:U26"/>
    <mergeCell ref="T25:T26"/>
    <mergeCell ref="S25:S26"/>
    <mergeCell ref="A1:P12"/>
    <mergeCell ref="C25:C26"/>
    <mergeCell ref="A13:D13"/>
    <mergeCell ref="K15:M15"/>
    <mergeCell ref="B25:B26"/>
    <mergeCell ref="Q11:V12"/>
    <mergeCell ref="AA11:AA12"/>
    <mergeCell ref="AE11:AF11"/>
    <mergeCell ref="AT11:AT12"/>
    <mergeCell ref="AU11:AU12"/>
    <mergeCell ref="AB11:AB12"/>
    <mergeCell ref="AO11:AO12"/>
    <mergeCell ref="AP11:AP12"/>
    <mergeCell ref="AQ11:AQ12"/>
    <mergeCell ref="AR11:AR12"/>
    <mergeCell ref="AS11:AS12"/>
    <mergeCell ref="AH11:AH12"/>
    <mergeCell ref="W11:X12"/>
  </mergeCells>
  <conditionalFormatting sqref="T1:T10 T13:T24 T54:T1048576">
    <cfRule type="containsText" dxfId="6" priority="8" operator="containsText" text="Check">
      <formula>NOT(ISERROR(SEARCH("Check",T1)))</formula>
    </cfRule>
  </conditionalFormatting>
  <conditionalFormatting sqref="Q11">
    <cfRule type="containsText" dxfId="5" priority="7" operator="containsText" text="Check">
      <formula>NOT(ISERROR(SEARCH("Check",Q11)))</formula>
    </cfRule>
  </conditionalFormatting>
  <conditionalFormatting sqref="AU11:AU3041">
    <cfRule type="containsText" dxfId="4" priority="6" operator="containsText" text="Check">
      <formula>NOT(ISERROR(SEARCH("Check",AU11)))</formula>
    </cfRule>
  </conditionalFormatting>
  <conditionalFormatting sqref="AT1:AT1048576">
    <cfRule type="top10" dxfId="3" priority="5" rank="1"/>
  </conditionalFormatting>
  <conditionalFormatting sqref="V27:V53">
    <cfRule type="containsText" dxfId="2" priority="3" operator="containsText" text="Check">
      <formula>NOT(ISERROR(SEARCH("Check",V27)))</formula>
    </cfRule>
  </conditionalFormatting>
  <conditionalFormatting sqref="U25:U53">
    <cfRule type="top10" dxfId="1" priority="2" rank="1"/>
  </conditionalFormatting>
  <conditionalFormatting sqref="V25:V26">
    <cfRule type="top10" dxfId="0" priority="1" rank="1"/>
  </conditionalFormatting>
  <pageMargins left="0.59055118110236227" right="0.31496062992125984" top="0.59055118110236227" bottom="0.59055118110236227" header="0.31496062992125984" footer="0.31496062992125984"/>
  <pageSetup orientation="portrait" r:id="rId1"/>
  <drawing r:id="rId2"/>
  <picture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Data!$A$3:$A$82</xm:f>
          </x14:formula1>
          <xm:sqref>K15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B7D91F6-BF8E-4A14-896B-F04D0437FCB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LT</vt:lpstr>
      <vt:lpstr>Data</vt:lpstr>
      <vt:lpstr>Cal</vt:lpstr>
      <vt:lpstr>Cal!Print_Area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Ven Nguyen</dc:creator>
  <cp:lastModifiedBy>toan huynh vu minh</cp:lastModifiedBy>
  <cp:lastPrinted>2024-02-17T11:01:09Z</cp:lastPrinted>
  <dcterms:created xsi:type="dcterms:W3CDTF">2023-12-24T09:13:35Z</dcterms:created>
  <dcterms:modified xsi:type="dcterms:W3CDTF">2026-05-04T03:48:03Z</dcterms:modified>
</cp:coreProperties>
</file>