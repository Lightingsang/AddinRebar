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E641D7FA-E3A6-4943-99C2-C700B9458DC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" sheetId="1" r:id="rId1"/>
    <sheet name="Cal" sheetId="2" r:id="rId2"/>
  </sheets>
  <functionGroups builtInGroupCount="19"/>
  <definedNames>
    <definedName name="_xlnm._FilterDatabase" localSheetId="1" hidden="1">Cal!#REF!</definedName>
    <definedName name="_xleta.COT" hidden="1" xlm="1">#NAME?</definedName>
    <definedName name="_xleta.LEN" hidden="1" xlm="1">#NAME?</definedName>
    <definedName name="_xleta.N" hidden="1" xlm="1">#NAME?</definedName>
    <definedName name="_xleta.SINGLE" hidden="1" xlm="1">#NAME?</definedName>
    <definedName name="_xlnm.Print_Area" localSheetId="1">Cal!$B$11:$M$77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0" i="2" l="1"/>
  <c r="L67" i="2"/>
  <c r="B67" i="2"/>
  <c r="C59" i="2"/>
  <c r="C58" i="2"/>
  <c r="J28" i="2"/>
  <c r="L27" i="2"/>
  <c r="L19" i="2" s="1"/>
  <c r="L63" i="2" s="1"/>
  <c r="L26" i="2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L55" i="2"/>
  <c r="L58" i="2" s="1"/>
  <c r="L51" i="2"/>
  <c r="C39" i="2"/>
  <c r="L52" i="2"/>
  <c r="L83" i="2" s="1"/>
  <c r="L18" i="2"/>
  <c r="L17" i="2"/>
  <c r="B85" i="2"/>
  <c r="B84" i="2"/>
  <c r="B83" i="2"/>
  <c r="B81" i="2"/>
  <c r="L77" i="2"/>
  <c r="L76" i="2"/>
  <c r="L79" i="2" s="1"/>
  <c r="B80" i="2"/>
  <c r="B79" i="2"/>
  <c r="B78" i="2"/>
  <c r="B77" i="2"/>
  <c r="B76" i="2"/>
  <c r="B75" i="2"/>
  <c r="B74" i="2"/>
  <c r="B73" i="2"/>
  <c r="B70" i="2"/>
  <c r="D69" i="2"/>
  <c r="B68" i="2"/>
  <c r="B64" i="2"/>
  <c r="L66" i="2"/>
  <c r="B66" i="2"/>
  <c r="G69" i="2" a="1"/>
  <c r="G83" i="2" l="1"/>
  <c r="G69" i="2"/>
  <c r="B62" i="2"/>
  <c r="C21" i="2"/>
  <c r="B63" i="2"/>
  <c r="L78" i="2"/>
  <c r="L80" i="2" s="1"/>
  <c r="C57" i="2"/>
  <c r="L33" i="2"/>
  <c r="L32" i="2"/>
  <c r="L34" i="2"/>
  <c r="L28" i="2"/>
  <c r="L36" i="2" l="1"/>
  <c r="L81" i="2" s="1"/>
  <c r="M81" i="2" s="1"/>
  <c r="L84" i="2"/>
  <c r="L85" i="2" s="1"/>
  <c r="M85" i="2" s="1"/>
  <c r="L68" i="2"/>
  <c r="C25" i="2"/>
  <c r="L22" i="2"/>
  <c r="Q33" i="1"/>
  <c r="P33" i="1"/>
  <c r="O33" i="1"/>
  <c r="N33" i="1"/>
  <c r="M33" i="1"/>
  <c r="L33" i="1"/>
  <c r="K33" i="1"/>
  <c r="J33" i="1"/>
  <c r="I33" i="1"/>
  <c r="H33" i="1"/>
  <c r="L21" i="2" s="1"/>
  <c r="L62" i="2" s="1"/>
  <c r="L64" i="2" s="1"/>
  <c r="G16" i="1"/>
  <c r="G17" i="1" s="1"/>
  <c r="G19" i="1" s="1"/>
  <c r="G20" i="1" s="1"/>
  <c r="G21" i="1" s="1"/>
  <c r="G22" i="1" s="1"/>
  <c r="G23" i="1" s="1"/>
  <c r="G24" i="1" s="1"/>
  <c r="G15" i="1"/>
  <c r="C19" i="2"/>
  <c r="C18" i="2"/>
  <c r="C17" i="2"/>
  <c r="L71" i="2" l="1"/>
  <c r="D130" i="2" a="1"/>
  <c r="D130" i="2" s="1"/>
  <c r="B71" i="2"/>
  <c r="N55" i="2"/>
  <c r="C45" i="2"/>
  <c r="C44" i="2"/>
  <c r="N43" i="2"/>
  <c r="C43" i="2"/>
  <c r="N42" i="2"/>
  <c r="C42" i="2"/>
  <c r="C36" i="2"/>
  <c r="C35" i="2"/>
  <c r="C34" i="2"/>
  <c r="C33" i="2"/>
  <c r="C32" i="2"/>
  <c r="C31" i="2"/>
  <c r="C29" i="2"/>
  <c r="C28" i="2"/>
  <c r="C27" i="2"/>
  <c r="C26" i="2"/>
  <c r="C23" i="2"/>
  <c r="C22" i="2"/>
  <c r="C20" i="2"/>
  <c r="C16" i="2"/>
  <c r="Z11" i="2"/>
  <c r="M7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Z11" authorId="0" shapeId="0" xr:uid="{1DC04EFE-5F1D-4170-B91B-7ACBC8FF1B4A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M16" authorId="0" shapeId="0" xr:uid="{672ECFFB-D0A4-4042-B330-BC3254D42E25}">
      <text>
        <r>
          <rPr>
            <b/>
            <sz val="9"/>
            <color indexed="81"/>
            <rFont val="Tahoma"/>
            <family val="2"/>
          </rPr>
          <t>Toàn:
Bu lông cấp chính xác (TCVN 5575- Bảng 5)
- Đối với liên kết cấu tạo, sử dụng bu lông cấp chính xác B.
- Đối với liên kết tính toán (truyền lực), sử dụng bu lông cấp chính xác B hoặc cấp chính xác A
- Trong kết cấu thép Max fy = 375MPa, nên sử dụng cấp B</t>
        </r>
      </text>
    </comment>
    <comment ref="L19" authorId="0" shapeId="0" xr:uid="{4D3F6E16-1DCC-4010-A65D-C7386BE27BE3}">
      <text>
        <r>
          <rPr>
            <b/>
            <sz val="9"/>
            <color indexed="81"/>
            <rFont val="Tahoma"/>
            <family val="2"/>
          </rPr>
          <t>Toàn
TCVN 5575-2024
Bảng 5, CT mục 3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<sst xmlns="http://schemas.openxmlformats.org/spreadsheetml/2006/main" count="197" uniqueCount="147">
  <si>
    <t>A. THÔNG TIN THIẾT KẾ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</si>
  <si>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</si>
  <si>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MPa</t>
  </si>
  <si>
    <t>d =</t>
  </si>
  <si>
    <t>mm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</si>
  <si>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</si>
  <si>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</si>
  <si>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</si>
  <si>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</si>
  <si>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</si>
  <si>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</si>
  <si>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</si>
  <si>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1.3 Đường hàn</t>
  </si>
  <si>
    <t>N42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</si>
  <si>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</si>
  <si>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</si>
  <si>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</si>
  <si>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</si>
  <si>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</si>
  <si>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t>h =</t>
  </si>
  <si>
    <t>b =</t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</si>
  <si>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</si>
  <si>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</si>
  <si>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B. QUY TRÌNH TÍNH TOÁN</t>
  </si>
  <si>
    <t>kN</t>
  </si>
  <si>
    <t>n =</t>
  </si>
  <si>
    <t>kNm</t>
  </si>
  <si>
    <r>
      <t>mm</t>
    </r>
    <r>
      <rPr>
        <vertAlign val="superscript"/>
        <sz val="10"/>
        <color theme="1"/>
        <rFont val="Calibri"/>
        <family val="2"/>
        <scheme val="minor"/>
      </rPr>
      <t>3</t>
    </r>
  </si>
  <si>
    <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</si>
  <si>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Bảng C.4 Cường độ tiêu chuẩn
 của thép làm bu lông</t>
  </si>
  <si>
    <t>Cấp</t>
  </si>
  <si>
    <r>
      <t>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</si>
  <si>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tb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</si>
  <si>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</t>
    </r>
  </si>
  <si>
    <r>
      <t>Bảng C.5 Cường độ chịu ép mặt tính toán f</t>
    </r>
    <r>
      <rPr>
        <b/>
        <vertAlign val="subscript"/>
        <sz val="10"/>
        <color theme="0"/>
        <rFont val="Calibri"/>
        <family val="2"/>
        <scheme val="minor"/>
      </rPr>
      <t>cb</t>
    </r>
    <r>
      <rPr>
        <b/>
        <sz val="10"/>
        <color theme="0"/>
        <rFont val="Calibri"/>
        <family val="2"/>
        <scheme val="minor"/>
      </rPr>
      <t xml:space="preserve"> của các cấu kiện được liên kết bằng bu lông</t>
    </r>
  </si>
  <si>
    <t>A</t>
  </si>
  <si>
    <t>B</t>
  </si>
  <si>
    <t>fcb (MPa)</t>
  </si>
  <si>
    <t>Bảng C.6 Diện tích tiết diện bu lông</t>
  </si>
  <si>
    <t>D</t>
  </si>
  <si>
    <t>p</t>
  </si>
  <si>
    <t>Ab</t>
  </si>
  <si>
    <t>Abn</t>
  </si>
  <si>
    <t>z</t>
  </si>
  <si>
    <r>
      <t>f</t>
    </r>
    <r>
      <rPr>
        <vertAlign val="subscript"/>
        <sz val="11"/>
        <color theme="1"/>
        <rFont val="Calibri"/>
        <family val="2"/>
        <scheme val="minor"/>
      </rPr>
      <t>vb</t>
    </r>
  </si>
  <si>
    <r>
      <t>f</t>
    </r>
    <r>
      <rPr>
        <vertAlign val="subscript"/>
        <sz val="11"/>
        <color theme="1"/>
        <rFont val="Calibri"/>
        <family val="2"/>
        <scheme val="minor"/>
      </rPr>
      <t>tb</t>
    </r>
  </si>
  <si>
    <r>
      <t>f</t>
    </r>
    <r>
      <rPr>
        <vertAlign val="subscript"/>
        <sz val="11"/>
        <color theme="1"/>
        <rFont val="Calibri"/>
        <family val="2"/>
        <scheme val="minor"/>
      </rPr>
      <t>yb</t>
    </r>
  </si>
  <si>
    <r>
      <t>f</t>
    </r>
    <r>
      <rPr>
        <vertAlign val="subscript"/>
        <sz val="11"/>
        <color theme="1"/>
        <rFont val="Calibri"/>
        <family val="2"/>
        <scheme val="minor"/>
      </rPr>
      <t>ub</t>
    </r>
  </si>
  <si>
    <r>
      <t>f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
(MPa)</t>
    </r>
  </si>
  <si>
    <t>2. Thông số liên kết</t>
  </si>
  <si>
    <t>1.2 Bản mã liên kết:</t>
  </si>
  <si>
    <t>1.1 Bu lông:</t>
  </si>
  <si>
    <t>1. Vật liệu:</t>
  </si>
  <si>
    <t>Mac Thép</t>
  </si>
  <si>
    <t>E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</si>
  <si>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</si>
  <si>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</si>
  <si>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Mpa</t>
  </si>
  <si>
    <t>Q235</t>
  </si>
  <si>
    <t>Q345</t>
  </si>
  <si>
    <t>A36</t>
  </si>
  <si>
    <t>A572 gr.50</t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</si>
  <si>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</si>
  <si>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</si>
  <si>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</si>
  <si>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</si>
  <si>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</si>
  <si>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</si>
  <si>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</si>
  <si>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</si>
  <si>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</si>
  <si>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</si>
  <si>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</si>
  <si>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</si>
  <si>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</si>
  <si>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</si>
  <si>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</si>
  <si>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</si>
  <si>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</si>
  <si>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</si>
  <si>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</si>
  <si>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</si>
  <si>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</si>
  <si>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N46</t>
  </si>
  <si>
    <t>N50</t>
  </si>
  <si>
    <t>3. Nội lực tác dụng</t>
  </si>
  <si>
    <t>V =</t>
  </si>
  <si>
    <t>1. Kiểm tra liên kết</t>
  </si>
  <si>
    <r>
      <t>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.A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</si>
  <si>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</si>
  <si>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 xml:space="preserve"> = f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.d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t.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</si>
  <si>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1.1. Kiểm tra khả năng chịu lực của một bu lông</t>
  </si>
  <si>
    <r>
      <t>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 V/(m.n)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</si>
  <si>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2"/>
        <scheme val="minor"/>
      </rPr>
      <t xml:space="preserve"> = min(N</t>
    </r>
    <r>
      <rPr>
        <vertAlign val="subscript"/>
        <sz val="10"/>
        <color theme="1"/>
        <rFont val="Calibri"/>
        <family val="2"/>
        <scheme val="minor"/>
      </rPr>
      <t>vb</t>
    </r>
    <r>
      <rPr>
        <sz val="10"/>
        <color theme="1"/>
        <rFont val="Calibri"/>
        <family val="2"/>
        <scheme val="minor"/>
      </rPr>
      <t>,N</t>
    </r>
    <r>
      <rPr>
        <vertAlign val="subscript"/>
        <sz val="10"/>
        <color theme="1"/>
        <rFont val="Calibri"/>
        <family val="2"/>
        <scheme val="minor"/>
      </rPr>
      <t>cb</t>
    </r>
    <r>
      <rPr>
        <sz val="10"/>
        <color theme="1"/>
        <rFont val="Calibri"/>
        <family val="2"/>
        <scheme val="minor"/>
      </rPr>
      <t>) =</t>
    </r>
  </si>
  <si>
    <r>
      <t>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</si>
  <si>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</si>
  <si>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Me</t>
    </r>
    <r>
      <rPr>
        <sz val="10"/>
        <color theme="1"/>
        <rFont val="Calibri"/>
        <family val="2"/>
        <scheme val="minor"/>
      </rPr>
      <t xml:space="preserve"> =M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>.l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/(m.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i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 =</t>
    </r>
  </si>
  <si>
    <r>
      <t>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 xml:space="preserve"> = V*e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</si>
  <si>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M,V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</si>
  <si>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M,V</t>
    </r>
    <r>
      <rPr>
        <sz val="10"/>
        <color theme="1"/>
        <rFont val="Calibri"/>
        <family val="2"/>
        <scheme val="minor"/>
      </rPr>
      <t xml:space="preserve"> /N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2"/>
        <scheme val="minor"/>
      </rPr>
      <t>=</t>
    </r>
  </si>
  <si>
    <t>1.2. Kiểm tra liên kết hàn bản mã với dầm</t>
  </si>
  <si>
    <r>
      <t>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</si>
  <si>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t>bên</t>
  </si>
  <si>
    <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</si>
  <si>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=n.h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.(l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-10)=</t>
    </r>
  </si>
  <si>
    <r>
      <t>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=n.(h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.l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)/6=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</si>
  <si>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>/W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</si>
  <si>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=V/A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</si>
  <si>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</t>
    </r>
  </si>
  <si>
    <r>
      <t>1.15(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</si>
  <si>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0"/>
        <color theme="1"/>
        <rFont val="Calibri"/>
        <family val="2"/>
        <scheme val="minor"/>
      </rPr>
      <t xml:space="preserve"> /(1.15(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.f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</t>
    </r>
    <r>
      <rPr>
        <sz val="10"/>
        <color theme="1"/>
        <rFont val="Calibri"/>
        <family val="1"/>
        <charset val="2"/>
        <scheme val="minor"/>
      </rPr>
      <t>=</t>
    </r>
  </si>
  <si>
    <t>1.3. Kiểm tra ứng suất bản thép liên kết</t>
  </si>
  <si>
    <t>A =</t>
  </si>
  <si>
    <t>W =</t>
  </si>
  <si>
    <r>
      <t>Chiều cao bản liên kết, h</t>
    </r>
    <r>
      <rPr>
        <vertAlign val="subscript"/>
        <sz val="10"/>
        <color theme="1"/>
        <rFont val="Calibri"/>
        <family val="2"/>
        <scheme val="minor"/>
      </rPr>
      <t>bm</t>
    </r>
    <r>
      <rPr>
        <sz val="10"/>
        <color theme="1"/>
        <rFont val="Calibri"/>
        <family val="2"/>
        <scheme val="minor"/>
      </rPr>
      <t xml:space="preserve"> =</t>
    </r>
  </si>
  <si>
    <r>
      <t>Chiều dày bản mã, t</t>
    </r>
    <r>
      <rPr>
        <vertAlign val="subscript"/>
        <sz val="10"/>
        <color theme="1"/>
        <rFont val="Calibri"/>
        <family val="2"/>
        <scheme val="minor"/>
      </rPr>
      <t xml:space="preserve">bm </t>
    </r>
    <r>
      <rPr>
        <sz val="10"/>
        <color theme="1"/>
        <rFont val="Calibri"/>
        <family val="2"/>
        <scheme val="minor"/>
      </rPr>
      <t>=</t>
    </r>
  </si>
  <si>
    <r>
      <t>Số lượng mặt cắt tính toán, n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Calibri"/>
        <family val="2"/>
        <scheme val="minor"/>
      </rPr>
      <t xml:space="preserve"> =</t>
    </r>
  </si>
  <si>
    <t>Khoảng cách lực cắt V đến trọng tâm nhóm bu lông, e =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</si>
  <si>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1"/>
        <charset val="2"/>
        <scheme val="minor"/>
      </rPr>
      <t>=V/A+M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1"/>
        <charset val="2"/>
        <scheme val="minor"/>
      </rPr>
      <t>/W =</t>
    </r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</si>
  <si>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 xml:space="preserve"> /(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 xml:space="preserve">c 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</t>
    </r>
    <r>
      <rPr>
        <sz val="10"/>
        <color theme="1"/>
        <rFont val="Calibri"/>
        <family val="1"/>
        <charset val="2"/>
        <scheme val="minor"/>
      </rPr>
      <t>=</t>
    </r>
  </si>
  <si>
    <t>Số cột bu lông: (theo phương song song V), m =</t>
  </si>
  <si>
    <t>Số hàng bu lông: (theo phương vuông góc V), n =</t>
  </si>
  <si>
    <t>THIẾT KẾ LIÊN KẾT DẦM - CỘT THEO TCVN 5575:2024</t>
  </si>
  <si>
    <t>2.1 Cột:</t>
  </si>
  <si>
    <t>hcột =</t>
  </si>
  <si>
    <t>- Khoảng hở từ mép cột đến mép dầm</t>
  </si>
  <si>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 xml:space="preserve"> =</t>
    </r>
  </si>
  <si>
    <t>Khoảng cách bu lông đến mép, e =</t>
  </si>
  <si>
    <r>
      <t>Khoảng cách giữa 2 hàng bu lông, s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2"/>
        <scheme val="minor"/>
      </rPr>
      <t xml:space="preserve"> =</t>
    </r>
  </si>
  <si>
    <r>
      <t>Khoảng cách giữa 2 cột bu lông, s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</si>
  <si>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2.2 Dầm:</t>
  </si>
  <si>
    <t>2.3 Bản mã, bu lông: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</si>
  <si>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</si>
  <si>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</si>
  <si>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</si>
  <si>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</si>
  <si>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</si>
  <si>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</si>
  <si>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</si>
  <si>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</si>
  <si>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</si>
  <si>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</si>
  <si>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CCT34</t>
  </si>
  <si>
    <t>CCT38</t>
  </si>
  <si>
    <t>CCT42</t>
  </si>
  <si>
    <t>N =</t>
  </si>
  <si>
    <r>
      <t>N</t>
    </r>
    <r>
      <rPr>
        <vertAlign val="subscript"/>
        <sz val="10"/>
        <color theme="1"/>
        <rFont val="Calibri"/>
        <family val="2"/>
        <scheme val="minor"/>
      </rPr>
      <t>N</t>
    </r>
    <r>
      <rPr>
        <sz val="10"/>
        <color theme="1"/>
        <rFont val="Calibri"/>
        <family val="2"/>
        <scheme val="minor"/>
      </rPr>
      <t xml:space="preserve"> = N/(m.n)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</si>
</sst>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5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FF000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theme="1"/>
      <name val="Symbol"/>
      <family val="1"/>
      <charset val="2"/>
    </font>
    <font>
      <i/>
      <sz val="10"/>
      <color rgb="FF7030A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b/>
      <u/>
      <sz val="10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</cellStyleXfs>
  <cellXfs count="100">
    <xf numFmtId="0" fontId="0" fillId="0" borderId="0" xfId="0"/>
    <xf numFmtId="0" fontId="3" fillId="0" borderId="0" xfId="0" applyFont="1"/>
    <xf numFmtId="0" fontId="3" fillId="4" borderId="0" xfId="0" applyFont="1" applyFill="1"/>
    <xf numFmtId="0" fontId="5" fillId="0" borderId="0" xfId="0" applyFont="1"/>
    <xf numFmtId="0" fontId="6" fillId="4" borderId="0" xfId="0" applyFont="1" applyFill="1" applyAlignment="1">
      <alignment horizontal="center" vertical="center"/>
    </xf>
    <xf numFmtId="0" fontId="7" fillId="4" borderId="0" xfId="0" applyFont="1" applyFill="1" applyAlignment="1">
      <alignment vertical="center"/>
    </xf>
    <xf numFmtId="0" fontId="3" fillId="7" borderId="10" xfId="0" applyFont="1" applyFill="1" applyBorder="1" applyAlignment="1">
      <alignment vertical="top"/>
    </xf>
    <xf numFmtId="0" fontId="9" fillId="7" borderId="11" xfId="0" applyFont="1" applyFill="1" applyBorder="1" applyAlignment="1">
      <alignment horizontal="left" indent="1"/>
    </xf>
    <xf numFmtId="0" fontId="3" fillId="7" borderId="11" xfId="0" applyFont="1" applyFill="1" applyBorder="1" applyAlignment="1">
      <alignment horizontal="left" vertical="top" indent="2"/>
    </xf>
    <xf numFmtId="0" fontId="3" fillId="7" borderId="10" xfId="0" applyFont="1" applyFill="1" applyBorder="1"/>
    <xf numFmtId="0" fontId="3" fillId="7" borderId="10" xfId="0" applyFont="1" applyFill="1" applyBorder="1" applyAlignment="1">
      <alignment vertical="center"/>
    </xf>
    <xf numFmtId="0" fontId="17" fillId="0" borderId="0" xfId="0" applyFont="1"/>
    <xf numFmtId="0" fontId="3" fillId="7" borderId="12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20" fillId="7" borderId="10" xfId="0" applyFont="1" applyFill="1" applyBorder="1" applyAlignment="1">
      <alignment horizontal="center" vertical="center"/>
    </xf>
    <xf numFmtId="0" fontId="24" fillId="7" borderId="11" xfId="0" applyFont="1" applyFill="1" applyBorder="1" applyAlignment="1">
      <alignment horizontal="left" indent="1"/>
    </xf>
    <xf numFmtId="0" fontId="24" fillId="7" borderId="15" xfId="0" applyFont="1" applyFill="1" applyBorder="1" applyAlignment="1">
      <alignment horizontal="left" indent="1"/>
    </xf>
    <xf numFmtId="0" fontId="3" fillId="7" borderId="16" xfId="0" applyFont="1" applyFill="1" applyBorder="1"/>
    <xf numFmtId="0" fontId="16" fillId="7" borderId="16" xfId="0" applyFont="1" applyFill="1" applyBorder="1" applyAlignment="1">
      <alignment horizontal="center"/>
    </xf>
    <xf numFmtId="0" fontId="20" fillId="7" borderId="16" xfId="0" applyFont="1" applyFill="1" applyBorder="1" applyAlignment="1">
      <alignment horizontal="left" vertical="center"/>
    </xf>
    <xf numFmtId="0" fontId="3" fillId="7" borderId="16" xfId="0" applyFont="1" applyFill="1" applyBorder="1" applyAlignment="1">
      <alignment horizontal="center" vertical="center"/>
    </xf>
    <xf numFmtId="2" fontId="3" fillId="7" borderId="16" xfId="0" applyNumberFormat="1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right" vertical="center"/>
    </xf>
    <xf numFmtId="0" fontId="3" fillId="7" borderId="16" xfId="0" applyFont="1" applyFill="1" applyBorder="1" applyAlignment="1">
      <alignment horizontal="right" vertical="center"/>
    </xf>
    <xf numFmtId="0" fontId="3" fillId="7" borderId="17" xfId="0" applyFont="1" applyFill="1" applyBorder="1"/>
    <xf numFmtId="0" fontId="0" fillId="0" borderId="12" xfId="0" applyBorder="1" applyAlignment="1">
      <alignment horizontal="center" vertical="center"/>
    </xf>
    <xf numFmtId="0" fontId="1" fillId="3" borderId="12" xfId="2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/>
    </xf>
    <xf numFmtId="1" fontId="3" fillId="7" borderId="12" xfId="0" applyNumberFormat="1" applyFont="1" applyFill="1" applyBorder="1" applyAlignment="1">
      <alignment horizontal="center" vertical="center"/>
    </xf>
    <xf numFmtId="0" fontId="28" fillId="7" borderId="12" xfId="0" applyFont="1" applyFill="1" applyBorder="1" applyAlignment="1">
      <alignment horizontal="center" vertical="center"/>
    </xf>
    <xf numFmtId="0" fontId="0" fillId="3" borderId="12" xfId="2" applyFont="1" applyBorder="1" applyAlignment="1">
      <alignment horizontal="center" vertical="center"/>
    </xf>
    <xf numFmtId="0" fontId="26" fillId="8" borderId="22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right" vertical="center"/>
    </xf>
    <xf numFmtId="0" fontId="3" fillId="7" borderId="22" xfId="0" applyFont="1" applyFill="1" applyBorder="1" applyAlignment="1">
      <alignment horizontal="center"/>
    </xf>
    <xf numFmtId="0" fontId="3" fillId="7" borderId="0" xfId="0" applyFont="1" applyFill="1" applyAlignment="1">
      <alignment vertical="top"/>
    </xf>
    <xf numFmtId="0" fontId="3" fillId="7" borderId="0" xfId="0" applyFont="1" applyFill="1" applyAlignment="1">
      <alignment horizontal="right" vertical="top"/>
    </xf>
    <xf numFmtId="0" fontId="10" fillId="7" borderId="0" xfId="0" applyFont="1" applyFill="1" applyAlignment="1">
      <alignment vertical="top"/>
    </xf>
    <xf numFmtId="0" fontId="3" fillId="7" borderId="0" xfId="0" applyFont="1" applyFill="1"/>
    <xf numFmtId="0" fontId="11" fillId="7" borderId="0" xfId="0" applyFont="1" applyFill="1" applyAlignment="1">
      <alignment horizontal="right" vertical="center"/>
    </xf>
    <xf numFmtId="0" fontId="11" fillId="7" borderId="0" xfId="0" applyFont="1" applyFill="1" applyAlignment="1">
      <alignment horizontal="center" vertical="center"/>
    </xf>
    <xf numFmtId="0" fontId="11" fillId="7" borderId="10" xfId="0" applyFont="1" applyFill="1" applyBorder="1" applyAlignment="1">
      <alignment horizontal="left" vertical="center"/>
    </xf>
    <xf numFmtId="0" fontId="12" fillId="7" borderId="0" xfId="0" applyFont="1" applyFill="1"/>
    <xf numFmtId="0" fontId="3" fillId="7" borderId="0" xfId="0" applyFont="1" applyFill="1" applyAlignment="1">
      <alignment horizontal="right" vertical="center"/>
    </xf>
    <xf numFmtId="0" fontId="18" fillId="7" borderId="0" xfId="0" applyFont="1" applyFill="1" applyAlignment="1">
      <alignment horizontal="center" vertical="center"/>
    </xf>
    <xf numFmtId="1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right" vertical="center"/>
    </xf>
    <xf numFmtId="0" fontId="11" fillId="7" borderId="0" xfId="0" applyFont="1" applyFill="1"/>
    <xf numFmtId="0" fontId="3" fillId="7" borderId="0" xfId="0" quotePrefix="1" applyFont="1" applyFill="1" applyAlignment="1">
      <alignment vertical="top"/>
    </xf>
    <xf numFmtId="2" fontId="11" fillId="7" borderId="0" xfId="0" applyNumberFormat="1" applyFont="1" applyFill="1" applyAlignment="1">
      <alignment horizontal="right" vertical="center"/>
    </xf>
    <xf numFmtId="0" fontId="3" fillId="7" borderId="0" xfId="0" applyFont="1" applyFill="1" applyAlignment="1">
      <alignment horizontal="left" vertical="center"/>
    </xf>
    <xf numFmtId="0" fontId="3" fillId="7" borderId="0" xfId="0" applyFont="1" applyFill="1" applyAlignment="1">
      <alignment horizontal="right"/>
    </xf>
    <xf numFmtId="0" fontId="8" fillId="7" borderId="0" xfId="0" applyFont="1" applyFill="1" applyAlignment="1">
      <alignment horizontal="left" vertical="center"/>
    </xf>
    <xf numFmtId="164" fontId="18" fillId="7" borderId="0" xfId="0" applyNumberFormat="1" applyFont="1" applyFill="1" applyAlignment="1">
      <alignment horizontal="center" vertical="center"/>
    </xf>
    <xf numFmtId="1" fontId="18" fillId="7" borderId="0" xfId="0" applyNumberFormat="1" applyFont="1" applyFill="1" applyAlignment="1">
      <alignment horizontal="center" vertical="center"/>
    </xf>
    <xf numFmtId="2" fontId="19" fillId="2" borderId="1" xfId="1" applyNumberFormat="1" applyFont="1" applyAlignment="1">
      <alignment horizontal="center" vertical="center"/>
    </xf>
    <xf numFmtId="0" fontId="22" fillId="7" borderId="0" xfId="0" applyFont="1" applyFill="1" applyAlignment="1">
      <alignment horizontal="right"/>
    </xf>
    <xf numFmtId="164" fontId="3" fillId="7" borderId="0" xfId="0" applyNumberFormat="1" applyFont="1" applyFill="1" applyAlignment="1">
      <alignment horizontal="center"/>
    </xf>
    <xf numFmtId="0" fontId="23" fillId="7" borderId="0" xfId="0" applyFont="1" applyFill="1" applyAlignment="1">
      <alignment horizontal="right" vertical="center"/>
    </xf>
    <xf numFmtId="164" fontId="3" fillId="7" borderId="0" xfId="0" applyNumberFormat="1" applyFont="1" applyFill="1" applyAlignment="1">
      <alignment horizontal="center" vertical="center"/>
    </xf>
    <xf numFmtId="164" fontId="3" fillId="7" borderId="0" xfId="0" applyNumberFormat="1" applyFont="1" applyFill="1"/>
    <xf numFmtId="0" fontId="23" fillId="7" borderId="0" xfId="0" applyFont="1" applyFill="1" applyAlignment="1">
      <alignment horizontal="center" vertical="center"/>
    </xf>
    <xf numFmtId="164" fontId="3" fillId="7" borderId="0" xfId="0" applyNumberFormat="1" applyFont="1" applyFill="1" applyAlignment="1">
      <alignment horizontal="left" vertical="center"/>
    </xf>
    <xf numFmtId="164" fontId="3" fillId="7" borderId="0" xfId="0" applyNumberFormat="1" applyFont="1" applyFill="1" applyAlignment="1">
      <alignment horizontal="right" vertical="center"/>
    </xf>
    <xf numFmtId="1" fontId="23" fillId="7" borderId="0" xfId="0" applyNumberFormat="1" applyFont="1" applyFill="1" applyAlignment="1">
      <alignment horizontal="right" vertical="center"/>
    </xf>
    <xf numFmtId="164" fontId="3" fillId="7" borderId="10" xfId="0" applyNumberFormat="1" applyFont="1" applyFill="1" applyBorder="1" applyAlignment="1">
      <alignment horizontal="left" vertical="center"/>
    </xf>
    <xf numFmtId="0" fontId="16" fillId="7" borderId="0" xfId="0" applyFont="1" applyFill="1" applyAlignment="1">
      <alignment horizontal="center"/>
    </xf>
    <xf numFmtId="0" fontId="20" fillId="7" borderId="0" xfId="0" applyFont="1" applyFill="1" applyAlignment="1">
      <alignment horizontal="left" vertical="center"/>
    </xf>
    <xf numFmtId="2" fontId="3" fillId="7" borderId="0" xfId="0" applyNumberFormat="1" applyFont="1" applyFill="1" applyAlignment="1">
      <alignment horizontal="center" vertical="center"/>
    </xf>
    <xf numFmtId="0" fontId="26" fillId="8" borderId="21" xfId="0" applyFont="1" applyFill="1" applyBorder="1" applyAlignment="1">
      <alignment horizontal="center" vertical="center"/>
    </xf>
    <xf numFmtId="0" fontId="26" fillId="8" borderId="23" xfId="0" applyFont="1" applyFill="1" applyBorder="1" applyAlignment="1">
      <alignment horizontal="center" vertical="center"/>
    </xf>
    <xf numFmtId="0" fontId="32" fillId="8" borderId="22" xfId="0" applyFont="1" applyFill="1" applyBorder="1" applyAlignment="1">
      <alignment horizontal="center"/>
    </xf>
    <xf numFmtId="0" fontId="26" fillId="8" borderId="27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0" fillId="4" borderId="0" xfId="0" applyFill="1"/>
    <xf numFmtId="0" fontId="8" fillId="6" borderId="13" xfId="0" applyFont="1" applyFill="1" applyBorder="1" applyAlignment="1">
      <alignment horizontal="left" vertical="center"/>
    </xf>
    <xf numFmtId="0" fontId="8" fillId="6" borderId="14" xfId="0" applyFont="1" applyFill="1" applyBorder="1" applyAlignment="1">
      <alignment horizontal="left" vertical="center"/>
    </xf>
    <xf numFmtId="0" fontId="31" fillId="5" borderId="2" xfId="0" applyFont="1" applyFill="1" applyBorder="1" applyAlignment="1">
      <alignment horizontal="center" vertical="center"/>
    </xf>
    <xf numFmtId="0" fontId="31" fillId="5" borderId="3" xfId="0" applyFont="1" applyFill="1" applyBorder="1" applyAlignment="1">
      <alignment horizontal="center" vertical="center"/>
    </xf>
    <xf numFmtId="0" fontId="31" fillId="5" borderId="5" xfId="0" applyFont="1" applyFill="1" applyBorder="1" applyAlignment="1">
      <alignment horizontal="center" vertical="center"/>
    </xf>
    <xf numFmtId="0" fontId="31" fillId="5" borderId="6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left" vertical="center"/>
    </xf>
    <xf numFmtId="0" fontId="8" fillId="6" borderId="9" xfId="0" applyFont="1" applyFill="1" applyBorder="1" applyAlignment="1">
      <alignment horizontal="left" vertical="center"/>
    </xf>
    <xf numFmtId="0" fontId="26" fillId="8" borderId="24" xfId="0" applyFont="1" applyFill="1" applyBorder="1" applyAlignment="1">
      <alignment horizontal="center"/>
    </xf>
    <xf numFmtId="0" fontId="26" fillId="8" borderId="25" xfId="0" applyFont="1" applyFill="1" applyBorder="1" applyAlignment="1">
      <alignment horizontal="center"/>
    </xf>
    <xf numFmtId="0" fontId="26" fillId="8" borderId="26" xfId="0" applyFont="1" applyFill="1" applyBorder="1" applyAlignment="1">
      <alignment horizontal="center"/>
    </xf>
    <xf numFmtId="0" fontId="26" fillId="8" borderId="18" xfId="0" applyFont="1" applyFill="1" applyBorder="1" applyAlignment="1">
      <alignment horizontal="center" wrapText="1"/>
    </xf>
    <xf numFmtId="0" fontId="26" fillId="8" borderId="19" xfId="0" applyFont="1" applyFill="1" applyBorder="1" applyAlignment="1">
      <alignment horizontal="center" wrapText="1"/>
    </xf>
    <xf numFmtId="0" fontId="26" fillId="8" borderId="20" xfId="0" applyFont="1" applyFill="1" applyBorder="1" applyAlignment="1">
      <alignment horizontal="center" wrapText="1"/>
    </xf>
    <xf numFmtId="0" fontId="26" fillId="8" borderId="0" xfId="0" applyFont="1" applyFill="1" applyAlignment="1">
      <alignment horizontal="center" wrapText="1"/>
    </xf>
    <xf numFmtId="0" fontId="0" fillId="3" borderId="12" xfId="2" applyFont="1" applyBorder="1" applyAlignment="1">
      <alignment horizontal="center" vertical="center" wrapText="1"/>
    </xf>
    <xf numFmtId="0" fontId="1" fillId="3" borderId="12" xfId="2" applyBorder="1" applyAlignment="1">
      <alignment horizontal="center" vertical="center"/>
    </xf>
    <xf numFmtId="0" fontId="26" fillId="8" borderId="12" xfId="0" applyFont="1" applyFill="1" applyBorder="1" applyAlignment="1">
      <alignment horizontal="center"/>
    </xf>
  </cellXfs>
  <cellStyles count="3">
    <cellStyle name="20% - Accent1" xfId="2" builtinId="30"/>
    <cellStyle name="Calculation" xfId="1" builtinId="22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388326</xdr:colOff>
      <xdr:row>0</xdr:row>
      <xdr:rowOff>0</xdr:rowOff>
    </xdr:from>
    <xdr:to>
      <xdr:col>18</xdr:col>
      <xdr:colOff>172038</xdr:colOff>
      <xdr:row>11</xdr:row>
      <xdr:rowOff>38669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B6C3EB1-ACBB-7F2B-DE7A-4A39CC5DF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28999" y="0"/>
          <a:ext cx="4044464" cy="2176226"/>
        </a:xfrm>
        <a:prstGeom prst="rect">
          <a:avLst/>
        </a:prstGeom>
      </xdr:spPr>
    </xdr:pic>
    <xdr:clientData/>
  </xdr:twoCellAnchor>
  <xdr:twoCellAnchor editAs="oneCell">
    <xdr:from>
      <xdr:col>11</xdr:col>
      <xdr:colOff>332465</xdr:colOff>
      <xdr:row>11</xdr:row>
      <xdr:rowOff>139212</xdr:rowOff>
    </xdr:from>
    <xdr:to>
      <xdr:col>18</xdr:col>
      <xdr:colOff>189167</xdr:colOff>
      <xdr:row>24</xdr:row>
      <xdr:rowOff>16889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318137-AA0D-198F-0921-2DC73ADBC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73138" y="2234712"/>
          <a:ext cx="4113644" cy="2357987"/>
        </a:xfrm>
        <a:prstGeom prst="rect">
          <a:avLst/>
        </a:prstGeom>
      </xdr:spPr>
    </xdr:pic>
    <xdr:clientData/>
  </xdr:twoCellAnchor>
  <xdr:twoCellAnchor editAs="oneCell">
    <xdr:from>
      <xdr:col>19</xdr:col>
      <xdr:colOff>29309</xdr:colOff>
      <xdr:row>0</xdr:row>
      <xdr:rowOff>56418</xdr:rowOff>
    </xdr:from>
    <xdr:to>
      <xdr:col>26</xdr:col>
      <xdr:colOff>408050</xdr:colOff>
      <xdr:row>23</xdr:row>
      <xdr:rowOff>106094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BF8E5B-34A1-1E7C-A5D3-A24195158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35059" y="56418"/>
          <a:ext cx="4641398" cy="44789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138804</xdr:rowOff>
    </xdr:from>
    <xdr:to>
      <xdr:col>4</xdr:col>
      <xdr:colOff>217998</xdr:colOff>
      <xdr:row>38</xdr:row>
      <xdr:rowOff>54598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09A12BE-25AA-4E17-9A0F-D5B3C5722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6" name="Picture 5">
          <a:extLst>
            <a:ext uri="{FF2B5EF4-FFF2-40B4-BE49-F238E27FC236}">
              <a16:creationId xmlns:a16="http://schemas.microsoft.com/office/drawing/2014/main" id="{ACD4A23D-99B3-4715-9497-128C90D5A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300085</xdr:colOff>
      <xdr:row>46</xdr:row>
      <xdr:rowOff>27704</xdr:rowOff>
    </xdr:from>
    <xdr:to>
      <xdr:col>3</xdr:col>
      <xdr:colOff>517876</xdr:colOff>
      <xdr:row>54</xdr:row>
      <xdr:rowOff>93614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B4564201-D164-98B9-27AA-169098F9A601}"/>
            </a:ext>
          </a:extLst>
        </xdr:cNvPr>
        <xdr:cNvGrpSpPr/>
      </xdr:nvGrpSpPr>
      <xdr:grpSpPr>
        <a:xfrm>
          <a:off x="405188" y="6189394"/>
          <a:ext cx="1189998" cy="1379703"/>
          <a:chOff x="527757" y="5673010"/>
          <a:chExt cx="1193523" cy="1204264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8222E8EB-59B9-4D74-C20F-B91C7C8550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704580" y="5673010"/>
            <a:ext cx="1016700" cy="1184989"/>
          </a:xfrm>
          <a:prstGeom prst="rect">
            <a:avLst/>
          </a:prstGeom>
        </xdr:spPr>
      </xdr:pic>
      <xdr:sp macro="" textlink="">
        <xdr:nvSpPr>
          <xdr:cNvPr id="3" name="Left Brace 2">
            <a:extLst>
              <a:ext uri="{FF2B5EF4-FFF2-40B4-BE49-F238E27FC236}">
                <a16:creationId xmlns:a16="http://schemas.microsoft.com/office/drawing/2014/main" id="{7943DB12-4DFD-4B7A-E8F1-EFC34678AD64}"/>
              </a:ext>
            </a:extLst>
          </xdr:cNvPr>
          <xdr:cNvSpPr/>
        </xdr:nvSpPr>
        <xdr:spPr>
          <a:xfrm>
            <a:off x="731582" y="5908054"/>
            <a:ext cx="58296" cy="731567"/>
          </a:xfrm>
          <a:prstGeom prst="leftBrac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ln w="6350">
                <a:solidFill>
                  <a:schemeClr val="tx1"/>
                </a:solidFill>
              </a:ln>
            </a:endParaRP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CCBAFD1C-10C4-399A-C651-44D13F57B609}"/>
              </a:ext>
            </a:extLst>
          </xdr:cNvPr>
          <xdr:cNvSpPr txBox="1"/>
        </xdr:nvSpPr>
        <xdr:spPr>
          <a:xfrm>
            <a:off x="966351" y="6597086"/>
            <a:ext cx="262042" cy="2507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800"/>
              <a:t>m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A112D8FE-0B9C-4E81-B537-B8E1C7AAA004}"/>
              </a:ext>
            </a:extLst>
          </xdr:cNvPr>
          <xdr:cNvSpPr txBox="1"/>
        </xdr:nvSpPr>
        <xdr:spPr>
          <a:xfrm>
            <a:off x="527757" y="6157223"/>
            <a:ext cx="234850" cy="2355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800"/>
              <a:t>n</a:t>
            </a:r>
          </a:p>
        </xdr:txBody>
      </xdr:sp>
      <xdr:sp macro="" textlink="L50">
        <xdr:nvSpPr>
          <xdr:cNvPr id="10" name="TextBox 9">
            <a:extLst>
              <a:ext uri="{FF2B5EF4-FFF2-40B4-BE49-F238E27FC236}">
                <a16:creationId xmlns:a16="http://schemas.microsoft.com/office/drawing/2014/main" id="{BD59E399-CBCF-4731-86FD-98315E9D449A}"/>
              </a:ext>
            </a:extLst>
          </xdr:cNvPr>
          <xdr:cNvSpPr txBox="1"/>
        </xdr:nvSpPr>
        <xdr:spPr>
          <a:xfrm rot="16200000">
            <a:off x="1450532" y="6331780"/>
            <a:ext cx="265994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DBF8104-D6A2-4CA6-8631-FD33E8BCA442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70</a:t>
            </a:fld>
            <a:endParaRPr lang="en-US" sz="800">
              <a:solidFill>
                <a:sysClr val="windowText" lastClr="000000"/>
              </a:solidFill>
            </a:endParaRPr>
          </a:p>
        </xdr:txBody>
      </xdr:sp>
      <xdr:sp macro="" textlink="L50">
        <xdr:nvSpPr>
          <xdr:cNvPr id="11" name="TextBox 10">
            <a:extLst>
              <a:ext uri="{FF2B5EF4-FFF2-40B4-BE49-F238E27FC236}">
                <a16:creationId xmlns:a16="http://schemas.microsoft.com/office/drawing/2014/main" id="{3E9D2205-5983-4BD0-8739-2B024D007834}"/>
              </a:ext>
            </a:extLst>
          </xdr:cNvPr>
          <xdr:cNvSpPr txBox="1"/>
        </xdr:nvSpPr>
        <xdr:spPr>
          <a:xfrm rot="16200000">
            <a:off x="1444987" y="5964148"/>
            <a:ext cx="265994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DBF8104-D6A2-4CA6-8631-FD33E8BCA442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70</a:t>
            </a:fld>
            <a:endParaRPr lang="en-US" sz="800">
              <a:solidFill>
                <a:sysClr val="windowText" lastClr="000000"/>
              </a:solidFill>
            </a:endParaRPr>
          </a:p>
        </xdr:txBody>
      </xdr:sp>
      <xdr:sp macro="" textlink="L49">
        <xdr:nvSpPr>
          <xdr:cNvPr id="14" name="TextBox 13">
            <a:extLst>
              <a:ext uri="{FF2B5EF4-FFF2-40B4-BE49-F238E27FC236}">
                <a16:creationId xmlns:a16="http://schemas.microsoft.com/office/drawing/2014/main" id="{028DCB82-7BF3-42F6-9B80-91398074890E}"/>
              </a:ext>
            </a:extLst>
          </xdr:cNvPr>
          <xdr:cNvSpPr txBox="1"/>
        </xdr:nvSpPr>
        <xdr:spPr>
          <a:xfrm rot="16200000">
            <a:off x="1445353" y="6629064"/>
            <a:ext cx="265994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2AF8D5D-C087-465E-B3C4-33342C48FFE0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40</a:t>
            </a:fld>
            <a:endParaRPr lang="en-US" sz="800" b="0">
              <a:solidFill>
                <a:sysClr val="windowText" lastClr="000000"/>
              </a:solidFill>
            </a:endParaRPr>
          </a:p>
        </xdr:txBody>
      </xdr:sp>
      <xdr:sp macro="" textlink="L49">
        <xdr:nvSpPr>
          <xdr:cNvPr id="15" name="TextBox 14">
            <a:extLst>
              <a:ext uri="{FF2B5EF4-FFF2-40B4-BE49-F238E27FC236}">
                <a16:creationId xmlns:a16="http://schemas.microsoft.com/office/drawing/2014/main" id="{E2E7FFF7-1621-4D23-9005-1B24582CD0A9}"/>
              </a:ext>
            </a:extLst>
          </xdr:cNvPr>
          <xdr:cNvSpPr txBox="1"/>
        </xdr:nvSpPr>
        <xdr:spPr>
          <a:xfrm rot="16200000">
            <a:off x="1446090" y="5703096"/>
            <a:ext cx="263793" cy="2304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F2AF8D5D-C087-465E-B3C4-33342C48FFE0}" type="TxLink">
              <a:rPr lang="en-US" sz="8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/>
              <a:t>40</a:t>
            </a:fld>
            <a:endParaRPr lang="en-US" sz="800" b="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</xdr:col>
      <xdr:colOff>179871</xdr:colOff>
      <xdr:row>53</xdr:row>
      <xdr:rowOff>139389</xdr:rowOff>
    </xdr:from>
    <xdr:to>
      <xdr:col>3</xdr:col>
      <xdr:colOff>69695</xdr:colOff>
      <xdr:row>54</xdr:row>
      <xdr:rowOff>60401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6F983FB3-33AC-A49A-D56A-F8A73CD1065D}"/>
            </a:ext>
          </a:extLst>
        </xdr:cNvPr>
        <xdr:cNvSpPr/>
      </xdr:nvSpPr>
      <xdr:spPr>
        <a:xfrm rot="5400000">
          <a:off x="921631" y="6590166"/>
          <a:ext cx="83634" cy="377690"/>
        </a:xfrm>
        <a:prstGeom prst="rightBrace">
          <a:avLst/>
        </a:prstGeom>
        <a:ln w="6350"/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93932</xdr:colOff>
      <xdr:row>14</xdr:row>
      <xdr:rowOff>131379</xdr:rowOff>
    </xdr:from>
    <xdr:to>
      <xdr:col>9</xdr:col>
      <xdr:colOff>286617</xdr:colOff>
      <xdr:row>24</xdr:row>
      <xdr:rowOff>15896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AFB25B-F915-5334-10D7-24569E1741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08380" y="1037896"/>
          <a:ext cx="1758858" cy="15305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5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Q43"/>
  <sheetViews>
    <sheetView showGridLines="0" zoomScale="130" zoomScaleNormal="130" workbookViewId="0">
      <selection activeCell="K57" sqref="K57"/>
    </sheetView>
  </sheetViews>
  <sheetFormatPr defaultRowHeight="15"/>
  <cols>
    <col min="1" max="1" width="9.85546875" style="1" customWidth="1"/>
    <col min="2" max="4" width="7.28515625" style="1"/>
    <col min="5" max="5" width="7.28515625" style="1" customWidth="1"/>
    <col min="6" max="6" width="4.140625" style="77" customWidth="1"/>
  </cols>
  <sheetData>
    <row r="1" spans="1:11">
      <c r="A1" s="71" t="s">
        <v>53</v>
      </c>
      <c r="B1" s="33" t="s">
        <v>54</v>
      </c>
      <c r="C1" s="33" t="s">
        <v>55</v>
      </c>
      <c r="D1" s="33" t="s">
        <v>56</v>
      </c>
      <c r="E1" s="73" t="s">
        <v>132</v>
      </c>
      <c r="G1" s="93" t="s">
        <v>29</v>
      </c>
      <c r="H1" s="94"/>
      <c r="I1" s="94"/>
      <c r="J1" s="94"/>
      <c r="K1" s="94"/>
    </row>
    <row r="2" spans="1:11">
      <c r="A2" s="72"/>
      <c r="B2" s="33" t="s">
        <v>57</v>
      </c>
      <c r="C2" s="33" t="s">
        <v>57</v>
      </c>
      <c r="D2" s="33" t="s">
        <v>57</v>
      </c>
      <c r="E2" s="74"/>
      <c r="G2" s="95"/>
      <c r="H2" s="96"/>
      <c r="I2" s="96"/>
      <c r="J2" s="96"/>
      <c r="K2" s="96"/>
    </row>
    <row r="3" spans="1:11" ht="18">
      <c r="A3" s="34" t="s">
        <v>58</v>
      </c>
      <c r="B3" s="35">
        <f>2.06*10^5</f>
        <v>206000</v>
      </c>
      <c r="C3" s="35">
        <v>235</v>
      </c>
      <c r="D3" s="75">
        <v>370</v>
      </c>
      <c r="E3" s="76">
        <v>1.1000000000000001</v>
      </c>
      <c r="G3" s="26" t="s">
        <v>30</v>
      </c>
      <c r="H3" s="32" t="s">
        <v>47</v>
      </c>
      <c r="I3" s="32" t="s">
        <v>46</v>
      </c>
      <c r="J3" s="32" t="s">
        <v>44</v>
      </c>
      <c r="K3" s="32" t="s">
        <v>45</v>
      </c>
    </row>
    <row r="4" spans="1:11">
      <c r="A4" s="34" t="s">
        <v>59</v>
      </c>
      <c r="B4" s="35">
        <f t="shared" ref="B4:B33" si="0">2.06*10^5</f>
        <v>206000</v>
      </c>
      <c r="C4" s="35">
        <v>345</v>
      </c>
      <c r="D4" s="75">
        <v>510</v>
      </c>
      <c r="E4" s="76">
        <v>1.1000000000000001</v>
      </c>
      <c r="G4" s="26">
        <v>5.6</v>
      </c>
      <c r="H4" s="13">
        <v>500</v>
      </c>
      <c r="I4" s="13">
        <v>300</v>
      </c>
      <c r="J4" s="13">
        <v>210</v>
      </c>
      <c r="K4" s="13">
        <v>225</v>
      </c>
    </row>
    <row r="5" spans="1:11">
      <c r="A5" s="34" t="s">
        <v>133</v>
      </c>
      <c r="B5" s="35">
        <f t="shared" si="0"/>
        <v>206000</v>
      </c>
      <c r="C5" s="35">
        <v>355</v>
      </c>
      <c r="D5" s="75">
        <v>510</v>
      </c>
      <c r="E5" s="76">
        <v>1.1000000000000001</v>
      </c>
      <c r="G5" s="26">
        <v>5.8</v>
      </c>
      <c r="H5" s="13">
        <v>500</v>
      </c>
      <c r="I5" s="13">
        <v>400</v>
      </c>
      <c r="J5" s="13">
        <v>210</v>
      </c>
      <c r="K5" s="13">
        <v>210</v>
      </c>
    </row>
    <row r="6" spans="1:11">
      <c r="A6" s="34" t="s">
        <v>60</v>
      </c>
      <c r="B6" s="35">
        <f t="shared" si="0"/>
        <v>206000</v>
      </c>
      <c r="C6" s="35">
        <v>250</v>
      </c>
      <c r="D6" s="75">
        <v>400</v>
      </c>
      <c r="E6" s="76">
        <v>1.1000000000000001</v>
      </c>
      <c r="G6" s="26">
        <v>8.8000000000000007</v>
      </c>
      <c r="H6" s="13">
        <v>830</v>
      </c>
      <c r="I6" s="13">
        <v>660</v>
      </c>
      <c r="J6" s="13">
        <v>332</v>
      </c>
      <c r="K6" s="13">
        <v>448</v>
      </c>
    </row>
    <row r="7" spans="1:11">
      <c r="A7" s="34" t="s">
        <v>61</v>
      </c>
      <c r="B7" s="35">
        <f t="shared" si="0"/>
        <v>206000</v>
      </c>
      <c r="C7" s="35">
        <v>345</v>
      </c>
      <c r="D7" s="75">
        <v>450</v>
      </c>
      <c r="E7" s="76">
        <v>1.1000000000000001</v>
      </c>
      <c r="G7" s="26">
        <v>10.9</v>
      </c>
      <c r="H7" s="13">
        <v>1040</v>
      </c>
      <c r="I7" s="13">
        <v>940</v>
      </c>
      <c r="J7" s="13">
        <v>416</v>
      </c>
      <c r="K7" s="13">
        <v>728</v>
      </c>
    </row>
    <row r="8" spans="1:11">
      <c r="A8" s="34" t="s">
        <v>62</v>
      </c>
      <c r="B8" s="35">
        <f t="shared" si="0"/>
        <v>206000</v>
      </c>
      <c r="C8" s="35">
        <v>235</v>
      </c>
      <c r="D8" s="75">
        <v>360</v>
      </c>
      <c r="E8" s="76">
        <v>1.05</v>
      </c>
      <c r="G8" s="26">
        <v>12.9</v>
      </c>
      <c r="H8" s="13">
        <v>1220</v>
      </c>
      <c r="I8" s="13">
        <v>1100</v>
      </c>
      <c r="J8" s="13">
        <v>427</v>
      </c>
      <c r="K8" s="13">
        <v>854</v>
      </c>
    </row>
    <row r="9" spans="1:11">
      <c r="A9" s="34" t="s">
        <v>63</v>
      </c>
      <c r="B9" s="35">
        <f t="shared" si="0"/>
        <v>206000</v>
      </c>
      <c r="C9" s="35">
        <v>225</v>
      </c>
      <c r="D9" s="75">
        <v>360</v>
      </c>
      <c r="E9" s="76">
        <v>1.05</v>
      </c>
    </row>
    <row r="10" spans="1:11">
      <c r="A10" s="34" t="s">
        <v>64</v>
      </c>
      <c r="B10" s="35">
        <f t="shared" si="0"/>
        <v>206000</v>
      </c>
      <c r="C10" s="35">
        <v>215</v>
      </c>
      <c r="D10" s="75">
        <v>360</v>
      </c>
      <c r="E10" s="76">
        <v>1.05</v>
      </c>
      <c r="G10" s="93" t="s">
        <v>34</v>
      </c>
      <c r="H10" s="94"/>
      <c r="I10" s="94"/>
      <c r="J10" s="94"/>
      <c r="K10" s="94"/>
    </row>
    <row r="11" spans="1:11">
      <c r="A11" s="34" t="s">
        <v>65</v>
      </c>
      <c r="B11" s="35">
        <f t="shared" si="0"/>
        <v>206000</v>
      </c>
      <c r="C11" s="35">
        <v>215</v>
      </c>
      <c r="D11" s="75">
        <v>360</v>
      </c>
      <c r="E11" s="76">
        <v>1.05</v>
      </c>
      <c r="G11" s="95"/>
      <c r="H11" s="96"/>
      <c r="I11" s="96"/>
      <c r="J11" s="96"/>
      <c r="K11" s="96"/>
    </row>
    <row r="12" spans="1:11">
      <c r="A12" s="34" t="s">
        <v>66</v>
      </c>
      <c r="B12" s="35">
        <f t="shared" si="0"/>
        <v>206000</v>
      </c>
      <c r="C12" s="35">
        <v>215</v>
      </c>
      <c r="D12" s="75">
        <v>360</v>
      </c>
      <c r="E12" s="76">
        <v>1.05</v>
      </c>
      <c r="G12" s="97" t="s">
        <v>48</v>
      </c>
      <c r="H12" s="98" t="s">
        <v>37</v>
      </c>
      <c r="I12" s="98"/>
    </row>
    <row r="13" spans="1:11">
      <c r="A13" s="34" t="s">
        <v>67</v>
      </c>
      <c r="B13" s="35">
        <f t="shared" si="0"/>
        <v>206000</v>
      </c>
      <c r="C13" s="35">
        <v>275</v>
      </c>
      <c r="D13" s="75">
        <v>410</v>
      </c>
      <c r="E13" s="76">
        <v>1.05</v>
      </c>
      <c r="G13" s="98"/>
      <c r="H13" s="26" t="s">
        <v>35</v>
      </c>
      <c r="I13" s="26" t="s">
        <v>36</v>
      </c>
    </row>
    <row r="14" spans="1:11">
      <c r="A14" s="34" t="s">
        <v>68</v>
      </c>
      <c r="B14" s="35">
        <f t="shared" si="0"/>
        <v>206000</v>
      </c>
      <c r="C14" s="35">
        <v>265</v>
      </c>
      <c r="D14" s="75">
        <v>410</v>
      </c>
      <c r="E14" s="76">
        <v>1.05</v>
      </c>
      <c r="G14" s="25">
        <v>360</v>
      </c>
      <c r="H14" s="27">
        <v>560</v>
      </c>
      <c r="I14" s="25">
        <v>475</v>
      </c>
    </row>
    <row r="15" spans="1:11">
      <c r="A15" s="34" t="s">
        <v>69</v>
      </c>
      <c r="B15" s="35">
        <f t="shared" si="0"/>
        <v>206000</v>
      </c>
      <c r="C15" s="35">
        <v>255</v>
      </c>
      <c r="D15" s="75">
        <v>410</v>
      </c>
      <c r="E15" s="76">
        <v>1.05</v>
      </c>
      <c r="G15" s="25">
        <f>G14+10</f>
        <v>370</v>
      </c>
      <c r="H15" s="27">
        <v>580</v>
      </c>
      <c r="I15" s="25">
        <v>485</v>
      </c>
    </row>
    <row r="16" spans="1:11">
      <c r="A16" s="34" t="s">
        <v>70</v>
      </c>
      <c r="B16" s="35">
        <f t="shared" si="0"/>
        <v>206000</v>
      </c>
      <c r="C16" s="35">
        <v>245</v>
      </c>
      <c r="D16" s="75">
        <v>410</v>
      </c>
      <c r="E16" s="76">
        <v>1.05</v>
      </c>
      <c r="G16" s="25">
        <f t="shared" ref="G16:G24" si="1">G15+10</f>
        <v>380</v>
      </c>
      <c r="H16" s="27">
        <v>590</v>
      </c>
      <c r="I16" s="25">
        <v>500</v>
      </c>
    </row>
    <row r="17" spans="1:17">
      <c r="A17" s="34" t="s">
        <v>71</v>
      </c>
      <c r="B17" s="35">
        <f t="shared" si="0"/>
        <v>206000</v>
      </c>
      <c r="C17" s="35">
        <v>235</v>
      </c>
      <c r="D17" s="75">
        <v>410</v>
      </c>
      <c r="E17" s="76">
        <v>1.05</v>
      </c>
      <c r="G17" s="25">
        <f t="shared" si="1"/>
        <v>390</v>
      </c>
      <c r="H17" s="27">
        <v>610</v>
      </c>
      <c r="I17" s="25">
        <v>515</v>
      </c>
    </row>
    <row r="18" spans="1:17">
      <c r="A18" s="34" t="s">
        <v>72</v>
      </c>
      <c r="B18" s="35">
        <f t="shared" si="0"/>
        <v>206000</v>
      </c>
      <c r="C18" s="35">
        <v>355</v>
      </c>
      <c r="D18" s="75">
        <v>470</v>
      </c>
      <c r="E18" s="76">
        <v>1.05</v>
      </c>
      <c r="G18" s="25">
        <v>430</v>
      </c>
      <c r="H18" s="27">
        <v>670</v>
      </c>
      <c r="I18" s="25">
        <v>565</v>
      </c>
    </row>
    <row r="19" spans="1:17">
      <c r="A19" s="34" t="s">
        <v>73</v>
      </c>
      <c r="B19" s="35">
        <f t="shared" si="0"/>
        <v>206000</v>
      </c>
      <c r="C19" s="35">
        <v>345</v>
      </c>
      <c r="D19" s="75">
        <v>470</v>
      </c>
      <c r="E19" s="76">
        <v>1.05</v>
      </c>
      <c r="G19" s="25">
        <f t="shared" si="1"/>
        <v>440</v>
      </c>
      <c r="H19" s="27">
        <v>685</v>
      </c>
      <c r="I19" s="25">
        <v>580</v>
      </c>
    </row>
    <row r="20" spans="1:17">
      <c r="A20" s="34" t="s">
        <v>74</v>
      </c>
      <c r="B20" s="35">
        <f t="shared" si="0"/>
        <v>206000</v>
      </c>
      <c r="C20" s="35">
        <v>335</v>
      </c>
      <c r="D20" s="75">
        <v>470</v>
      </c>
      <c r="E20" s="76">
        <v>1.05</v>
      </c>
      <c r="G20" s="25">
        <f t="shared" si="1"/>
        <v>450</v>
      </c>
      <c r="H20" s="27">
        <v>700</v>
      </c>
      <c r="I20" s="25">
        <v>595</v>
      </c>
    </row>
    <row r="21" spans="1:17">
      <c r="A21" s="34" t="s">
        <v>75</v>
      </c>
      <c r="B21" s="35">
        <f t="shared" si="0"/>
        <v>206000</v>
      </c>
      <c r="C21" s="35">
        <v>325</v>
      </c>
      <c r="D21" s="75">
        <v>470</v>
      </c>
      <c r="E21" s="76">
        <v>1.05</v>
      </c>
      <c r="G21" s="25">
        <f t="shared" si="1"/>
        <v>460</v>
      </c>
      <c r="H21" s="27">
        <v>720</v>
      </c>
      <c r="I21" s="25">
        <v>605</v>
      </c>
    </row>
    <row r="22" spans="1:17">
      <c r="A22" s="34" t="s">
        <v>76</v>
      </c>
      <c r="B22" s="35">
        <f t="shared" si="0"/>
        <v>206000</v>
      </c>
      <c r="C22" s="35">
        <v>315</v>
      </c>
      <c r="D22" s="75">
        <v>470</v>
      </c>
      <c r="E22" s="76">
        <v>1.05</v>
      </c>
      <c r="G22" s="25">
        <f t="shared" si="1"/>
        <v>470</v>
      </c>
      <c r="H22" s="27">
        <v>735</v>
      </c>
      <c r="I22" s="25">
        <v>620</v>
      </c>
    </row>
    <row r="23" spans="1:17">
      <c r="A23" s="34" t="s">
        <v>134</v>
      </c>
      <c r="B23" s="35">
        <f t="shared" si="0"/>
        <v>206000</v>
      </c>
      <c r="C23" s="35">
        <v>205</v>
      </c>
      <c r="D23" s="75">
        <v>330</v>
      </c>
      <c r="E23" s="76">
        <v>1.05</v>
      </c>
      <c r="G23" s="25">
        <f t="shared" si="1"/>
        <v>480</v>
      </c>
      <c r="H23" s="27">
        <v>750</v>
      </c>
      <c r="I23" s="25">
        <v>630</v>
      </c>
    </row>
    <row r="24" spans="1:17">
      <c r="A24" s="34" t="s">
        <v>135</v>
      </c>
      <c r="B24" s="35">
        <f t="shared" si="0"/>
        <v>206000</v>
      </c>
      <c r="C24" s="35">
        <v>195</v>
      </c>
      <c r="D24" s="75">
        <v>330</v>
      </c>
      <c r="E24" s="76">
        <v>1.05</v>
      </c>
      <c r="G24" s="25">
        <f t="shared" si="1"/>
        <v>490</v>
      </c>
      <c r="H24" s="27">
        <v>765</v>
      </c>
      <c r="I24" s="25">
        <v>645</v>
      </c>
    </row>
    <row r="25" spans="1:17">
      <c r="A25" s="34" t="s">
        <v>136</v>
      </c>
      <c r="B25" s="35">
        <f t="shared" si="0"/>
        <v>206000</v>
      </c>
      <c r="C25" s="35">
        <v>245</v>
      </c>
      <c r="D25" s="75">
        <v>400</v>
      </c>
      <c r="E25" s="76">
        <v>1.05</v>
      </c>
      <c r="G25" s="25">
        <v>510</v>
      </c>
      <c r="H25" s="27">
        <v>795</v>
      </c>
      <c r="I25" s="25">
        <v>670</v>
      </c>
    </row>
    <row r="26" spans="1:17">
      <c r="A26" s="34" t="s">
        <v>137</v>
      </c>
      <c r="B26" s="35">
        <f t="shared" si="0"/>
        <v>206000</v>
      </c>
      <c r="C26" s="35">
        <v>235</v>
      </c>
      <c r="D26" s="75">
        <v>400</v>
      </c>
      <c r="E26" s="76">
        <v>1.05</v>
      </c>
      <c r="G26" s="25">
        <v>540</v>
      </c>
      <c r="H26" s="27">
        <v>845</v>
      </c>
      <c r="I26" s="25">
        <v>710</v>
      </c>
    </row>
    <row r="27" spans="1:17">
      <c r="A27" s="34" t="s">
        <v>138</v>
      </c>
      <c r="B27" s="35">
        <f t="shared" si="0"/>
        <v>206000</v>
      </c>
      <c r="C27" s="35">
        <v>285</v>
      </c>
      <c r="D27" s="75">
        <v>490</v>
      </c>
      <c r="E27" s="76">
        <v>1.05</v>
      </c>
      <c r="G27" s="25">
        <v>570</v>
      </c>
      <c r="H27" s="27">
        <v>890</v>
      </c>
      <c r="I27" s="25">
        <v>750</v>
      </c>
    </row>
    <row r="28" spans="1:17">
      <c r="A28" s="34" t="s">
        <v>139</v>
      </c>
      <c r="B28" s="35">
        <f t="shared" si="0"/>
        <v>206000</v>
      </c>
      <c r="C28" s="35">
        <v>275</v>
      </c>
      <c r="D28" s="75">
        <v>490</v>
      </c>
      <c r="E28" s="76">
        <v>1.05</v>
      </c>
      <c r="G28" s="25">
        <v>590</v>
      </c>
      <c r="H28" s="27">
        <v>920</v>
      </c>
      <c r="I28" s="25">
        <v>775</v>
      </c>
    </row>
    <row r="29" spans="1:17">
      <c r="A29" s="34" t="s">
        <v>140</v>
      </c>
      <c r="B29" s="35">
        <f t="shared" si="0"/>
        <v>206000</v>
      </c>
      <c r="C29" s="35">
        <v>400</v>
      </c>
      <c r="D29" s="75">
        <v>540</v>
      </c>
      <c r="E29" s="76">
        <v>1.05</v>
      </c>
    </row>
    <row r="30" spans="1:17">
      <c r="A30" s="34" t="s">
        <v>141</v>
      </c>
      <c r="B30" s="35">
        <f t="shared" si="0"/>
        <v>206000</v>
      </c>
      <c r="C30" s="35">
        <v>390</v>
      </c>
      <c r="D30" s="75">
        <v>540</v>
      </c>
      <c r="E30" s="76">
        <v>1.05</v>
      </c>
      <c r="G30" s="99" t="s">
        <v>38</v>
      </c>
      <c r="H30" s="99"/>
      <c r="I30" s="99"/>
      <c r="J30" s="99"/>
      <c r="K30" s="99"/>
      <c r="L30" s="99"/>
      <c r="M30" s="99"/>
      <c r="N30" s="99"/>
      <c r="O30" s="99"/>
      <c r="P30" s="99"/>
      <c r="Q30" s="99"/>
    </row>
    <row r="31" spans="1:17">
      <c r="A31" s="34" t="s">
        <v>142</v>
      </c>
      <c r="B31" s="35">
        <f t="shared" si="0"/>
        <v>206000</v>
      </c>
      <c r="C31" s="35">
        <v>220</v>
      </c>
      <c r="D31" s="75">
        <v>340</v>
      </c>
      <c r="E31" s="76">
        <v>1.05</v>
      </c>
      <c r="G31" s="28" t="s">
        <v>39</v>
      </c>
      <c r="H31" s="29">
        <v>16</v>
      </c>
      <c r="I31" s="29">
        <v>18</v>
      </c>
      <c r="J31" s="29">
        <v>20</v>
      </c>
      <c r="K31" s="29">
        <v>22</v>
      </c>
      <c r="L31" s="29">
        <v>24</v>
      </c>
      <c r="M31" s="29">
        <v>27</v>
      </c>
      <c r="N31" s="29">
        <v>30</v>
      </c>
      <c r="O31" s="29">
        <v>36</v>
      </c>
      <c r="P31" s="29">
        <v>42</v>
      </c>
      <c r="Q31" s="29">
        <v>48</v>
      </c>
    </row>
    <row r="32" spans="1:17">
      <c r="A32" s="34" t="s">
        <v>143</v>
      </c>
      <c r="B32" s="35">
        <f t="shared" si="0"/>
        <v>206000</v>
      </c>
      <c r="C32" s="35">
        <v>240</v>
      </c>
      <c r="D32" s="75">
        <v>380</v>
      </c>
      <c r="E32" s="76">
        <v>1.05</v>
      </c>
      <c r="G32" s="28" t="s">
        <v>40</v>
      </c>
      <c r="H32" s="12">
        <v>2</v>
      </c>
      <c r="I32" s="12">
        <v>2.5</v>
      </c>
      <c r="J32" s="12">
        <v>2.5</v>
      </c>
      <c r="K32" s="12">
        <v>2.5</v>
      </c>
      <c r="L32" s="12">
        <v>3</v>
      </c>
      <c r="M32" s="12">
        <v>3</v>
      </c>
      <c r="N32" s="12">
        <v>3.5</v>
      </c>
      <c r="O32" s="12">
        <v>4</v>
      </c>
      <c r="P32" s="12">
        <v>4.5</v>
      </c>
      <c r="Q32" s="12">
        <v>5</v>
      </c>
    </row>
    <row r="33" spans="1:17">
      <c r="A33" s="34" t="s">
        <v>144</v>
      </c>
      <c r="B33" s="35">
        <f t="shared" si="0"/>
        <v>206000</v>
      </c>
      <c r="C33" s="35">
        <v>260</v>
      </c>
      <c r="D33" s="75">
        <v>420</v>
      </c>
      <c r="E33" s="76">
        <v>1.05</v>
      </c>
      <c r="G33" s="28" t="s">
        <v>41</v>
      </c>
      <c r="H33" s="30">
        <f>PI()*H31^2/4</f>
        <v>201.06192982974676</v>
      </c>
      <c r="I33" s="30">
        <f t="shared" ref="I33:Q33" si="2">PI()*I31^2/4</f>
        <v>254.46900494077323</v>
      </c>
      <c r="J33" s="30">
        <f t="shared" si="2"/>
        <v>314.15926535897933</v>
      </c>
      <c r="K33" s="30">
        <f t="shared" si="2"/>
        <v>380.13271108436498</v>
      </c>
      <c r="L33" s="30">
        <f t="shared" si="2"/>
        <v>452.38934211693021</v>
      </c>
      <c r="M33" s="30">
        <f t="shared" si="2"/>
        <v>572.55526111673976</v>
      </c>
      <c r="N33" s="30">
        <f t="shared" si="2"/>
        <v>706.85834705770344</v>
      </c>
      <c r="O33" s="30">
        <f t="shared" si="2"/>
        <v>1017.8760197630929</v>
      </c>
      <c r="P33" s="30">
        <f t="shared" si="2"/>
        <v>1385.4423602330987</v>
      </c>
      <c r="Q33" s="30">
        <f t="shared" si="2"/>
        <v>1809.5573684677208</v>
      </c>
    </row>
    <row r="34" spans="1:17">
      <c r="G34" s="28" t="s">
        <v>42</v>
      </c>
      <c r="H34" s="12">
        <v>157</v>
      </c>
      <c r="I34" s="12">
        <v>192</v>
      </c>
      <c r="J34" s="12">
        <v>245</v>
      </c>
      <c r="K34" s="12">
        <v>303</v>
      </c>
      <c r="L34" s="12">
        <v>353</v>
      </c>
      <c r="M34" s="12">
        <v>459</v>
      </c>
      <c r="N34" s="12">
        <v>561</v>
      </c>
      <c r="O34" s="12">
        <v>816</v>
      </c>
      <c r="P34" s="12">
        <v>1120</v>
      </c>
      <c r="Q34" s="12">
        <v>1472</v>
      </c>
    </row>
    <row r="35" spans="1:17">
      <c r="G35" s="31" t="s">
        <v>43</v>
      </c>
      <c r="H35" s="12">
        <v>1</v>
      </c>
      <c r="I35" s="12">
        <v>1.05</v>
      </c>
      <c r="J35" s="12">
        <v>1.1000000000000001</v>
      </c>
      <c r="K35" s="12">
        <v>1.1000000000000001</v>
      </c>
      <c r="L35" s="12">
        <v>1.1000000000000001</v>
      </c>
      <c r="M35" s="12">
        <v>1.2</v>
      </c>
      <c r="N35" s="12">
        <v>1.3</v>
      </c>
      <c r="O35" s="12">
        <v>1.3</v>
      </c>
      <c r="P35" s="12">
        <v>1.6</v>
      </c>
      <c r="Q35" s="12">
        <v>1.6</v>
      </c>
    </row>
    <row r="37" spans="1:17">
      <c r="L37" s="90" t="s">
        <v>77</v>
      </c>
      <c r="M37" s="91"/>
      <c r="N37" s="92"/>
    </row>
    <row r="38" spans="1:17">
      <c r="L38" s="33" t="s">
        <v>78</v>
      </c>
      <c r="M38" s="33" t="s">
        <v>79</v>
      </c>
      <c r="N38" s="33" t="s">
        <v>80</v>
      </c>
    </row>
    <row r="39" spans="1:17">
      <c r="L39" s="12" t="s">
        <v>81</v>
      </c>
      <c r="M39" s="12">
        <v>430</v>
      </c>
      <c r="N39" s="12">
        <v>180</v>
      </c>
    </row>
    <row r="40" spans="1:17">
      <c r="L40" s="12" t="s">
        <v>82</v>
      </c>
      <c r="M40" s="12">
        <v>510</v>
      </c>
      <c r="N40" s="12">
        <v>225</v>
      </c>
    </row>
    <row r="41" spans="1:17">
      <c r="L41" s="12" t="s">
        <v>13</v>
      </c>
      <c r="M41" s="12">
        <v>410</v>
      </c>
      <c r="N41" s="12">
        <v>180</v>
      </c>
    </row>
    <row r="42" spans="1:17">
      <c r="L42" s="12" t="s">
        <v>83</v>
      </c>
      <c r="M42" s="12">
        <v>450</v>
      </c>
      <c r="N42" s="12">
        <v>200</v>
      </c>
    </row>
    <row r="43" spans="1:17">
      <c r="L43" s="12" t="s">
        <v>84</v>
      </c>
      <c r="M43" s="12">
        <v>490</v>
      </c>
      <c r="N43" s="12">
        <v>215</v>
      </c>
    </row>
  </sheetData>
  <mergeCells count="6">
    <mergeCell ref="L37:N37"/>
    <mergeCell ref="G1:K2"/>
    <mergeCell ref="G10:K11"/>
    <mergeCell ref="G12:G13"/>
    <mergeCell ref="H12:I12"/>
    <mergeCell ref="G30:Q3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DDB6-365D-4184-BB83-0AD8F3BD7053}">
  <sheetPr codeName="Sheet3">
    <tabColor rgb="FFC00000"/>
  </sheetPr>
  <dimension ref="B1:AE130"/>
  <sheetViews>
    <sheetView showGridLines="0" tabSelected="1" topLeftCell="A30" zoomScale="145" zoomScaleNormal="145" zoomScaleSheetLayoutView="100" workbookViewId="0">
      <selection activeCell="AB66" sqref="AB66"/>
    </sheetView>
  </sheetViews>
  <sheetFormatPr defaultColWidth="7.28515625" defaultRowHeight="12.75"/>
  <cols>
    <col min="1" max="1" width="1.5703125" style="1" customWidth="1"/>
    <col min="2" max="3" width="7.28515625" style="1"/>
    <col min="4" max="4" width="8.42578125" style="1" bestFit="1" customWidth="1"/>
    <col min="5" max="5" width="7.28515625" style="1"/>
    <col min="6" max="6" width="7.28515625" style="1" customWidth="1"/>
    <col min="7" max="7" width="7.28515625" style="1"/>
    <col min="8" max="8" width="8.5703125" style="1" customWidth="1"/>
    <col min="9" max="10" width="7.7109375" style="1" customWidth="1"/>
    <col min="11" max="11" width="8.140625" style="1" customWidth="1"/>
    <col min="12" max="13" width="7.7109375" style="1" customWidth="1"/>
    <col min="14" max="25" width="7.28515625" style="1" hidden="1" customWidth="1"/>
    <col min="26" max="26" width="2.85546875" style="2" customWidth="1"/>
    <col min="27" max="16384" width="7.28515625" style="1"/>
  </cols>
  <sheetData>
    <row r="1" spans="2:26" ht="12.75" hidden="1" customHeight="1"/>
    <row r="2" spans="2:26" ht="12.75" hidden="1" customHeight="1"/>
    <row r="3" spans="2:26" ht="12.75" hidden="1" customHeight="1"/>
    <row r="4" spans="2:26" ht="12.75" hidden="1" customHeight="1"/>
    <row r="5" spans="2:26" ht="12.75" hidden="1" customHeight="1"/>
    <row r="6" spans="2:26" ht="12.75" hidden="1" customHeight="1"/>
    <row r="7" spans="2:26" ht="12.75" hidden="1" customHeight="1"/>
    <row r="8" spans="2:26" ht="12.75" hidden="1" customHeight="1"/>
    <row r="9" spans="2:26" ht="12.75" hidden="1" customHeight="1"/>
    <row r="10" spans="2:26" ht="10.5" customHeight="1"/>
    <row r="11" spans="2:26" ht="20.25" customHeight="1">
      <c r="B11" s="80" t="s">
        <v>122</v>
      </c>
      <c r="C11" s="81"/>
      <c r="D11" s="81"/>
      <c r="E11" s="81"/>
      <c r="F11" s="81"/>
      <c r="G11" s="81"/>
      <c r="H11" s="81"/>
      <c r="I11" s="81"/>
      <c r="J11" s="81"/>
      <c r="K11" s="84"/>
      <c r="L11" s="84"/>
      <c r="M11" s="85"/>
      <c r="N11" s="3"/>
      <c r="Z11" s="4">
        <f>MAX(COUNTA(#REF!)+21,23)</f>
        <v>23</v>
      </c>
    </row>
    <row r="12" spans="2:26" ht="12.75" customHeight="1">
      <c r="B12" s="82"/>
      <c r="C12" s="83"/>
      <c r="D12" s="83"/>
      <c r="E12" s="83"/>
      <c r="F12" s="83"/>
      <c r="G12" s="83"/>
      <c r="H12" s="83"/>
      <c r="I12" s="83"/>
      <c r="J12" s="83"/>
      <c r="K12" s="86"/>
      <c r="L12" s="86"/>
      <c r="M12" s="87"/>
      <c r="Z12" s="5"/>
    </row>
    <row r="13" spans="2:26" ht="15" customHeight="1">
      <c r="B13" s="88" t="s">
        <v>0</v>
      </c>
      <c r="C13" s="89"/>
      <c r="D13" s="89"/>
      <c r="E13" s="36"/>
      <c r="F13" s="36"/>
      <c r="G13" s="36"/>
      <c r="H13" s="36"/>
      <c r="I13" s="36"/>
      <c r="J13" s="36"/>
      <c r="K13" s="36"/>
      <c r="L13" s="36"/>
      <c r="M13" s="6"/>
    </row>
    <row r="14" spans="2:26" ht="12.75" customHeight="1">
      <c r="B14" s="7" t="s">
        <v>52</v>
      </c>
      <c r="C14" s="36"/>
      <c r="D14" s="36"/>
      <c r="E14" s="36"/>
      <c r="F14" s="36"/>
      <c r="G14" s="36"/>
      <c r="H14" s="37"/>
      <c r="I14" s="38"/>
      <c r="J14" s="36"/>
      <c r="K14" s="39"/>
      <c r="L14" s="39"/>
      <c r="M14" s="6"/>
    </row>
    <row r="15" spans="2:26" ht="12.75" customHeight="1">
      <c r="B15" s="7" t="s">
        <v>51</v>
      </c>
      <c r="C15" s="36"/>
      <c r="D15" s="36"/>
      <c r="E15" s="36"/>
      <c r="F15" s="36"/>
      <c r="G15" s="36"/>
      <c r="H15" s="37"/>
      <c r="I15" s="38"/>
      <c r="J15" s="36"/>
      <c r="K15" s="39"/>
      <c r="L15" s="39"/>
      <c r="M15" s="6"/>
    </row>
    <row r="16" spans="2:26" ht="12.75" customHeight="1">
      <c r="B16" s="8"/>
      <c r="C16" s="36" t="str">
        <f>"- Cấp độ bền bu lông:"</f>
        <v>- Cấp độ bền bu lông:</v>
      </c>
      <c r="D16" s="36"/>
      <c r="E16" s="37"/>
      <c r="F16" s="40"/>
      <c r="G16" s="36"/>
      <c r="H16" s="39"/>
      <c r="I16" s="39"/>
      <c r="J16" s="39"/>
      <c r="K16" s="39"/>
      <c r="L16" s="41">
        <v>8.8000000000000007</v>
      </c>
      <c r="M16" s="42" t="s">
        <v>36</v>
      </c>
    </row>
    <row r="17" spans="2:31" ht="12.75" customHeight="1">
      <c r="B17" s="8"/>
      <c r="C17" s="36" t="str">
        <f>"- Cường độ tính toán chịu cắt:"</f>
        <v>- Cường độ tính toán chịu cắt:</v>
      </c>
      <c r="D17" s="36"/>
      <c r="E17" s="37"/>
      <c r="F17" s="40"/>
      <c r="G17" s="36"/>
      <c r="H17" s="39"/>
      <c r="I17" s="39"/>
      <c r="J17" s="43"/>
      <c r="K17" s="44" t="s">
        <v>31</v>
      </c>
      <c r="L17" s="45">
        <f>VLOOKUP(L16,Data!$G$4:$K$8,4,FALSE)</f>
        <v>332</v>
      </c>
      <c r="M17" s="10" t="s">
        <v>2</v>
      </c>
    </row>
    <row r="18" spans="2:31" ht="12.75" customHeight="1">
      <c r="B18" s="8"/>
      <c r="C18" s="36" t="str">
        <f>"- Cường độ tính toán chịu kéo:"</f>
        <v>- Cường độ tính toán chịu kéo:</v>
      </c>
      <c r="D18" s="36"/>
      <c r="E18" s="37"/>
      <c r="F18" s="40"/>
      <c r="G18" s="36"/>
      <c r="H18" s="39"/>
      <c r="I18" s="39"/>
      <c r="J18" s="39"/>
      <c r="K18" s="44" t="s">
        <v>32</v>
      </c>
      <c r="L18" s="45">
        <f>VLOOKUP(L16,Data!$G$4:$K$8,5,FALSE)</f>
        <v>448</v>
      </c>
      <c r="M18" s="10" t="s">
        <v>2</v>
      </c>
    </row>
    <row r="19" spans="2:31" ht="12.75" customHeight="1">
      <c r="B19" s="8"/>
      <c r="C19" s="36" t="str">
        <f>"- Cường độ tính toán chịu ép mặt:"</f>
        <v>- Cường độ tính toán chịu ép mặt:</v>
      </c>
      <c r="D19" s="36"/>
      <c r="E19" s="37"/>
      <c r="F19" s="40"/>
      <c r="G19" s="36"/>
      <c r="H19" s="39"/>
      <c r="I19" s="39"/>
      <c r="J19" s="39"/>
      <c r="K19" s="44" t="s">
        <v>33</v>
      </c>
      <c r="L19" s="45">
        <f>IF(M16="A",1.6,1.35)*L27</f>
        <v>513</v>
      </c>
      <c r="M19" s="10" t="s">
        <v>2</v>
      </c>
    </row>
    <row r="20" spans="2:31" ht="12.75" customHeight="1">
      <c r="B20" s="8"/>
      <c r="C20" s="36" t="str">
        <f>"- Đường kính ngoài bu lông:"</f>
        <v>- Đường kính ngoài bu lông:</v>
      </c>
      <c r="D20" s="36"/>
      <c r="E20" s="37"/>
      <c r="F20" s="40"/>
      <c r="G20" s="36"/>
      <c r="H20" s="39"/>
      <c r="I20" s="39"/>
      <c r="J20" s="39"/>
      <c r="K20" s="44" t="s">
        <v>3</v>
      </c>
      <c r="L20" s="41">
        <v>16</v>
      </c>
      <c r="M20" s="10" t="s">
        <v>4</v>
      </c>
    </row>
    <row r="21" spans="2:31" ht="12.75" customHeight="1">
      <c r="B21" s="8"/>
      <c r="C21" s="36" t="str">
        <f>"- Diện tích tiết diện nguyên bu lông:"</f>
        <v>- Diện tích tiết diện nguyên bu lông:</v>
      </c>
      <c r="D21" s="36"/>
      <c r="E21" s="37"/>
      <c r="F21" s="40"/>
      <c r="G21" s="36"/>
      <c r="H21" s="39"/>
      <c r="I21" s="39"/>
      <c r="J21" s="39"/>
      <c r="K21" s="44" t="s">
        <v>89</v>
      </c>
      <c r="L21" s="46">
        <f>HLOOKUP(L20,Data!$H$31:$Q$35,3,FALSE)</f>
        <v>201.06192982974676</v>
      </c>
      <c r="M21" s="10" t="s">
        <v>6</v>
      </c>
    </row>
    <row r="22" spans="2:31" ht="12.75" customHeight="1">
      <c r="B22" s="8"/>
      <c r="C22" s="36" t="str">
        <f>"- Diện tích thực thân bu lông:"</f>
        <v>- Diện tích thực thân bu lông:</v>
      </c>
      <c r="D22" s="36"/>
      <c r="E22" s="37"/>
      <c r="F22" s="40"/>
      <c r="G22" s="36"/>
      <c r="H22" s="39"/>
      <c r="I22" s="39"/>
      <c r="J22" s="39"/>
      <c r="K22" s="44" t="s">
        <v>5</v>
      </c>
      <c r="L22" s="47">
        <f>HLOOKUP(L20,Data!$H$31:$Q$35,4,FALSE)</f>
        <v>157</v>
      </c>
      <c r="M22" s="10" t="s">
        <v>6</v>
      </c>
      <c r="AE22"/>
    </row>
    <row r="23" spans="2:31" ht="12.75" customHeight="1">
      <c r="B23" s="8"/>
      <c r="C23" s="36" t="str">
        <f>"- Hệ số điều kiện làm việc bu lông:"</f>
        <v>- Hệ số điều kiện làm việc bu lông:</v>
      </c>
      <c r="D23" s="36"/>
      <c r="E23" s="37"/>
      <c r="F23" s="40"/>
      <c r="G23" s="36"/>
      <c r="H23" s="39"/>
      <c r="I23" s="39"/>
      <c r="J23" s="39"/>
      <c r="K23" s="48" t="s">
        <v>7</v>
      </c>
      <c r="L23" s="41">
        <v>0.9</v>
      </c>
      <c r="M23" s="9"/>
    </row>
    <row r="24" spans="2:31" ht="12.75" customHeight="1">
      <c r="B24" s="7" t="s">
        <v>50</v>
      </c>
      <c r="C24" s="36"/>
      <c r="D24" s="36"/>
      <c r="E24" s="36"/>
      <c r="F24" s="36"/>
      <c r="G24" s="36"/>
      <c r="H24" s="37"/>
      <c r="I24" s="38"/>
      <c r="J24" s="36"/>
      <c r="K24" s="39"/>
      <c r="L24" s="39"/>
      <c r="M24" s="6"/>
    </row>
    <row r="25" spans="2:31" ht="12.75" customHeight="1">
      <c r="B25" s="8"/>
      <c r="C25" s="36" t="str">
        <f>"- Loại thép:"</f>
        <v>- Loại thép:</v>
      </c>
      <c r="D25" s="36"/>
      <c r="E25" s="37"/>
      <c r="F25" s="40"/>
      <c r="G25" s="36"/>
      <c r="H25" s="39"/>
      <c r="I25" s="39"/>
      <c r="J25" s="39"/>
      <c r="K25" s="39"/>
      <c r="L25" s="49" t="s">
        <v>143</v>
      </c>
      <c r="M25" s="9"/>
    </row>
    <row r="26" spans="2:31" ht="12.75" customHeight="1">
      <c r="B26" s="8"/>
      <c r="C26" s="36" t="str">
        <f>"- Cường độ tiêu chuẩn của thép:"</f>
        <v>- Cường độ tiêu chuẩn của thép:</v>
      </c>
      <c r="D26" s="36"/>
      <c r="E26" s="37"/>
      <c r="F26" s="40"/>
      <c r="G26" s="36"/>
      <c r="H26" s="39"/>
      <c r="I26" s="39"/>
      <c r="J26" s="39"/>
      <c r="K26" s="44" t="s">
        <v>1</v>
      </c>
      <c r="L26" s="47">
        <f>VLOOKUP(L25,Data!$A$3:$E$99,3,FALSE)</f>
        <v>240</v>
      </c>
      <c r="M26" s="10" t="s">
        <v>2</v>
      </c>
    </row>
    <row r="27" spans="2:31" ht="12.75" customHeight="1">
      <c r="B27" s="8"/>
      <c r="C27" s="36" t="str">
        <f>"- Cường độ tiêu chuẩn kéo đứt của thép:"</f>
        <v>- Cường độ tiêu chuẩn kéo đứt của thép:</v>
      </c>
      <c r="D27" s="36"/>
      <c r="E27" s="37"/>
      <c r="F27" s="40"/>
      <c r="G27" s="36"/>
      <c r="H27" s="39"/>
      <c r="I27" s="39"/>
      <c r="J27" s="39"/>
      <c r="K27" s="44" t="s">
        <v>8</v>
      </c>
      <c r="L27" s="45">
        <f>VLOOKUP(L25,Data!$A$3:$E$99,4,FALSE)</f>
        <v>380</v>
      </c>
      <c r="M27" s="10" t="s">
        <v>2</v>
      </c>
    </row>
    <row r="28" spans="2:31" ht="12.75" customHeight="1">
      <c r="B28" s="8"/>
      <c r="C28" s="36" t="str">
        <f>"- Cường độ tính toán của thép:"</f>
        <v>- Cường độ tính toán của thép:</v>
      </c>
      <c r="D28" s="36"/>
      <c r="E28" s="37"/>
      <c r="F28" s="40"/>
      <c r="G28" s="39"/>
      <c r="H28" s="39"/>
      <c r="I28" s="48" t="s">
        <v>9</v>
      </c>
      <c r="J28" s="45">
        <f>VLOOKUP(L25,Data!$A$3:$E$99,5,FALSE)</f>
        <v>1.05</v>
      </c>
      <c r="K28" s="44" t="s">
        <v>10</v>
      </c>
      <c r="L28" s="46">
        <f>L26/J28</f>
        <v>228.57142857142856</v>
      </c>
      <c r="M28" s="10" t="s">
        <v>2</v>
      </c>
      <c r="N28" s="11"/>
    </row>
    <row r="29" spans="2:31" ht="12.75" customHeight="1">
      <c r="B29" s="8"/>
      <c r="C29" s="36" t="str">
        <f>"- Hệ số điều kiện làm việc của kết cấu (Bảng 1 - Mục 9):"</f>
        <v>- Hệ số điều kiện làm việc của kết cấu (Bảng 1 - Mục 9):</v>
      </c>
      <c r="D29" s="36"/>
      <c r="E29" s="37"/>
      <c r="F29" s="40"/>
      <c r="G29" s="36"/>
      <c r="H29" s="39"/>
      <c r="I29" s="39"/>
      <c r="J29" s="39"/>
      <c r="K29" s="48" t="s">
        <v>11</v>
      </c>
      <c r="L29" s="41">
        <v>1</v>
      </c>
      <c r="M29" s="10" t="s">
        <v>2</v>
      </c>
      <c r="N29" s="11"/>
    </row>
    <row r="30" spans="2:31" ht="12.75" customHeight="1">
      <c r="B30" s="7" t="s">
        <v>12</v>
      </c>
      <c r="C30" s="36"/>
      <c r="D30" s="36"/>
      <c r="E30" s="36"/>
      <c r="F30" s="36"/>
      <c r="G30" s="36"/>
      <c r="H30" s="37"/>
      <c r="I30" s="38"/>
      <c r="J30" s="36"/>
      <c r="K30" s="39"/>
      <c r="L30" s="39"/>
      <c r="M30" s="6"/>
    </row>
    <row r="31" spans="2:31" ht="12.75" customHeight="1">
      <c r="B31" s="8"/>
      <c r="C31" s="36" t="str">
        <f>"- Que hàn:"</f>
        <v>- Que hàn:</v>
      </c>
      <c r="D31" s="36"/>
      <c r="E31" s="37"/>
      <c r="F31" s="40"/>
      <c r="G31" s="36"/>
      <c r="H31" s="39"/>
      <c r="I31" s="39"/>
      <c r="J31" s="39"/>
      <c r="K31" s="39"/>
      <c r="L31" s="41" t="s">
        <v>13</v>
      </c>
      <c r="M31" s="9"/>
    </row>
    <row r="32" spans="2:31" ht="12.75" customHeight="1">
      <c r="B32" s="8"/>
      <c r="C32" s="36" t="str">
        <f>"- Cường độ tiêu chuẩn theo giới hạn bền:"</f>
        <v>- Cường độ tiêu chuẩn theo giới hạn bền:</v>
      </c>
      <c r="D32" s="36"/>
      <c r="E32" s="37"/>
      <c r="F32" s="40"/>
      <c r="G32" s="36"/>
      <c r="H32" s="39"/>
      <c r="I32" s="39"/>
      <c r="J32" s="39"/>
      <c r="K32" s="44" t="s">
        <v>14</v>
      </c>
      <c r="L32" s="47">
        <f>VLOOKUP(L31,Data!$L$39:$N$43,2,FALSE)</f>
        <v>410</v>
      </c>
      <c r="M32" s="10" t="s">
        <v>2</v>
      </c>
    </row>
    <row r="33" spans="2:14" ht="12.75" customHeight="1">
      <c r="B33" s="8"/>
      <c r="C33" s="36" t="str">
        <f>"- Cường độ tính toán theo kim loại đường hàn:"</f>
        <v>- Cường độ tính toán theo kim loại đường hàn:</v>
      </c>
      <c r="D33" s="36"/>
      <c r="E33" s="37"/>
      <c r="F33" s="40"/>
      <c r="G33" s="36"/>
      <c r="H33" s="39"/>
      <c r="I33" s="48" t="s">
        <v>15</v>
      </c>
      <c r="J33" s="41">
        <v>0.7</v>
      </c>
      <c r="K33" s="44" t="s">
        <v>16</v>
      </c>
      <c r="L33" s="47">
        <f>VLOOKUP(L31,Data!$L$39:$N$43,3,FALSE)</f>
        <v>180</v>
      </c>
      <c r="M33" s="10" t="s">
        <v>2</v>
      </c>
    </row>
    <row r="34" spans="2:14" ht="12.75" customHeight="1">
      <c r="B34" s="8"/>
      <c r="C34" s="36" t="str">
        <f>"- Cường độ tính toán theo kim loại biên nóng chảy:"</f>
        <v>- Cường độ tính toán theo kim loại biên nóng chảy:</v>
      </c>
      <c r="D34" s="36"/>
      <c r="E34" s="37"/>
      <c r="F34" s="40"/>
      <c r="G34" s="36"/>
      <c r="H34" s="39"/>
      <c r="I34" s="48" t="s">
        <v>17</v>
      </c>
      <c r="J34" s="46">
        <v>1</v>
      </c>
      <c r="K34" s="44" t="s">
        <v>18</v>
      </c>
      <c r="L34" s="47">
        <f>0.45*L27</f>
        <v>171</v>
      </c>
      <c r="M34" s="10" t="s">
        <v>2</v>
      </c>
    </row>
    <row r="35" spans="2:14" ht="12.75" customHeight="1">
      <c r="B35" s="8"/>
      <c r="C35" s="36" t="str">
        <f>"- Hệ số điều kiện làm việc :"</f>
        <v>- Hệ số điều kiện làm việc :</v>
      </c>
      <c r="D35" s="36"/>
      <c r="E35" s="37"/>
      <c r="F35" s="40"/>
      <c r="G35" s="36"/>
      <c r="H35" s="39"/>
      <c r="I35" s="39"/>
      <c r="J35" s="39"/>
      <c r="K35" s="48" t="s">
        <v>11</v>
      </c>
      <c r="L35" s="41">
        <v>0.9</v>
      </c>
      <c r="M35" s="10" t="s">
        <v>2</v>
      </c>
      <c r="N35" s="11"/>
    </row>
    <row r="36" spans="2:14" ht="12.75" customHeight="1">
      <c r="B36" s="8"/>
      <c r="C36" s="36" t="str">
        <f>"- Cường độ tính toán của đường hàn:"</f>
        <v>- Cường độ tính toán của đường hàn:</v>
      </c>
      <c r="D36" s="36"/>
      <c r="E36" s="37"/>
      <c r="F36" s="40"/>
      <c r="G36" s="36"/>
      <c r="H36" s="39"/>
      <c r="I36" s="48"/>
      <c r="J36" s="41"/>
      <c r="K36" s="44" t="s">
        <v>109</v>
      </c>
      <c r="L36" s="46">
        <f>1.15*MIN(J33*L33,J34*L34)*L35</f>
        <v>130.41</v>
      </c>
      <c r="M36" s="10" t="s">
        <v>2</v>
      </c>
    </row>
    <row r="37" spans="2:14" ht="12.75" customHeight="1">
      <c r="B37" s="7" t="s">
        <v>49</v>
      </c>
      <c r="C37" s="36"/>
      <c r="D37" s="36"/>
      <c r="E37" s="36"/>
      <c r="F37" s="36"/>
      <c r="G37" s="36"/>
      <c r="H37" s="36"/>
      <c r="I37" s="38"/>
      <c r="J37" s="36"/>
      <c r="K37" s="39"/>
      <c r="L37" s="39"/>
      <c r="M37" s="6"/>
    </row>
    <row r="38" spans="2:14" ht="12.75" customHeight="1">
      <c r="B38" s="7" t="s">
        <v>123</v>
      </c>
      <c r="C38" s="36"/>
      <c r="D38" s="36"/>
      <c r="E38" s="36"/>
      <c r="F38" s="36"/>
      <c r="G38" s="36"/>
      <c r="H38" s="37"/>
      <c r="I38" s="38"/>
      <c r="J38" s="36"/>
      <c r="K38" s="39"/>
      <c r="L38" s="39"/>
      <c r="M38" s="6"/>
    </row>
    <row r="39" spans="2:14" ht="12.75" customHeight="1">
      <c r="B39" s="8"/>
      <c r="C39" s="36" t="str">
        <f>"- Chiều cao tiết diện:"</f>
        <v>- Chiều cao tiết diện:</v>
      </c>
      <c r="D39" s="36"/>
      <c r="E39" s="37"/>
      <c r="F39" s="40"/>
      <c r="G39" s="36"/>
      <c r="H39" s="39"/>
      <c r="I39" s="39"/>
      <c r="J39" s="39"/>
      <c r="K39" s="44" t="s">
        <v>124</v>
      </c>
      <c r="L39" s="41">
        <v>250</v>
      </c>
      <c r="M39" s="10" t="s">
        <v>4</v>
      </c>
    </row>
    <row r="40" spans="2:14" ht="12.75" customHeight="1">
      <c r="B40" s="8"/>
      <c r="C40" s="50" t="s">
        <v>125</v>
      </c>
      <c r="D40" s="36"/>
      <c r="E40" s="37"/>
      <c r="F40" s="40"/>
      <c r="G40" s="36"/>
      <c r="H40" s="39"/>
      <c r="I40" s="39"/>
      <c r="J40" s="43"/>
      <c r="K40" s="48" t="s">
        <v>126</v>
      </c>
      <c r="L40" s="41">
        <v>10</v>
      </c>
      <c r="M40" s="10" t="s">
        <v>4</v>
      </c>
    </row>
    <row r="41" spans="2:14" ht="12.75" customHeight="1">
      <c r="B41" s="7" t="s">
        <v>130</v>
      </c>
      <c r="C41" s="36"/>
      <c r="D41" s="36"/>
      <c r="E41" s="36"/>
      <c r="F41" s="36"/>
      <c r="G41" s="36"/>
      <c r="H41" s="37"/>
      <c r="I41" s="38"/>
      <c r="J41" s="36"/>
      <c r="K41" s="39"/>
      <c r="L41" s="39"/>
      <c r="M41" s="6"/>
    </row>
    <row r="42" spans="2:14" ht="12.75" customHeight="1">
      <c r="B42" s="8"/>
      <c r="C42" s="36" t="str">
        <f>"- Chiều cao tiết diện:"</f>
        <v>- Chiều cao tiết diện:</v>
      </c>
      <c r="D42" s="36"/>
      <c r="E42" s="37"/>
      <c r="F42" s="40"/>
      <c r="G42" s="36"/>
      <c r="H42" s="39"/>
      <c r="I42" s="39"/>
      <c r="J42" s="39"/>
      <c r="K42" s="44" t="s">
        <v>19</v>
      </c>
      <c r="L42" s="41">
        <v>200</v>
      </c>
      <c r="M42" s="10" t="s">
        <v>4</v>
      </c>
      <c r="N42" s="1" t="str">
        <f>K42&amp;" "&amp;L42</f>
        <v>h = 200</v>
      </c>
    </row>
    <row r="43" spans="2:14" ht="12.75" customHeight="1">
      <c r="B43" s="8"/>
      <c r="C43" s="36" t="str">
        <f>"- Bề rộng bản cánh:"</f>
        <v>- Bề rộng bản cánh:</v>
      </c>
      <c r="D43" s="36"/>
      <c r="E43" s="37"/>
      <c r="F43" s="40"/>
      <c r="G43" s="36"/>
      <c r="H43" s="39"/>
      <c r="I43" s="39"/>
      <c r="J43" s="43"/>
      <c r="K43" s="44" t="s">
        <v>20</v>
      </c>
      <c r="L43" s="41">
        <v>200</v>
      </c>
      <c r="M43" s="10" t="s">
        <v>4</v>
      </c>
      <c r="N43" s="1" t="str">
        <f>K43&amp;" "&amp;L43</f>
        <v>b = 200</v>
      </c>
    </row>
    <row r="44" spans="2:14" ht="12.75" customHeight="1">
      <c r="B44" s="8"/>
      <c r="C44" s="36" t="str">
        <f>"- Chiều dày bản bụng:"</f>
        <v>- Chiều dày bản bụng:</v>
      </c>
      <c r="D44" s="36"/>
      <c r="E44" s="37"/>
      <c r="F44" s="40"/>
      <c r="G44" s="36"/>
      <c r="H44" s="39"/>
      <c r="I44" s="39"/>
      <c r="J44" s="39"/>
      <c r="K44" s="44" t="s">
        <v>21</v>
      </c>
      <c r="L44" s="41">
        <v>8</v>
      </c>
      <c r="M44" s="10" t="s">
        <v>4</v>
      </c>
    </row>
    <row r="45" spans="2:14" ht="12.75" customHeight="1">
      <c r="B45" s="8"/>
      <c r="C45" s="36" t="str">
        <f>"- Chiều dày bản cánh:"</f>
        <v>- Chiều dày bản cánh:</v>
      </c>
      <c r="D45" s="39"/>
      <c r="E45" s="44"/>
      <c r="F45" s="51"/>
      <c r="G45" s="52"/>
      <c r="H45" s="39"/>
      <c r="I45" s="39"/>
      <c r="J45" s="39"/>
      <c r="K45" s="44" t="s">
        <v>22</v>
      </c>
      <c r="L45" s="41">
        <v>12</v>
      </c>
      <c r="M45" s="10" t="s">
        <v>4</v>
      </c>
    </row>
    <row r="46" spans="2:14" ht="12.75" customHeight="1">
      <c r="B46" s="7" t="s">
        <v>131</v>
      </c>
      <c r="C46" s="36"/>
      <c r="D46" s="36"/>
      <c r="E46" s="36"/>
      <c r="F46" s="36"/>
      <c r="G46" s="36"/>
      <c r="H46" s="37"/>
      <c r="I46" s="38"/>
      <c r="J46" s="36"/>
      <c r="K46" s="39"/>
      <c r="L46" s="39"/>
      <c r="M46" s="6"/>
    </row>
    <row r="47" spans="2:14" ht="12.75" customHeight="1">
      <c r="B47" s="7"/>
      <c r="C47" s="36"/>
      <c r="D47" s="36"/>
      <c r="E47" s="37"/>
      <c r="F47" s="40"/>
      <c r="G47" s="36"/>
      <c r="H47" s="39"/>
      <c r="I47" s="39"/>
      <c r="J47" s="39"/>
      <c r="K47" s="44" t="s">
        <v>120</v>
      </c>
      <c r="L47" s="41">
        <v>1</v>
      </c>
      <c r="M47" s="10"/>
    </row>
    <row r="48" spans="2:14" ht="12.75" customHeight="1">
      <c r="B48" s="7"/>
      <c r="C48" s="36"/>
      <c r="D48" s="36"/>
      <c r="E48" s="37"/>
      <c r="F48" s="40"/>
      <c r="G48" s="36"/>
      <c r="H48" s="39"/>
      <c r="I48" s="39"/>
      <c r="J48" s="39"/>
      <c r="K48" s="44" t="s">
        <v>121</v>
      </c>
      <c r="L48" s="41">
        <v>2</v>
      </c>
      <c r="M48" s="10"/>
    </row>
    <row r="49" spans="2:14" ht="12.75" customHeight="1">
      <c r="B49" s="7"/>
      <c r="C49" s="36"/>
      <c r="D49" s="36"/>
      <c r="E49" s="37"/>
      <c r="F49" s="40"/>
      <c r="G49" s="36"/>
      <c r="H49" s="39"/>
      <c r="I49" s="41"/>
      <c r="J49" s="39"/>
      <c r="K49" s="44" t="s">
        <v>127</v>
      </c>
      <c r="L49" s="41">
        <v>40</v>
      </c>
      <c r="M49" s="10" t="s">
        <v>4</v>
      </c>
    </row>
    <row r="50" spans="2:14" ht="12.75" customHeight="1">
      <c r="B50" s="7"/>
      <c r="C50" s="36"/>
      <c r="D50" s="53"/>
      <c r="E50" s="37"/>
      <c r="F50" s="40"/>
      <c r="G50" s="40"/>
      <c r="H50" s="44"/>
      <c r="I50" s="39"/>
      <c r="J50" s="39"/>
      <c r="K50" s="44" t="s">
        <v>128</v>
      </c>
      <c r="L50" s="41">
        <v>70</v>
      </c>
      <c r="M50" s="10" t="s">
        <v>4</v>
      </c>
    </row>
    <row r="51" spans="2:14" ht="12.75" customHeight="1">
      <c r="B51" s="7"/>
      <c r="C51" s="36"/>
      <c r="D51" s="36"/>
      <c r="E51" s="37"/>
      <c r="F51" s="40"/>
      <c r="G51" s="36"/>
      <c r="H51" s="44"/>
      <c r="I51" s="39"/>
      <c r="J51" s="39"/>
      <c r="K51" s="44" t="s">
        <v>129</v>
      </c>
      <c r="L51" s="41">
        <f>IF(L47=1,0,L50)</f>
        <v>0</v>
      </c>
      <c r="M51" s="10" t="s">
        <v>4</v>
      </c>
    </row>
    <row r="52" spans="2:14" ht="12.75" customHeight="1">
      <c r="B52" s="7"/>
      <c r="C52" s="36"/>
      <c r="D52" s="36"/>
      <c r="E52" s="37"/>
      <c r="F52" s="40"/>
      <c r="G52" s="36"/>
      <c r="H52" s="44"/>
      <c r="I52" s="41"/>
      <c r="J52" s="39"/>
      <c r="K52" s="44" t="s">
        <v>114</v>
      </c>
      <c r="L52" s="45">
        <f>2*L49+(L48-1)*L50</f>
        <v>150</v>
      </c>
      <c r="M52" s="10" t="s">
        <v>4</v>
      </c>
    </row>
    <row r="53" spans="2:14" ht="12.75" customHeight="1">
      <c r="B53" s="7"/>
      <c r="C53" s="36"/>
      <c r="D53" s="36"/>
      <c r="E53" s="37"/>
      <c r="F53" s="40"/>
      <c r="G53" s="36"/>
      <c r="H53" s="44"/>
      <c r="I53" s="41"/>
      <c r="J53" s="39"/>
      <c r="K53" s="44" t="s">
        <v>115</v>
      </c>
      <c r="L53" s="41">
        <v>8</v>
      </c>
      <c r="M53" s="10" t="s">
        <v>4</v>
      </c>
    </row>
    <row r="54" spans="2:14" ht="12.75" customHeight="1">
      <c r="B54" s="7"/>
      <c r="C54" s="36"/>
      <c r="D54" s="36"/>
      <c r="E54" s="37"/>
      <c r="F54" s="40"/>
      <c r="G54" s="36"/>
      <c r="H54" s="44"/>
      <c r="I54" s="41"/>
      <c r="J54" s="39"/>
      <c r="K54" s="44" t="s">
        <v>116</v>
      </c>
      <c r="L54" s="41">
        <v>1</v>
      </c>
      <c r="M54" s="10" t="s">
        <v>4</v>
      </c>
    </row>
    <row r="55" spans="2:14" ht="12.75" customHeight="1">
      <c r="B55" s="8"/>
      <c r="C55" s="36"/>
      <c r="D55" s="36"/>
      <c r="E55" s="37"/>
      <c r="F55" s="40"/>
      <c r="G55" s="36"/>
      <c r="H55" s="39"/>
      <c r="I55" s="39"/>
      <c r="J55" s="43"/>
      <c r="K55" s="44" t="s">
        <v>117</v>
      </c>
      <c r="L55" s="45">
        <f>L40+L49+IF(L47=2,L51/2,0)</f>
        <v>50</v>
      </c>
      <c r="M55" s="10" t="s">
        <v>4</v>
      </c>
      <c r="N55" s="1" t="str">
        <f>K54&amp;" "&amp;L54</f>
        <v>Số lượng mặt cắt tính toán, nv = 1</v>
      </c>
    </row>
    <row r="56" spans="2:14" ht="12.75" customHeight="1">
      <c r="B56" s="7" t="s">
        <v>85</v>
      </c>
      <c r="C56" s="36"/>
      <c r="D56" s="36"/>
      <c r="E56" s="36"/>
      <c r="F56" s="36"/>
      <c r="G56" s="36"/>
      <c r="H56" s="37"/>
      <c r="I56" s="38"/>
      <c r="J56" s="36"/>
      <c r="K56" s="39"/>
      <c r="L56" s="39"/>
      <c r="M56" s="6"/>
      <c r="N56" s="11"/>
    </row>
    <row r="57" spans="2:14" ht="12.75" customHeight="1">
      <c r="B57" s="7"/>
      <c r="C57" s="36" t="str">
        <f>"- Lực cắt:"</f>
        <v>- Lực cắt:</v>
      </c>
      <c r="D57" s="36"/>
      <c r="E57" s="36"/>
      <c r="F57" s="40"/>
      <c r="G57" s="36"/>
      <c r="H57" s="39"/>
      <c r="I57" s="39"/>
      <c r="J57" s="40"/>
      <c r="K57" s="44" t="s">
        <v>86</v>
      </c>
      <c r="L57" s="41">
        <v>10</v>
      </c>
      <c r="M57" s="10" t="s">
        <v>24</v>
      </c>
      <c r="N57" s="11"/>
    </row>
    <row r="58" spans="2:14" ht="15" customHeight="1">
      <c r="B58" s="7"/>
      <c r="C58" s="36" t="str">
        <f>"- Moment lệch tâm:"</f>
        <v>- Moment lệch tâm:</v>
      </c>
      <c r="D58" s="39"/>
      <c r="E58" s="39"/>
      <c r="F58" s="39"/>
      <c r="G58" s="39"/>
      <c r="H58" s="39"/>
      <c r="I58" s="39"/>
      <c r="J58" s="39"/>
      <c r="K58" s="44" t="s">
        <v>97</v>
      </c>
      <c r="L58" s="47">
        <f>L57*L55/1000</f>
        <v>0.5</v>
      </c>
      <c r="M58" s="10" t="s">
        <v>26</v>
      </c>
      <c r="N58" s="11"/>
    </row>
    <row r="59" spans="2:14" ht="15" customHeight="1">
      <c r="B59" s="7"/>
      <c r="C59" s="36" t="str">
        <f>"- Lực dọc:"</f>
        <v>- Lực dọc:</v>
      </c>
      <c r="D59" s="36"/>
      <c r="E59" s="36"/>
      <c r="F59" s="40"/>
      <c r="G59" s="36"/>
      <c r="H59" s="39"/>
      <c r="I59" s="39"/>
      <c r="J59" s="40"/>
      <c r="K59" s="44" t="s">
        <v>145</v>
      </c>
      <c r="L59" s="41">
        <v>10</v>
      </c>
      <c r="M59" s="10" t="s">
        <v>24</v>
      </c>
      <c r="N59" s="11"/>
    </row>
    <row r="60" spans="2:14">
      <c r="B60" s="78" t="s">
        <v>23</v>
      </c>
      <c r="C60" s="79"/>
      <c r="D60" s="79"/>
      <c r="E60" s="44"/>
      <c r="F60" s="51"/>
      <c r="G60" s="52"/>
      <c r="H60" s="39"/>
      <c r="I60" s="39"/>
      <c r="J60" s="39"/>
      <c r="K60" s="39"/>
      <c r="L60" s="39"/>
      <c r="M60" s="9"/>
      <c r="N60" s="11"/>
    </row>
    <row r="61" spans="2:14" ht="12.75" customHeight="1">
      <c r="B61" s="7" t="s">
        <v>87</v>
      </c>
      <c r="C61" s="36"/>
      <c r="D61" s="36"/>
      <c r="E61" s="36"/>
      <c r="F61" s="36"/>
      <c r="G61" s="36"/>
      <c r="H61" s="37"/>
      <c r="I61" s="38"/>
      <c r="J61" s="36"/>
      <c r="K61" s="39"/>
      <c r="L61" s="39"/>
      <c r="M61" s="6"/>
      <c r="N61" s="11"/>
    </row>
    <row r="62" spans="2:14" ht="14.25">
      <c r="B62" s="8" t="str">
        <f>"- Khả năng chịu cắt của 1 bu lông:"</f>
        <v>- Khả năng chịu cắt của 1 bu lông:</v>
      </c>
      <c r="C62" s="54"/>
      <c r="D62" s="54"/>
      <c r="E62" s="44"/>
      <c r="F62" s="51"/>
      <c r="G62" s="52"/>
      <c r="H62" s="39"/>
      <c r="I62" s="39"/>
      <c r="J62" s="39"/>
      <c r="K62" s="44" t="s">
        <v>88</v>
      </c>
      <c r="L62" s="55">
        <f>L17*L21*L54*L23*L29/1000</f>
        <v>60.077304633128342</v>
      </c>
      <c r="M62" s="10" t="s">
        <v>24</v>
      </c>
      <c r="N62" s="11"/>
    </row>
    <row r="63" spans="2:14" ht="14.25">
      <c r="B63" s="8" t="str">
        <f>"- Khả năng chịu ép mặt của 1 bu lông:"</f>
        <v>- Khả năng chịu ép mặt của 1 bu lông:</v>
      </c>
      <c r="C63" s="54"/>
      <c r="D63" s="54"/>
      <c r="E63" s="44"/>
      <c r="F63" s="51"/>
      <c r="G63" s="48"/>
      <c r="H63" s="41"/>
      <c r="I63" s="41"/>
      <c r="J63" s="39"/>
      <c r="K63" s="44" t="s">
        <v>90</v>
      </c>
      <c r="L63" s="55">
        <f>L19*L20*MIN(L44,L53*L54)*L23*L29/1000</f>
        <v>59.0976</v>
      </c>
      <c r="M63" s="10" t="s">
        <v>24</v>
      </c>
      <c r="N63" s="11"/>
    </row>
    <row r="64" spans="2:14" ht="14.25">
      <c r="B64" s="8" t="str">
        <f>"- Khả năng huy động của 1 bu lông:"</f>
        <v>- Khả năng huy động của 1 bu lông:</v>
      </c>
      <c r="C64" s="54"/>
      <c r="D64" s="54"/>
      <c r="E64" s="44"/>
      <c r="F64" s="51"/>
      <c r="G64" s="48"/>
      <c r="H64" s="41"/>
      <c r="I64" s="41"/>
      <c r="J64" s="39"/>
      <c r="K64" s="44" t="s">
        <v>93</v>
      </c>
      <c r="L64" s="55">
        <f>MIN(L62,L63)</f>
        <v>59.0976</v>
      </c>
      <c r="M64" s="10" t="s">
        <v>24</v>
      </c>
      <c r="N64" s="11"/>
    </row>
    <row r="65" spans="2:14">
      <c r="B65" s="7" t="s">
        <v>91</v>
      </c>
      <c r="C65" s="54"/>
      <c r="D65" s="54"/>
      <c r="E65" s="44"/>
      <c r="F65" s="51"/>
      <c r="G65" s="52"/>
      <c r="H65" s="39"/>
      <c r="I65" s="39"/>
      <c r="J65" s="39"/>
      <c r="K65" s="44"/>
      <c r="L65" s="56"/>
      <c r="M65" s="10"/>
      <c r="N65" s="11"/>
    </row>
    <row r="66" spans="2:14" ht="14.25">
      <c r="B66" s="8" t="str">
        <f>"- Lực tác dụng lên một bu lông do lực cắt V:"</f>
        <v>- Lực tác dụng lên một bu lông do lực cắt V:</v>
      </c>
      <c r="C66" s="54"/>
      <c r="D66" s="54"/>
      <c r="E66" s="44"/>
      <c r="F66" s="51"/>
      <c r="G66" s="52"/>
      <c r="H66" s="39"/>
      <c r="I66" s="39"/>
      <c r="J66" s="39"/>
      <c r="K66" s="44" t="s">
        <v>92</v>
      </c>
      <c r="L66" s="55">
        <f>L57/(L47*L48)</f>
        <v>5</v>
      </c>
      <c r="M66" s="10" t="s">
        <v>24</v>
      </c>
      <c r="N66" s="11"/>
    </row>
    <row r="67" spans="2:14" ht="14.25">
      <c r="B67" s="8" t="str">
        <f>"- Lực tác dụng lên một bu lông do lực dọc N:"</f>
        <v>- Lực tác dụng lên một bu lông do lực dọc N:</v>
      </c>
      <c r="C67" s="54"/>
      <c r="D67" s="54"/>
      <c r="E67" s="44"/>
      <c r="F67" s="51"/>
      <c r="G67" s="52"/>
      <c r="H67" s="39"/>
      <c r="I67" s="39"/>
      <c r="J67" s="39"/>
      <c r="K67" s="44" t="s">
        <v>146</v>
      </c>
      <c r="L67" s="55">
        <f>L59/(L47*L48)</f>
        <v>5</v>
      </c>
      <c r="M67" s="10" t="s">
        <v>24</v>
      </c>
      <c r="N67" s="11"/>
    </row>
    <row r="68" spans="2:14" ht="15">
      <c r="B68" s="8" t="str">
        <f>"- Lực tác dụng lên một bu lông do do moment lệch tâm Me:"</f>
        <v>- Lực tác dụng lên một bu lông do do moment lệch tâm Me:</v>
      </c>
      <c r="C68" s="54"/>
      <c r="D68" s="54"/>
      <c r="E68" s="44"/>
      <c r="F68" s="51"/>
      <c r="G68" s="52"/>
      <c r="H68" s="39"/>
      <c r="I68" s="39"/>
      <c r="J68" s="39"/>
      <c r="K68" s="44" t="s">
        <v>96</v>
      </c>
      <c r="L68" s="55">
        <f>L58*D69/(L47*G69)*1000</f>
        <v>7.1428571428571423</v>
      </c>
      <c r="M68" s="10" t="s">
        <v>24</v>
      </c>
      <c r="N68" s="11"/>
    </row>
    <row r="69" spans="2:14" ht="15">
      <c r="B69" s="8"/>
      <c r="C69" s="44" t="s">
        <v>94</v>
      </c>
      <c r="D69" s="47">
        <f>L50*(L48-1)</f>
        <v>70</v>
      </c>
      <c r="E69" s="39" t="s">
        <v>4</v>
      </c>
      <c r="F69" s="48" t="s">
        <v>95</v>
      </c>
      <c r="G69" s="52" cm="1">
        <f t="array" ref="G69">DCETinhTongLi(L48,L50)</f>
        <v>4900</v>
      </c>
      <c r="H69" s="39" t="s">
        <v>6</v>
      </c>
      <c r="I69" s="39"/>
      <c r="J69" s="39"/>
      <c r="K69" s="44"/>
      <c r="L69" s="56"/>
      <c r="M69" s="10"/>
      <c r="N69" s="11"/>
    </row>
    <row r="70" spans="2:14" ht="14.25">
      <c r="B70" s="8" t="str">
        <f>"- Hợp lực do V và Me tác dụng lên 1 bu lông:"</f>
        <v>- Hợp lực do V và Me tác dụng lên 1 bu lông:</v>
      </c>
      <c r="C70" s="54"/>
      <c r="D70" s="54"/>
      <c r="E70" s="44"/>
      <c r="F70" s="51"/>
      <c r="G70" s="52"/>
      <c r="H70" s="39"/>
      <c r="I70" s="39"/>
      <c r="J70" s="39"/>
      <c r="K70" s="44" t="s">
        <v>98</v>
      </c>
      <c r="L70" s="55">
        <f>SQRT(L66^2+L68^2+L67^2)</f>
        <v>10.050890913907349</v>
      </c>
      <c r="M70" s="10" t="s">
        <v>24</v>
      </c>
      <c r="N70" s="11"/>
    </row>
    <row r="71" spans="2:14" ht="14.25">
      <c r="B71" s="8" t="str">
        <f>"- Tỷ số huy động cấu kiện:"</f>
        <v>- Tỷ số huy động cấu kiện:</v>
      </c>
      <c r="C71" s="39"/>
      <c r="D71" s="39"/>
      <c r="E71" s="44"/>
      <c r="F71" s="51"/>
      <c r="G71" s="52"/>
      <c r="H71" s="39"/>
      <c r="I71" s="39"/>
      <c r="J71" s="39"/>
      <c r="K71" s="44" t="s">
        <v>99</v>
      </c>
      <c r="L71" s="57">
        <f>L70/L64</f>
        <v>0.1700727426140376</v>
      </c>
      <c r="M71" s="14" t="str">
        <f>IF(L71&lt;=1,"OK","Check")</f>
        <v>OK</v>
      </c>
      <c r="N71" s="11"/>
    </row>
    <row r="72" spans="2:14" ht="12.75" customHeight="1">
      <c r="B72" s="7" t="s">
        <v>100</v>
      </c>
      <c r="C72" s="36"/>
      <c r="D72" s="36"/>
      <c r="E72" s="36"/>
      <c r="F72" s="36"/>
      <c r="G72" s="36"/>
      <c r="H72" s="37"/>
      <c r="I72" s="38"/>
      <c r="J72" s="36"/>
      <c r="K72" s="39"/>
      <c r="L72" s="39"/>
      <c r="M72" s="6"/>
      <c r="N72" s="11"/>
    </row>
    <row r="73" spans="2:14">
      <c r="B73" s="8" t="str">
        <f>"- Số mặt hàn:"</f>
        <v>- Số mặt hàn:</v>
      </c>
      <c r="C73" s="54"/>
      <c r="D73" s="54"/>
      <c r="E73" s="44"/>
      <c r="F73" s="51"/>
      <c r="G73" s="52"/>
      <c r="H73" s="39"/>
      <c r="I73" s="39"/>
      <c r="J73" s="39"/>
      <c r="K73" s="44" t="s">
        <v>25</v>
      </c>
      <c r="L73" s="41">
        <v>2</v>
      </c>
      <c r="M73" s="10" t="s">
        <v>102</v>
      </c>
      <c r="N73" s="11"/>
    </row>
    <row r="74" spans="2:14" ht="14.25">
      <c r="B74" s="8" t="str">
        <f>"- Chiều cao đường hàn bản mã với dầm:"</f>
        <v>- Chiều cao đường hàn bản mã với dầm:</v>
      </c>
      <c r="C74" s="54"/>
      <c r="D74" s="54"/>
      <c r="E74" s="44"/>
      <c r="F74" s="51"/>
      <c r="G74" s="52"/>
      <c r="H74" s="39"/>
      <c r="I74" s="39"/>
      <c r="J74" s="39"/>
      <c r="K74" s="44" t="s">
        <v>101</v>
      </c>
      <c r="L74" s="41">
        <v>8</v>
      </c>
      <c r="M74" s="10" t="s">
        <v>4</v>
      </c>
      <c r="N74" s="11"/>
    </row>
    <row r="75" spans="2:14" ht="14.25">
      <c r="B75" s="8" t="str">
        <f>"- Chiều dài đường hàn bản mã với dầm:"</f>
        <v>- Chiều dài đường hàn bản mã với dầm:</v>
      </c>
      <c r="C75" s="54"/>
      <c r="D75" s="54"/>
      <c r="E75" s="44"/>
      <c r="F75" s="44"/>
      <c r="G75" s="52"/>
      <c r="H75" s="39"/>
      <c r="I75" s="44"/>
      <c r="J75" s="52"/>
      <c r="K75" s="44" t="s">
        <v>103</v>
      </c>
      <c r="L75" s="41">
        <v>480</v>
      </c>
      <c r="M75" s="10" t="s">
        <v>4</v>
      </c>
      <c r="N75" s="11"/>
    </row>
    <row r="76" spans="2:14" ht="15">
      <c r="B76" s="8" t="str">
        <f>"- Diện tích tiết diện đường hàn:"</f>
        <v>- Diện tích tiết diện đường hàn:</v>
      </c>
      <c r="C76" s="54"/>
      <c r="D76" s="54"/>
      <c r="E76" s="44"/>
      <c r="F76" s="44"/>
      <c r="G76" s="52"/>
      <c r="H76" s="39"/>
      <c r="I76" s="39"/>
      <c r="J76" s="39"/>
      <c r="K76" s="44" t="s">
        <v>104</v>
      </c>
      <c r="L76" s="56">
        <f>L73*L74*(L75-10)</f>
        <v>7520</v>
      </c>
      <c r="M76" s="10" t="s">
        <v>6</v>
      </c>
      <c r="N76" s="11"/>
    </row>
    <row r="77" spans="2:14" ht="15">
      <c r="B77" s="8" t="str">
        <f>"- Moment kháng uốn tiết diện đường hàn:"</f>
        <v>- Moment kháng uốn tiết diện đường hàn:</v>
      </c>
      <c r="C77" s="39"/>
      <c r="D77" s="39"/>
      <c r="E77" s="44"/>
      <c r="F77" s="51"/>
      <c r="G77" s="52"/>
      <c r="H77" s="39"/>
      <c r="I77" s="39"/>
      <c r="J77" s="39"/>
      <c r="K77" s="44" t="s">
        <v>105</v>
      </c>
      <c r="L77" s="56">
        <f>L73*(L74*L75^2)/6</f>
        <v>614400</v>
      </c>
      <c r="M77" s="10" t="s">
        <v>6</v>
      </c>
      <c r="N77" s="11"/>
    </row>
    <row r="78" spans="2:14" ht="12.75" customHeight="1">
      <c r="B78" s="8" t="str">
        <f>"- Ứng suất pháp đường hàn:"</f>
        <v>- Ứng suất pháp đường hàn:</v>
      </c>
      <c r="C78" s="39"/>
      <c r="D78" s="39"/>
      <c r="E78" s="58"/>
      <c r="F78" s="59"/>
      <c r="G78" s="60"/>
      <c r="H78" s="61"/>
      <c r="I78" s="52"/>
      <c r="J78" s="39"/>
      <c r="K78" s="48" t="s">
        <v>106</v>
      </c>
      <c r="L78" s="62">
        <f>L58/L77*1000000</f>
        <v>0.81380208333333337</v>
      </c>
      <c r="M78" s="10" t="s">
        <v>2</v>
      </c>
    </row>
    <row r="79" spans="2:14" ht="12.75" customHeight="1">
      <c r="B79" s="8" t="str">
        <f>"- Ứng suất tiếp đường hàn:"</f>
        <v>- Ứng suất tiếp đường hàn:</v>
      </c>
      <c r="C79" s="39"/>
      <c r="D79" s="39"/>
      <c r="E79" s="58"/>
      <c r="F79" s="59"/>
      <c r="G79" s="60"/>
      <c r="H79" s="61"/>
      <c r="I79" s="52"/>
      <c r="J79" s="39"/>
      <c r="K79" s="48" t="s">
        <v>107</v>
      </c>
      <c r="L79" s="62">
        <f>L57*1000/L76</f>
        <v>1.3297872340425532</v>
      </c>
      <c r="M79" s="10" t="s">
        <v>2</v>
      </c>
    </row>
    <row r="80" spans="2:14" ht="12.75" customHeight="1">
      <c r="B80" s="8" t="str">
        <f>"- Ứng suất tương đương:"</f>
        <v>- Ứng suất tương đương:</v>
      </c>
      <c r="C80" s="39"/>
      <c r="D80" s="39"/>
      <c r="E80" s="58"/>
      <c r="F80" s="59"/>
      <c r="G80" s="60"/>
      <c r="H80" s="61"/>
      <c r="I80" s="52"/>
      <c r="J80" s="39"/>
      <c r="K80" s="48" t="s">
        <v>108</v>
      </c>
      <c r="L80" s="62">
        <f>SQRT(L78^2+3*L79^2)</f>
        <v>2.4428008707844575</v>
      </c>
      <c r="M80" s="10" t="s">
        <v>2</v>
      </c>
    </row>
    <row r="81" spans="2:14" ht="14.25">
      <c r="B81" s="8" t="str">
        <f>"- Tỷ số huy động cấu kiện:"</f>
        <v>- Tỷ số huy động cấu kiện:</v>
      </c>
      <c r="C81" s="39"/>
      <c r="D81" s="39"/>
      <c r="E81" s="44"/>
      <c r="F81" s="51"/>
      <c r="G81" s="52"/>
      <c r="H81" s="39"/>
      <c r="I81" s="39"/>
      <c r="J81" s="39"/>
      <c r="K81" s="48" t="s">
        <v>110</v>
      </c>
      <c r="L81" s="57">
        <f>L80/L36</f>
        <v>1.873169903216362E-2</v>
      </c>
      <c r="M81" s="14" t="str">
        <f>IF(L81&lt;=1,"OK","Check")</f>
        <v>OK</v>
      </c>
      <c r="N81" s="11"/>
    </row>
    <row r="82" spans="2:14" ht="12.75" customHeight="1">
      <c r="B82" s="7" t="s">
        <v>111</v>
      </c>
      <c r="C82" s="36"/>
      <c r="D82" s="36"/>
      <c r="E82" s="36"/>
      <c r="F82" s="36"/>
      <c r="G82" s="36"/>
      <c r="H82" s="37"/>
      <c r="I82" s="38"/>
      <c r="J82" s="36"/>
      <c r="K82" s="39"/>
      <c r="L82" s="39"/>
      <c r="M82" s="6"/>
      <c r="N82" s="11"/>
    </row>
    <row r="83" spans="2:14" ht="12.75" customHeight="1">
      <c r="B83" s="8" t="str">
        <f>"- Đặc trưng hình học bản thép:"</f>
        <v>- Đặc trưng hình học bản thép:</v>
      </c>
      <c r="C83" s="39"/>
      <c r="D83" s="39"/>
      <c r="E83" s="58"/>
      <c r="F83" s="59" t="s">
        <v>112</v>
      </c>
      <c r="G83" s="63">
        <f>L52*L53</f>
        <v>1200</v>
      </c>
      <c r="H83" s="64" t="s">
        <v>6</v>
      </c>
      <c r="I83" s="52"/>
      <c r="J83" s="39"/>
      <c r="K83" s="65" t="s">
        <v>113</v>
      </c>
      <c r="L83" s="66">
        <f>L53*L52^2/6</f>
        <v>30000</v>
      </c>
      <c r="M83" s="67" t="s">
        <v>27</v>
      </c>
    </row>
    <row r="84" spans="2:14" ht="12.75" customHeight="1">
      <c r="B84" s="8" t="str">
        <f>"- Ứng suất bản thép:"</f>
        <v>- Ứng suất bản thép:</v>
      </c>
      <c r="C84" s="39"/>
      <c r="D84" s="39"/>
      <c r="E84" s="58"/>
      <c r="F84" s="59"/>
      <c r="G84" s="60"/>
      <c r="H84" s="61"/>
      <c r="I84" s="52"/>
      <c r="J84" s="39"/>
      <c r="K84" s="48" t="s">
        <v>118</v>
      </c>
      <c r="L84" s="62">
        <f>L57*1000/G83+L58*1000000/L83</f>
        <v>25</v>
      </c>
      <c r="M84" s="10" t="s">
        <v>2</v>
      </c>
    </row>
    <row r="85" spans="2:14" ht="14.25">
      <c r="B85" s="8" t="str">
        <f>"- Tỷ số huy động cấu kiện:"</f>
        <v>- Tỷ số huy động cấu kiện:</v>
      </c>
      <c r="C85" s="39"/>
      <c r="D85" s="39"/>
      <c r="E85" s="44"/>
      <c r="F85" s="51"/>
      <c r="G85" s="52"/>
      <c r="H85" s="39"/>
      <c r="I85" s="39"/>
      <c r="J85" s="39"/>
      <c r="K85" s="48" t="s">
        <v>119</v>
      </c>
      <c r="L85" s="57">
        <f>L84/(L29*L28)</f>
        <v>0.10937500000000001</v>
      </c>
      <c r="M85" s="14" t="str">
        <f>IF(L85&lt;=1,"OK","Check")</f>
        <v>OK</v>
      </c>
      <c r="N85" s="11"/>
    </row>
    <row r="86" spans="2:14">
      <c r="B86" s="15" t="s">
        <v>28</v>
      </c>
      <c r="C86" s="39"/>
      <c r="D86" s="39"/>
      <c r="E86" s="68"/>
      <c r="F86" s="69"/>
      <c r="G86" s="47"/>
      <c r="H86" s="47"/>
      <c r="I86" s="70"/>
      <c r="J86" s="48"/>
      <c r="K86" s="62"/>
      <c r="L86" s="39"/>
      <c r="M86" s="9"/>
    </row>
    <row r="87" spans="2:14">
      <c r="B87" s="16"/>
      <c r="C87" s="17"/>
      <c r="D87" s="17"/>
      <c r="E87" s="18"/>
      <c r="F87" s="19"/>
      <c r="G87" s="20"/>
      <c r="H87" s="20"/>
      <c r="I87" s="21"/>
      <c r="J87" s="22"/>
      <c r="K87" s="23"/>
      <c r="L87" s="23"/>
      <c r="M87" s="24"/>
    </row>
    <row r="127" spans="2:3">
      <c r="B127" s="1">
        <v>0.25</v>
      </c>
      <c r="C127" s="1">
        <v>1.19</v>
      </c>
    </row>
    <row r="128" spans="2:3">
      <c r="B128" s="1">
        <v>0.5</v>
      </c>
      <c r="C128" s="1">
        <v>1.1200000000000001</v>
      </c>
    </row>
    <row r="129" spans="2:4">
      <c r="B129" s="1">
        <v>1</v>
      </c>
      <c r="C129" s="1">
        <v>1.07</v>
      </c>
    </row>
    <row r="130" spans="2:4">
      <c r="B130" s="1">
        <v>2</v>
      </c>
      <c r="C130" s="1">
        <v>1.04</v>
      </c>
      <c r="D130" s="1" t="e" cm="1">
        <f t="array" aca="1" ref="D130" ca="1">noisuy1chieu(#REF!,B127:B130,C127:C130)</f>
        <v>#NAME?</v>
      </c>
    </row>
  </sheetData>
  <mergeCells count="4">
    <mergeCell ref="B60:D60"/>
    <mergeCell ref="B11:J12"/>
    <mergeCell ref="K11:M12"/>
    <mergeCell ref="B13:D13"/>
  </mergeCells>
  <conditionalFormatting sqref="F86:F87">
    <cfRule type="containsText" dxfId="4" priority="19" operator="containsText" text="OK">
      <formula>NOT(ISERROR(SEARCH("OK",F86)))</formula>
    </cfRule>
  </conditionalFormatting>
  <conditionalFormatting sqref="M71 M81">
    <cfRule type="containsText" dxfId="3" priority="15" operator="containsText" text="Check">
      <formula>NOT(ISERROR(SEARCH("Check",M71)))</formula>
    </cfRule>
    <cfRule type="containsText" dxfId="2" priority="16" operator="containsText" text="OK">
      <formula>NOT(ISERROR(SEARCH("OK",M71)))</formula>
    </cfRule>
  </conditionalFormatting>
  <conditionalFormatting sqref="M85">
    <cfRule type="containsText" dxfId="1" priority="1" operator="containsText" text="Check">
      <formula>NOT(ISERROR(SEARCH("Check",M85)))</formula>
    </cfRule>
    <cfRule type="containsText" dxfId="0" priority="2" operator="containsText" text="OK">
      <formula>NOT(ISERROR(SEARCH("OK",M85)))</formula>
    </cfRule>
  </conditionalFormatting>
  <dataValidations count="2">
    <dataValidation type="list" allowBlank="1" showInputMessage="1" showErrorMessage="1" sqref="L47" xr:uid="{8A2FF957-47E6-44DF-8AFF-B26E96D81B4E}">
      <formula1>"1,2"</formula1>
    </dataValidation>
    <dataValidation type="list" allowBlank="1" showInputMessage="1" showErrorMessage="1" sqref="M16" xr:uid="{A62B5363-9F30-4799-8226-D7CB0009279F}">
      <formula1>"A,B"</formula1>
    </dataValidation>
  </dataValidation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B78" formula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D8FD0C9-3064-4C01-BE0D-BF7AC6584D18}">
          <x14:formula1>
            <xm:f>Data!$G$4:$G$8</xm:f>
          </x14:formula1>
          <xm:sqref>L16</xm:sqref>
        </x14:dataValidation>
        <x14:dataValidation type="list" allowBlank="1" showInputMessage="1" showErrorMessage="1" xr:uid="{8BF0BE00-DFA4-4910-8E77-E4DF2BD4D291}">
          <x14:formula1>
            <xm:f>Data!$H$31:$Q$31</xm:f>
          </x14:formula1>
          <xm:sqref>L20</xm:sqref>
        </x14:dataValidation>
        <x14:dataValidation type="list" allowBlank="1" showInputMessage="1" showErrorMessage="1" xr:uid="{0F84600D-F1C5-475F-8EC1-94C34E1A4A47}">
          <x14:formula1>
            <xm:f>Data!$A$3:$A$99</xm:f>
          </x14:formula1>
          <xm:sqref>L25</xm:sqref>
        </x14:dataValidation>
        <x14:dataValidation type="list" allowBlank="1" showInputMessage="1" showErrorMessage="1" xr:uid="{9EA4955E-EBA1-4B75-84B0-A21FD53146E3}">
          <x14:formula1>
            <xm:f>Data!$L$39:$L$43</xm:f>
          </x14:formula1>
          <xm:sqref>L31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toan huynh vu minh</cp:lastModifiedBy>
  <dcterms:created xsi:type="dcterms:W3CDTF">2015-06-05T18:17:20Z</dcterms:created>
  <dcterms:modified xsi:type="dcterms:W3CDTF">2026-06-28T13:00:56Z</dcterms:modified>
</cp:coreProperties>
</file>