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C197A82D-C90B-4720-9FFE-6D1606AA94C4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1" r:id="rId1"/>
    <sheet name="Cal" sheetId="2" r:id="rId2"/>
  </sheets>
  <definedNames>
    <definedName name="_xlnm._FilterDatabase" localSheetId="1" hidden="1">Cal!#REF!</definedName>
    <definedName name="_xleta.COT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SINGLE" hidden="1" xlm="1">#NAME?</definedName>
    <definedName name="_xlnm.Print_Area" localSheetId="1">Cal!$I$11:$T$85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9" i="2" l="1"/>
  <c r="S28" i="2"/>
  <c r="S27" i="2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DI23" i="2"/>
  <c r="AI23" i="2" l="1"/>
  <c r="S51" i="2"/>
  <c r="CZ11" i="2"/>
  <c r="EM23" i="2"/>
  <c r="EO23" i="2" s="1"/>
  <c r="DO23" i="2"/>
  <c r="DX23" i="2" s="1"/>
  <c r="DN23" i="2"/>
  <c r="DM23" i="2"/>
  <c r="DL23" i="2"/>
  <c r="DK23" i="2"/>
  <c r="DJ23" i="2" a="1"/>
  <c r="DJ23" i="2" s="1"/>
  <c r="EC23" i="2" s="1"/>
  <c r="DJ16" i="2"/>
  <c r="DF16" i="2"/>
  <c r="DJ15" i="2"/>
  <c r="DF15" i="2"/>
  <c r="DJ14" i="2"/>
  <c r="DF14" i="2"/>
  <c r="BM23" i="2"/>
  <c r="BO23" i="2" s="1"/>
  <c r="EG23" i="2" l="1"/>
  <c r="DZ23" i="2"/>
  <c r="DY23" i="2"/>
  <c r="DW23" i="2"/>
  <c r="EN23" i="2"/>
  <c r="EB23" i="2"/>
  <c r="ER23" i="2"/>
  <c r="ES23" i="2" s="1"/>
  <c r="EJ23" i="2" a="1"/>
  <c r="EI23" i="2" a="1"/>
  <c r="EI23" i="2" l="1"/>
  <c r="EJ23" i="2"/>
  <c r="EP23" i="2"/>
  <c r="ET23" i="2" l="1"/>
  <c r="EK23" i="2"/>
  <c r="AO23" i="2" l="1"/>
  <c r="AN23" i="2"/>
  <c r="AM23" i="2"/>
  <c r="AL23" i="2"/>
  <c r="AK23" i="2"/>
  <c r="AJ23" i="2" a="1"/>
  <c r="AJ23" i="2" s="1"/>
  <c r="BC23" i="2" s="1"/>
  <c r="BN23" i="2" s="1"/>
  <c r="BG23" i="2" l="1"/>
  <c r="BR23" i="2"/>
  <c r="BS23" i="2" s="1"/>
  <c r="AY23" i="2"/>
  <c r="AZ23" i="2"/>
  <c r="BB23" i="2"/>
  <c r="AF16" i="2"/>
  <c r="AF15" i="2"/>
  <c r="AF14" i="2"/>
  <c r="BJ23" i="2" a="1"/>
  <c r="BI23" i="2" a="1"/>
  <c r="BI23" i="2" l="1"/>
  <c r="BJ23" i="2"/>
  <c r="BP23" i="2"/>
  <c r="S52" i="2" a="1"/>
  <c r="S52" i="2" s="1"/>
  <c r="G41" i="2" a="1"/>
  <c r="G41" i="2" s="1"/>
  <c r="S50" i="2" s="1"/>
  <c r="BT23" i="2" l="1"/>
  <c r="BK23" i="2"/>
  <c r="S46" i="2"/>
  <c r="S47" i="2"/>
  <c r="S48" i="2"/>
  <c r="S20" i="2"/>
  <c r="N93" i="2" l="1"/>
  <c r="O92" i="2"/>
  <c r="O91" i="2"/>
  <c r="S73" i="2" l="1"/>
  <c r="S75" i="2" s="1"/>
  <c r="I70" i="2"/>
  <c r="S49" i="2" l="1"/>
  <c r="S67" i="2" s="1"/>
  <c r="S18" i="2"/>
  <c r="S17" i="2"/>
  <c r="AJ14" i="2" l="1"/>
  <c r="S19" i="2"/>
  <c r="AJ15" i="2"/>
  <c r="I85" i="2" l="1"/>
  <c r="M92" i="2"/>
  <c r="M93" i="2"/>
  <c r="Q93" i="2" s="1"/>
  <c r="R93" i="2" s="1"/>
  <c r="N92" i="2"/>
  <c r="N91" i="2"/>
  <c r="M91" i="2"/>
  <c r="P91" i="2" s="1"/>
  <c r="I84" i="2"/>
  <c r="Q91" i="2" l="1"/>
  <c r="R91" i="2" s="1"/>
  <c r="P92" i="2"/>
  <c r="Q92" i="2" s="1"/>
  <c r="R92" i="2" s="1"/>
  <c r="P93" i="2"/>
  <c r="I83" i="2"/>
  <c r="I81" i="2"/>
  <c r="I78" i="2"/>
  <c r="I77" i="2"/>
  <c r="I79" i="2"/>
  <c r="I80" i="2"/>
  <c r="I76" i="2"/>
  <c r="I75" i="2"/>
  <c r="I74" i="2"/>
  <c r="I73" i="2"/>
  <c r="I71" i="2"/>
  <c r="I65" i="2"/>
  <c r="S24" i="2"/>
  <c r="J24" i="2"/>
  <c r="J23" i="2"/>
  <c r="S23" i="2"/>
  <c r="S53" i="2"/>
  <c r="S74" i="2" s="1"/>
  <c r="M52" i="2"/>
  <c r="L52" i="2"/>
  <c r="H11" i="2"/>
  <c r="I54" i="2" a="1"/>
  <c r="N52" i="2" a="1"/>
  <c r="M54" i="2" a="1"/>
  <c r="N54" i="2" a="1"/>
  <c r="L54" i="2" a="1"/>
  <c r="K54" i="2" a="1"/>
  <c r="J54" i="2" a="1"/>
  <c r="N52" i="2" l="1"/>
  <c r="I54" i="2"/>
  <c r="J54" i="2"/>
  <c r="K54" i="2"/>
  <c r="L54" i="2"/>
  <c r="M54" i="2"/>
  <c r="N54" i="2"/>
  <c r="EF23" i="2"/>
  <c r="EL23" i="2" s="1"/>
  <c r="BF23" i="2"/>
  <c r="BL23" i="2" s="1"/>
  <c r="EE23" i="2"/>
  <c r="BE23" i="2"/>
  <c r="S83" i="2"/>
  <c r="S78" i="2"/>
  <c r="S79" i="2" s="1"/>
  <c r="S64" i="2"/>
  <c r="S85" i="2"/>
  <c r="S84" i="2"/>
  <c r="J30" i="2"/>
  <c r="I87" i="2"/>
  <c r="I86" i="2"/>
  <c r="I67" i="2"/>
  <c r="S54" i="2" l="1"/>
  <c r="S70" i="2" s="1"/>
  <c r="S86" i="2"/>
  <c r="S76" i="2"/>
  <c r="S80" i="2" s="1"/>
  <c r="T79" i="2"/>
  <c r="I63" i="2"/>
  <c r="J21" i="2"/>
  <c r="I64" i="2"/>
  <c r="S35" i="2"/>
  <c r="S34" i="2"/>
  <c r="AJ16" i="2" s="1"/>
  <c r="S36" i="2"/>
  <c r="S29" i="2"/>
  <c r="S77" i="2" l="1"/>
  <c r="T77" i="2" s="1"/>
  <c r="EQ23" i="2"/>
  <c r="EU23" i="2"/>
  <c r="BQ23" i="2"/>
  <c r="BU23" i="2"/>
  <c r="S81" i="2"/>
  <c r="T81" i="2" s="1"/>
  <c r="S38" i="2"/>
  <c r="J26" i="2"/>
  <c r="S22" i="2"/>
  <c r="S65" i="2" s="1"/>
  <c r="S71" i="2" s="1"/>
  <c r="Q33" i="1"/>
  <c r="P33" i="1"/>
  <c r="O33" i="1"/>
  <c r="N33" i="1"/>
  <c r="M33" i="1"/>
  <c r="L33" i="1"/>
  <c r="K33" i="1"/>
  <c r="J33" i="1"/>
  <c r="I33" i="1"/>
  <c r="H33" i="1"/>
  <c r="G15" i="1"/>
  <c r="G16" i="1" s="1"/>
  <c r="G17" i="1" s="1"/>
  <c r="G19" i="1" s="1"/>
  <c r="G20" i="1" s="1"/>
  <c r="G21" i="1" s="1"/>
  <c r="G22" i="1" s="1"/>
  <c r="G23" i="1" s="1"/>
  <c r="G24" i="1" s="1"/>
  <c r="J19" i="2"/>
  <c r="J18" i="2"/>
  <c r="J17" i="2"/>
  <c r="S21" i="2" l="1"/>
  <c r="S63" i="2" s="1"/>
  <c r="S68" i="2" s="1"/>
  <c r="EA23" i="2"/>
  <c r="ED23" i="2" s="1"/>
  <c r="EH23" i="2" s="1"/>
  <c r="BA23" i="2"/>
  <c r="BD23" i="2" s="1"/>
  <c r="BH23" i="2" s="1"/>
  <c r="EV23" i="2"/>
  <c r="BV23" i="2"/>
  <c r="S87" i="2"/>
  <c r="T87" i="2" s="1"/>
  <c r="T71" i="2"/>
  <c r="K127" i="2" a="1"/>
  <c r="K127" i="2" s="1"/>
  <c r="I68" i="2"/>
  <c r="J38" i="2"/>
  <c r="J37" i="2"/>
  <c r="J36" i="2"/>
  <c r="J35" i="2"/>
  <c r="J34" i="2"/>
  <c r="J33" i="2"/>
  <c r="J31" i="2"/>
  <c r="J29" i="2"/>
  <c r="J28" i="2"/>
  <c r="J27" i="2"/>
  <c r="J22" i="2"/>
  <c r="J20" i="2"/>
  <c r="J16" i="2"/>
  <c r="Z11" i="2"/>
  <c r="T6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H11" authorId="0" shapeId="0" xr:uid="{B437427E-B849-4E23-ACFD-BE38C16567DC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0" shapeId="0" xr:uid="{1DC04EFE-5F1D-4170-B91B-7ACBC8FF1B4A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CZ11" authorId="0" shapeId="0" xr:uid="{3D504DE2-47C3-431B-81F5-64E5C5CED556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T16" authorId="0" shapeId="0" xr:uid="{672ECFFB-D0A4-4042-B330-BC3254D42E25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S19" authorId="0" shapeId="0" xr:uid="{4D3F6E16-1DCC-4010-A65D-C7386BE27BE3}">
      <text>
        <r>
          <rPr>
            <b/>
            <sz val="9"/>
            <color indexed="81"/>
            <rFont val="Tahoma"/>
            <family val="2"/>
          </rPr>
          <t>Toàn
TCVN 5575-2024
Bảng 5, CT mục 3</t>
        </r>
      </text>
    </comment>
    <comment ref="S45" authorId="0" shapeId="0" xr:uid="{DE51B097-AEBD-4F02-8E60-19A42C229B56}">
      <text>
        <r>
          <rPr>
            <b/>
            <sz val="9"/>
            <color indexed="81"/>
            <rFont val="Tahoma"/>
            <family val="2"/>
          </rPr>
          <t>Toàn:
Khoảng cách từ mép I đến mép bản bích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6" authorId="0" shapeId="0" xr:uid="{195DC141-9BE8-44B8-9478-054820047599}">
      <text>
        <r>
          <rPr>
            <b/>
            <sz val="9"/>
            <color indexed="81"/>
            <rFont val="Tahoma"/>
            <family val="2"/>
          </rPr>
          <t>Phạm vi bố trí trong HCN bên trái nét đứt
Hình minh họa: 8 con</t>
        </r>
      </text>
    </comment>
    <comment ref="S47" authorId="0" shapeId="0" xr:uid="{96A22DFC-CAC0-4955-86C5-2C0D37ECA755}">
      <text>
        <r>
          <rPr>
            <b/>
            <sz val="9"/>
            <color indexed="81"/>
            <rFont val="Tahoma"/>
            <family val="2"/>
          </rPr>
          <t>Bu lông bố trí cân bằng 2 bên
Thông thường là 0 hoặc 2 con hoặc sườn tăng cứng
Hình minh họa: 2 con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8" authorId="0" shapeId="0" xr:uid="{6DADD322-8C7A-43CD-AC13-2297526B31F4}">
      <text>
        <r>
          <rPr>
            <b/>
            <sz val="9"/>
            <color indexed="81"/>
            <rFont val="Tahoma"/>
            <family val="2"/>
          </rPr>
          <t>Phạm vi bố trí trong HCN bên phải nét đứt
Hình minh họa: 6 con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60" authorId="0" shapeId="0" xr:uid="{C20B1962-1D44-449F-BF0B-7B1E5C3C6B49}">
      <text>
        <r>
          <rPr>
            <sz val="9"/>
            <color indexed="81"/>
            <rFont val="Tahoma"/>
            <family val="2"/>
          </rPr>
          <t xml:space="preserve">Toàn:
N &gt; 0: Lực kéo
N &lt; 0: Lực nén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<sst xmlns="http://schemas.openxmlformats.org/spreadsheetml/2006/main" count="468" uniqueCount="229">
  <si>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</si>
  <si>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</si>
  <si>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</si>
  <si>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</si>
  <si>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</si>
  <si>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</si>
  <si>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</si>
  <si>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</si>
  <si>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</si>
  <si>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</si>
  <si>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</si>
  <si>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</si>
  <si>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</si>
  <si>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</si>
  <si>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</si>
  <si>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</si>
  <si>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</si>
  <si>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</si>
  <si>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</si>
  <si>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</si>
  <si>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</si>
  <si>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kNm</t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</si>
  <si>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</si>
  <si>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</si>
  <si>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</si>
  <si>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</si>
  <si>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</si>
  <si>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</si>
  <si>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r>
      <t>Bảng C.5 Cường độ chịu ép mặt tính toán f</t>
    </r>
    <r>
      <rPr>
        <b/>
        <vertAlign val="subscript"/>
        <sz val="10"/>
        <color theme="0"/>
        <rFont val="Calibri"/>
        <family val="2"/>
        <scheme val="minor"/>
      </rPr>
      <t>cb</t>
    </r>
    <r>
      <rPr>
        <b/>
        <sz val="10"/>
        <color theme="0"/>
        <rFont val="Calibri"/>
        <family val="2"/>
        <scheme val="minor"/>
      </rPr>
      <t xml:space="preserve"> của các cấu kiện được liên kết bằng bu lông</t>
    </r>
  </si>
  <si>
    <t>A</t>
  </si>
  <si>
    <t>B</t>
  </si>
  <si>
    <t>fcb (MPa)</t>
  </si>
  <si>
    <t>Bảng C.6 Diện tích tiết diện bu lông</t>
  </si>
  <si>
    <t>D</t>
  </si>
  <si>
    <t>p</t>
  </si>
  <si>
    <t>Ab</t>
  </si>
  <si>
    <t>Abn</t>
  </si>
  <si>
    <t>z</t>
  </si>
  <si>
    <r>
      <t>f</t>
    </r>
    <r>
      <rPr>
        <vertAlign val="subscript"/>
        <sz val="11"/>
        <color theme="1"/>
        <rFont val="Calibri"/>
        <family val="2"/>
        <scheme val="minor"/>
      </rPr>
      <t>vb</t>
    </r>
  </si>
  <si>
    <r>
      <t>f</t>
    </r>
    <r>
      <rPr>
        <vertAlign val="subscript"/>
        <sz val="11"/>
        <color theme="1"/>
        <rFont val="Calibri"/>
        <family val="2"/>
        <scheme val="minor"/>
      </rPr>
      <t>tb</t>
    </r>
  </si>
  <si>
    <r>
      <t>f</t>
    </r>
    <r>
      <rPr>
        <vertAlign val="subscript"/>
        <sz val="11"/>
        <color theme="1"/>
        <rFont val="Calibri"/>
        <family val="2"/>
        <scheme val="minor"/>
      </rPr>
      <t>yb</t>
    </r>
  </si>
  <si>
    <r>
      <t>f</t>
    </r>
    <r>
      <rPr>
        <vertAlign val="subscript"/>
        <sz val="11"/>
        <color theme="1"/>
        <rFont val="Calibri"/>
        <family val="2"/>
        <scheme val="minor"/>
      </rPr>
      <t>ub</t>
    </r>
  </si>
  <si>
    <r>
      <t>f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
(MPa)</t>
    </r>
  </si>
  <si>
    <t>2. Thông số liên kết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</si>
  <si>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</si>
  <si>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</si>
  <si>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</si>
  <si>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</si>
  <si>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</si>
  <si>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</si>
  <si>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</si>
  <si>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</si>
  <si>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</si>
  <si>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</si>
  <si>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</si>
  <si>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</si>
  <si>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</si>
  <si>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</si>
  <si>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</si>
  <si>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</si>
  <si>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</si>
  <si>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</si>
  <si>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</si>
  <si>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</si>
  <si>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</si>
  <si>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</si>
  <si>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</si>
  <si>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</si>
  <si>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</si>
  <si>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</si>
  <si>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</si>
  <si>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</si>
  <si>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</si>
  <si>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</si>
  <si>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</si>
  <si>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</si>
  <si>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</si>
  <si>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</si>
  <si>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</si>
  <si>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1. Kiểm tra liên kết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</si>
  <si>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</si>
  <si>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</si>
  <si>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</si>
  <si>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</si>
  <si>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bu lông</t>
  </si>
  <si>
    <t>F</t>
  </si>
  <si>
    <t>C</t>
  </si>
  <si>
    <t>P</t>
  </si>
  <si>
    <t>Bảng tra khoảng cách bu lông</t>
  </si>
  <si>
    <t>EQ</t>
  </si>
  <si>
    <t>Khoảng cách, G =</t>
  </si>
  <si>
    <r>
      <t>Chiều cao đường hàn bản mã với cánh dầm, h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</si>
  <si>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Chiều cao đường hàn bản mã với bụng dầm, 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 xml:space="preserve"> =</t>
    </r>
  </si>
  <si>
    <t>Bề rộng bản đế</t>
  </si>
  <si>
    <t>W</t>
  </si>
  <si>
    <r>
      <t>h</t>
    </r>
    <r>
      <rPr>
        <vertAlign val="subscript"/>
        <sz val="10"/>
        <color theme="1"/>
        <rFont val="Calibri"/>
        <family val="2"/>
        <scheme val="minor"/>
      </rPr>
      <t>1</t>
    </r>
  </si>
  <si>
    <r>
      <t>h</t>
    </r>
    <r>
      <rPr>
        <vertAlign val="subscript"/>
        <sz val="10"/>
        <color theme="1"/>
        <rFont val="Calibri"/>
        <family val="2"/>
        <scheme val="minor"/>
      </rPr>
      <t>2</t>
    </r>
  </si>
  <si>
    <r>
      <t>h</t>
    </r>
    <r>
      <rPr>
        <vertAlign val="subscript"/>
        <sz val="10"/>
        <color theme="1"/>
        <rFont val="Calibri"/>
        <family val="2"/>
        <scheme val="minor"/>
      </rPr>
      <t>3</t>
    </r>
  </si>
  <si>
    <r>
      <t>h</t>
    </r>
    <r>
      <rPr>
        <vertAlign val="subscript"/>
        <sz val="10"/>
        <color theme="1"/>
        <rFont val="Calibri"/>
        <family val="2"/>
        <scheme val="minor"/>
      </rPr>
      <t>4</t>
    </r>
  </si>
  <si>
    <r>
      <t>h</t>
    </r>
    <r>
      <rPr>
        <vertAlign val="subscript"/>
        <sz val="10"/>
        <color theme="1"/>
        <rFont val="Calibri"/>
        <family val="2"/>
        <scheme val="minor"/>
      </rPr>
      <t>5</t>
    </r>
  </si>
  <si>
    <r>
      <t>h</t>
    </r>
    <r>
      <rPr>
        <vertAlign val="subscript"/>
        <sz val="10"/>
        <color theme="1"/>
        <rFont val="Calibri"/>
        <family val="2"/>
        <scheme val="minor"/>
      </rPr>
      <t>6</t>
    </r>
  </si>
  <si>
    <r>
      <t>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bn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</si>
  <si>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1.1. Kiểm tra khả năng chịu cắt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</si>
  <si>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/min(N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,N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)=</t>
    </r>
  </si>
  <si>
    <t>1.2. Kiểm tra khả năng chịu kéo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</si>
  <si>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/N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=</t>
    </r>
  </si>
  <si>
    <t>1.3. Kiểm tra chiều dày mặt bích</t>
  </si>
  <si>
    <r>
      <t>Chiều cao mặt bích, 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</si>
  <si>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Chiều dày mặt bích, 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</si>
  <si>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Bề rộng mặt bích, B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</si>
  <si>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t>Chiều cao tiết diện, h =</t>
  </si>
  <si>
    <t>Bề rộng bản cánh, b =</t>
  </si>
  <si>
    <r>
      <t>Chiều dày bản bụng, 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</si>
  <si>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cánh, 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</si>
  <si>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</si>
  <si>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=P*G/8=</t>
    </r>
  </si>
  <si>
    <r>
      <t>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=P/2=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</si>
  <si>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</si>
  <si>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</si>
  <si>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= (</t>
    </r>
    <r>
      <rPr>
        <sz val="10"/>
        <color theme="1"/>
        <rFont val="Symbol"/>
        <family val="1"/>
        <charset val="2"/>
      </rPr>
      <t>s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+3</t>
    </r>
    <r>
      <rPr>
        <sz val="10"/>
        <color theme="1"/>
        <rFont val="Symbol"/>
        <family val="1"/>
        <charset val="2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</si>
  <si>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/(1.15.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</si>
  <si>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  6M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</si>
  <si>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 = 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</si>
  <si>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t>1.4. Kiểm tra liên kết hàn bản mã với dầm</t>
  </si>
  <si>
    <r>
      <t>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</si>
  <si>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Mặt ngoài cánh</t>
  </si>
  <si>
    <t>Mặt trong cánh</t>
  </si>
  <si>
    <t>Bụng</t>
  </si>
  <si>
    <t>b</t>
  </si>
  <si>
    <t>h</t>
  </si>
  <si>
    <t>d</t>
  </si>
  <si>
    <t>d: Cánh tay đòn từ tâm đến trục trung hòa</t>
  </si>
  <si>
    <t>Số lượng</t>
  </si>
  <si>
    <t>J</t>
  </si>
  <si>
    <r>
      <t>J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</si>
  <si>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</si>
  <si>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</si>
  <si>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Thông số đường hàn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</si>
  <si>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=[(M/W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+N/A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+(V/A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]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</si>
  <si>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/[(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]</t>
    </r>
    <r>
      <rPr>
        <sz val="10"/>
        <color theme="1"/>
        <rFont val="Calibri"/>
        <family val="1"/>
        <charset val="2"/>
        <scheme val="minor"/>
      </rPr>
      <t>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</si>
  <si>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</si>
  <si>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THIẾT KẾ LIÊN KẾT MẶT BÍCH ĐỈNH KÈO THEO TCVN 5575:2024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</si>
  <si>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</si>
  <si>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</si>
  <si>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</si>
  <si>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</si>
  <si>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</si>
  <si>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</si>
  <si>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</si>
  <si>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</si>
  <si>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1.2 Mặt bích liên kết:</t>
  </si>
  <si>
    <t>Số lượng bu lông bên trái =</t>
  </si>
  <si>
    <t>Số lượng bu lông giữa =</t>
  </si>
  <si>
    <t>Số lượng bu lông bên phải =</t>
  </si>
  <si>
    <t>Tổng số bu lông, n =</t>
  </si>
  <si>
    <t>G</t>
  </si>
  <si>
    <t>Khoảng cách
bu lông (mm)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</si>
  <si>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 V/n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</si>
  <si>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= M.l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/(m.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Symbol"/>
        <family val="1"/>
        <charset val="2"/>
      </rPr>
      <t xml:space="preserve"> ± N</t>
    </r>
    <r>
      <rPr>
        <sz val="10"/>
        <color theme="1"/>
        <rFont val="Calibri"/>
        <family val="2"/>
      </rPr>
      <t>/n</t>
    </r>
    <r>
      <rPr>
        <sz val="10"/>
        <color theme="1"/>
        <rFont val="Calibri"/>
        <family val="2"/>
        <scheme val="minor"/>
      </rPr>
      <t xml:space="preserve"> =</t>
    </r>
  </si>
  <si>
    <r>
      <t xml:space="preserve">P = M/h </t>
    </r>
    <r>
      <rPr>
        <sz val="10"/>
        <color theme="1"/>
        <rFont val="Symbol"/>
        <family val="1"/>
        <charset val="2"/>
      </rPr>
      <t xml:space="preserve">± </t>
    </r>
    <r>
      <rPr>
        <sz val="10"/>
        <color theme="1"/>
        <rFont val="Calibri"/>
        <family val="2"/>
        <scheme val="minor"/>
      </rPr>
      <t>N=</t>
    </r>
  </si>
  <si>
    <t>Bảng tra bản bích</t>
  </si>
  <si>
    <r>
      <t>H</t>
    </r>
    <r>
      <rPr>
        <vertAlign val="subscript"/>
        <sz val="11"/>
        <color theme="1"/>
        <rFont val="Calibri"/>
        <family val="2"/>
        <scheme val="minor"/>
      </rPr>
      <t>ck</t>
    </r>
  </si>
  <si>
    <t>thk</t>
  </si>
  <si>
    <t>n trái</t>
  </si>
  <si>
    <t>n giữa</t>
  </si>
  <si>
    <t>n phải</t>
  </si>
  <si>
    <t>Phần tử</t>
  </si>
  <si>
    <t>Vị trí</t>
  </si>
  <si>
    <t>Tổ hợp</t>
  </si>
  <si>
    <t>N</t>
  </si>
  <si>
    <t>V</t>
  </si>
  <si>
    <t>M</t>
  </si>
  <si>
    <t>(m)</t>
  </si>
  <si>
    <t>(kN)</t>
  </si>
  <si>
    <t>(kNm)</t>
  </si>
  <si>
    <t>1_ULS37</t>
  </si>
  <si>
    <t>BẢNG TỔNG HỢP CHI TIẾT  - THUYẾT MINH LIÊN KẾT MẶT BÍCH</t>
  </si>
  <si>
    <t>(Theo TCVN 5575-2024)</t>
  </si>
  <si>
    <t>A. THÔNG SỐ THIẾT KẾ</t>
  </si>
  <si>
    <t>1.1 Bu lông</t>
  </si>
  <si>
    <t>1.2 Thép tấm</t>
  </si>
  <si>
    <t>B. TÍNH TOÁN</t>
  </si>
  <si>
    <t>Thông số cấu kiện</t>
  </si>
  <si>
    <t>Thông số bản bích</t>
  </si>
  <si>
    <t>Thông số lực</t>
  </si>
  <si>
    <t>Thông số bu lông</t>
  </si>
  <si>
    <t>Kiểm tra 
N bu lông</t>
  </si>
  <si>
    <t>Kiểm tra V</t>
  </si>
  <si>
    <t>Kiểm tra M</t>
  </si>
  <si>
    <t>Kiểm tra chiều dày mặt bích</t>
  </si>
  <si>
    <t>Tên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</si>
  <si>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</si>
  <si>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</si>
  <si>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</si>
  <si>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</si>
  <si>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</si>
  <si>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t>Bu lông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</si>
  <si>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</si>
  <si>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</si>
  <si>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</si>
  <si>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</si>
  <si>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</si>
  <si>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</si>
  <si>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</si>
  <si>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</si>
  <si>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cb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</si>
  <si>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tb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</si>
  <si>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</t>
    </r>
  </si>
  <si>
    <t>D/C</t>
  </si>
  <si>
    <t>hmax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</si>
  <si>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</si>
  <si>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</si>
  <si>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</si>
  <si>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</si>
  <si>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</si>
  <si>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rPr>
        <b/>
        <sz val="10"/>
        <color rgb="FF0070C0"/>
        <rFont val="Symbol"/>
        <family val="1"/>
        <charset val="2"/>
      </rPr>
      <t>t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</si>
  <si>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s</t>
    </r>
    <r>
      <rPr>
        <b/>
        <vertAlign val="subscript"/>
        <sz val="10"/>
        <color rgb="FF0070C0"/>
        <rFont val="Calibri"/>
        <family val="2"/>
        <scheme val="minor"/>
      </rPr>
      <t>tđ</t>
    </r>
  </si>
  <si>
    <t>(mm)</t>
  </si>
  <si>
    <t>CT1</t>
  </si>
  <si>
    <t>62</t>
  </si>
  <si>
    <t>1_ULS1</t>
  </si>
  <si>
    <t>BẢNG TỔNG HỢP CHI TIẾT  - THUYẾT MINH LIÊN KẾT K</t>
  </si>
  <si>
    <t>-</t>
  </si>
  <si>
    <t>Khoảng cách mép =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</si>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</sst>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E+00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i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3"/>
      <color theme="0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  <scheme val="minor"/>
    </font>
    <font>
      <b/>
      <sz val="10"/>
      <color rgb="FF0070C0"/>
      <name val="Symbol"/>
      <family val="1"/>
      <charset val="2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</patternFill>
    </fill>
  </fills>
  <borders count="3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2" fillId="9" borderId="0" applyNumberFormat="0" applyBorder="0" applyAlignment="0" applyProtection="0"/>
    <xf numFmtId="9" fontId="1" fillId="0" borderId="0" applyFont="0" applyFill="0" applyBorder="0" applyAlignment="0" applyProtection="0"/>
  </cellStyleXfs>
  <cellXfs count="202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3" fillId="7" borderId="10" xfId="0" applyFont="1" applyFill="1" applyBorder="1" applyAlignment="1">
      <alignment vertical="top"/>
    </xf>
    <xf numFmtId="0" fontId="9" fillId="7" borderId="11" xfId="0" applyFont="1" applyFill="1" applyBorder="1" applyAlignment="1">
      <alignment horizontal="left" indent="1"/>
    </xf>
    <xf numFmtId="0" fontId="3" fillId="7" borderId="11" xfId="0" applyFont="1" applyFill="1" applyBorder="1" applyAlignment="1">
      <alignment horizontal="left" vertical="top" indent="2"/>
    </xf>
    <xf numFmtId="0" fontId="3" fillId="7" borderId="10" xfId="0" applyFont="1" applyFill="1" applyBorder="1"/>
    <xf numFmtId="0" fontId="3" fillId="7" borderId="10" xfId="0" applyFont="1" applyFill="1" applyBorder="1" applyAlignment="1">
      <alignment vertical="center"/>
    </xf>
    <xf numFmtId="0" fontId="17" fillId="0" borderId="0" xfId="0" applyFont="1"/>
    <xf numFmtId="0" fontId="3" fillId="7" borderId="12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0" fontId="24" fillId="7" borderId="11" xfId="0" applyFont="1" applyFill="1" applyBorder="1" applyAlignment="1">
      <alignment horizontal="left" indent="1"/>
    </xf>
    <xf numFmtId="0" fontId="24" fillId="7" borderId="15" xfId="0" applyFont="1" applyFill="1" applyBorder="1" applyAlignment="1">
      <alignment horizontal="left" indent="1"/>
    </xf>
    <xf numFmtId="0" fontId="3" fillId="7" borderId="16" xfId="0" applyFont="1" applyFill="1" applyBorder="1"/>
    <xf numFmtId="0" fontId="16" fillId="7" borderId="16" xfId="0" applyFont="1" applyFill="1" applyBorder="1" applyAlignment="1">
      <alignment horizontal="center"/>
    </xf>
    <xf numFmtId="0" fontId="20" fillId="7" borderId="16" xfId="0" applyFont="1" applyFill="1" applyBorder="1" applyAlignment="1">
      <alignment horizontal="left" vertical="center"/>
    </xf>
    <xf numFmtId="0" fontId="3" fillId="7" borderId="16" xfId="0" applyFont="1" applyFill="1" applyBorder="1" applyAlignment="1">
      <alignment horizontal="center" vertical="center"/>
    </xf>
    <xf numFmtId="2" fontId="3" fillId="7" borderId="16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right" vertical="center"/>
    </xf>
    <xf numFmtId="0" fontId="3" fillId="7" borderId="16" xfId="0" applyFont="1" applyFill="1" applyBorder="1" applyAlignment="1">
      <alignment horizontal="right" vertical="center"/>
    </xf>
    <xf numFmtId="0" fontId="3" fillId="7" borderId="17" xfId="0" applyFont="1" applyFill="1" applyBorder="1"/>
    <xf numFmtId="0" fontId="0" fillId="0" borderId="12" xfId="0" applyBorder="1" applyAlignment="1">
      <alignment horizontal="center" vertical="center"/>
    </xf>
    <xf numFmtId="0" fontId="1" fillId="3" borderId="12" xfId="2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/>
    </xf>
    <xf numFmtId="1" fontId="3" fillId="7" borderId="12" xfId="0" applyNumberFormat="1" applyFont="1" applyFill="1" applyBorder="1" applyAlignment="1">
      <alignment horizontal="center" vertical="center"/>
    </xf>
    <xf numFmtId="0" fontId="28" fillId="7" borderId="12" xfId="0" applyFont="1" applyFill="1" applyBorder="1" applyAlignment="1">
      <alignment horizontal="center" vertical="center"/>
    </xf>
    <xf numFmtId="0" fontId="0" fillId="3" borderId="12" xfId="2" applyFont="1" applyBorder="1" applyAlignment="1">
      <alignment horizontal="center" vertical="center"/>
    </xf>
    <xf numFmtId="0" fontId="26" fillId="8" borderId="22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right" vertical="center"/>
    </xf>
    <xf numFmtId="0" fontId="3" fillId="7" borderId="22" xfId="0" applyFont="1" applyFill="1" applyBorder="1" applyAlignment="1">
      <alignment horizontal="center"/>
    </xf>
    <xf numFmtId="0" fontId="3" fillId="7" borderId="27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0" fontId="18" fillId="7" borderId="30" xfId="0" applyFont="1" applyFill="1" applyBorder="1" applyAlignment="1">
      <alignment horizontal="center" vertical="center"/>
    </xf>
    <xf numFmtId="0" fontId="18" fillId="7" borderId="29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left" vertical="top" indent="3"/>
    </xf>
    <xf numFmtId="0" fontId="3" fillId="0" borderId="12" xfId="0" applyFont="1" applyBorder="1"/>
    <xf numFmtId="0" fontId="3" fillId="0" borderId="12" xfId="0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" fontId="3" fillId="7" borderId="29" xfId="0" applyNumberFormat="1" applyFont="1" applyFill="1" applyBorder="1" applyAlignment="1">
      <alignment horizontal="center" vertical="center"/>
    </xf>
    <xf numFmtId="0" fontId="3" fillId="7" borderId="0" xfId="0" applyFont="1" applyFill="1"/>
    <xf numFmtId="0" fontId="11" fillId="7" borderId="0" xfId="0" applyFont="1" applyFill="1" applyAlignment="1">
      <alignment horizontal="center" vertical="center"/>
    </xf>
    <xf numFmtId="0" fontId="11" fillId="7" borderId="10" xfId="0" applyFont="1" applyFill="1" applyBorder="1" applyAlignment="1">
      <alignment horizontal="left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right" vertical="center"/>
    </xf>
    <xf numFmtId="0" fontId="11" fillId="7" borderId="0" xfId="0" applyFont="1" applyFill="1"/>
    <xf numFmtId="1" fontId="3" fillId="7" borderId="30" xfId="0" applyNumberFormat="1" applyFont="1" applyFill="1" applyBorder="1" applyAlignment="1">
      <alignment horizontal="center" vertical="center"/>
    </xf>
    <xf numFmtId="0" fontId="32" fillId="9" borderId="0" xfId="3" applyBorder="1" applyAlignment="1">
      <alignment horizontal="center" vertical="center"/>
    </xf>
    <xf numFmtId="0" fontId="1" fillId="3" borderId="0" xfId="2" applyBorder="1" applyAlignment="1">
      <alignment horizontal="center" vertical="center"/>
    </xf>
    <xf numFmtId="0" fontId="10" fillId="9" borderId="16" xfId="3" applyFont="1" applyBorder="1" applyAlignment="1">
      <alignment horizontal="center" vertical="center"/>
    </xf>
    <xf numFmtId="2" fontId="18" fillId="7" borderId="0" xfId="0" applyNumberFormat="1" applyFont="1" applyFill="1" applyAlignment="1">
      <alignment horizontal="center" vertical="center"/>
    </xf>
    <xf numFmtId="0" fontId="18" fillId="7" borderId="12" xfId="0" applyFont="1" applyFill="1" applyBorder="1" applyAlignment="1">
      <alignment horizontal="center"/>
    </xf>
    <xf numFmtId="0" fontId="11" fillId="7" borderId="12" xfId="0" applyFont="1" applyFill="1" applyBorder="1" applyAlignment="1">
      <alignment horizontal="center" vertical="center"/>
    </xf>
    <xf numFmtId="2" fontId="11" fillId="7" borderId="12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vertical="top"/>
    </xf>
    <xf numFmtId="0" fontId="3" fillId="7" borderId="0" xfId="0" applyFont="1" applyFill="1" applyAlignment="1">
      <alignment horizontal="right" vertical="top"/>
    </xf>
    <xf numFmtId="0" fontId="10" fillId="7" borderId="0" xfId="0" applyFont="1" applyFill="1" applyAlignment="1">
      <alignment vertical="top"/>
    </xf>
    <xf numFmtId="0" fontId="11" fillId="7" borderId="0" xfId="0" applyFont="1" applyFill="1" applyAlignment="1">
      <alignment horizontal="right" vertical="center"/>
    </xf>
    <xf numFmtId="0" fontId="12" fillId="7" borderId="0" xfId="0" applyFont="1" applyFill="1"/>
    <xf numFmtId="0" fontId="18" fillId="7" borderId="0" xfId="0" applyFont="1" applyFill="1" applyAlignment="1">
      <alignment horizontal="center" vertical="center"/>
    </xf>
    <xf numFmtId="1" fontId="3" fillId="7" borderId="0" xfId="0" applyNumberFormat="1" applyFont="1" applyFill="1" applyAlignment="1">
      <alignment horizontal="center" vertical="center"/>
    </xf>
    <xf numFmtId="1" fontId="18" fillId="7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left" indent="1"/>
    </xf>
    <xf numFmtId="0" fontId="3" fillId="7" borderId="11" xfId="0" applyFont="1" applyFill="1" applyBorder="1"/>
    <xf numFmtId="2" fontId="11" fillId="7" borderId="0" xfId="0" applyNumberFormat="1" applyFont="1" applyFill="1" applyAlignment="1">
      <alignment horizontal="right" vertical="center"/>
    </xf>
    <xf numFmtId="0" fontId="3" fillId="7" borderId="0" xfId="0" applyFont="1" applyFill="1" applyAlignment="1">
      <alignment horizontal="left" vertical="center"/>
    </xf>
    <xf numFmtId="0" fontId="8" fillId="7" borderId="0" xfId="0" applyFont="1" applyFill="1" applyAlignment="1">
      <alignment horizontal="left" vertical="center"/>
    </xf>
    <xf numFmtId="164" fontId="18" fillId="7" borderId="0" xfId="0" applyNumberFormat="1" applyFont="1" applyFill="1" applyAlignment="1">
      <alignment horizontal="center" vertical="center"/>
    </xf>
    <xf numFmtId="2" fontId="19" fillId="2" borderId="1" xfId="1" applyNumberFormat="1" applyFont="1" applyAlignment="1">
      <alignment horizontal="center" vertical="center"/>
    </xf>
    <xf numFmtId="164" fontId="3" fillId="7" borderId="0" xfId="0" applyNumberFormat="1" applyFont="1" applyFill="1"/>
    <xf numFmtId="0" fontId="3" fillId="7" borderId="0" xfId="0" applyFont="1" applyFill="1" applyAlignment="1">
      <alignment horizontal="center"/>
    </xf>
    <xf numFmtId="165" fontId="3" fillId="7" borderId="0" xfId="0" applyNumberFormat="1" applyFont="1" applyFill="1" applyAlignment="1">
      <alignment horizontal="center"/>
    </xf>
    <xf numFmtId="11" fontId="3" fillId="7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right"/>
    </xf>
    <xf numFmtId="164" fontId="3" fillId="7" borderId="0" xfId="0" applyNumberFormat="1" applyFont="1" applyFill="1" applyAlignment="1">
      <alignment horizontal="center"/>
    </xf>
    <xf numFmtId="0" fontId="23" fillId="7" borderId="0" xfId="0" applyFont="1" applyFill="1" applyAlignment="1">
      <alignment horizontal="right" vertical="center"/>
    </xf>
    <xf numFmtId="164" fontId="3" fillId="7" borderId="0" xfId="0" applyNumberFormat="1" applyFont="1" applyFill="1" applyAlignment="1">
      <alignment horizontal="center" vertical="center"/>
    </xf>
    <xf numFmtId="0" fontId="16" fillId="7" borderId="0" xfId="0" applyFont="1" applyFill="1" applyAlignment="1">
      <alignment horizontal="center"/>
    </xf>
    <xf numFmtId="0" fontId="20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center" vertical="center"/>
    </xf>
    <xf numFmtId="2" fontId="11" fillId="7" borderId="0" xfId="0" applyNumberFormat="1" applyFont="1" applyFill="1"/>
    <xf numFmtId="164" fontId="11" fillId="7" borderId="0" xfId="0" applyNumberFormat="1" applyFont="1" applyFill="1" applyAlignment="1">
      <alignment horizontal="center" vertical="center"/>
    </xf>
    <xf numFmtId="2" fontId="11" fillId="7" borderId="0" xfId="0" applyNumberFormat="1" applyFont="1" applyFill="1" applyAlignment="1">
      <alignment horizontal="center" vertical="center"/>
    </xf>
    <xf numFmtId="0" fontId="34" fillId="5" borderId="2" xfId="0" applyFont="1" applyFill="1" applyBorder="1" applyAlignment="1">
      <alignment horizontal="centerContinuous"/>
    </xf>
    <xf numFmtId="0" fontId="34" fillId="5" borderId="3" xfId="0" applyFont="1" applyFill="1" applyBorder="1" applyAlignment="1">
      <alignment horizontal="centerContinuous"/>
    </xf>
    <xf numFmtId="0" fontId="34" fillId="5" borderId="4" xfId="0" applyFont="1" applyFill="1" applyBorder="1" applyAlignment="1">
      <alignment horizontal="centerContinuous"/>
    </xf>
    <xf numFmtId="0" fontId="26" fillId="5" borderId="15" xfId="0" applyFont="1" applyFill="1" applyBorder="1" applyAlignment="1">
      <alignment horizontal="centerContinuous"/>
    </xf>
    <xf numFmtId="0" fontId="26" fillId="5" borderId="16" xfId="0" applyFont="1" applyFill="1" applyBorder="1" applyAlignment="1">
      <alignment horizontal="centerContinuous"/>
    </xf>
    <xf numFmtId="0" fontId="26" fillId="5" borderId="17" xfId="0" applyFont="1" applyFill="1" applyBorder="1" applyAlignment="1">
      <alignment horizontal="centerContinuous"/>
    </xf>
    <xf numFmtId="0" fontId="35" fillId="7" borderId="11" xfId="0" applyFont="1" applyFill="1" applyBorder="1" applyAlignment="1">
      <alignment horizontal="left" indent="1"/>
    </xf>
    <xf numFmtId="0" fontId="35" fillId="7" borderId="0" xfId="0" applyFont="1" applyFill="1" applyAlignment="1">
      <alignment horizontal="left" indent="1"/>
    </xf>
    <xf numFmtId="0" fontId="11" fillId="7" borderId="11" xfId="0" applyFont="1" applyFill="1" applyBorder="1"/>
    <xf numFmtId="0" fontId="3" fillId="7" borderId="0" xfId="0" applyFont="1" applyFill="1" applyAlignment="1">
      <alignment horizontal="left" indent="1"/>
    </xf>
    <xf numFmtId="0" fontId="18" fillId="7" borderId="0" xfId="0" applyFont="1" applyFill="1" applyAlignment="1">
      <alignment horizontal="left"/>
    </xf>
    <xf numFmtId="0" fontId="3" fillId="7" borderId="0" xfId="0" applyFont="1" applyFill="1" applyAlignment="1">
      <alignment vertical="center"/>
    </xf>
    <xf numFmtId="9" fontId="11" fillId="7" borderId="0" xfId="4" applyFont="1" applyFill="1" applyBorder="1" applyAlignment="1">
      <alignment horizontal="center" vertical="center"/>
    </xf>
    <xf numFmtId="0" fontId="8" fillId="6" borderId="2" xfId="0" applyFont="1" applyFill="1" applyBorder="1"/>
    <xf numFmtId="0" fontId="8" fillId="6" borderId="3" xfId="0" applyFont="1" applyFill="1" applyBorder="1"/>
    <xf numFmtId="0" fontId="8" fillId="6" borderId="4" xfId="0" applyFont="1" applyFill="1" applyBorder="1"/>
    <xf numFmtId="0" fontId="8" fillId="6" borderId="15" xfId="0" applyFont="1" applyFill="1" applyBorder="1"/>
    <xf numFmtId="0" fontId="8" fillId="6" borderId="16" xfId="0" applyFont="1" applyFill="1" applyBorder="1"/>
    <xf numFmtId="0" fontId="8" fillId="6" borderId="17" xfId="0" applyFont="1" applyFill="1" applyBorder="1"/>
    <xf numFmtId="0" fontId="8" fillId="6" borderId="31" xfId="0" applyFont="1" applyFill="1" applyBorder="1" applyAlignment="1">
      <alignment horizontal="center" vertical="top"/>
    </xf>
    <xf numFmtId="2" fontId="8" fillId="6" borderId="12" xfId="0" applyNumberFormat="1" applyFont="1" applyFill="1" applyBorder="1" applyAlignment="1">
      <alignment horizontal="center"/>
    </xf>
    <xf numFmtId="2" fontId="8" fillId="6" borderId="12" xfId="0" applyNumberFormat="1" applyFont="1" applyFill="1" applyBorder="1" applyAlignment="1">
      <alignment horizontal="center" vertical="center"/>
    </xf>
    <xf numFmtId="164" fontId="8" fillId="6" borderId="12" xfId="0" applyNumberFormat="1" applyFont="1" applyFill="1" applyBorder="1" applyAlignment="1">
      <alignment horizontal="center" vertical="center"/>
    </xf>
    <xf numFmtId="164" fontId="8" fillId="6" borderId="31" xfId="0" applyNumberFormat="1" applyFont="1" applyFill="1" applyBorder="1" applyAlignment="1">
      <alignment horizontal="center" vertical="center"/>
    </xf>
    <xf numFmtId="2" fontId="37" fillId="6" borderId="31" xfId="0" applyNumberFormat="1" applyFont="1" applyFill="1" applyBorder="1" applyAlignment="1">
      <alignment horizontal="center" vertical="center"/>
    </xf>
    <xf numFmtId="2" fontId="37" fillId="6" borderId="31" xfId="0" applyNumberFormat="1" applyFont="1" applyFill="1" applyBorder="1" applyAlignment="1">
      <alignment vertical="center"/>
    </xf>
    <xf numFmtId="2" fontId="38" fillId="6" borderId="31" xfId="0" applyNumberFormat="1" applyFont="1" applyFill="1" applyBorder="1" applyAlignment="1">
      <alignment vertical="center"/>
    </xf>
    <xf numFmtId="0" fontId="8" fillId="6" borderId="32" xfId="0" applyFont="1" applyFill="1" applyBorder="1" applyAlignment="1">
      <alignment horizontal="center" vertical="top"/>
    </xf>
    <xf numFmtId="0" fontId="11" fillId="7" borderId="12" xfId="0" applyFont="1" applyFill="1" applyBorder="1"/>
    <xf numFmtId="2" fontId="11" fillId="7" borderId="12" xfId="0" applyNumberFormat="1" applyFont="1" applyFill="1" applyBorder="1"/>
    <xf numFmtId="1" fontId="11" fillId="7" borderId="12" xfId="0" applyNumberFormat="1" applyFont="1" applyFill="1" applyBorder="1" applyAlignment="1">
      <alignment horizontal="center" vertical="center"/>
    </xf>
    <xf numFmtId="1" fontId="18" fillId="7" borderId="12" xfId="0" applyNumberFormat="1" applyFont="1" applyFill="1" applyBorder="1" applyAlignment="1">
      <alignment horizontal="center" vertical="center"/>
    </xf>
    <xf numFmtId="164" fontId="11" fillId="7" borderId="12" xfId="0" applyNumberFormat="1" applyFont="1" applyFill="1" applyBorder="1" applyAlignment="1">
      <alignment horizontal="center" vertical="center"/>
    </xf>
    <xf numFmtId="164" fontId="3" fillId="7" borderId="12" xfId="0" applyNumberFormat="1" applyFont="1" applyFill="1" applyBorder="1" applyAlignment="1">
      <alignment horizontal="center" vertical="center"/>
    </xf>
    <xf numFmtId="164" fontId="19" fillId="2" borderId="12" xfId="1" applyNumberFormat="1" applyFont="1" applyBorder="1" applyAlignment="1">
      <alignment horizontal="center" vertical="center"/>
    </xf>
    <xf numFmtId="0" fontId="3" fillId="7" borderId="12" xfId="0" applyFont="1" applyFill="1" applyBorder="1"/>
    <xf numFmtId="11" fontId="3" fillId="7" borderId="12" xfId="0" applyNumberFormat="1" applyFont="1" applyFill="1" applyBorder="1"/>
    <xf numFmtId="164" fontId="19" fillId="2" borderId="1" xfId="1" applyNumberFormat="1" applyFont="1" applyAlignment="1">
      <alignment horizontal="center" vertical="center"/>
    </xf>
    <xf numFmtId="1" fontId="3" fillId="7" borderId="12" xfId="0" applyNumberFormat="1" applyFont="1" applyFill="1" applyBorder="1"/>
    <xf numFmtId="2" fontId="3" fillId="7" borderId="12" xfId="0" applyNumberFormat="1" applyFont="1" applyFill="1" applyBorder="1" applyAlignment="1">
      <alignment horizontal="center" vertical="center"/>
    </xf>
    <xf numFmtId="2" fontId="3" fillId="7" borderId="12" xfId="0" applyNumberFormat="1" applyFont="1" applyFill="1" applyBorder="1"/>
    <xf numFmtId="164" fontId="19" fillId="2" borderId="33" xfId="1" applyNumberFormat="1" applyFont="1" applyBorder="1" applyAlignment="1">
      <alignment horizontal="center" vertical="center"/>
    </xf>
    <xf numFmtId="164" fontId="19" fillId="2" borderId="34" xfId="1" applyNumberFormat="1" applyFont="1" applyBorder="1" applyAlignment="1">
      <alignment horizontal="center" vertical="center"/>
    </xf>
    <xf numFmtId="2" fontId="19" fillId="2" borderId="12" xfId="1" applyNumberFormat="1" applyFont="1" applyBorder="1" applyAlignment="1">
      <alignment horizontal="center" vertical="center"/>
    </xf>
    <xf numFmtId="2" fontId="19" fillId="2" borderId="33" xfId="1" applyNumberFormat="1" applyFont="1" applyBorder="1" applyAlignment="1">
      <alignment horizontal="center" vertical="center"/>
    </xf>
    <xf numFmtId="0" fontId="26" fillId="8" borderId="21" xfId="0" applyFont="1" applyFill="1" applyBorder="1" applyAlignment="1">
      <alignment horizontal="center" vertical="center"/>
    </xf>
    <xf numFmtId="0" fontId="26" fillId="8" borderId="23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left" vertical="center" indent="1"/>
    </xf>
    <xf numFmtId="0" fontId="3" fillId="0" borderId="1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8" fillId="6" borderId="13" xfId="0" applyFont="1" applyFill="1" applyBorder="1" applyAlignment="1">
      <alignment horizontal="left" vertical="center"/>
    </xf>
    <xf numFmtId="0" fontId="8" fillId="6" borderId="14" xfId="0" applyFont="1" applyFill="1" applyBorder="1" applyAlignment="1">
      <alignment horizontal="left" vertical="center"/>
    </xf>
    <xf numFmtId="0" fontId="31" fillId="5" borderId="2" xfId="0" applyFont="1" applyFill="1" applyBorder="1" applyAlignment="1">
      <alignment horizontal="center" vertical="center"/>
    </xf>
    <xf numFmtId="0" fontId="31" fillId="5" borderId="3" xfId="0" applyFont="1" applyFill="1" applyBorder="1" applyAlignment="1">
      <alignment horizontal="center" vertical="center"/>
    </xf>
    <xf numFmtId="0" fontId="31" fillId="5" borderId="5" xfId="0" applyFont="1" applyFill="1" applyBorder="1" applyAlignment="1">
      <alignment horizontal="center" vertical="center"/>
    </xf>
    <xf numFmtId="0" fontId="31" fillId="5" borderId="6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left" vertical="center"/>
    </xf>
    <xf numFmtId="0" fontId="8" fillId="6" borderId="9" xfId="0" applyFont="1" applyFill="1" applyBorder="1" applyAlignment="1">
      <alignment horizontal="left" vertical="center"/>
    </xf>
    <xf numFmtId="0" fontId="32" fillId="9" borderId="16" xfId="3" applyBorder="1" applyAlignment="1">
      <alignment horizontal="center" vertical="center"/>
    </xf>
    <xf numFmtId="0" fontId="7" fillId="9" borderId="16" xfId="3" applyFont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top" wrapText="1"/>
    </xf>
    <xf numFmtId="0" fontId="18" fillId="7" borderId="12" xfId="0" applyFont="1" applyFill="1" applyBorder="1" applyAlignment="1">
      <alignment horizontal="center" vertical="top"/>
    </xf>
    <xf numFmtId="0" fontId="11" fillId="7" borderId="12" xfId="0" applyFont="1" applyFill="1" applyBorder="1" applyAlignment="1">
      <alignment horizontal="center" vertical="center"/>
    </xf>
    <xf numFmtId="0" fontId="18" fillId="7" borderId="2" xfId="0" applyFont="1" applyFill="1" applyBorder="1" applyAlignment="1">
      <alignment horizontal="center" vertical="center" wrapText="1"/>
    </xf>
    <xf numFmtId="0" fontId="18" fillId="7" borderId="3" xfId="0" applyFont="1" applyFill="1" applyBorder="1" applyAlignment="1">
      <alignment horizontal="center" vertical="center" wrapText="1"/>
    </xf>
    <xf numFmtId="0" fontId="18" fillId="7" borderId="4" xfId="0" applyFont="1" applyFill="1" applyBorder="1" applyAlignment="1">
      <alignment horizontal="center" vertical="center" wrapText="1"/>
    </xf>
    <xf numFmtId="0" fontId="18" fillId="7" borderId="15" xfId="0" applyFont="1" applyFill="1" applyBorder="1" applyAlignment="1">
      <alignment horizontal="center" vertical="center" wrapText="1"/>
    </xf>
    <xf numFmtId="0" fontId="18" fillId="7" borderId="16" xfId="0" applyFont="1" applyFill="1" applyBorder="1" applyAlignment="1">
      <alignment horizontal="center" vertical="center" wrapText="1"/>
    </xf>
    <xf numFmtId="0" fontId="18" fillId="7" borderId="1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 vertical="center" wrapText="1"/>
    </xf>
    <xf numFmtId="0" fontId="8" fillId="6" borderId="17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8" fillId="6" borderId="16" xfId="0" applyFont="1" applyFill="1" applyBorder="1" applyAlignment="1">
      <alignment horizontal="center" vertical="center" wrapText="1"/>
    </xf>
    <xf numFmtId="0" fontId="8" fillId="6" borderId="31" xfId="0" applyFont="1" applyFill="1" applyBorder="1" applyAlignment="1">
      <alignment horizontal="center" vertical="top" wrapText="1"/>
    </xf>
    <xf numFmtId="0" fontId="8" fillId="6" borderId="32" xfId="0" applyFont="1" applyFill="1" applyBorder="1" applyAlignment="1">
      <alignment horizontal="center" vertical="top" wrapText="1"/>
    </xf>
    <xf numFmtId="2" fontId="8" fillId="6" borderId="12" xfId="0" applyNumberFormat="1" applyFont="1" applyFill="1" applyBorder="1" applyAlignment="1">
      <alignment horizontal="center" vertical="top"/>
    </xf>
    <xf numFmtId="0" fontId="8" fillId="6" borderId="12" xfId="0" applyFont="1" applyFill="1" applyBorder="1" applyAlignment="1">
      <alignment horizontal="center" vertical="top" wrapText="1"/>
    </xf>
    <xf numFmtId="164" fontId="8" fillId="6" borderId="31" xfId="0" applyNumberFormat="1" applyFont="1" applyFill="1" applyBorder="1" applyAlignment="1">
      <alignment horizontal="center" vertical="center"/>
    </xf>
    <xf numFmtId="164" fontId="8" fillId="6" borderId="32" xfId="0" applyNumberFormat="1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26" fillId="8" borderId="24" xfId="0" applyFont="1" applyFill="1" applyBorder="1" applyAlignment="1">
      <alignment horizontal="center"/>
    </xf>
    <xf numFmtId="0" fontId="26" fillId="8" borderId="25" xfId="0" applyFont="1" applyFill="1" applyBorder="1" applyAlignment="1">
      <alignment horizontal="center"/>
    </xf>
    <xf numFmtId="0" fontId="26" fillId="8" borderId="26" xfId="0" applyFont="1" applyFill="1" applyBorder="1" applyAlignment="1">
      <alignment horizontal="center"/>
    </xf>
    <xf numFmtId="0" fontId="26" fillId="8" borderId="18" xfId="0" applyFont="1" applyFill="1" applyBorder="1" applyAlignment="1">
      <alignment horizontal="center" wrapText="1"/>
    </xf>
    <xf numFmtId="0" fontId="26" fillId="8" borderId="19" xfId="0" applyFont="1" applyFill="1" applyBorder="1" applyAlignment="1">
      <alignment horizontal="center" wrapText="1"/>
    </xf>
    <xf numFmtId="0" fontId="26" fillId="8" borderId="20" xfId="0" applyFont="1" applyFill="1" applyBorder="1" applyAlignment="1">
      <alignment horizontal="center" wrapText="1"/>
    </xf>
    <xf numFmtId="0" fontId="26" fillId="8" borderId="0" xfId="0" applyFont="1" applyFill="1" applyAlignment="1">
      <alignment horizontal="center" wrapText="1"/>
    </xf>
    <xf numFmtId="0" fontId="0" fillId="3" borderId="12" xfId="2" applyFont="1" applyBorder="1" applyAlignment="1">
      <alignment horizontal="center" vertical="center" wrapText="1"/>
    </xf>
    <xf numFmtId="0" fontId="1" fillId="3" borderId="12" xfId="2" applyBorder="1" applyAlignment="1">
      <alignment horizontal="center" vertical="center"/>
    </xf>
    <xf numFmtId="0" fontId="26" fillId="8" borderId="12" xfId="0" applyFont="1" applyFill="1" applyBorder="1" applyAlignment="1">
      <alignment horizontal="center"/>
    </xf>
    <xf numFmtId="0" fontId="39" fillId="8" borderId="22" xfId="0" applyFont="1" applyFill="1" applyBorder="1" applyAlignment="1">
      <alignment horizontal="center"/>
    </xf>
    <xf numFmtId="0" fontId="26" fillId="8" borderId="35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0" fillId="4" borderId="0" xfId="0" applyFill="1"/>
  </cellXfs>
  <cellStyles count="5">
    <cellStyle name="20% - Accent1" xfId="2" builtinId="30"/>
    <cellStyle name="Accent5" xfId="3" builtinId="45"/>
    <cellStyle name="Calculation" xfId="1" builtinId="22"/>
    <cellStyle name="Normal" xfId="0" builtinId="0"/>
    <cellStyle name="Percent" xfId="4" builtinId="5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388326</xdr:colOff>
      <xdr:row>0</xdr:row>
      <xdr:rowOff>0</xdr:rowOff>
    </xdr:from>
    <xdr:to>
      <xdr:col>18</xdr:col>
      <xdr:colOff>168228</xdr:colOff>
      <xdr:row>11</xdr:row>
      <xdr:rowOff>40574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6C3EB1-ACBB-7F2B-DE7A-4A39CC5D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8999" y="0"/>
          <a:ext cx="4044464" cy="2176226"/>
        </a:xfrm>
        <a:prstGeom prst="rect">
          <a:avLst/>
        </a:prstGeom>
      </xdr:spPr>
    </xdr:pic>
    <xdr:clientData/>
  </xdr:twoCellAnchor>
  <xdr:twoCellAnchor editAs="oneCell">
    <xdr:from>
      <xdr:col>11</xdr:col>
      <xdr:colOff>332465</xdr:colOff>
      <xdr:row>11</xdr:row>
      <xdr:rowOff>139212</xdr:rowOff>
    </xdr:from>
    <xdr:to>
      <xdr:col>18</xdr:col>
      <xdr:colOff>189167</xdr:colOff>
      <xdr:row>24</xdr:row>
      <xdr:rowOff>20699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318137-AA0D-198F-0921-2DC73ADBC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73138" y="2234712"/>
          <a:ext cx="4113644" cy="2357987"/>
        </a:xfrm>
        <a:prstGeom prst="rect">
          <a:avLst/>
        </a:prstGeom>
      </xdr:spPr>
    </xdr:pic>
    <xdr:clientData/>
  </xdr:twoCellAnchor>
  <xdr:twoCellAnchor editAs="oneCell">
    <xdr:from>
      <xdr:col>19</xdr:col>
      <xdr:colOff>29309</xdr:colOff>
      <xdr:row>0</xdr:row>
      <xdr:rowOff>56418</xdr:rowOff>
    </xdr:from>
    <xdr:to>
      <xdr:col>26</xdr:col>
      <xdr:colOff>406145</xdr:colOff>
      <xdr:row>23</xdr:row>
      <xdr:rowOff>106094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BF8E5B-34A1-1E7C-A5D3-A24195158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35059" y="56418"/>
          <a:ext cx="4641398" cy="44789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138804</xdr:rowOff>
    </xdr:from>
    <xdr:to>
      <xdr:col>4</xdr:col>
      <xdr:colOff>217998</xdr:colOff>
      <xdr:row>38</xdr:row>
      <xdr:rowOff>54598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C983DED-B2CA-442F-B8E7-1BC1ECC04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6" name="Picture 5">
          <a:extLst>
            <a:ext uri="{FF2B5EF4-FFF2-40B4-BE49-F238E27FC236}">
              <a16:creationId xmlns:a16="http://schemas.microsoft.com/office/drawing/2014/main" id="{E5E3E6B7-63B3-4412-BAEE-EDD98E6C9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111670</xdr:colOff>
      <xdr:row>39</xdr:row>
      <xdr:rowOff>18457</xdr:rowOff>
    </xdr:from>
    <xdr:to>
      <xdr:col>14</xdr:col>
      <xdr:colOff>287984</xdr:colOff>
      <xdr:row>49</xdr:row>
      <xdr:rowOff>94725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61E9954-6837-048A-3CFD-8E1C2CB6C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87411" y="5030578"/>
          <a:ext cx="3264779" cy="1722319"/>
        </a:xfrm>
        <a:prstGeom prst="rect">
          <a:avLst/>
        </a:prstGeom>
      </xdr:spPr>
    </xdr:pic>
    <xdr:clientData/>
  </xdr:twoCellAnchor>
  <xdr:twoCellAnchor editAs="oneCell">
    <xdr:from>
      <xdr:col>13</xdr:col>
      <xdr:colOff>248006</xdr:colOff>
      <xdr:row>12</xdr:row>
      <xdr:rowOff>91965</xdr:rowOff>
    </xdr:from>
    <xdr:to>
      <xdr:col>16</xdr:col>
      <xdr:colOff>246664</xdr:colOff>
      <xdr:row>23</xdr:row>
      <xdr:rowOff>15374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21DFFAB-D979-FD7D-4FCD-29CD40BA0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8489" y="643758"/>
          <a:ext cx="1578166" cy="17447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5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Q43"/>
  <sheetViews>
    <sheetView showGridLines="0" zoomScale="130" zoomScaleNormal="130" workbookViewId="0">
      <selection activeCell="J48" sqref="J48"/>
    </sheetView>
  </sheetViews>
  <sheetFormatPr defaultRowHeight="14.4"/>
  <cols>
    <col min="1" max="1" width="9.88671875" style="1" customWidth="1"/>
    <col min="2" max="4" width="7.33203125" style="1"/>
    <col min="5" max="5" width="7.33203125" style="1" customWidth="1"/>
    <col min="6" max="6" width="3.5546875" style="201" customWidth="1"/>
    <col min="7" max="7" width="9.5546875" bestFit="1" customWidth="1"/>
    <col min="19" max="19" width="11.5546875" bestFit="1" customWidth="1"/>
  </cols>
  <sheetData>
    <row r="1" spans="1:11" ht="15">
      <c r="A1" s="135" t="s">
        <v>46</v>
      </c>
      <c r="B1" s="33" t="s">
        <v>47</v>
      </c>
      <c r="C1" s="33" t="s">
        <v>48</v>
      </c>
      <c r="D1" s="33" t="s">
        <v>49</v>
      </c>
      <c r="E1" s="197" t="s">
        <v>224</v>
      </c>
      <c r="G1" s="190" t="s">
        <v>23</v>
      </c>
      <c r="H1" s="191"/>
      <c r="I1" s="191"/>
      <c r="J1" s="191"/>
      <c r="K1" s="191"/>
    </row>
    <row r="2" spans="1:11">
      <c r="A2" s="136"/>
      <c r="B2" s="33" t="s">
        <v>50</v>
      </c>
      <c r="C2" s="33" t="s">
        <v>50</v>
      </c>
      <c r="D2" s="33" t="s">
        <v>50</v>
      </c>
      <c r="E2" s="198"/>
      <c r="G2" s="192"/>
      <c r="H2" s="193"/>
      <c r="I2" s="193"/>
      <c r="J2" s="193"/>
      <c r="K2" s="193"/>
    </row>
    <row r="3" spans="1:11" ht="15.6">
      <c r="A3" s="34" t="s">
        <v>51</v>
      </c>
      <c r="B3" s="35">
        <f>2.06*10^5</f>
        <v>206000</v>
      </c>
      <c r="C3" s="35">
        <v>235</v>
      </c>
      <c r="D3" s="199">
        <v>370</v>
      </c>
      <c r="E3" s="200">
        <v>1.1000000000000001</v>
      </c>
      <c r="G3" s="26" t="s">
        <v>24</v>
      </c>
      <c r="H3" s="32" t="s">
        <v>41</v>
      </c>
      <c r="I3" s="32" t="s">
        <v>40</v>
      </c>
      <c r="J3" s="32" t="s">
        <v>38</v>
      </c>
      <c r="K3" s="32" t="s">
        <v>39</v>
      </c>
    </row>
    <row r="4" spans="1:11">
      <c r="A4" s="34" t="s">
        <v>52</v>
      </c>
      <c r="B4" s="35">
        <f t="shared" ref="B4:B33" si="0">2.06*10^5</f>
        <v>206000</v>
      </c>
      <c r="C4" s="35">
        <v>345</v>
      </c>
      <c r="D4" s="199">
        <v>510</v>
      </c>
      <c r="E4" s="200">
        <v>1.1000000000000001</v>
      </c>
      <c r="G4" s="26">
        <v>5.6</v>
      </c>
      <c r="H4" s="13">
        <v>500</v>
      </c>
      <c r="I4" s="13">
        <v>300</v>
      </c>
      <c r="J4" s="13">
        <v>210</v>
      </c>
      <c r="K4" s="13">
        <v>225</v>
      </c>
    </row>
    <row r="5" spans="1:11">
      <c r="A5" s="34" t="s">
        <v>225</v>
      </c>
      <c r="B5" s="35">
        <f t="shared" si="0"/>
        <v>206000</v>
      </c>
      <c r="C5" s="35">
        <v>355</v>
      </c>
      <c r="D5" s="199">
        <v>510</v>
      </c>
      <c r="E5" s="200">
        <v>1.1000000000000001</v>
      </c>
      <c r="G5" s="26">
        <v>5.8</v>
      </c>
      <c r="H5" s="13">
        <v>500</v>
      </c>
      <c r="I5" s="13">
        <v>400</v>
      </c>
      <c r="J5" s="13">
        <v>210</v>
      </c>
      <c r="K5" s="13">
        <v>210</v>
      </c>
    </row>
    <row r="6" spans="1:11">
      <c r="A6" s="34" t="s">
        <v>53</v>
      </c>
      <c r="B6" s="35">
        <f t="shared" si="0"/>
        <v>206000</v>
      </c>
      <c r="C6" s="35">
        <v>250</v>
      </c>
      <c r="D6" s="199">
        <v>400</v>
      </c>
      <c r="E6" s="200">
        <v>1.1000000000000001</v>
      </c>
      <c r="G6" s="26">
        <v>8.8000000000000007</v>
      </c>
      <c r="H6" s="13">
        <v>830</v>
      </c>
      <c r="I6" s="13">
        <v>660</v>
      </c>
      <c r="J6" s="13">
        <v>332</v>
      </c>
      <c r="K6" s="13">
        <v>448</v>
      </c>
    </row>
    <row r="7" spans="1:11">
      <c r="A7" s="34" t="s">
        <v>54</v>
      </c>
      <c r="B7" s="35">
        <f t="shared" si="0"/>
        <v>206000</v>
      </c>
      <c r="C7" s="35">
        <v>345</v>
      </c>
      <c r="D7" s="199">
        <v>450</v>
      </c>
      <c r="E7" s="200">
        <v>1.1000000000000001</v>
      </c>
      <c r="G7" s="26">
        <v>10.9</v>
      </c>
      <c r="H7" s="13">
        <v>1040</v>
      </c>
      <c r="I7" s="13">
        <v>940</v>
      </c>
      <c r="J7" s="13">
        <v>416</v>
      </c>
      <c r="K7" s="13">
        <v>728</v>
      </c>
    </row>
    <row r="8" spans="1:11">
      <c r="A8" s="34" t="s">
        <v>55</v>
      </c>
      <c r="B8" s="35">
        <f t="shared" si="0"/>
        <v>206000</v>
      </c>
      <c r="C8" s="35">
        <v>235</v>
      </c>
      <c r="D8" s="199">
        <v>360</v>
      </c>
      <c r="E8" s="200">
        <v>1.05</v>
      </c>
      <c r="G8" s="26">
        <v>12.9</v>
      </c>
      <c r="H8" s="13">
        <v>1220</v>
      </c>
      <c r="I8" s="13">
        <v>1100</v>
      </c>
      <c r="J8" s="13">
        <v>427</v>
      </c>
      <c r="K8" s="13">
        <v>854</v>
      </c>
    </row>
    <row r="9" spans="1:11">
      <c r="A9" s="34" t="s">
        <v>56</v>
      </c>
      <c r="B9" s="35">
        <f t="shared" si="0"/>
        <v>206000</v>
      </c>
      <c r="C9" s="35">
        <v>225</v>
      </c>
      <c r="D9" s="199">
        <v>360</v>
      </c>
      <c r="E9" s="200">
        <v>1.05</v>
      </c>
    </row>
    <row r="10" spans="1:11">
      <c r="A10" s="34" t="s">
        <v>57</v>
      </c>
      <c r="B10" s="35">
        <f t="shared" si="0"/>
        <v>206000</v>
      </c>
      <c r="C10" s="35">
        <v>215</v>
      </c>
      <c r="D10" s="199">
        <v>360</v>
      </c>
      <c r="E10" s="200">
        <v>1.05</v>
      </c>
      <c r="G10" s="190" t="s">
        <v>28</v>
      </c>
      <c r="H10" s="191"/>
      <c r="I10" s="191"/>
      <c r="J10" s="191"/>
      <c r="K10" s="191"/>
    </row>
    <row r="11" spans="1:11">
      <c r="A11" s="34" t="s">
        <v>58</v>
      </c>
      <c r="B11" s="35">
        <f t="shared" si="0"/>
        <v>206000</v>
      </c>
      <c r="C11" s="35">
        <v>215</v>
      </c>
      <c r="D11" s="199">
        <v>360</v>
      </c>
      <c r="E11" s="200">
        <v>1.05</v>
      </c>
      <c r="G11" s="192"/>
      <c r="H11" s="193"/>
      <c r="I11" s="193"/>
      <c r="J11" s="193"/>
      <c r="K11" s="193"/>
    </row>
    <row r="12" spans="1:11">
      <c r="A12" s="34" t="s">
        <v>59</v>
      </c>
      <c r="B12" s="35">
        <f t="shared" si="0"/>
        <v>206000</v>
      </c>
      <c r="C12" s="35">
        <v>215</v>
      </c>
      <c r="D12" s="199">
        <v>360</v>
      </c>
      <c r="E12" s="200">
        <v>1.05</v>
      </c>
      <c r="G12" s="194" t="s">
        <v>42</v>
      </c>
      <c r="H12" s="195" t="s">
        <v>31</v>
      </c>
      <c r="I12" s="195"/>
    </row>
    <row r="13" spans="1:11">
      <c r="A13" s="34" t="s">
        <v>60</v>
      </c>
      <c r="B13" s="35">
        <f t="shared" si="0"/>
        <v>206000</v>
      </c>
      <c r="C13" s="35">
        <v>275</v>
      </c>
      <c r="D13" s="199">
        <v>410</v>
      </c>
      <c r="E13" s="200">
        <v>1.05</v>
      </c>
      <c r="G13" s="195"/>
      <c r="H13" s="26" t="s">
        <v>29</v>
      </c>
      <c r="I13" s="26" t="s">
        <v>30</v>
      </c>
    </row>
    <row r="14" spans="1:11">
      <c r="A14" s="34" t="s">
        <v>61</v>
      </c>
      <c r="B14" s="35">
        <f t="shared" si="0"/>
        <v>206000</v>
      </c>
      <c r="C14" s="35">
        <v>265</v>
      </c>
      <c r="D14" s="199">
        <v>410</v>
      </c>
      <c r="E14" s="200">
        <v>1.05</v>
      </c>
      <c r="G14" s="25">
        <v>360</v>
      </c>
      <c r="H14" s="27">
        <v>560</v>
      </c>
      <c r="I14" s="25">
        <v>475</v>
      </c>
    </row>
    <row r="15" spans="1:11">
      <c r="A15" s="34" t="s">
        <v>62</v>
      </c>
      <c r="B15" s="35">
        <f t="shared" si="0"/>
        <v>206000</v>
      </c>
      <c r="C15" s="35">
        <v>255</v>
      </c>
      <c r="D15" s="199">
        <v>410</v>
      </c>
      <c r="E15" s="200">
        <v>1.05</v>
      </c>
      <c r="G15" s="25">
        <f>G14+10</f>
        <v>370</v>
      </c>
      <c r="H15" s="27">
        <v>580</v>
      </c>
      <c r="I15" s="25">
        <v>485</v>
      </c>
    </row>
    <row r="16" spans="1:11">
      <c r="A16" s="34" t="s">
        <v>63</v>
      </c>
      <c r="B16" s="35">
        <f t="shared" si="0"/>
        <v>206000</v>
      </c>
      <c r="C16" s="35">
        <v>245</v>
      </c>
      <c r="D16" s="199">
        <v>410</v>
      </c>
      <c r="E16" s="200">
        <v>1.05</v>
      </c>
      <c r="G16" s="25">
        <f t="shared" ref="G16:G24" si="1">G15+10</f>
        <v>380</v>
      </c>
      <c r="H16" s="27">
        <v>590</v>
      </c>
      <c r="I16" s="25">
        <v>500</v>
      </c>
    </row>
    <row r="17" spans="1:17">
      <c r="A17" s="34" t="s">
        <v>64</v>
      </c>
      <c r="B17" s="35">
        <f t="shared" si="0"/>
        <v>206000</v>
      </c>
      <c r="C17" s="35">
        <v>235</v>
      </c>
      <c r="D17" s="199">
        <v>410</v>
      </c>
      <c r="E17" s="200">
        <v>1.05</v>
      </c>
      <c r="G17" s="25">
        <f t="shared" si="1"/>
        <v>390</v>
      </c>
      <c r="H17" s="27">
        <v>610</v>
      </c>
      <c r="I17" s="25">
        <v>515</v>
      </c>
    </row>
    <row r="18" spans="1:17">
      <c r="A18" s="34" t="s">
        <v>65</v>
      </c>
      <c r="B18" s="35">
        <f t="shared" si="0"/>
        <v>206000</v>
      </c>
      <c r="C18" s="35">
        <v>355</v>
      </c>
      <c r="D18" s="199">
        <v>470</v>
      </c>
      <c r="E18" s="200">
        <v>1.05</v>
      </c>
      <c r="G18" s="25">
        <v>430</v>
      </c>
      <c r="H18" s="27">
        <v>670</v>
      </c>
      <c r="I18" s="25">
        <v>565</v>
      </c>
    </row>
    <row r="19" spans="1:17">
      <c r="A19" s="34" t="s">
        <v>66</v>
      </c>
      <c r="B19" s="35">
        <f t="shared" si="0"/>
        <v>206000</v>
      </c>
      <c r="C19" s="35">
        <v>345</v>
      </c>
      <c r="D19" s="199">
        <v>470</v>
      </c>
      <c r="E19" s="200">
        <v>1.05</v>
      </c>
      <c r="G19" s="25">
        <f t="shared" si="1"/>
        <v>440</v>
      </c>
      <c r="H19" s="27">
        <v>685</v>
      </c>
      <c r="I19" s="25">
        <v>580</v>
      </c>
    </row>
    <row r="20" spans="1:17">
      <c r="A20" s="34" t="s">
        <v>67</v>
      </c>
      <c r="B20" s="35">
        <f t="shared" si="0"/>
        <v>206000</v>
      </c>
      <c r="C20" s="35">
        <v>335</v>
      </c>
      <c r="D20" s="199">
        <v>470</v>
      </c>
      <c r="E20" s="200">
        <v>1.05</v>
      </c>
      <c r="G20" s="25">
        <f t="shared" si="1"/>
        <v>450</v>
      </c>
      <c r="H20" s="27">
        <v>700</v>
      </c>
      <c r="I20" s="25">
        <v>595</v>
      </c>
    </row>
    <row r="21" spans="1:17">
      <c r="A21" s="34" t="s">
        <v>68</v>
      </c>
      <c r="B21" s="35">
        <f t="shared" si="0"/>
        <v>206000</v>
      </c>
      <c r="C21" s="35">
        <v>325</v>
      </c>
      <c r="D21" s="199">
        <v>470</v>
      </c>
      <c r="E21" s="200">
        <v>1.05</v>
      </c>
      <c r="G21" s="25">
        <f t="shared" si="1"/>
        <v>460</v>
      </c>
      <c r="H21" s="27">
        <v>720</v>
      </c>
      <c r="I21" s="25">
        <v>605</v>
      </c>
    </row>
    <row r="22" spans="1:17">
      <c r="A22" s="34" t="s">
        <v>69</v>
      </c>
      <c r="B22" s="35">
        <f t="shared" si="0"/>
        <v>206000</v>
      </c>
      <c r="C22" s="35">
        <v>315</v>
      </c>
      <c r="D22" s="199">
        <v>470</v>
      </c>
      <c r="E22" s="200">
        <v>1.05</v>
      </c>
      <c r="G22" s="25">
        <f t="shared" si="1"/>
        <v>470</v>
      </c>
      <c r="H22" s="27">
        <v>735</v>
      </c>
      <c r="I22" s="25">
        <v>620</v>
      </c>
    </row>
    <row r="23" spans="1:17">
      <c r="A23" s="34" t="s">
        <v>142</v>
      </c>
      <c r="B23" s="35">
        <f t="shared" si="0"/>
        <v>206000</v>
      </c>
      <c r="C23" s="35">
        <v>205</v>
      </c>
      <c r="D23" s="199">
        <v>330</v>
      </c>
      <c r="E23" s="200">
        <v>1.05</v>
      </c>
      <c r="G23" s="25">
        <f t="shared" si="1"/>
        <v>480</v>
      </c>
      <c r="H23" s="27">
        <v>750</v>
      </c>
      <c r="I23" s="25">
        <v>630</v>
      </c>
    </row>
    <row r="24" spans="1:17">
      <c r="A24" s="34" t="s">
        <v>143</v>
      </c>
      <c r="B24" s="35">
        <f t="shared" si="0"/>
        <v>206000</v>
      </c>
      <c r="C24" s="35">
        <v>195</v>
      </c>
      <c r="D24" s="199">
        <v>330</v>
      </c>
      <c r="E24" s="200">
        <v>1.05</v>
      </c>
      <c r="G24" s="25">
        <f t="shared" si="1"/>
        <v>490</v>
      </c>
      <c r="H24" s="27">
        <v>765</v>
      </c>
      <c r="I24" s="25">
        <v>645</v>
      </c>
    </row>
    <row r="25" spans="1:17">
      <c r="A25" s="34" t="s">
        <v>144</v>
      </c>
      <c r="B25" s="35">
        <f t="shared" si="0"/>
        <v>206000</v>
      </c>
      <c r="C25" s="35">
        <v>245</v>
      </c>
      <c r="D25" s="199">
        <v>400</v>
      </c>
      <c r="E25" s="200">
        <v>1.05</v>
      </c>
      <c r="G25" s="25">
        <v>510</v>
      </c>
      <c r="H25" s="27">
        <v>795</v>
      </c>
      <c r="I25" s="25">
        <v>670</v>
      </c>
    </row>
    <row r="26" spans="1:17">
      <c r="A26" s="34" t="s">
        <v>145</v>
      </c>
      <c r="B26" s="35">
        <f t="shared" si="0"/>
        <v>206000</v>
      </c>
      <c r="C26" s="35">
        <v>235</v>
      </c>
      <c r="D26" s="199">
        <v>400</v>
      </c>
      <c r="E26" s="200">
        <v>1.05</v>
      </c>
      <c r="G26" s="25">
        <v>540</v>
      </c>
      <c r="H26" s="27">
        <v>845</v>
      </c>
      <c r="I26" s="25">
        <v>710</v>
      </c>
    </row>
    <row r="27" spans="1:17">
      <c r="A27" s="34" t="s">
        <v>146</v>
      </c>
      <c r="B27" s="35">
        <f t="shared" si="0"/>
        <v>206000</v>
      </c>
      <c r="C27" s="35">
        <v>285</v>
      </c>
      <c r="D27" s="199">
        <v>490</v>
      </c>
      <c r="E27" s="200">
        <v>1.05</v>
      </c>
      <c r="G27" s="25">
        <v>570</v>
      </c>
      <c r="H27" s="27">
        <v>890</v>
      </c>
      <c r="I27" s="25">
        <v>750</v>
      </c>
    </row>
    <row r="28" spans="1:17">
      <c r="A28" s="34" t="s">
        <v>147</v>
      </c>
      <c r="B28" s="35">
        <f t="shared" si="0"/>
        <v>206000</v>
      </c>
      <c r="C28" s="35">
        <v>275</v>
      </c>
      <c r="D28" s="199">
        <v>490</v>
      </c>
      <c r="E28" s="200">
        <v>1.05</v>
      </c>
      <c r="G28" s="25">
        <v>590</v>
      </c>
      <c r="H28" s="27">
        <v>920</v>
      </c>
      <c r="I28" s="25">
        <v>775</v>
      </c>
    </row>
    <row r="29" spans="1:17">
      <c r="A29" s="34" t="s">
        <v>148</v>
      </c>
      <c r="B29" s="35">
        <f t="shared" si="0"/>
        <v>206000</v>
      </c>
      <c r="C29" s="35">
        <v>400</v>
      </c>
      <c r="D29" s="199">
        <v>540</v>
      </c>
      <c r="E29" s="200">
        <v>1.05</v>
      </c>
    </row>
    <row r="30" spans="1:17">
      <c r="A30" s="34" t="s">
        <v>149</v>
      </c>
      <c r="B30" s="35">
        <f t="shared" si="0"/>
        <v>206000</v>
      </c>
      <c r="C30" s="35">
        <v>390</v>
      </c>
      <c r="D30" s="199">
        <v>540</v>
      </c>
      <c r="E30" s="200">
        <v>1.05</v>
      </c>
      <c r="G30" s="196" t="s">
        <v>32</v>
      </c>
      <c r="H30" s="196"/>
      <c r="I30" s="196"/>
      <c r="J30" s="196"/>
      <c r="K30" s="196"/>
      <c r="L30" s="196"/>
      <c r="M30" s="196"/>
      <c r="N30" s="196"/>
      <c r="O30" s="196"/>
      <c r="P30" s="196"/>
      <c r="Q30" s="196"/>
    </row>
    <row r="31" spans="1:17">
      <c r="A31" s="34" t="s">
        <v>226</v>
      </c>
      <c r="B31" s="35">
        <f t="shared" si="0"/>
        <v>206000</v>
      </c>
      <c r="C31" s="35">
        <v>220</v>
      </c>
      <c r="D31" s="199">
        <v>340</v>
      </c>
      <c r="E31" s="200">
        <v>1.05</v>
      </c>
      <c r="G31" s="28" t="s">
        <v>33</v>
      </c>
      <c r="H31" s="29">
        <v>16</v>
      </c>
      <c r="I31" s="29">
        <v>18</v>
      </c>
      <c r="J31" s="29">
        <v>20</v>
      </c>
      <c r="K31" s="29">
        <v>22</v>
      </c>
      <c r="L31" s="29">
        <v>24</v>
      </c>
      <c r="M31" s="29">
        <v>27</v>
      </c>
      <c r="N31" s="29">
        <v>30</v>
      </c>
      <c r="O31" s="29">
        <v>36</v>
      </c>
      <c r="P31" s="29">
        <v>42</v>
      </c>
      <c r="Q31" s="29">
        <v>48</v>
      </c>
    </row>
    <row r="32" spans="1:17">
      <c r="A32" s="34" t="s">
        <v>227</v>
      </c>
      <c r="B32" s="35">
        <f t="shared" si="0"/>
        <v>206000</v>
      </c>
      <c r="C32" s="35">
        <v>240</v>
      </c>
      <c r="D32" s="199">
        <v>380</v>
      </c>
      <c r="E32" s="200">
        <v>1.05</v>
      </c>
      <c r="G32" s="28" t="s">
        <v>34</v>
      </c>
      <c r="H32" s="12">
        <v>2</v>
      </c>
      <c r="I32" s="12">
        <v>2.5</v>
      </c>
      <c r="J32" s="12">
        <v>2.5</v>
      </c>
      <c r="K32" s="12">
        <v>2.5</v>
      </c>
      <c r="L32" s="12">
        <v>3</v>
      </c>
      <c r="M32" s="12">
        <v>3</v>
      </c>
      <c r="N32" s="12">
        <v>3.5</v>
      </c>
      <c r="O32" s="12">
        <v>4</v>
      </c>
      <c r="P32" s="12">
        <v>4.5</v>
      </c>
      <c r="Q32" s="12">
        <v>5</v>
      </c>
    </row>
    <row r="33" spans="1:17">
      <c r="A33" s="34" t="s">
        <v>228</v>
      </c>
      <c r="B33" s="35">
        <f t="shared" si="0"/>
        <v>206000</v>
      </c>
      <c r="C33" s="35">
        <v>260</v>
      </c>
      <c r="D33" s="199">
        <v>420</v>
      </c>
      <c r="E33" s="200">
        <v>1.05</v>
      </c>
      <c r="G33" s="28" t="s">
        <v>35</v>
      </c>
      <c r="H33" s="30">
        <f>PI()*H31^2/4</f>
        <v>201.06192982974676</v>
      </c>
      <c r="I33" s="30">
        <f t="shared" ref="I33:Q33" si="2">PI()*I31^2/4</f>
        <v>254.46900494077323</v>
      </c>
      <c r="J33" s="30">
        <f t="shared" si="2"/>
        <v>314.15926535897933</v>
      </c>
      <c r="K33" s="30">
        <f t="shared" si="2"/>
        <v>380.13271108436498</v>
      </c>
      <c r="L33" s="30">
        <f t="shared" si="2"/>
        <v>452.38934211693021</v>
      </c>
      <c r="M33" s="30">
        <f t="shared" si="2"/>
        <v>572.55526111673976</v>
      </c>
      <c r="N33" s="30">
        <f t="shared" si="2"/>
        <v>706.85834705770344</v>
      </c>
      <c r="O33" s="30">
        <f t="shared" si="2"/>
        <v>1017.8760197630929</v>
      </c>
      <c r="P33" s="30">
        <f t="shared" si="2"/>
        <v>1385.4423602330987</v>
      </c>
      <c r="Q33" s="30">
        <f t="shared" si="2"/>
        <v>1809.5573684677208</v>
      </c>
    </row>
    <row r="34" spans="1:17">
      <c r="G34" s="28" t="s">
        <v>36</v>
      </c>
      <c r="H34" s="12">
        <v>157</v>
      </c>
      <c r="I34" s="12">
        <v>192</v>
      </c>
      <c r="J34" s="12">
        <v>245</v>
      </c>
      <c r="K34" s="12">
        <v>303</v>
      </c>
      <c r="L34" s="12">
        <v>353</v>
      </c>
      <c r="M34" s="12">
        <v>459</v>
      </c>
      <c r="N34" s="12">
        <v>561</v>
      </c>
      <c r="O34" s="12">
        <v>816</v>
      </c>
      <c r="P34" s="12">
        <v>1120</v>
      </c>
      <c r="Q34" s="12">
        <v>1472</v>
      </c>
    </row>
    <row r="35" spans="1:17">
      <c r="G35" s="31" t="s">
        <v>37</v>
      </c>
      <c r="H35" s="12">
        <v>1</v>
      </c>
      <c r="I35" s="12">
        <v>1.05</v>
      </c>
      <c r="J35" s="12">
        <v>1.1000000000000001</v>
      </c>
      <c r="K35" s="12">
        <v>1.1000000000000001</v>
      </c>
      <c r="L35" s="12">
        <v>1.1000000000000001</v>
      </c>
      <c r="M35" s="12">
        <v>1.2</v>
      </c>
      <c r="N35" s="12">
        <v>1.3</v>
      </c>
      <c r="O35" s="12">
        <v>1.3</v>
      </c>
      <c r="P35" s="12">
        <v>1.6</v>
      </c>
      <c r="Q35" s="12">
        <v>1.6</v>
      </c>
    </row>
    <row r="37" spans="1:17">
      <c r="L37" s="187" t="s">
        <v>70</v>
      </c>
      <c r="M37" s="188"/>
      <c r="N37" s="189"/>
    </row>
    <row r="38" spans="1:17" ht="15">
      <c r="L38" s="33" t="s">
        <v>71</v>
      </c>
      <c r="M38" s="33" t="s">
        <v>72</v>
      </c>
      <c r="N38" s="33" t="s">
        <v>73</v>
      </c>
    </row>
    <row r="39" spans="1:17">
      <c r="L39" s="12" t="s">
        <v>74</v>
      </c>
      <c r="M39" s="12">
        <v>430</v>
      </c>
      <c r="N39" s="12">
        <v>180</v>
      </c>
    </row>
    <row r="40" spans="1:17">
      <c r="L40" s="12" t="s">
        <v>75</v>
      </c>
      <c r="M40" s="12">
        <v>510</v>
      </c>
      <c r="N40" s="12">
        <v>225</v>
      </c>
    </row>
    <row r="41" spans="1:17">
      <c r="L41" s="12" t="s">
        <v>13</v>
      </c>
      <c r="M41" s="12">
        <v>410</v>
      </c>
      <c r="N41" s="12">
        <v>180</v>
      </c>
    </row>
    <row r="42" spans="1:17">
      <c r="L42" s="12" t="s">
        <v>76</v>
      </c>
      <c r="M42" s="12">
        <v>450</v>
      </c>
      <c r="N42" s="12">
        <v>200</v>
      </c>
    </row>
    <row r="43" spans="1:17">
      <c r="L43" s="12" t="s">
        <v>77</v>
      </c>
      <c r="M43" s="12">
        <v>490</v>
      </c>
      <c r="N43" s="12">
        <v>215</v>
      </c>
    </row>
  </sheetData>
  <mergeCells count="6">
    <mergeCell ref="L37:N37"/>
    <mergeCell ref="G1:K2"/>
    <mergeCell ref="G10:K11"/>
    <mergeCell ref="G12:G13"/>
    <mergeCell ref="H12:I12"/>
    <mergeCell ref="G30:Q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DB6-365D-4184-BB83-0AD8F3BD7053}">
  <sheetPr codeName="Sheet3">
    <tabColor rgb="FFC00000"/>
  </sheetPr>
  <dimension ref="B1:EV892"/>
  <sheetViews>
    <sheetView showGridLines="0" tabSelected="1" topLeftCell="A10" zoomScale="145" zoomScaleNormal="145" zoomScaleSheetLayoutView="100" workbookViewId="0">
      <selection activeCell="F28" sqref="F28"/>
    </sheetView>
  </sheetViews>
  <sheetFormatPr defaultColWidth="7.33203125" defaultRowHeight="13.8"/>
  <cols>
    <col min="1" max="1" width="1.5546875" style="1" customWidth="1"/>
    <col min="2" max="7" width="6.6640625" style="1" customWidth="1"/>
    <col min="8" max="8" width="2.88671875" style="2" customWidth="1"/>
    <col min="9" max="9" width="8.5546875" style="1" customWidth="1"/>
    <col min="10" max="10" width="7.33203125" style="1"/>
    <col min="11" max="11" width="8.44140625" style="1" bestFit="1" customWidth="1"/>
    <col min="12" max="12" width="7.33203125" style="1"/>
    <col min="13" max="13" width="7.33203125" style="1" customWidth="1"/>
    <col min="14" max="14" width="7.33203125" style="1"/>
    <col min="15" max="15" width="8.5546875" style="1" customWidth="1"/>
    <col min="16" max="16" width="7.6640625" style="1" customWidth="1"/>
    <col min="17" max="17" width="8.109375" style="1" bestFit="1" customWidth="1"/>
    <col min="18" max="18" width="8.109375" style="1" customWidth="1"/>
    <col min="19" max="19" width="8" style="1" customWidth="1"/>
    <col min="20" max="20" width="7.6640625" style="1" customWidth="1"/>
    <col min="21" max="25" width="7.33203125" style="1" hidden="1" customWidth="1"/>
    <col min="26" max="26" width="2.88671875" style="2" customWidth="1"/>
    <col min="27" max="28" width="5.33203125" style="118" customWidth="1"/>
    <col min="29" max="29" width="5.33203125" style="119" customWidth="1"/>
    <col min="30" max="33" width="5.33203125" style="59" customWidth="1"/>
    <col min="34" max="34" width="5.33203125" style="59" hidden="1" customWidth="1"/>
    <col min="35" max="41" width="5.33203125" style="118" customWidth="1"/>
    <col min="42" max="42" width="7.5546875" style="118" customWidth="1"/>
    <col min="43" max="44" width="5.6640625" style="122" customWidth="1"/>
    <col min="45" max="47" width="0" style="60" hidden="1" customWidth="1"/>
    <col min="48" max="48" width="7.33203125" style="60"/>
    <col min="49" max="50" width="7.33203125" style="89" hidden="1" customWidth="1"/>
    <col min="51" max="52" width="7.33203125" style="89" customWidth="1"/>
    <col min="53" max="58" width="4.6640625" style="89" customWidth="1"/>
    <col min="59" max="59" width="4.6640625" style="46" customWidth="1"/>
    <col min="60" max="60" width="5.6640625" style="46" customWidth="1"/>
    <col min="61" max="61" width="4.6640625" style="46" customWidth="1"/>
    <col min="62" max="62" width="8.109375" style="46" bestFit="1" customWidth="1"/>
    <col min="63" max="68" width="4.6640625" style="46" customWidth="1"/>
    <col min="69" max="69" width="5.44140625" style="46" customWidth="1"/>
    <col min="70" max="70" width="6" style="46" bestFit="1" customWidth="1"/>
    <col min="71" max="74" width="4.6640625" style="46" customWidth="1"/>
    <col min="75" max="103" width="0" style="1" hidden="1" customWidth="1"/>
    <col min="104" max="104" width="2.88671875" style="2" customWidth="1"/>
    <col min="105" max="106" width="5.33203125" style="118" customWidth="1"/>
    <col min="107" max="107" width="5.33203125" style="119" customWidth="1"/>
    <col min="108" max="111" width="5.33203125" style="59" customWidth="1"/>
    <col min="112" max="112" width="5.33203125" style="59" hidden="1" customWidth="1"/>
    <col min="113" max="119" width="5.33203125" style="118" customWidth="1"/>
    <col min="120" max="120" width="7.5546875" style="118" customWidth="1"/>
    <col min="121" max="122" width="5.6640625" style="122" customWidth="1"/>
    <col min="123" max="125" width="0" style="60" hidden="1" customWidth="1"/>
    <col min="126" max="126" width="7.33203125" style="60"/>
    <col min="127" max="130" width="7.33203125" style="89" customWidth="1"/>
    <col min="131" max="136" width="4.6640625" style="89" customWidth="1"/>
    <col min="137" max="139" width="4.6640625" style="46" customWidth="1"/>
    <col min="140" max="140" width="8.109375" style="46" bestFit="1" customWidth="1"/>
    <col min="141" max="146" width="4.6640625" style="46" customWidth="1"/>
    <col min="147" max="147" width="5.44140625" style="46" customWidth="1"/>
    <col min="148" max="148" width="6" style="46" bestFit="1" customWidth="1"/>
    <col min="149" max="152" width="4.6640625" style="46" customWidth="1"/>
    <col min="153" max="16384" width="7.33203125" style="1"/>
  </cols>
  <sheetData>
    <row r="1" spans="2:152" ht="12.75" hidden="1" customHeight="1">
      <c r="AA1" s="52"/>
      <c r="AB1" s="52"/>
      <c r="AC1" s="87"/>
      <c r="AD1" s="47"/>
      <c r="AE1" s="47"/>
      <c r="AF1" s="47"/>
      <c r="AG1" s="47"/>
      <c r="AH1" s="47"/>
      <c r="AI1" s="52"/>
      <c r="AJ1" s="52"/>
      <c r="AK1" s="52"/>
      <c r="AL1" s="52"/>
      <c r="AM1" s="52"/>
      <c r="AN1" s="52"/>
      <c r="AO1" s="52"/>
      <c r="AP1" s="52"/>
      <c r="AQ1" s="88"/>
      <c r="AR1" s="88"/>
      <c r="AS1" s="89"/>
      <c r="AT1" s="89"/>
      <c r="AU1" s="89"/>
      <c r="AV1" s="89"/>
      <c r="DA1" s="52"/>
      <c r="DB1" s="52"/>
      <c r="DC1" s="87"/>
      <c r="DD1" s="47"/>
      <c r="DE1" s="47"/>
      <c r="DF1" s="47"/>
      <c r="DG1" s="47"/>
      <c r="DH1" s="47"/>
      <c r="DI1" s="52"/>
      <c r="DJ1" s="52"/>
      <c r="DK1" s="52"/>
      <c r="DL1" s="52"/>
      <c r="DM1" s="52"/>
      <c r="DN1" s="52"/>
      <c r="DO1" s="52"/>
      <c r="DP1" s="52"/>
      <c r="DQ1" s="88"/>
      <c r="DR1" s="88"/>
      <c r="DS1" s="89"/>
      <c r="DT1" s="89"/>
      <c r="DU1" s="89"/>
      <c r="DV1" s="89"/>
    </row>
    <row r="2" spans="2:152" ht="12.75" hidden="1" customHeight="1">
      <c r="AA2" s="52"/>
      <c r="AB2" s="52"/>
      <c r="AC2" s="87"/>
      <c r="AD2" s="47"/>
      <c r="AE2" s="47"/>
      <c r="AF2" s="47"/>
      <c r="AG2" s="47"/>
      <c r="AH2" s="47"/>
      <c r="AI2" s="52"/>
      <c r="AJ2" s="52"/>
      <c r="AK2" s="52"/>
      <c r="AL2" s="52"/>
      <c r="AM2" s="52"/>
      <c r="AN2" s="52"/>
      <c r="AO2" s="52"/>
      <c r="AP2" s="52"/>
      <c r="AQ2" s="88"/>
      <c r="AR2" s="88"/>
      <c r="AS2" s="89"/>
      <c r="AT2" s="89"/>
      <c r="AU2" s="89"/>
      <c r="AV2" s="89"/>
      <c r="DA2" s="52"/>
      <c r="DB2" s="52"/>
      <c r="DC2" s="87"/>
      <c r="DD2" s="47"/>
      <c r="DE2" s="47"/>
      <c r="DF2" s="47"/>
      <c r="DG2" s="47"/>
      <c r="DH2" s="47"/>
      <c r="DI2" s="52"/>
      <c r="DJ2" s="52"/>
      <c r="DK2" s="52"/>
      <c r="DL2" s="52"/>
      <c r="DM2" s="52"/>
      <c r="DN2" s="52"/>
      <c r="DO2" s="52"/>
      <c r="DP2" s="52"/>
      <c r="DQ2" s="88"/>
      <c r="DR2" s="88"/>
      <c r="DS2" s="89"/>
      <c r="DT2" s="89"/>
      <c r="DU2" s="89"/>
      <c r="DV2" s="89"/>
    </row>
    <row r="3" spans="2:152" ht="12.75" hidden="1" customHeight="1">
      <c r="AA3" s="52"/>
      <c r="AB3" s="52"/>
      <c r="AC3" s="87"/>
      <c r="AD3" s="47"/>
      <c r="AE3" s="47"/>
      <c r="AF3" s="47"/>
      <c r="AG3" s="47"/>
      <c r="AH3" s="47"/>
      <c r="AI3" s="52"/>
      <c r="AJ3" s="52"/>
      <c r="AK3" s="52"/>
      <c r="AL3" s="52"/>
      <c r="AM3" s="52"/>
      <c r="AN3" s="52"/>
      <c r="AO3" s="52"/>
      <c r="AP3" s="52"/>
      <c r="AQ3" s="88"/>
      <c r="AR3" s="88"/>
      <c r="AS3" s="89"/>
      <c r="AT3" s="89"/>
      <c r="AU3" s="89"/>
      <c r="AV3" s="89"/>
      <c r="DA3" s="52"/>
      <c r="DB3" s="52"/>
      <c r="DC3" s="87"/>
      <c r="DD3" s="47"/>
      <c r="DE3" s="47"/>
      <c r="DF3" s="47"/>
      <c r="DG3" s="47"/>
      <c r="DH3" s="47"/>
      <c r="DI3" s="52"/>
      <c r="DJ3" s="52"/>
      <c r="DK3" s="52"/>
      <c r="DL3" s="52"/>
      <c r="DM3" s="52"/>
      <c r="DN3" s="52"/>
      <c r="DO3" s="52"/>
      <c r="DP3" s="52"/>
      <c r="DQ3" s="88"/>
      <c r="DR3" s="88"/>
      <c r="DS3" s="89"/>
      <c r="DT3" s="89"/>
      <c r="DU3" s="89"/>
      <c r="DV3" s="89"/>
    </row>
    <row r="4" spans="2:152" ht="12.75" hidden="1" customHeight="1">
      <c r="AA4" s="52"/>
      <c r="AB4" s="52"/>
      <c r="AC4" s="87"/>
      <c r="AD4" s="47"/>
      <c r="AE4" s="47"/>
      <c r="AF4" s="47"/>
      <c r="AG4" s="47"/>
      <c r="AH4" s="47"/>
      <c r="AI4" s="52"/>
      <c r="AJ4" s="52"/>
      <c r="AK4" s="52"/>
      <c r="AL4" s="52"/>
      <c r="AM4" s="52"/>
      <c r="AN4" s="52"/>
      <c r="AO4" s="52"/>
      <c r="AP4" s="52"/>
      <c r="AQ4" s="88"/>
      <c r="AR4" s="88"/>
      <c r="AS4" s="89"/>
      <c r="AT4" s="89"/>
      <c r="AU4" s="89"/>
      <c r="AV4" s="89"/>
      <c r="DA4" s="52"/>
      <c r="DB4" s="52"/>
      <c r="DC4" s="87"/>
      <c r="DD4" s="47"/>
      <c r="DE4" s="47"/>
      <c r="DF4" s="47"/>
      <c r="DG4" s="47"/>
      <c r="DH4" s="47"/>
      <c r="DI4" s="52"/>
      <c r="DJ4" s="52"/>
      <c r="DK4" s="52"/>
      <c r="DL4" s="52"/>
      <c r="DM4" s="52"/>
      <c r="DN4" s="52"/>
      <c r="DO4" s="52"/>
      <c r="DP4" s="52"/>
      <c r="DQ4" s="88"/>
      <c r="DR4" s="88"/>
      <c r="DS4" s="89"/>
      <c r="DT4" s="89"/>
      <c r="DU4" s="89"/>
      <c r="DV4" s="89"/>
    </row>
    <row r="5" spans="2:152" ht="12.75" hidden="1" customHeight="1">
      <c r="AA5" s="52"/>
      <c r="AB5" s="52"/>
      <c r="AC5" s="87"/>
      <c r="AD5" s="47"/>
      <c r="AE5" s="47"/>
      <c r="AF5" s="47"/>
      <c r="AG5" s="47"/>
      <c r="AH5" s="47"/>
      <c r="AI5" s="52"/>
      <c r="AJ5" s="52"/>
      <c r="AK5" s="52"/>
      <c r="AL5" s="52"/>
      <c r="AM5" s="52"/>
      <c r="AN5" s="52"/>
      <c r="AO5" s="52"/>
      <c r="AP5" s="52"/>
      <c r="AQ5" s="88"/>
      <c r="AR5" s="88"/>
      <c r="AS5" s="89"/>
      <c r="AT5" s="89"/>
      <c r="AU5" s="89"/>
      <c r="AV5" s="89"/>
      <c r="DA5" s="52"/>
      <c r="DB5" s="52"/>
      <c r="DC5" s="87"/>
      <c r="DD5" s="47"/>
      <c r="DE5" s="47"/>
      <c r="DF5" s="47"/>
      <c r="DG5" s="47"/>
      <c r="DH5" s="47"/>
      <c r="DI5" s="52"/>
      <c r="DJ5" s="52"/>
      <c r="DK5" s="52"/>
      <c r="DL5" s="52"/>
      <c r="DM5" s="52"/>
      <c r="DN5" s="52"/>
      <c r="DO5" s="52"/>
      <c r="DP5" s="52"/>
      <c r="DQ5" s="88"/>
      <c r="DR5" s="88"/>
      <c r="DS5" s="89"/>
      <c r="DT5" s="89"/>
      <c r="DU5" s="89"/>
      <c r="DV5" s="89"/>
    </row>
    <row r="6" spans="2:152" ht="12.75" hidden="1" customHeight="1">
      <c r="AA6" s="52"/>
      <c r="AB6" s="52"/>
      <c r="AC6" s="87"/>
      <c r="AD6" s="47"/>
      <c r="AE6" s="47"/>
      <c r="AF6" s="47"/>
      <c r="AG6" s="47"/>
      <c r="AH6" s="47"/>
      <c r="AI6" s="52"/>
      <c r="AJ6" s="52"/>
      <c r="AK6" s="52"/>
      <c r="AL6" s="52"/>
      <c r="AM6" s="52"/>
      <c r="AN6" s="52"/>
      <c r="AO6" s="52"/>
      <c r="AP6" s="52"/>
      <c r="AQ6" s="88"/>
      <c r="AR6" s="88"/>
      <c r="AS6" s="89"/>
      <c r="AT6" s="89"/>
      <c r="AU6" s="89"/>
      <c r="AV6" s="89"/>
      <c r="DA6" s="52"/>
      <c r="DB6" s="52"/>
      <c r="DC6" s="87"/>
      <c r="DD6" s="47"/>
      <c r="DE6" s="47"/>
      <c r="DF6" s="47"/>
      <c r="DG6" s="47"/>
      <c r="DH6" s="47"/>
      <c r="DI6" s="52"/>
      <c r="DJ6" s="52"/>
      <c r="DK6" s="52"/>
      <c r="DL6" s="52"/>
      <c r="DM6" s="52"/>
      <c r="DN6" s="52"/>
      <c r="DO6" s="52"/>
      <c r="DP6" s="52"/>
      <c r="DQ6" s="88"/>
      <c r="DR6" s="88"/>
      <c r="DS6" s="89"/>
      <c r="DT6" s="89"/>
      <c r="DU6" s="89"/>
      <c r="DV6" s="89"/>
    </row>
    <row r="7" spans="2:152" ht="12.75" hidden="1" customHeight="1">
      <c r="AA7" s="52"/>
      <c r="AB7" s="52"/>
      <c r="AC7" s="87"/>
      <c r="AD7" s="47"/>
      <c r="AE7" s="47"/>
      <c r="AF7" s="47"/>
      <c r="AG7" s="47"/>
      <c r="AH7" s="47"/>
      <c r="AI7" s="52"/>
      <c r="AJ7" s="52"/>
      <c r="AK7" s="52"/>
      <c r="AL7" s="52"/>
      <c r="AM7" s="52"/>
      <c r="AN7" s="52"/>
      <c r="AO7" s="52"/>
      <c r="AP7" s="52"/>
      <c r="AQ7" s="88"/>
      <c r="AR7" s="88"/>
      <c r="AS7" s="89"/>
      <c r="AT7" s="89"/>
      <c r="AU7" s="89"/>
      <c r="AV7" s="89"/>
      <c r="DA7" s="52"/>
      <c r="DB7" s="52"/>
      <c r="DC7" s="87"/>
      <c r="DD7" s="47"/>
      <c r="DE7" s="47"/>
      <c r="DF7" s="47"/>
      <c r="DG7" s="47"/>
      <c r="DH7" s="47"/>
      <c r="DI7" s="52"/>
      <c r="DJ7" s="52"/>
      <c r="DK7" s="52"/>
      <c r="DL7" s="52"/>
      <c r="DM7" s="52"/>
      <c r="DN7" s="52"/>
      <c r="DO7" s="52"/>
      <c r="DP7" s="52"/>
      <c r="DQ7" s="88"/>
      <c r="DR7" s="88"/>
      <c r="DS7" s="89"/>
      <c r="DT7" s="89"/>
      <c r="DU7" s="89"/>
      <c r="DV7" s="89"/>
    </row>
    <row r="8" spans="2:152" ht="12.75" hidden="1" customHeight="1">
      <c r="AA8" s="52"/>
      <c r="AB8" s="52"/>
      <c r="AC8" s="87"/>
      <c r="AD8" s="47"/>
      <c r="AE8" s="47"/>
      <c r="AF8" s="47"/>
      <c r="AG8" s="47"/>
      <c r="AH8" s="47"/>
      <c r="AI8" s="52"/>
      <c r="AJ8" s="52"/>
      <c r="AK8" s="52"/>
      <c r="AL8" s="52"/>
      <c r="AM8" s="52"/>
      <c r="AN8" s="52"/>
      <c r="AO8" s="52"/>
      <c r="AP8" s="52"/>
      <c r="AQ8" s="88"/>
      <c r="AR8" s="88"/>
      <c r="AS8" s="89"/>
      <c r="AT8" s="89"/>
      <c r="AU8" s="89"/>
      <c r="AV8" s="89"/>
      <c r="DA8" s="52"/>
      <c r="DB8" s="52"/>
      <c r="DC8" s="87"/>
      <c r="DD8" s="47"/>
      <c r="DE8" s="47"/>
      <c r="DF8" s="47"/>
      <c r="DG8" s="47"/>
      <c r="DH8" s="47"/>
      <c r="DI8" s="52"/>
      <c r="DJ8" s="52"/>
      <c r="DK8" s="52"/>
      <c r="DL8" s="52"/>
      <c r="DM8" s="52"/>
      <c r="DN8" s="52"/>
      <c r="DO8" s="52"/>
      <c r="DP8" s="52"/>
      <c r="DQ8" s="88"/>
      <c r="DR8" s="88"/>
      <c r="DS8" s="89"/>
      <c r="DT8" s="89"/>
      <c r="DU8" s="89"/>
      <c r="DV8" s="89"/>
    </row>
    <row r="9" spans="2:152" ht="12.75" hidden="1" customHeight="1">
      <c r="AA9" s="52"/>
      <c r="AB9" s="52"/>
      <c r="AC9" s="87"/>
      <c r="AD9" s="47"/>
      <c r="AE9" s="47"/>
      <c r="AF9" s="47"/>
      <c r="AG9" s="47"/>
      <c r="AH9" s="47"/>
      <c r="AI9" s="52"/>
      <c r="AJ9" s="52"/>
      <c r="AK9" s="52"/>
      <c r="AL9" s="52"/>
      <c r="AM9" s="52"/>
      <c r="AN9" s="52"/>
      <c r="AO9" s="52"/>
      <c r="AP9" s="52"/>
      <c r="AQ9" s="88"/>
      <c r="AR9" s="88"/>
      <c r="AS9" s="89"/>
      <c r="AT9" s="89"/>
      <c r="AU9" s="89"/>
      <c r="AV9" s="89"/>
      <c r="DA9" s="52"/>
      <c r="DB9" s="52"/>
      <c r="DC9" s="87"/>
      <c r="DD9" s="47"/>
      <c r="DE9" s="47"/>
      <c r="DF9" s="47"/>
      <c r="DG9" s="47"/>
      <c r="DH9" s="47"/>
      <c r="DI9" s="52"/>
      <c r="DJ9" s="52"/>
      <c r="DK9" s="52"/>
      <c r="DL9" s="52"/>
      <c r="DM9" s="52"/>
      <c r="DN9" s="52"/>
      <c r="DO9" s="52"/>
      <c r="DP9" s="52"/>
      <c r="DQ9" s="88"/>
      <c r="DR9" s="88"/>
      <c r="DS9" s="89"/>
      <c r="DT9" s="89"/>
      <c r="DU9" s="89"/>
      <c r="DV9" s="89"/>
    </row>
    <row r="10" spans="2:152" ht="10.5" customHeight="1">
      <c r="AA10" s="52"/>
      <c r="AB10" s="52"/>
      <c r="AC10" s="87"/>
      <c r="AD10" s="47"/>
      <c r="AE10" s="47"/>
      <c r="AF10" s="47"/>
      <c r="AG10" s="47"/>
      <c r="AH10" s="47"/>
      <c r="AI10" s="52"/>
      <c r="AJ10" s="52"/>
      <c r="AK10" s="52"/>
      <c r="AL10" s="52"/>
      <c r="AM10" s="52"/>
      <c r="AN10" s="52"/>
      <c r="AO10" s="52"/>
      <c r="AP10" s="52"/>
      <c r="AQ10" s="88"/>
      <c r="AR10" s="88"/>
      <c r="AS10" s="89"/>
      <c r="AT10" s="89"/>
      <c r="AU10" s="89"/>
      <c r="AV10" s="89"/>
      <c r="DA10" s="52"/>
      <c r="DB10" s="52"/>
      <c r="DC10" s="87"/>
      <c r="DD10" s="47"/>
      <c r="DE10" s="47"/>
      <c r="DF10" s="47"/>
      <c r="DG10" s="47"/>
      <c r="DH10" s="47"/>
      <c r="DI10" s="52"/>
      <c r="DJ10" s="52"/>
      <c r="DK10" s="52"/>
      <c r="DL10" s="52"/>
      <c r="DM10" s="52"/>
      <c r="DN10" s="52"/>
      <c r="DO10" s="52"/>
      <c r="DP10" s="52"/>
      <c r="DQ10" s="88"/>
      <c r="DR10" s="88"/>
      <c r="DS10" s="89"/>
      <c r="DT10" s="89"/>
      <c r="DU10" s="89"/>
      <c r="DV10" s="89"/>
    </row>
    <row r="11" spans="2:152" ht="20.25" customHeight="1">
      <c r="B11" s="157" t="s">
        <v>88</v>
      </c>
      <c r="C11" s="157"/>
      <c r="D11" s="157"/>
      <c r="E11" s="157"/>
      <c r="F11" s="157"/>
      <c r="G11" s="54"/>
      <c r="H11" s="4">
        <f>MAX(COUNTA(#REF!)+21,23)</f>
        <v>23</v>
      </c>
      <c r="I11" s="147" t="s">
        <v>141</v>
      </c>
      <c r="J11" s="148"/>
      <c r="K11" s="148"/>
      <c r="L11" s="148"/>
      <c r="M11" s="148"/>
      <c r="N11" s="148"/>
      <c r="O11" s="148"/>
      <c r="P11" s="148"/>
      <c r="Q11" s="148"/>
      <c r="R11" s="151"/>
      <c r="S11" s="151"/>
      <c r="T11" s="152"/>
      <c r="U11" s="3"/>
      <c r="Z11" s="4">
        <f>MAX(COUNTA(#REF!)+21,23)</f>
        <v>23</v>
      </c>
      <c r="AA11" s="90" t="s">
        <v>221</v>
      </c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2"/>
      <c r="CZ11" s="4">
        <f>MAX(COUNTA(#REF!)+21,23)</f>
        <v>23</v>
      </c>
      <c r="DA11" s="90" t="s">
        <v>176</v>
      </c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  <c r="DT11" s="91"/>
      <c r="DU11" s="91"/>
      <c r="DV11" s="91"/>
      <c r="DW11" s="91"/>
      <c r="DX11" s="91"/>
      <c r="DY11" s="91"/>
      <c r="DZ11" s="91"/>
      <c r="EA11" s="91"/>
      <c r="EB11" s="91"/>
      <c r="EC11" s="91"/>
      <c r="ED11" s="91"/>
      <c r="EE11" s="91"/>
      <c r="EF11" s="91"/>
      <c r="EG11" s="91"/>
      <c r="EH11" s="91"/>
      <c r="EI11" s="91"/>
      <c r="EJ11" s="91"/>
      <c r="EK11" s="91"/>
      <c r="EL11" s="91"/>
      <c r="EM11" s="91"/>
      <c r="EN11" s="91"/>
      <c r="EO11" s="91"/>
      <c r="EP11" s="91"/>
      <c r="EQ11" s="91"/>
      <c r="ER11" s="91"/>
      <c r="ES11" s="91"/>
      <c r="ET11" s="91"/>
      <c r="EU11" s="91"/>
      <c r="EV11" s="92"/>
    </row>
    <row r="12" spans="2:152" ht="12.75" customHeight="1">
      <c r="B12" s="12"/>
      <c r="C12" s="26" t="s">
        <v>85</v>
      </c>
      <c r="D12" s="26" t="s">
        <v>30</v>
      </c>
      <c r="E12" s="26" t="s">
        <v>86</v>
      </c>
      <c r="F12" s="26" t="s">
        <v>87</v>
      </c>
      <c r="G12" s="55"/>
      <c r="H12" s="5"/>
      <c r="I12" s="149"/>
      <c r="J12" s="150"/>
      <c r="K12" s="150"/>
      <c r="L12" s="150"/>
      <c r="M12" s="150"/>
      <c r="N12" s="150"/>
      <c r="O12" s="150"/>
      <c r="P12" s="150"/>
      <c r="Q12" s="150"/>
      <c r="R12" s="153"/>
      <c r="S12" s="153"/>
      <c r="T12" s="154"/>
      <c r="Z12" s="5"/>
      <c r="AA12" s="93" t="s">
        <v>177</v>
      </c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5"/>
      <c r="CZ12" s="5"/>
      <c r="DA12" s="93" t="s">
        <v>177</v>
      </c>
      <c r="DB12" s="94"/>
      <c r="DC12" s="94"/>
      <c r="DD12" s="94"/>
      <c r="DE12" s="94"/>
      <c r="DF12" s="94"/>
      <c r="DG12" s="94"/>
      <c r="DH12" s="94"/>
      <c r="DI12" s="94"/>
      <c r="DJ12" s="94"/>
      <c r="DK12" s="94"/>
      <c r="DL12" s="94"/>
      <c r="DM12" s="94"/>
      <c r="DN12" s="94"/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5"/>
    </row>
    <row r="13" spans="2:152" ht="15" customHeight="1">
      <c r="B13" s="26">
        <v>12</v>
      </c>
      <c r="C13" s="12" t="s">
        <v>222</v>
      </c>
      <c r="D13" s="12" t="s">
        <v>222</v>
      </c>
      <c r="E13" s="12">
        <v>60</v>
      </c>
      <c r="F13" s="12">
        <v>120</v>
      </c>
      <c r="G13" s="50"/>
      <c r="I13" s="155" t="s">
        <v>0</v>
      </c>
      <c r="J13" s="156"/>
      <c r="K13" s="156"/>
      <c r="L13" s="61"/>
      <c r="M13" s="61"/>
      <c r="N13" s="61"/>
      <c r="O13" s="61"/>
      <c r="P13" s="61"/>
      <c r="Q13" s="61"/>
      <c r="R13" s="61"/>
      <c r="S13" s="61"/>
      <c r="T13" s="6"/>
      <c r="AA13" s="96" t="s">
        <v>178</v>
      </c>
      <c r="AB13" s="97"/>
      <c r="AC13" s="87"/>
      <c r="AD13" s="47"/>
      <c r="AE13" s="47"/>
      <c r="AF13" s="47"/>
      <c r="AG13" s="47"/>
      <c r="AH13" s="47"/>
      <c r="AI13" s="52"/>
      <c r="AJ13" s="52"/>
      <c r="AK13" s="52"/>
      <c r="AL13" s="52"/>
      <c r="AM13" s="52"/>
      <c r="AN13" s="52"/>
      <c r="AO13" s="52"/>
      <c r="AP13" s="52"/>
      <c r="AQ13" s="88"/>
      <c r="AR13" s="88"/>
      <c r="AS13" s="89"/>
      <c r="AT13" s="89"/>
      <c r="AU13" s="89"/>
      <c r="AV13" s="89"/>
      <c r="BV13" s="9"/>
      <c r="DA13" s="96" t="s">
        <v>178</v>
      </c>
      <c r="DB13" s="97"/>
      <c r="DC13" s="87"/>
      <c r="DD13" s="47"/>
      <c r="DE13" s="47"/>
      <c r="DF13" s="47"/>
      <c r="DG13" s="47"/>
      <c r="DH13" s="47"/>
      <c r="DI13" s="52"/>
      <c r="DJ13" s="52"/>
      <c r="DK13" s="52"/>
      <c r="DL13" s="52"/>
      <c r="DM13" s="52"/>
      <c r="DN13" s="52"/>
      <c r="DO13" s="52"/>
      <c r="DP13" s="52"/>
      <c r="DQ13" s="88"/>
      <c r="DR13" s="88"/>
      <c r="DS13" s="89"/>
      <c r="DT13" s="89"/>
      <c r="DU13" s="89"/>
      <c r="DV13" s="89"/>
      <c r="EV13" s="9"/>
    </row>
    <row r="14" spans="2:152" ht="12.75" customHeight="1">
      <c r="B14" s="26">
        <v>16</v>
      </c>
      <c r="C14" s="12" t="s">
        <v>222</v>
      </c>
      <c r="D14" s="12" t="s">
        <v>222</v>
      </c>
      <c r="E14" s="12">
        <v>60</v>
      </c>
      <c r="F14" s="12">
        <v>120</v>
      </c>
      <c r="G14" s="50"/>
      <c r="I14" s="7" t="s">
        <v>45</v>
      </c>
      <c r="J14" s="61"/>
      <c r="K14" s="61"/>
      <c r="L14" s="61"/>
      <c r="M14" s="61"/>
      <c r="N14" s="61"/>
      <c r="O14" s="62"/>
      <c r="P14" s="63"/>
      <c r="Q14" s="61"/>
      <c r="R14" s="46"/>
      <c r="S14" s="46"/>
      <c r="T14" s="6"/>
      <c r="AA14" s="98"/>
      <c r="AB14" s="52"/>
      <c r="AC14" s="99" t="s">
        <v>179</v>
      </c>
      <c r="AD14" s="47"/>
      <c r="AE14" s="47"/>
      <c r="AF14" s="100">
        <f>S16</f>
        <v>8.8000000000000007</v>
      </c>
      <c r="AG14" s="47"/>
      <c r="AH14" s="47"/>
      <c r="AI14" s="49" t="s">
        <v>1</v>
      </c>
      <c r="AJ14" s="50">
        <f>S17</f>
        <v>332</v>
      </c>
      <c r="AK14" s="101" t="s">
        <v>2</v>
      </c>
      <c r="AL14" s="52"/>
      <c r="AM14" s="52"/>
      <c r="AN14" s="52"/>
      <c r="AO14" s="49"/>
      <c r="AP14" s="102"/>
      <c r="AQ14" s="88"/>
      <c r="AR14" s="88"/>
      <c r="AS14" s="89"/>
      <c r="AT14" s="89"/>
      <c r="AU14" s="89"/>
      <c r="AV14" s="89"/>
      <c r="BV14" s="9"/>
      <c r="DA14" s="98"/>
      <c r="DB14" s="52"/>
      <c r="DC14" s="99" t="s">
        <v>179</v>
      </c>
      <c r="DD14" s="47"/>
      <c r="DE14" s="47"/>
      <c r="DF14" s="100">
        <f>CS16</f>
        <v>0</v>
      </c>
      <c r="DG14" s="47"/>
      <c r="DH14" s="47"/>
      <c r="DI14" s="49" t="s">
        <v>1</v>
      </c>
      <c r="DJ14" s="50">
        <f>CS17</f>
        <v>0</v>
      </c>
      <c r="DK14" s="101" t="s">
        <v>2</v>
      </c>
      <c r="DL14" s="52"/>
      <c r="DM14" s="52"/>
      <c r="DN14" s="52"/>
      <c r="DO14" s="49"/>
      <c r="DP14" s="102"/>
      <c r="DQ14" s="88"/>
      <c r="DR14" s="88"/>
      <c r="DS14" s="89"/>
      <c r="DT14" s="89"/>
      <c r="DU14" s="89"/>
      <c r="DV14" s="89"/>
      <c r="EV14" s="9"/>
    </row>
    <row r="15" spans="2:152" ht="12.75" customHeight="1">
      <c r="B15" s="26">
        <v>18</v>
      </c>
      <c r="C15" s="12" t="s">
        <v>222</v>
      </c>
      <c r="D15" s="12" t="s">
        <v>222</v>
      </c>
      <c r="E15" s="12">
        <v>60</v>
      </c>
      <c r="F15" s="12">
        <v>120</v>
      </c>
      <c r="G15" s="50"/>
      <c r="I15" s="7" t="s">
        <v>44</v>
      </c>
      <c r="J15" s="61"/>
      <c r="K15" s="61"/>
      <c r="L15" s="61"/>
      <c r="M15" s="61"/>
      <c r="N15" s="61"/>
      <c r="O15" s="62"/>
      <c r="P15" s="63"/>
      <c r="Q15" s="61"/>
      <c r="R15" s="46"/>
      <c r="S15" s="46"/>
      <c r="T15" s="6"/>
      <c r="AA15" s="98"/>
      <c r="AB15" s="52"/>
      <c r="AC15" s="99" t="s">
        <v>180</v>
      </c>
      <c r="AD15" s="47"/>
      <c r="AE15" s="47"/>
      <c r="AF15" s="100" t="str">
        <f>S26</f>
        <v>CCT38</v>
      </c>
      <c r="AG15" s="47"/>
      <c r="AH15" s="47"/>
      <c r="AI15" s="49" t="s">
        <v>1</v>
      </c>
      <c r="AJ15" s="50">
        <f>S27</f>
        <v>240</v>
      </c>
      <c r="AK15" s="101" t="s">
        <v>2</v>
      </c>
      <c r="AL15" s="52"/>
      <c r="AM15" s="52"/>
      <c r="AN15" s="52"/>
      <c r="AO15" s="51"/>
      <c r="AP15" s="57"/>
      <c r="AQ15" s="101"/>
      <c r="AR15" s="88"/>
      <c r="AS15" s="89"/>
      <c r="AT15" s="89"/>
      <c r="AU15" s="89"/>
      <c r="AV15" s="89"/>
      <c r="BV15" s="9"/>
      <c r="DA15" s="98"/>
      <c r="DB15" s="52"/>
      <c r="DC15" s="99" t="s">
        <v>180</v>
      </c>
      <c r="DD15" s="47"/>
      <c r="DE15" s="47"/>
      <c r="DF15" s="100">
        <f>CS26</f>
        <v>0</v>
      </c>
      <c r="DG15" s="47"/>
      <c r="DH15" s="47"/>
      <c r="DI15" s="49" t="s">
        <v>1</v>
      </c>
      <c r="DJ15" s="50">
        <f>CS27</f>
        <v>0</v>
      </c>
      <c r="DK15" s="101" t="s">
        <v>2</v>
      </c>
      <c r="DL15" s="52"/>
      <c r="DM15" s="52"/>
      <c r="DN15" s="52"/>
      <c r="DO15" s="51"/>
      <c r="DP15" s="57"/>
      <c r="DQ15" s="101"/>
      <c r="DR15" s="88"/>
      <c r="DS15" s="89"/>
      <c r="DT15" s="89"/>
      <c r="DU15" s="89"/>
      <c r="DV15" s="89"/>
      <c r="EV15" s="9"/>
    </row>
    <row r="16" spans="2:152" ht="12.75" customHeight="1">
      <c r="B16" s="26">
        <v>20</v>
      </c>
      <c r="C16" s="12" t="s">
        <v>222</v>
      </c>
      <c r="D16" s="12" t="s">
        <v>222</v>
      </c>
      <c r="E16" s="12">
        <v>60</v>
      </c>
      <c r="F16" s="12">
        <v>120</v>
      </c>
      <c r="G16" s="50"/>
      <c r="I16" s="8"/>
      <c r="J16" s="61" t="str">
        <f>"- Cấp độ bền bu lông:"</f>
        <v>- Cấp độ bền bu lông:</v>
      </c>
      <c r="K16" s="61"/>
      <c r="L16" s="62"/>
      <c r="M16" s="64"/>
      <c r="N16" s="61"/>
      <c r="O16" s="46"/>
      <c r="P16" s="46"/>
      <c r="Q16" s="46"/>
      <c r="R16" s="46"/>
      <c r="S16" s="47">
        <v>8.8000000000000007</v>
      </c>
      <c r="T16" s="48" t="s">
        <v>30</v>
      </c>
      <c r="AA16" s="98"/>
      <c r="AB16" s="52"/>
      <c r="AC16" s="99" t="s">
        <v>12</v>
      </c>
      <c r="AD16" s="47"/>
      <c r="AE16" s="47"/>
      <c r="AF16" s="100" t="str">
        <f>S33</f>
        <v>N46</v>
      </c>
      <c r="AG16" s="47"/>
      <c r="AH16" s="47"/>
      <c r="AI16" s="49" t="s">
        <v>14</v>
      </c>
      <c r="AJ16" s="50">
        <f>S34</f>
        <v>450</v>
      </c>
      <c r="AK16" s="101" t="s">
        <v>2</v>
      </c>
      <c r="AL16" s="52"/>
      <c r="AM16" s="52"/>
      <c r="AN16" s="52"/>
      <c r="AO16" s="52"/>
      <c r="AP16" s="52"/>
      <c r="AQ16" s="88"/>
      <c r="AR16" s="88"/>
      <c r="AS16" s="89"/>
      <c r="AT16" s="89"/>
      <c r="AU16" s="89"/>
      <c r="AV16" s="89"/>
      <c r="BV16" s="9"/>
      <c r="DA16" s="98"/>
      <c r="DB16" s="52"/>
      <c r="DC16" s="99" t="s">
        <v>12</v>
      </c>
      <c r="DD16" s="47"/>
      <c r="DE16" s="47"/>
      <c r="DF16" s="100">
        <f>CS33</f>
        <v>0</v>
      </c>
      <c r="DG16" s="47"/>
      <c r="DH16" s="47"/>
      <c r="DI16" s="49" t="s">
        <v>14</v>
      </c>
      <c r="DJ16" s="50">
        <f>CS34</f>
        <v>0</v>
      </c>
      <c r="DK16" s="101" t="s">
        <v>2</v>
      </c>
      <c r="DL16" s="52"/>
      <c r="DM16" s="52"/>
      <c r="DN16" s="52"/>
      <c r="DO16" s="52"/>
      <c r="DP16" s="52"/>
      <c r="DQ16" s="88"/>
      <c r="DR16" s="88"/>
      <c r="DS16" s="89"/>
      <c r="DT16" s="89"/>
      <c r="DU16" s="89"/>
      <c r="DV16" s="89"/>
      <c r="EV16" s="9"/>
    </row>
    <row r="17" spans="2:152" ht="12.75" customHeight="1">
      <c r="B17" s="26">
        <v>24</v>
      </c>
      <c r="C17" s="12" t="s">
        <v>222</v>
      </c>
      <c r="D17" s="12" t="s">
        <v>222</v>
      </c>
      <c r="E17" s="12">
        <v>80</v>
      </c>
      <c r="F17" s="12">
        <v>150</v>
      </c>
      <c r="G17" s="50"/>
      <c r="I17" s="8"/>
      <c r="J17" s="61" t="str">
        <f>"- Cường độ tính toán chịu cắt:"</f>
        <v>- Cường độ tính toán chịu cắt:</v>
      </c>
      <c r="K17" s="61"/>
      <c r="L17" s="62"/>
      <c r="M17" s="64"/>
      <c r="N17" s="61"/>
      <c r="O17" s="46"/>
      <c r="P17" s="46"/>
      <c r="Q17" s="65"/>
      <c r="R17" s="49" t="s">
        <v>25</v>
      </c>
      <c r="S17" s="66">
        <f>VLOOKUP(S16,Data!$G$4:$K$8,4,FALSE)</f>
        <v>332</v>
      </c>
      <c r="T17" s="10" t="s">
        <v>2</v>
      </c>
      <c r="AA17" s="98"/>
      <c r="AB17" s="52"/>
      <c r="AC17" s="99"/>
      <c r="AD17" s="47"/>
      <c r="AE17" s="47"/>
      <c r="AF17" s="100"/>
      <c r="AG17" s="47"/>
      <c r="AH17" s="47"/>
      <c r="AI17" s="49"/>
      <c r="AJ17" s="50"/>
      <c r="AK17" s="46"/>
      <c r="AL17" s="52"/>
      <c r="AM17" s="52"/>
      <c r="AN17" s="52"/>
      <c r="AO17" s="52"/>
      <c r="AP17" s="52"/>
      <c r="AQ17" s="88"/>
      <c r="AR17" s="88"/>
      <c r="AS17" s="89"/>
      <c r="AT17" s="89"/>
      <c r="AU17" s="89"/>
      <c r="AV17" s="89"/>
      <c r="BV17" s="9"/>
      <c r="DA17" s="98"/>
      <c r="DB17" s="52"/>
      <c r="DC17" s="99"/>
      <c r="DD17" s="47"/>
      <c r="DE17" s="47"/>
      <c r="DF17" s="100"/>
      <c r="DG17" s="47"/>
      <c r="DH17" s="47"/>
      <c r="DI17" s="49"/>
      <c r="DJ17" s="50"/>
      <c r="DK17" s="46"/>
      <c r="DL17" s="52"/>
      <c r="DM17" s="52"/>
      <c r="DN17" s="52"/>
      <c r="DO17" s="52"/>
      <c r="DP17" s="52"/>
      <c r="DQ17" s="88"/>
      <c r="DR17" s="88"/>
      <c r="DS17" s="89"/>
      <c r="DT17" s="89"/>
      <c r="DU17" s="89"/>
      <c r="DV17" s="89"/>
      <c r="EV17" s="9"/>
    </row>
    <row r="18" spans="2:152" ht="12.75" customHeight="1">
      <c r="B18" s="26">
        <v>27</v>
      </c>
      <c r="C18" s="12" t="s">
        <v>222</v>
      </c>
      <c r="D18" s="12" t="s">
        <v>222</v>
      </c>
      <c r="E18" s="12">
        <v>80</v>
      </c>
      <c r="F18" s="12">
        <v>160</v>
      </c>
      <c r="G18" s="50"/>
      <c r="I18" s="8"/>
      <c r="J18" s="61" t="str">
        <f>"- Cường độ tính toán chịu kéo:"</f>
        <v>- Cường độ tính toán chịu kéo:</v>
      </c>
      <c r="K18" s="61"/>
      <c r="L18" s="62"/>
      <c r="M18" s="64"/>
      <c r="N18" s="61"/>
      <c r="O18" s="46"/>
      <c r="P18" s="46"/>
      <c r="Q18" s="46"/>
      <c r="R18" s="49" t="s">
        <v>26</v>
      </c>
      <c r="S18" s="66">
        <f>VLOOKUP(S16,Data!$G$4:$K$8,5,FALSE)</f>
        <v>448</v>
      </c>
      <c r="T18" s="10" t="s">
        <v>2</v>
      </c>
      <c r="AA18" s="96" t="s">
        <v>181</v>
      </c>
      <c r="AB18" s="97"/>
      <c r="AC18" s="87"/>
      <c r="AD18" s="47"/>
      <c r="AE18" s="47"/>
      <c r="AF18" s="47"/>
      <c r="AG18" s="47"/>
      <c r="AH18" s="47"/>
      <c r="AI18" s="52"/>
      <c r="AJ18" s="52"/>
      <c r="AK18" s="52"/>
      <c r="AL18" s="52"/>
      <c r="AM18" s="52"/>
      <c r="AN18" s="52"/>
      <c r="AO18" s="52"/>
      <c r="AP18" s="52"/>
      <c r="AQ18" s="88"/>
      <c r="AR18" s="88"/>
      <c r="AS18" s="89"/>
      <c r="AT18" s="89"/>
      <c r="AU18" s="89"/>
      <c r="AV18" s="89"/>
      <c r="BV18" s="9"/>
      <c r="DA18" s="96" t="s">
        <v>181</v>
      </c>
      <c r="DB18" s="97"/>
      <c r="DC18" s="87"/>
      <c r="DD18" s="47"/>
      <c r="DE18" s="47"/>
      <c r="DF18" s="47"/>
      <c r="DG18" s="47"/>
      <c r="DH18" s="47"/>
      <c r="DI18" s="52"/>
      <c r="DJ18" s="52"/>
      <c r="DK18" s="52"/>
      <c r="DL18" s="52"/>
      <c r="DM18" s="52"/>
      <c r="DN18" s="52"/>
      <c r="DO18" s="52"/>
      <c r="DP18" s="52"/>
      <c r="DQ18" s="88"/>
      <c r="DR18" s="88"/>
      <c r="DS18" s="89"/>
      <c r="DT18" s="89"/>
      <c r="DU18" s="89"/>
      <c r="DV18" s="89"/>
      <c r="EV18" s="9"/>
    </row>
    <row r="19" spans="2:152" ht="12.75" customHeight="1">
      <c r="B19" s="26">
        <v>30</v>
      </c>
      <c r="C19" s="12" t="s">
        <v>222</v>
      </c>
      <c r="D19" s="12" t="s">
        <v>222</v>
      </c>
      <c r="E19" s="12">
        <v>80</v>
      </c>
      <c r="F19" s="12">
        <v>200</v>
      </c>
      <c r="G19" s="50"/>
      <c r="I19" s="8"/>
      <c r="J19" s="61" t="str">
        <f>"- Cường độ tính toán chịu ép mặt:"</f>
        <v>- Cường độ tính toán chịu ép mặt:</v>
      </c>
      <c r="K19" s="61"/>
      <c r="L19" s="62"/>
      <c r="M19" s="64"/>
      <c r="N19" s="61"/>
      <c r="O19" s="46"/>
      <c r="P19" s="46"/>
      <c r="Q19" s="46"/>
      <c r="R19" s="49" t="s">
        <v>27</v>
      </c>
      <c r="S19" s="66">
        <f>IF(T16="A",1.6,1.35)*S28</f>
        <v>513</v>
      </c>
      <c r="T19" s="10" t="s">
        <v>2</v>
      </c>
      <c r="AA19" s="103"/>
      <c r="AB19" s="104"/>
      <c r="AC19" s="105"/>
      <c r="AD19" s="180" t="s">
        <v>182</v>
      </c>
      <c r="AE19" s="180"/>
      <c r="AF19" s="180"/>
      <c r="AG19" s="180"/>
      <c r="AH19" s="180"/>
      <c r="AI19" s="180" t="s">
        <v>183</v>
      </c>
      <c r="AJ19" s="180"/>
      <c r="AK19" s="180"/>
      <c r="AL19" s="180"/>
      <c r="AM19" s="180"/>
      <c r="AN19" s="180"/>
      <c r="AO19" s="180"/>
      <c r="AP19" s="180" t="s">
        <v>184</v>
      </c>
      <c r="AQ19" s="180"/>
      <c r="AR19" s="180"/>
      <c r="AS19" s="180"/>
      <c r="AT19" s="180"/>
      <c r="AU19" s="180"/>
      <c r="AV19" s="180"/>
      <c r="AW19" s="181" t="s">
        <v>185</v>
      </c>
      <c r="AX19" s="182"/>
      <c r="AY19" s="182"/>
      <c r="AZ19" s="182"/>
      <c r="BA19" s="182"/>
      <c r="BB19" s="182"/>
      <c r="BC19" s="183"/>
      <c r="BD19" s="168" t="s">
        <v>186</v>
      </c>
      <c r="BE19" s="172"/>
      <c r="BF19" s="169"/>
      <c r="BG19" s="168" t="s">
        <v>187</v>
      </c>
      <c r="BH19" s="169"/>
      <c r="BI19" s="168" t="s">
        <v>188</v>
      </c>
      <c r="BJ19" s="172"/>
      <c r="BK19" s="172"/>
      <c r="BL19" s="169"/>
      <c r="BM19" s="168" t="s">
        <v>189</v>
      </c>
      <c r="BN19" s="172"/>
      <c r="BO19" s="172"/>
      <c r="BP19" s="172"/>
      <c r="BQ19" s="172"/>
      <c r="BR19" s="172"/>
      <c r="BS19" s="172"/>
      <c r="BT19" s="172"/>
      <c r="BU19" s="172"/>
      <c r="BV19" s="169"/>
      <c r="DA19" s="103"/>
      <c r="DB19" s="104"/>
      <c r="DC19" s="105"/>
      <c r="DD19" s="180" t="s">
        <v>182</v>
      </c>
      <c r="DE19" s="180"/>
      <c r="DF19" s="180"/>
      <c r="DG19" s="180"/>
      <c r="DH19" s="180"/>
      <c r="DI19" s="180" t="s">
        <v>183</v>
      </c>
      <c r="DJ19" s="180"/>
      <c r="DK19" s="180"/>
      <c r="DL19" s="180"/>
      <c r="DM19" s="180"/>
      <c r="DN19" s="180"/>
      <c r="DO19" s="180"/>
      <c r="DP19" s="180" t="s">
        <v>184</v>
      </c>
      <c r="DQ19" s="180"/>
      <c r="DR19" s="180"/>
      <c r="DS19" s="180"/>
      <c r="DT19" s="180"/>
      <c r="DU19" s="180"/>
      <c r="DV19" s="180"/>
      <c r="DW19" s="181" t="s">
        <v>185</v>
      </c>
      <c r="DX19" s="182"/>
      <c r="DY19" s="182"/>
      <c r="DZ19" s="182"/>
      <c r="EA19" s="182"/>
      <c r="EB19" s="182"/>
      <c r="EC19" s="183"/>
      <c r="ED19" s="168" t="s">
        <v>186</v>
      </c>
      <c r="EE19" s="172"/>
      <c r="EF19" s="169"/>
      <c r="EG19" s="168" t="s">
        <v>187</v>
      </c>
      <c r="EH19" s="169"/>
      <c r="EI19" s="168" t="s">
        <v>188</v>
      </c>
      <c r="EJ19" s="172"/>
      <c r="EK19" s="172"/>
      <c r="EL19" s="169"/>
      <c r="EM19" s="168" t="s">
        <v>189</v>
      </c>
      <c r="EN19" s="172"/>
      <c r="EO19" s="172"/>
      <c r="EP19" s="172"/>
      <c r="EQ19" s="172"/>
      <c r="ER19" s="172"/>
      <c r="ES19" s="172"/>
      <c r="ET19" s="172"/>
      <c r="EU19" s="172"/>
      <c r="EV19" s="169"/>
    </row>
    <row r="20" spans="2:152" ht="12.75" customHeight="1">
      <c r="B20" s="26">
        <v>33</v>
      </c>
      <c r="C20" s="12" t="s">
        <v>222</v>
      </c>
      <c r="D20" s="12" t="s">
        <v>222</v>
      </c>
      <c r="E20" s="12">
        <v>80</v>
      </c>
      <c r="F20" s="12">
        <v>200</v>
      </c>
      <c r="G20" s="50"/>
      <c r="I20" s="8"/>
      <c r="J20" s="61" t="str">
        <f>"- Đường kính ngoài bu lông:"</f>
        <v>- Đường kính ngoài bu lông:</v>
      </c>
      <c r="K20" s="61"/>
      <c r="L20" s="62"/>
      <c r="M20" s="64"/>
      <c r="N20" s="61"/>
      <c r="O20" s="46"/>
      <c r="P20" s="46"/>
      <c r="Q20" s="46"/>
      <c r="R20" s="49" t="s">
        <v>3</v>
      </c>
      <c r="S20" s="66">
        <f>VLOOKUP(G41,$B$43:$G$54,5,FALSE)</f>
        <v>20</v>
      </c>
      <c r="T20" s="10" t="s">
        <v>4</v>
      </c>
      <c r="AA20" s="106"/>
      <c r="AB20" s="107"/>
      <c r="AC20" s="108"/>
      <c r="AD20" s="180"/>
      <c r="AE20" s="180"/>
      <c r="AF20" s="180"/>
      <c r="AG20" s="180"/>
      <c r="AH20" s="180"/>
      <c r="AI20" s="180"/>
      <c r="AJ20" s="180"/>
      <c r="AK20" s="180"/>
      <c r="AL20" s="180"/>
      <c r="AM20" s="180"/>
      <c r="AN20" s="180"/>
      <c r="AO20" s="180"/>
      <c r="AP20" s="180"/>
      <c r="AQ20" s="180"/>
      <c r="AR20" s="180"/>
      <c r="AS20" s="180"/>
      <c r="AT20" s="180"/>
      <c r="AU20" s="180"/>
      <c r="AV20" s="180"/>
      <c r="AW20" s="184"/>
      <c r="AX20" s="185"/>
      <c r="AY20" s="185"/>
      <c r="AZ20" s="185"/>
      <c r="BA20" s="185"/>
      <c r="BB20" s="185"/>
      <c r="BC20" s="186"/>
      <c r="BD20" s="170"/>
      <c r="BE20" s="173"/>
      <c r="BF20" s="171"/>
      <c r="BG20" s="170"/>
      <c r="BH20" s="171"/>
      <c r="BI20" s="170"/>
      <c r="BJ20" s="173"/>
      <c r="BK20" s="173"/>
      <c r="BL20" s="171"/>
      <c r="BM20" s="170"/>
      <c r="BN20" s="173"/>
      <c r="BO20" s="173"/>
      <c r="BP20" s="173"/>
      <c r="BQ20" s="173"/>
      <c r="BR20" s="173"/>
      <c r="BS20" s="173"/>
      <c r="BT20" s="173"/>
      <c r="BU20" s="173"/>
      <c r="BV20" s="171"/>
      <c r="DA20" s="106"/>
      <c r="DB20" s="107"/>
      <c r="DC20" s="108"/>
      <c r="DD20" s="180"/>
      <c r="DE20" s="180"/>
      <c r="DF20" s="180"/>
      <c r="DG20" s="180"/>
      <c r="DH20" s="180"/>
      <c r="DI20" s="180"/>
      <c r="DJ20" s="180"/>
      <c r="DK20" s="180"/>
      <c r="DL20" s="180"/>
      <c r="DM20" s="180"/>
      <c r="DN20" s="180"/>
      <c r="DO20" s="180"/>
      <c r="DP20" s="180"/>
      <c r="DQ20" s="180"/>
      <c r="DR20" s="180"/>
      <c r="DS20" s="180"/>
      <c r="DT20" s="180"/>
      <c r="DU20" s="180"/>
      <c r="DV20" s="180"/>
      <c r="DW20" s="184"/>
      <c r="DX20" s="185"/>
      <c r="DY20" s="185"/>
      <c r="DZ20" s="185"/>
      <c r="EA20" s="185"/>
      <c r="EB20" s="185"/>
      <c r="EC20" s="186"/>
      <c r="ED20" s="170"/>
      <c r="EE20" s="173"/>
      <c r="EF20" s="171"/>
      <c r="EG20" s="170"/>
      <c r="EH20" s="171"/>
      <c r="EI20" s="170"/>
      <c r="EJ20" s="173"/>
      <c r="EK20" s="173"/>
      <c r="EL20" s="171"/>
      <c r="EM20" s="170"/>
      <c r="EN20" s="173"/>
      <c r="EO20" s="173"/>
      <c r="EP20" s="173"/>
      <c r="EQ20" s="173"/>
      <c r="ER20" s="173"/>
      <c r="ES20" s="173"/>
      <c r="ET20" s="173"/>
      <c r="EU20" s="173"/>
      <c r="EV20" s="171"/>
    </row>
    <row r="21" spans="2:152" ht="12.75" customHeight="1">
      <c r="B21" s="26">
        <v>36</v>
      </c>
      <c r="C21" s="12" t="s">
        <v>222</v>
      </c>
      <c r="D21" s="12" t="s">
        <v>222</v>
      </c>
      <c r="E21" s="12">
        <v>80</v>
      </c>
      <c r="F21" s="12">
        <v>200</v>
      </c>
      <c r="G21" s="50"/>
      <c r="I21" s="8"/>
      <c r="J21" s="61" t="str">
        <f>"- Diện tích tiết diện nguyên bu lông:"</f>
        <v>- Diện tích tiết diện nguyên bu lông:</v>
      </c>
      <c r="K21" s="61"/>
      <c r="L21" s="62"/>
      <c r="M21" s="64"/>
      <c r="N21" s="61"/>
      <c r="O21" s="46"/>
      <c r="P21" s="46"/>
      <c r="Q21" s="46"/>
      <c r="R21" s="49" t="s">
        <v>81</v>
      </c>
      <c r="S21" s="67">
        <f>HLOOKUP(S20,Data!$H$31:$Q$35,3,FALSE)</f>
        <v>314.15926535897933</v>
      </c>
      <c r="T21" s="10" t="s">
        <v>6</v>
      </c>
      <c r="AA21" s="109" t="s">
        <v>190</v>
      </c>
      <c r="AB21" s="174" t="s">
        <v>166</v>
      </c>
      <c r="AC21" s="110" t="s">
        <v>167</v>
      </c>
      <c r="AD21" s="111" t="s">
        <v>129</v>
      </c>
      <c r="AE21" s="111" t="s">
        <v>128</v>
      </c>
      <c r="AF21" s="111" t="s">
        <v>191</v>
      </c>
      <c r="AG21" s="111" t="s">
        <v>192</v>
      </c>
      <c r="AH21" s="111"/>
      <c r="AI21" s="110" t="s">
        <v>193</v>
      </c>
      <c r="AJ21" s="110" t="s">
        <v>194</v>
      </c>
      <c r="AK21" s="110" t="s">
        <v>195</v>
      </c>
      <c r="AL21" s="176" t="s">
        <v>196</v>
      </c>
      <c r="AM21" s="176"/>
      <c r="AN21" s="176"/>
      <c r="AO21" s="176"/>
      <c r="AP21" s="177" t="s">
        <v>168</v>
      </c>
      <c r="AQ21" s="112" t="s">
        <v>169</v>
      </c>
      <c r="AR21" s="112" t="s">
        <v>197</v>
      </c>
      <c r="AS21" s="111" t="s">
        <v>198</v>
      </c>
      <c r="AT21" s="111" t="s">
        <v>199</v>
      </c>
      <c r="AU21" s="111" t="s">
        <v>200</v>
      </c>
      <c r="AV21" s="111" t="s">
        <v>201</v>
      </c>
      <c r="AW21" s="111"/>
      <c r="AX21" s="111"/>
      <c r="AY21" s="111" t="s">
        <v>86</v>
      </c>
      <c r="AZ21" s="111" t="s">
        <v>87</v>
      </c>
      <c r="BA21" s="111" t="s">
        <v>202</v>
      </c>
      <c r="BB21" s="111" t="s">
        <v>203</v>
      </c>
      <c r="BC21" s="111" t="s">
        <v>155</v>
      </c>
      <c r="BD21" s="112" t="s">
        <v>204</v>
      </c>
      <c r="BE21" s="112" t="s">
        <v>205</v>
      </c>
      <c r="BF21" s="112" t="s">
        <v>206</v>
      </c>
      <c r="BG21" s="112" t="s">
        <v>207</v>
      </c>
      <c r="BH21" s="178" t="s">
        <v>208</v>
      </c>
      <c r="BI21" s="112" t="s">
        <v>209</v>
      </c>
      <c r="BJ21" s="112" t="s">
        <v>210</v>
      </c>
      <c r="BK21" s="112" t="s">
        <v>211</v>
      </c>
      <c r="BL21" s="178" t="s">
        <v>208</v>
      </c>
      <c r="BM21" s="112" t="s">
        <v>87</v>
      </c>
      <c r="BN21" s="112" t="s">
        <v>212</v>
      </c>
      <c r="BO21" s="112" t="s">
        <v>213</v>
      </c>
      <c r="BP21" s="114" t="s">
        <v>214</v>
      </c>
      <c r="BQ21" s="114" t="s">
        <v>214</v>
      </c>
      <c r="BR21" s="115" t="s">
        <v>215</v>
      </c>
      <c r="BS21" s="115" t="s">
        <v>215</v>
      </c>
      <c r="BT21" s="116" t="s">
        <v>216</v>
      </c>
      <c r="BU21" s="116" t="s">
        <v>216</v>
      </c>
      <c r="BV21" s="178" t="s">
        <v>208</v>
      </c>
      <c r="DA21" s="109" t="s">
        <v>190</v>
      </c>
      <c r="DB21" s="174" t="s">
        <v>166</v>
      </c>
      <c r="DC21" s="110" t="s">
        <v>167</v>
      </c>
      <c r="DD21" s="111" t="s">
        <v>129</v>
      </c>
      <c r="DE21" s="111" t="s">
        <v>128</v>
      </c>
      <c r="DF21" s="111" t="s">
        <v>191</v>
      </c>
      <c r="DG21" s="111" t="s">
        <v>192</v>
      </c>
      <c r="DH21" s="111"/>
      <c r="DI21" s="110" t="s">
        <v>193</v>
      </c>
      <c r="DJ21" s="110" t="s">
        <v>194</v>
      </c>
      <c r="DK21" s="110" t="s">
        <v>195</v>
      </c>
      <c r="DL21" s="176" t="s">
        <v>196</v>
      </c>
      <c r="DM21" s="176"/>
      <c r="DN21" s="176"/>
      <c r="DO21" s="176"/>
      <c r="DP21" s="177" t="s">
        <v>168</v>
      </c>
      <c r="DQ21" s="112" t="s">
        <v>169</v>
      </c>
      <c r="DR21" s="112" t="s">
        <v>197</v>
      </c>
      <c r="DS21" s="111" t="s">
        <v>198</v>
      </c>
      <c r="DT21" s="111" t="s">
        <v>199</v>
      </c>
      <c r="DU21" s="111" t="s">
        <v>200</v>
      </c>
      <c r="DV21" s="111" t="s">
        <v>201</v>
      </c>
      <c r="DW21" s="111" t="s">
        <v>85</v>
      </c>
      <c r="DX21" s="111" t="s">
        <v>30</v>
      </c>
      <c r="DY21" s="111" t="s">
        <v>86</v>
      </c>
      <c r="DZ21" s="111" t="s">
        <v>87</v>
      </c>
      <c r="EA21" s="111" t="s">
        <v>202</v>
      </c>
      <c r="EB21" s="111" t="s">
        <v>203</v>
      </c>
      <c r="EC21" s="111" t="s">
        <v>155</v>
      </c>
      <c r="ED21" s="112" t="s">
        <v>204</v>
      </c>
      <c r="EE21" s="112" t="s">
        <v>205</v>
      </c>
      <c r="EF21" s="112" t="s">
        <v>206</v>
      </c>
      <c r="EG21" s="112" t="s">
        <v>207</v>
      </c>
      <c r="EH21" s="178" t="s">
        <v>208</v>
      </c>
      <c r="EI21" s="112" t="s">
        <v>209</v>
      </c>
      <c r="EJ21" s="112" t="s">
        <v>210</v>
      </c>
      <c r="EK21" s="112" t="s">
        <v>211</v>
      </c>
      <c r="EL21" s="178" t="s">
        <v>208</v>
      </c>
      <c r="EM21" s="112" t="s">
        <v>87</v>
      </c>
      <c r="EN21" s="112" t="s">
        <v>212</v>
      </c>
      <c r="EO21" s="112" t="s">
        <v>213</v>
      </c>
      <c r="EP21" s="114" t="s">
        <v>214</v>
      </c>
      <c r="EQ21" s="114" t="s">
        <v>214</v>
      </c>
      <c r="ER21" s="115" t="s">
        <v>215</v>
      </c>
      <c r="ES21" s="115" t="s">
        <v>215</v>
      </c>
      <c r="ET21" s="116" t="s">
        <v>216</v>
      </c>
      <c r="EU21" s="116" t="s">
        <v>216</v>
      </c>
      <c r="EV21" s="178" t="s">
        <v>208</v>
      </c>
    </row>
    <row r="22" spans="2:152" ht="12.75" customHeight="1">
      <c r="I22" s="8"/>
      <c r="J22" s="61" t="str">
        <f>"- Diện tích thực thân bu lông:"</f>
        <v>- Diện tích thực thân bu lông:</v>
      </c>
      <c r="K22" s="61"/>
      <c r="L22" s="62"/>
      <c r="M22" s="64"/>
      <c r="N22" s="61"/>
      <c r="O22" s="46"/>
      <c r="P22" s="46"/>
      <c r="Q22" s="46"/>
      <c r="R22" s="49" t="s">
        <v>5</v>
      </c>
      <c r="S22" s="50">
        <f>HLOOKUP(S20,Data!$H$31:$Q$35,4,FALSE)</f>
        <v>245</v>
      </c>
      <c r="T22" s="10" t="s">
        <v>6</v>
      </c>
      <c r="AA22" s="117"/>
      <c r="AB22" s="175"/>
      <c r="AC22" s="111" t="s">
        <v>172</v>
      </c>
      <c r="AD22" s="111" t="s">
        <v>217</v>
      </c>
      <c r="AE22" s="111" t="s">
        <v>217</v>
      </c>
      <c r="AF22" s="111" t="s">
        <v>217</v>
      </c>
      <c r="AG22" s="111" t="s">
        <v>217</v>
      </c>
      <c r="AH22" s="111"/>
      <c r="AI22" s="111" t="s">
        <v>217</v>
      </c>
      <c r="AJ22" s="111" t="s">
        <v>217</v>
      </c>
      <c r="AK22" s="111" t="s">
        <v>217</v>
      </c>
      <c r="AL22" s="111" t="s">
        <v>163</v>
      </c>
      <c r="AM22" s="111" t="s">
        <v>164</v>
      </c>
      <c r="AN22" s="111" t="s">
        <v>165</v>
      </c>
      <c r="AO22" s="111" t="s">
        <v>130</v>
      </c>
      <c r="AP22" s="177"/>
      <c r="AQ22" s="112" t="s">
        <v>20</v>
      </c>
      <c r="AR22" s="112" t="s">
        <v>20</v>
      </c>
      <c r="AS22" s="111" t="s">
        <v>20</v>
      </c>
      <c r="AT22" s="111" t="s">
        <v>21</v>
      </c>
      <c r="AU22" s="111" t="s">
        <v>21</v>
      </c>
      <c r="AV22" s="111" t="s">
        <v>21</v>
      </c>
      <c r="AW22" s="111"/>
      <c r="AX22" s="111"/>
      <c r="AY22" s="111" t="s">
        <v>217</v>
      </c>
      <c r="AZ22" s="111" t="s">
        <v>217</v>
      </c>
      <c r="BA22" s="111" t="s">
        <v>6</v>
      </c>
      <c r="BB22" s="111" t="s">
        <v>6</v>
      </c>
      <c r="BC22" s="111" t="s">
        <v>217</v>
      </c>
      <c r="BD22" s="112" t="s">
        <v>20</v>
      </c>
      <c r="BE22" s="112" t="s">
        <v>20</v>
      </c>
      <c r="BF22" s="112" t="s">
        <v>20</v>
      </c>
      <c r="BG22" s="112" t="s">
        <v>20</v>
      </c>
      <c r="BH22" s="179"/>
      <c r="BI22" s="111" t="s">
        <v>217</v>
      </c>
      <c r="BJ22" s="111" t="s">
        <v>217</v>
      </c>
      <c r="BK22" s="112" t="s">
        <v>20</v>
      </c>
      <c r="BL22" s="179"/>
      <c r="BM22" s="112" t="s">
        <v>20</v>
      </c>
      <c r="BN22" s="112" t="s">
        <v>21</v>
      </c>
      <c r="BO22" s="112" t="s">
        <v>20</v>
      </c>
      <c r="BP22" s="112" t="s">
        <v>2</v>
      </c>
      <c r="BQ22" s="113" t="s">
        <v>208</v>
      </c>
      <c r="BR22" s="112" t="s">
        <v>2</v>
      </c>
      <c r="BS22" s="113" t="s">
        <v>208</v>
      </c>
      <c r="BT22" s="112" t="s">
        <v>2</v>
      </c>
      <c r="BU22" s="113" t="s">
        <v>208</v>
      </c>
      <c r="BV22" s="179"/>
      <c r="DA22" s="117"/>
      <c r="DB22" s="175"/>
      <c r="DC22" s="111" t="s">
        <v>172</v>
      </c>
      <c r="DD22" s="111" t="s">
        <v>217</v>
      </c>
      <c r="DE22" s="111" t="s">
        <v>217</v>
      </c>
      <c r="DF22" s="111" t="s">
        <v>217</v>
      </c>
      <c r="DG22" s="111" t="s">
        <v>217</v>
      </c>
      <c r="DH22" s="111"/>
      <c r="DI22" s="111" t="s">
        <v>217</v>
      </c>
      <c r="DJ22" s="111" t="s">
        <v>217</v>
      </c>
      <c r="DK22" s="111" t="s">
        <v>217</v>
      </c>
      <c r="DL22" s="111" t="s">
        <v>163</v>
      </c>
      <c r="DM22" s="111" t="s">
        <v>164</v>
      </c>
      <c r="DN22" s="111" t="s">
        <v>165</v>
      </c>
      <c r="DO22" s="111" t="s">
        <v>130</v>
      </c>
      <c r="DP22" s="177"/>
      <c r="DQ22" s="112" t="s">
        <v>20</v>
      </c>
      <c r="DR22" s="112" t="s">
        <v>20</v>
      </c>
      <c r="DS22" s="111" t="s">
        <v>20</v>
      </c>
      <c r="DT22" s="111" t="s">
        <v>21</v>
      </c>
      <c r="DU22" s="111" t="s">
        <v>21</v>
      </c>
      <c r="DV22" s="111" t="s">
        <v>21</v>
      </c>
      <c r="DW22" s="111" t="s">
        <v>217</v>
      </c>
      <c r="DX22" s="111" t="s">
        <v>217</v>
      </c>
      <c r="DY22" s="111" t="s">
        <v>217</v>
      </c>
      <c r="DZ22" s="111" t="s">
        <v>217</v>
      </c>
      <c r="EA22" s="111" t="s">
        <v>6</v>
      </c>
      <c r="EB22" s="111" t="s">
        <v>6</v>
      </c>
      <c r="EC22" s="111" t="s">
        <v>217</v>
      </c>
      <c r="ED22" s="112" t="s">
        <v>20</v>
      </c>
      <c r="EE22" s="112" t="s">
        <v>20</v>
      </c>
      <c r="EF22" s="112" t="s">
        <v>20</v>
      </c>
      <c r="EG22" s="112" t="s">
        <v>20</v>
      </c>
      <c r="EH22" s="179"/>
      <c r="EI22" s="111" t="s">
        <v>217</v>
      </c>
      <c r="EJ22" s="111" t="s">
        <v>217</v>
      </c>
      <c r="EK22" s="112" t="s">
        <v>20</v>
      </c>
      <c r="EL22" s="179"/>
      <c r="EM22" s="112" t="s">
        <v>20</v>
      </c>
      <c r="EN22" s="112" t="s">
        <v>21</v>
      </c>
      <c r="EO22" s="112" t="s">
        <v>20</v>
      </c>
      <c r="EP22" s="112" t="s">
        <v>2</v>
      </c>
      <c r="EQ22" s="113" t="s">
        <v>208</v>
      </c>
      <c r="ER22" s="112" t="s">
        <v>2</v>
      </c>
      <c r="ES22" s="113" t="s">
        <v>208</v>
      </c>
      <c r="ET22" s="112" t="s">
        <v>2</v>
      </c>
      <c r="EU22" s="113" t="s">
        <v>208</v>
      </c>
      <c r="EV22" s="179"/>
    </row>
    <row r="23" spans="2:152" ht="12.75" customHeight="1">
      <c r="I23" s="8"/>
      <c r="J23" s="61" t="str">
        <f>"- Hệ số điều kiện làm việc (bảng 1):"</f>
        <v>- Hệ số điều kiện làm việc (bảng 1):</v>
      </c>
      <c r="K23" s="61"/>
      <c r="L23" s="62"/>
      <c r="M23" s="64"/>
      <c r="N23" s="61"/>
      <c r="O23" s="46"/>
      <c r="P23" s="46"/>
      <c r="Q23" s="46"/>
      <c r="R23" s="51" t="s">
        <v>11</v>
      </c>
      <c r="S23" s="66">
        <f>IF(T16="A",1,0.9)</f>
        <v>0.9</v>
      </c>
      <c r="T23" s="9"/>
      <c r="AA23" s="118" t="s">
        <v>218</v>
      </c>
      <c r="AB23" s="118" t="s">
        <v>219</v>
      </c>
      <c r="AC23" s="119">
        <v>0</v>
      </c>
      <c r="AD23" s="120">
        <v>480</v>
      </c>
      <c r="AE23" s="59">
        <v>200</v>
      </c>
      <c r="AF23" s="59">
        <v>6</v>
      </c>
      <c r="AG23" s="59">
        <v>10</v>
      </c>
      <c r="AI23" s="121">
        <f>AD23+2*$S$45</f>
        <v>520</v>
      </c>
      <c r="AJ23" s="13" cm="1">
        <f t="array" ref="AJ23">IFERROR(INDEX($B$27:$B$34,IFERROR(MATCH(AE23,$B$27:$B$34,0),MATCH(AE23,$B$27:$B$34,1)+1)),$B$27)</f>
        <v>212</v>
      </c>
      <c r="AK23" s="13">
        <f>IFERROR(VLOOKUP(AD23,$B$43:$G$54,6,FALSE),INDEX($G$43:$G$54,MATCH(AD23,$B$43:$B$54,1)+1))</f>
        <v>25</v>
      </c>
      <c r="AL23" s="13">
        <f>IFERROR(VLOOKUP(AD23,$B$43:$G$54,2,FALSE),INDEX($C$43:$C$54,MATCH(AD23,$B$43:$B$54,1)+1))</f>
        <v>4</v>
      </c>
      <c r="AM23" s="13">
        <f>IFERROR(VLOOKUP(AD23,$B$43:$G$54,3,FALSE),INDEX($D$43:$D$54,MATCH(AD23,$B$43:$B$54,1)+1))</f>
        <v>2</v>
      </c>
      <c r="AN23" s="13">
        <f>IFERROR(VLOOKUP(AD23,$B$43:$G$54,4,FALSE),INDEX($E$43:$E$54,MATCH(AD23,$B$43:$B$54,1)+1))</f>
        <v>4</v>
      </c>
      <c r="AO23" s="13">
        <f>IFERROR(VLOOKUP(AD23,$B$43:$G$54,5,FALSE),INDEX($F$43:$F$54,MATCH(AD23,$B$43:$B$54,1)+1))</f>
        <v>20</v>
      </c>
      <c r="AP23" s="118" t="s">
        <v>220</v>
      </c>
      <c r="AQ23" s="122">
        <v>-50</v>
      </c>
      <c r="AR23" s="122">
        <v>120</v>
      </c>
      <c r="AS23" s="60">
        <v>0</v>
      </c>
      <c r="AT23" s="60">
        <v>0</v>
      </c>
      <c r="AU23" s="60">
        <v>0</v>
      </c>
      <c r="AV23" s="60">
        <v>100</v>
      </c>
      <c r="AW23" s="121"/>
      <c r="AX23" s="121"/>
      <c r="AY23" s="121">
        <f>VLOOKUP(AO23,$B$13:$F$21,4,FALSE)</f>
        <v>60</v>
      </c>
      <c r="AZ23" s="121">
        <f>VLOOKUP(AO23,$B$13:$F$21,5,FALSE)</f>
        <v>120</v>
      </c>
      <c r="BA23" s="121">
        <f>HLOOKUP(AO23,Data!$H$31:$Q$35,3,FALSE)</f>
        <v>314.15926535897933</v>
      </c>
      <c r="BB23" s="121">
        <f>HLOOKUP(AO23,Data!$H$31:$Q$35,4,FALSE)</f>
        <v>245</v>
      </c>
      <c r="BC23" s="121">
        <f>VLOOKUP(AJ23,$B$27:$C$34,2,FALSE)</f>
        <v>120</v>
      </c>
      <c r="BD23" s="121">
        <f>$S$17*BA23*$S$23*$S$24/1000</f>
        <v>84.483709640336713</v>
      </c>
      <c r="BE23" s="121">
        <f>$S$19*AO23*AK23*$S$23*$S$24/1000</f>
        <v>207.76499999999999</v>
      </c>
      <c r="BF23" s="121">
        <f>$S$18*BB23*$S$23/1000</f>
        <v>98.784000000000006</v>
      </c>
      <c r="BG23" s="123">
        <f>ABS(AR23)/(AL23+AM23+AN23)</f>
        <v>12</v>
      </c>
      <c r="BH23" s="133">
        <f>BG23/MIN(BD23,BE23)</f>
        <v>0.14203921739571204</v>
      </c>
      <c r="BI23" s="125" cm="1">
        <f t="array" ref="BI23">_xll.DCEBoltDisKa(AL23, AM23, AN23, AD23,  AY23, AZ23, "h6")</f>
        <v>360</v>
      </c>
      <c r="BJ23" s="126" cm="1">
        <f t="array" ref="BJ23">_xll.DCEBoltDisKa(AL23, AM23, AN23, AD23,  AY23, AZ23, "Tong")</f>
        <v>234000</v>
      </c>
      <c r="BK23" s="30">
        <f>ABS(AV23)*BI23/(2*BJ23)*1000-AQ23/(AL23+AM23+AN23)</f>
        <v>81.923076923076934</v>
      </c>
      <c r="BL23" s="75">
        <f>BK23/BF23</f>
        <v>0.82931524258054878</v>
      </c>
      <c r="BM23" s="128">
        <f>ABS(AV23)/(AD23/1000)-AQ23</f>
        <v>258.33333333333337</v>
      </c>
      <c r="BN23" s="123">
        <f>BM23*(BC23/1000)/8</f>
        <v>3.8750000000000004</v>
      </c>
      <c r="BO23" s="128">
        <f>BM23/2</f>
        <v>129.16666666666669</v>
      </c>
      <c r="BP23" s="13">
        <f>6*BN23*1000000/(AI23*AK23^2)</f>
        <v>71.538461538461547</v>
      </c>
      <c r="BQ23" s="129">
        <f>BP23/($S$31*$S$29)</f>
        <v>0.34775641025641035</v>
      </c>
      <c r="BR23" s="123">
        <f>BO23*1000/(AI23*AK23)</f>
        <v>9.9358974358974379</v>
      </c>
      <c r="BS23" s="130">
        <f>BR23/($S$31*$S$30)</f>
        <v>8.1776933628785492E-2</v>
      </c>
      <c r="BT23" s="13">
        <f>SQRT(BP23^2+3*BR23^2)</f>
        <v>73.579328978049006</v>
      </c>
      <c r="BU23" s="123">
        <f>BT23/(1.15*$S$31*$S$29)</f>
        <v>0.31102373360286423</v>
      </c>
      <c r="BV23" s="134">
        <f>MAX(BQ23,BS23,BU23)</f>
        <v>0.34775641025641035</v>
      </c>
      <c r="DA23" s="118" t="s">
        <v>218</v>
      </c>
      <c r="DB23" s="118" t="s">
        <v>219</v>
      </c>
      <c r="DC23" s="119">
        <v>0</v>
      </c>
      <c r="DD23" s="120">
        <v>480</v>
      </c>
      <c r="DE23" s="59">
        <v>200</v>
      </c>
      <c r="DF23" s="59">
        <v>6</v>
      </c>
      <c r="DG23" s="59">
        <v>10</v>
      </c>
      <c r="DI23" s="121">
        <f>DD23+2*$S$45</f>
        <v>520</v>
      </c>
      <c r="DJ23" s="13" cm="1">
        <f t="array" ref="DJ23">IFERROR(INDEX($B$27:$B$34,IFERROR(MATCH(DE23,$B$27:$B$34,0),MATCH(DE23,$B$27:$B$34,1)+1)),$B$27)</f>
        <v>212</v>
      </c>
      <c r="DK23" s="13">
        <f>IFERROR(VLOOKUP(DD23,$B$43:$G$54,6,FALSE),INDEX($G$43:$G$54,MATCH(DD23,$B$43:$B$54,1)+1))</f>
        <v>25</v>
      </c>
      <c r="DL23" s="13">
        <f>IFERROR(VLOOKUP(DD23,$B$43:$G$54,2,FALSE),INDEX($C$43:$C$54,MATCH(DD23,$B$43:$B$54,1)+1))</f>
        <v>4</v>
      </c>
      <c r="DM23" s="13">
        <f>IFERROR(VLOOKUP(DD23,$B$43:$G$54,3,FALSE),INDEX($D$43:$D$54,MATCH(DD23,$B$43:$B$54,1)+1))</f>
        <v>2</v>
      </c>
      <c r="DN23" s="13">
        <f>IFERROR(VLOOKUP(DD23,$B$43:$G$54,4,FALSE),INDEX($E$43:$E$54,MATCH(DD23,$B$43:$B$54,1)+1))</f>
        <v>4</v>
      </c>
      <c r="DO23" s="13">
        <f>IFERROR(VLOOKUP(DD23,$B$43:$G$54,5,FALSE),INDEX($F$43:$F$54,MATCH(DD23,$B$43:$B$54,1)+1))</f>
        <v>20</v>
      </c>
      <c r="DP23" s="118" t="s">
        <v>220</v>
      </c>
      <c r="DQ23" s="122">
        <v>-50</v>
      </c>
      <c r="DR23" s="122">
        <v>120</v>
      </c>
      <c r="DS23" s="60">
        <v>0</v>
      </c>
      <c r="DT23" s="60">
        <v>0</v>
      </c>
      <c r="DU23" s="60">
        <v>0</v>
      </c>
      <c r="DV23" s="60">
        <v>100</v>
      </c>
      <c r="DW23" s="121" t="str">
        <f>VLOOKUP(DO23,$B$13:$F$21,2,FALSE)</f>
        <v>-</v>
      </c>
      <c r="DX23" s="121" t="str">
        <f>VLOOKUP(DO23,$B$13:$F$21,3,FALSE)</f>
        <v>-</v>
      </c>
      <c r="DY23" s="121">
        <f>VLOOKUP(DO23,$B$13:$F$21,4,FALSE)</f>
        <v>60</v>
      </c>
      <c r="DZ23" s="121">
        <f>VLOOKUP(DO23,$B$13:$F$21,5,FALSE)</f>
        <v>120</v>
      </c>
      <c r="EA23" s="121">
        <f>HLOOKUP(DO23,Data!$H$31:$Q$35,3,FALSE)</f>
        <v>314.15926535897933</v>
      </c>
      <c r="EB23" s="121">
        <f>HLOOKUP(DO23,Data!$H$31:$Q$35,4,FALSE)</f>
        <v>245</v>
      </c>
      <c r="EC23" s="121">
        <f>VLOOKUP(DJ23,$B$27:$C$34,2,FALSE)</f>
        <v>120</v>
      </c>
      <c r="ED23" s="121">
        <f>$S$17*EA23*$S$23*$S$24/1000</f>
        <v>84.483709640336713</v>
      </c>
      <c r="EE23" s="121">
        <f>$S$19*DO23*DK23*$S$23*$S$24/1000</f>
        <v>207.76499999999999</v>
      </c>
      <c r="EF23" s="121">
        <f>$S$18*EB23*$S$23/1000</f>
        <v>98.784000000000006</v>
      </c>
      <c r="EG23" s="123">
        <f>ABS(DR23)/(DL23+DM23+DN23)</f>
        <v>12</v>
      </c>
      <c r="EH23" s="124">
        <f>EG23/MIN(ED23,EE23)</f>
        <v>0.14203921739571204</v>
      </c>
      <c r="EI23" s="125" cm="1">
        <f t="array" ref="EI23">_xll.DCEBoltDisKa(DL23, DM23, DN23, DD23, DY23, DZ23, "h6")</f>
        <v>360</v>
      </c>
      <c r="EJ23" s="126" cm="1">
        <f t="array" ref="EJ23">_xll.DCEBoltDisKa(DL23, DM23, DN23, DD23, DY23, DZ23, "Tong")</f>
        <v>234000</v>
      </c>
      <c r="EK23" s="30">
        <f>ABS(DV23)*EI23/(2*EJ23)*1000-DQ23/(DL23+DM23+DN23)</f>
        <v>81.923076923076934</v>
      </c>
      <c r="EL23" s="127">
        <f>EK23/EF23</f>
        <v>0.82931524258054878</v>
      </c>
      <c r="EM23" s="128">
        <f>ABS(DV23)/(DD23/1000)-DQ23</f>
        <v>258.33333333333337</v>
      </c>
      <c r="EN23" s="123">
        <f>EM23*(EC23/1000)/8</f>
        <v>3.8750000000000004</v>
      </c>
      <c r="EO23" s="128">
        <f>EM23/2</f>
        <v>129.16666666666669</v>
      </c>
      <c r="EP23" s="13">
        <f>6*EN23*1000000/(DI23*DK23^2)</f>
        <v>71.538461538461547</v>
      </c>
      <c r="EQ23" s="129">
        <f>EP23/($S$31*$S$29)</f>
        <v>0.34775641025641035</v>
      </c>
      <c r="ER23" s="123">
        <f>EO23*1000/(DI23*DK23)</f>
        <v>9.9358974358974379</v>
      </c>
      <c r="ES23" s="130">
        <f>ER23/($S$31*$S$30)</f>
        <v>8.1776933628785492E-2</v>
      </c>
      <c r="ET23" s="13">
        <f>SQRT(EP23^2+3*ER23^2)</f>
        <v>73.579328978049006</v>
      </c>
      <c r="EU23" s="123">
        <f>ET23/(1.15*$S$31*$S$29)</f>
        <v>0.31102373360286423</v>
      </c>
      <c r="EV23" s="131">
        <f>MAX(EQ23,ES23,EU23)</f>
        <v>0.34775641025641035</v>
      </c>
    </row>
    <row r="24" spans="2:152" ht="12.75" customHeight="1">
      <c r="I24" s="8"/>
      <c r="J24" s="61" t="str">
        <f>"- Hệ số điều kiện làm việc của liên kết một bu lông (bảng 44):"</f>
        <v>- Hệ số điều kiện làm việc của liên kết một bu lông (bảng 44):</v>
      </c>
      <c r="K24" s="61"/>
      <c r="L24" s="62"/>
      <c r="M24" s="64"/>
      <c r="N24" s="61"/>
      <c r="O24" s="46"/>
      <c r="P24" s="46"/>
      <c r="Q24" s="46"/>
      <c r="R24" s="51" t="s">
        <v>7</v>
      </c>
      <c r="S24" s="66">
        <f>IF(T16="A",1,0.9)</f>
        <v>0.9</v>
      </c>
      <c r="T24" s="9"/>
      <c r="AD24" s="120"/>
      <c r="AI24" s="121"/>
      <c r="AJ24" s="13"/>
      <c r="AK24" s="13"/>
      <c r="AL24" s="13"/>
      <c r="AM24" s="13"/>
      <c r="AN24" s="13"/>
      <c r="AO24" s="13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3"/>
      <c r="BH24" s="132"/>
      <c r="BI24" s="125"/>
      <c r="BJ24" s="126"/>
      <c r="BK24" s="30"/>
      <c r="BL24" s="127"/>
      <c r="BM24" s="128"/>
      <c r="BN24" s="123"/>
      <c r="BO24" s="128"/>
      <c r="BP24" s="13"/>
      <c r="BQ24" s="129"/>
      <c r="BR24" s="123"/>
      <c r="BS24" s="130"/>
      <c r="BT24" s="13"/>
      <c r="BU24" s="123"/>
      <c r="BV24" s="131"/>
      <c r="DD24" s="120"/>
      <c r="DI24" s="121"/>
      <c r="DJ24" s="13"/>
      <c r="DK24" s="13"/>
      <c r="DL24" s="13"/>
      <c r="DM24" s="13"/>
      <c r="DN24" s="13"/>
      <c r="DO24" s="13"/>
      <c r="DW24" s="121"/>
      <c r="DX24" s="121"/>
      <c r="DY24" s="121"/>
      <c r="DZ24" s="121"/>
      <c r="EA24" s="121"/>
      <c r="EB24" s="121"/>
      <c r="EC24" s="121"/>
      <c r="ED24" s="121"/>
      <c r="EE24" s="121"/>
      <c r="EF24" s="121"/>
      <c r="EG24" s="123"/>
      <c r="EH24" s="132"/>
      <c r="EI24" s="125"/>
      <c r="EJ24" s="126"/>
      <c r="EK24" s="30"/>
      <c r="EL24" s="127"/>
      <c r="EM24" s="128"/>
      <c r="EN24" s="123"/>
      <c r="EO24" s="128"/>
      <c r="EP24" s="13"/>
      <c r="EQ24" s="129"/>
      <c r="ER24" s="123"/>
      <c r="ES24" s="130"/>
      <c r="ET24" s="13"/>
      <c r="EU24" s="123"/>
      <c r="EV24" s="131"/>
    </row>
    <row r="25" spans="2:152" ht="12.75" customHeight="1">
      <c r="B25" s="158" t="s">
        <v>93</v>
      </c>
      <c r="C25" s="158"/>
      <c r="I25" s="7" t="s">
        <v>150</v>
      </c>
      <c r="J25" s="61"/>
      <c r="K25" s="61"/>
      <c r="L25" s="61"/>
      <c r="M25" s="61"/>
      <c r="N25" s="61"/>
      <c r="O25" s="62"/>
      <c r="P25" s="63"/>
      <c r="Q25" s="61"/>
      <c r="R25" s="46"/>
      <c r="S25" s="46"/>
      <c r="T25" s="6"/>
      <c r="AD25" s="120"/>
      <c r="AI25" s="121"/>
      <c r="AJ25" s="13"/>
      <c r="AK25" s="13"/>
      <c r="AL25" s="13"/>
      <c r="AM25" s="13"/>
      <c r="AN25" s="13"/>
      <c r="AO25" s="13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3"/>
      <c r="BH25" s="127"/>
      <c r="BI25" s="125"/>
      <c r="BJ25" s="126"/>
      <c r="BK25" s="30"/>
      <c r="BL25" s="127"/>
      <c r="BM25" s="128"/>
      <c r="BN25" s="123"/>
      <c r="BO25" s="128"/>
      <c r="BP25" s="13"/>
      <c r="BQ25" s="129"/>
      <c r="BR25" s="123"/>
      <c r="BS25" s="130"/>
      <c r="BT25" s="13"/>
      <c r="BU25" s="123"/>
      <c r="BV25" s="131"/>
      <c r="DD25" s="120"/>
      <c r="DI25" s="121"/>
      <c r="DJ25" s="13"/>
      <c r="DK25" s="13"/>
      <c r="DL25" s="13"/>
      <c r="DM25" s="13"/>
      <c r="DN25" s="13"/>
      <c r="DO25" s="13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3"/>
      <c r="EH25" s="127"/>
      <c r="EI25" s="125"/>
      <c r="EJ25" s="126"/>
      <c r="EK25" s="30"/>
      <c r="EL25" s="127"/>
      <c r="EM25" s="128"/>
      <c r="EN25" s="123"/>
      <c r="EO25" s="128"/>
      <c r="EP25" s="13"/>
      <c r="EQ25" s="129"/>
      <c r="ER25" s="123"/>
      <c r="ES25" s="130"/>
      <c r="ET25" s="13"/>
      <c r="EU25" s="123"/>
      <c r="EV25" s="131"/>
    </row>
    <row r="26" spans="2:152" ht="12.75" customHeight="1">
      <c r="B26" s="26" t="s">
        <v>94</v>
      </c>
      <c r="C26" s="32" t="s">
        <v>155</v>
      </c>
      <c r="I26" s="8"/>
      <c r="J26" s="61" t="str">
        <f>"- Loại thép:"</f>
        <v>- Loại thép:</v>
      </c>
      <c r="K26" s="61"/>
      <c r="L26" s="62"/>
      <c r="M26" s="64"/>
      <c r="N26" s="61"/>
      <c r="O26" s="46"/>
      <c r="P26" s="46"/>
      <c r="Q26" s="46"/>
      <c r="R26" s="46"/>
      <c r="S26" s="52" t="s">
        <v>227</v>
      </c>
      <c r="T26" s="9"/>
      <c r="AD26" s="120"/>
      <c r="AI26" s="121"/>
      <c r="AJ26" s="13"/>
      <c r="AK26" s="13"/>
      <c r="AL26" s="13"/>
      <c r="AM26" s="13"/>
      <c r="AN26" s="13"/>
      <c r="AO26" s="13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3"/>
      <c r="BH26" s="127"/>
      <c r="BI26" s="125"/>
      <c r="BJ26" s="126"/>
      <c r="BK26" s="30"/>
      <c r="BL26" s="127"/>
      <c r="BM26" s="128"/>
      <c r="BN26" s="123"/>
      <c r="BO26" s="128"/>
      <c r="BP26" s="13"/>
      <c r="BQ26" s="129"/>
      <c r="BR26" s="123"/>
      <c r="BS26" s="130"/>
      <c r="BT26" s="13"/>
      <c r="BU26" s="123"/>
      <c r="BV26" s="131"/>
      <c r="DD26" s="120"/>
      <c r="DI26" s="121"/>
      <c r="DJ26" s="13"/>
      <c r="DK26" s="13"/>
      <c r="DL26" s="13"/>
      <c r="DM26" s="13"/>
      <c r="DN26" s="13"/>
      <c r="DO26" s="13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3"/>
      <c r="EH26" s="127"/>
      <c r="EI26" s="125"/>
      <c r="EJ26" s="126"/>
      <c r="EK26" s="30"/>
      <c r="EL26" s="127"/>
      <c r="EM26" s="128"/>
      <c r="EN26" s="123"/>
      <c r="EO26" s="128"/>
      <c r="EP26" s="13"/>
      <c r="EQ26" s="129"/>
      <c r="ER26" s="123"/>
      <c r="ES26" s="130"/>
      <c r="ET26" s="13"/>
      <c r="EU26" s="123"/>
      <c r="EV26" s="131"/>
    </row>
    <row r="27" spans="2:152" ht="12.75" customHeight="1">
      <c r="B27" s="12">
        <v>184</v>
      </c>
      <c r="C27" s="12">
        <v>100</v>
      </c>
      <c r="I27" s="8"/>
      <c r="J27" s="61" t="str">
        <f>"- Cường độ tiêu chuẩn của thép:"</f>
        <v>- Cường độ tiêu chuẩn của thép:</v>
      </c>
      <c r="K27" s="61"/>
      <c r="L27" s="62"/>
      <c r="M27" s="64"/>
      <c r="N27" s="61"/>
      <c r="O27" s="46"/>
      <c r="P27" s="46"/>
      <c r="Q27" s="46"/>
      <c r="R27" s="49" t="s">
        <v>1</v>
      </c>
      <c r="S27" s="66">
        <f>VLOOKUP(S26,Data!$A$3:$E$99,3,FALSE)</f>
        <v>240</v>
      </c>
      <c r="T27" s="10" t="s">
        <v>2</v>
      </c>
      <c r="AD27" s="120"/>
      <c r="AI27" s="121"/>
      <c r="AJ27" s="13"/>
      <c r="AK27" s="13"/>
      <c r="AL27" s="13"/>
      <c r="AM27" s="13"/>
      <c r="AN27" s="13"/>
      <c r="AO27" s="13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3"/>
      <c r="BH27" s="127"/>
      <c r="BI27" s="125"/>
      <c r="BJ27" s="126"/>
      <c r="BK27" s="30"/>
      <c r="BL27" s="127"/>
      <c r="BM27" s="128"/>
      <c r="BN27" s="123"/>
      <c r="BO27" s="128"/>
      <c r="BP27" s="13"/>
      <c r="BQ27" s="129"/>
      <c r="BR27" s="123"/>
      <c r="BS27" s="130"/>
      <c r="BT27" s="13"/>
      <c r="BU27" s="123"/>
      <c r="BV27" s="131"/>
      <c r="DD27" s="120"/>
      <c r="DI27" s="121"/>
      <c r="DJ27" s="13"/>
      <c r="DK27" s="13"/>
      <c r="DL27" s="13"/>
      <c r="DM27" s="13"/>
      <c r="DN27" s="13"/>
      <c r="DO27" s="13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3"/>
      <c r="EH27" s="127"/>
      <c r="EI27" s="125"/>
      <c r="EJ27" s="126"/>
      <c r="EK27" s="30"/>
      <c r="EL27" s="127"/>
      <c r="EM27" s="128"/>
      <c r="EN27" s="123"/>
      <c r="EO27" s="128"/>
      <c r="EP27" s="13"/>
      <c r="EQ27" s="129"/>
      <c r="ER27" s="123"/>
      <c r="ES27" s="130"/>
      <c r="ET27" s="13"/>
      <c r="EU27" s="123"/>
      <c r="EV27" s="131"/>
    </row>
    <row r="28" spans="2:152" ht="12.75" customHeight="1">
      <c r="B28" s="12">
        <v>212</v>
      </c>
      <c r="C28" s="12">
        <v>120</v>
      </c>
      <c r="I28" s="8"/>
      <c r="J28" s="61" t="str">
        <f>"- Cường độ tiêu chuẩn kéo đứt của thép:"</f>
        <v>- Cường độ tiêu chuẩn kéo đứt của thép:</v>
      </c>
      <c r="K28" s="61"/>
      <c r="L28" s="62"/>
      <c r="M28" s="64"/>
      <c r="N28" s="61"/>
      <c r="O28" s="46"/>
      <c r="P28" s="46"/>
      <c r="Q28" s="46"/>
      <c r="R28" s="49" t="s">
        <v>8</v>
      </c>
      <c r="S28" s="66">
        <f>VLOOKUP(S26,Data!$A$3:$E$99,4,FALSE)</f>
        <v>380</v>
      </c>
      <c r="T28" s="10" t="s">
        <v>2</v>
      </c>
      <c r="AD28" s="120"/>
      <c r="AI28" s="121"/>
      <c r="AJ28" s="13"/>
      <c r="AK28" s="13"/>
      <c r="AL28" s="13"/>
      <c r="AM28" s="13"/>
      <c r="AN28" s="13"/>
      <c r="AO28" s="13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3"/>
      <c r="BH28" s="127"/>
      <c r="BI28" s="125"/>
      <c r="BJ28" s="126"/>
      <c r="BK28" s="30"/>
      <c r="BL28" s="127"/>
      <c r="BM28" s="128"/>
      <c r="BN28" s="123"/>
      <c r="BO28" s="128"/>
      <c r="BP28" s="13"/>
      <c r="BQ28" s="129"/>
      <c r="BR28" s="123"/>
      <c r="BS28" s="130"/>
      <c r="BT28" s="13"/>
      <c r="BU28" s="123"/>
      <c r="BV28" s="131"/>
      <c r="DD28" s="120"/>
      <c r="DI28" s="121"/>
      <c r="DJ28" s="13"/>
      <c r="DK28" s="13"/>
      <c r="DL28" s="13"/>
      <c r="DM28" s="13"/>
      <c r="DN28" s="13"/>
      <c r="DO28" s="13"/>
      <c r="DW28" s="121"/>
      <c r="DX28" s="121"/>
      <c r="DY28" s="121"/>
      <c r="DZ28" s="121"/>
      <c r="EA28" s="121"/>
      <c r="EB28" s="121"/>
      <c r="EC28" s="121"/>
      <c r="ED28" s="121"/>
      <c r="EE28" s="121"/>
      <c r="EF28" s="121"/>
      <c r="EG28" s="123"/>
      <c r="EH28" s="127"/>
      <c r="EI28" s="125"/>
      <c r="EJ28" s="126"/>
      <c r="EK28" s="30"/>
      <c r="EL28" s="127"/>
      <c r="EM28" s="128"/>
      <c r="EN28" s="123"/>
      <c r="EO28" s="128"/>
      <c r="EP28" s="13"/>
      <c r="EQ28" s="129"/>
      <c r="ER28" s="123"/>
      <c r="ES28" s="130"/>
      <c r="ET28" s="13"/>
      <c r="EU28" s="123"/>
      <c r="EV28" s="131"/>
    </row>
    <row r="29" spans="2:152" ht="12.75" customHeight="1">
      <c r="B29" s="12">
        <v>298</v>
      </c>
      <c r="C29" s="12">
        <v>150</v>
      </c>
      <c r="I29" s="8"/>
      <c r="J29" s="61" t="str">
        <f>"- Cường độ tính toán của thép:"</f>
        <v>- Cường độ tính toán của thép:</v>
      </c>
      <c r="K29" s="61"/>
      <c r="L29" s="62"/>
      <c r="M29" s="64"/>
      <c r="N29" s="46"/>
      <c r="O29" s="46"/>
      <c r="P29" s="51" t="s">
        <v>9</v>
      </c>
      <c r="Q29" s="66">
        <f>VLOOKUP(S26,Data!$A$3:$E$99,5,FALSE)</f>
        <v>1.05</v>
      </c>
      <c r="R29" s="49" t="s">
        <v>10</v>
      </c>
      <c r="S29" s="68">
        <f>S27/Q29</f>
        <v>228.57142857142856</v>
      </c>
      <c r="T29" s="10" t="s">
        <v>2</v>
      </c>
      <c r="U29" s="11"/>
      <c r="AD29" s="120"/>
      <c r="AI29" s="121"/>
      <c r="AJ29" s="13"/>
      <c r="AK29" s="13"/>
      <c r="AL29" s="13"/>
      <c r="AM29" s="13"/>
      <c r="AN29" s="13"/>
      <c r="AO29" s="13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3"/>
      <c r="BH29" s="127"/>
      <c r="BI29" s="125"/>
      <c r="BJ29" s="126"/>
      <c r="BK29" s="30"/>
      <c r="BL29" s="127"/>
      <c r="BM29" s="128"/>
      <c r="BN29" s="123"/>
      <c r="BO29" s="128"/>
      <c r="BP29" s="13"/>
      <c r="BQ29" s="129"/>
      <c r="BR29" s="123"/>
      <c r="BS29" s="130"/>
      <c r="BT29" s="13"/>
      <c r="BU29" s="123"/>
      <c r="BV29" s="131"/>
      <c r="DD29" s="120"/>
      <c r="DI29" s="121"/>
      <c r="DJ29" s="13"/>
      <c r="DK29" s="13"/>
      <c r="DL29" s="13"/>
      <c r="DM29" s="13"/>
      <c r="DN29" s="13"/>
      <c r="DO29" s="13"/>
      <c r="DW29" s="121"/>
      <c r="DX29" s="121"/>
      <c r="DY29" s="121"/>
      <c r="DZ29" s="121"/>
      <c r="EA29" s="121"/>
      <c r="EB29" s="121"/>
      <c r="EC29" s="121"/>
      <c r="ED29" s="121"/>
      <c r="EE29" s="121"/>
      <c r="EF29" s="121"/>
      <c r="EG29" s="123"/>
      <c r="EH29" s="127"/>
      <c r="EI29" s="125"/>
      <c r="EJ29" s="126"/>
      <c r="EK29" s="30"/>
      <c r="EL29" s="127"/>
      <c r="EM29" s="128"/>
      <c r="EN29" s="123"/>
      <c r="EO29" s="128"/>
      <c r="EP29" s="13"/>
      <c r="EQ29" s="129"/>
      <c r="ER29" s="123"/>
      <c r="ES29" s="130"/>
      <c r="ET29" s="13"/>
      <c r="EU29" s="123"/>
      <c r="EV29" s="131"/>
    </row>
    <row r="30" spans="2:152" ht="12.75" customHeight="1">
      <c r="B30" s="12">
        <v>300</v>
      </c>
      <c r="C30" s="12">
        <v>150</v>
      </c>
      <c r="I30" s="8"/>
      <c r="J30" s="61" t="str">
        <f>"- Cường độ tính toán chịu cắt của thép:"</f>
        <v>- Cường độ tính toán chịu cắt của thép:</v>
      </c>
      <c r="K30" s="61"/>
      <c r="L30" s="62"/>
      <c r="M30" s="64"/>
      <c r="N30" s="61"/>
      <c r="O30" s="46"/>
      <c r="P30" s="46"/>
      <c r="Q30" s="46"/>
      <c r="R30" s="49" t="s">
        <v>83</v>
      </c>
      <c r="S30" s="66">
        <v>135</v>
      </c>
      <c r="T30" s="10" t="s">
        <v>2</v>
      </c>
      <c r="U30" s="11"/>
      <c r="AD30" s="120"/>
      <c r="AI30" s="121"/>
      <c r="AJ30" s="13"/>
      <c r="AK30" s="13"/>
      <c r="AL30" s="13"/>
      <c r="AM30" s="13"/>
      <c r="AN30" s="13"/>
      <c r="AO30" s="13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3"/>
      <c r="BH30" s="127"/>
      <c r="BI30" s="125"/>
      <c r="BJ30" s="126"/>
      <c r="BK30" s="30"/>
      <c r="BL30" s="127"/>
      <c r="BM30" s="128"/>
      <c r="BN30" s="123"/>
      <c r="BO30" s="128"/>
      <c r="BP30" s="13"/>
      <c r="BQ30" s="129"/>
      <c r="BR30" s="123"/>
      <c r="BS30" s="130"/>
      <c r="BT30" s="13"/>
      <c r="BU30" s="123"/>
      <c r="BV30" s="131"/>
      <c r="DD30" s="120"/>
      <c r="DI30" s="121"/>
      <c r="DJ30" s="13"/>
      <c r="DK30" s="13"/>
      <c r="DL30" s="13"/>
      <c r="DM30" s="13"/>
      <c r="DN30" s="13"/>
      <c r="DO30" s="13"/>
      <c r="DW30" s="121"/>
      <c r="DX30" s="121"/>
      <c r="DY30" s="121"/>
      <c r="DZ30" s="121"/>
      <c r="EA30" s="121"/>
      <c r="EB30" s="121"/>
      <c r="EC30" s="121"/>
      <c r="ED30" s="121"/>
      <c r="EE30" s="121"/>
      <c r="EF30" s="121"/>
      <c r="EG30" s="123"/>
      <c r="EH30" s="127"/>
      <c r="EI30" s="125"/>
      <c r="EJ30" s="126"/>
      <c r="EK30" s="30"/>
      <c r="EL30" s="127"/>
      <c r="EM30" s="128"/>
      <c r="EN30" s="123"/>
      <c r="EO30" s="128"/>
      <c r="EP30" s="13"/>
      <c r="EQ30" s="129"/>
      <c r="ER30" s="123"/>
      <c r="ES30" s="130"/>
      <c r="ET30" s="13"/>
      <c r="EU30" s="123"/>
      <c r="EV30" s="131"/>
    </row>
    <row r="31" spans="2:152" ht="12.75" customHeight="1">
      <c r="B31" s="12">
        <v>350</v>
      </c>
      <c r="C31" s="12">
        <v>180</v>
      </c>
      <c r="I31" s="8"/>
      <c r="J31" s="61" t="str">
        <f>"- Hệ số điều kiện làm việc của kết cấu (Bảng 1 - Mục 9):"</f>
        <v>- Hệ số điều kiện làm việc của kết cấu (Bảng 1 - Mục 9):</v>
      </c>
      <c r="K31" s="61"/>
      <c r="L31" s="62"/>
      <c r="M31" s="64"/>
      <c r="N31" s="61"/>
      <c r="O31" s="46"/>
      <c r="P31" s="46"/>
      <c r="Q31" s="46"/>
      <c r="R31" s="51" t="s">
        <v>11</v>
      </c>
      <c r="S31" s="47">
        <v>0.9</v>
      </c>
      <c r="T31" s="10" t="s">
        <v>2</v>
      </c>
      <c r="U31" s="11"/>
      <c r="AD31" s="120"/>
      <c r="AI31" s="121"/>
      <c r="AJ31" s="13"/>
      <c r="AK31" s="13"/>
      <c r="AL31" s="13"/>
      <c r="AM31" s="13"/>
      <c r="AN31" s="13"/>
      <c r="AO31" s="13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3"/>
      <c r="BH31" s="127"/>
      <c r="BI31" s="125"/>
      <c r="BJ31" s="126"/>
      <c r="BK31" s="30"/>
      <c r="BL31" s="127"/>
      <c r="BM31" s="128"/>
      <c r="BN31" s="123"/>
      <c r="BO31" s="128"/>
      <c r="BP31" s="13"/>
      <c r="BQ31" s="129"/>
      <c r="BR31" s="123"/>
      <c r="BS31" s="130"/>
      <c r="BT31" s="13"/>
      <c r="BU31" s="123"/>
      <c r="BV31" s="131"/>
      <c r="DD31" s="120"/>
      <c r="DI31" s="121"/>
      <c r="DJ31" s="13"/>
      <c r="DK31" s="13"/>
      <c r="DL31" s="13"/>
      <c r="DM31" s="13"/>
      <c r="DN31" s="13"/>
      <c r="DO31" s="13"/>
      <c r="DW31" s="121"/>
      <c r="DX31" s="121"/>
      <c r="DY31" s="121"/>
      <c r="DZ31" s="121"/>
      <c r="EA31" s="121"/>
      <c r="EB31" s="121"/>
      <c r="EC31" s="121"/>
      <c r="ED31" s="121"/>
      <c r="EE31" s="121"/>
      <c r="EF31" s="121"/>
      <c r="EG31" s="123"/>
      <c r="EH31" s="127"/>
      <c r="EI31" s="125"/>
      <c r="EJ31" s="126"/>
      <c r="EK31" s="30"/>
      <c r="EL31" s="127"/>
      <c r="EM31" s="128"/>
      <c r="EN31" s="123"/>
      <c r="EO31" s="128"/>
      <c r="EP31" s="13"/>
      <c r="EQ31" s="129"/>
      <c r="ER31" s="123"/>
      <c r="ES31" s="130"/>
      <c r="ET31" s="13"/>
      <c r="EU31" s="123"/>
      <c r="EV31" s="131"/>
    </row>
    <row r="32" spans="2:152" ht="12.75" customHeight="1">
      <c r="B32" s="12">
        <v>370</v>
      </c>
      <c r="C32" s="12">
        <v>200</v>
      </c>
      <c r="I32" s="7" t="s">
        <v>12</v>
      </c>
      <c r="J32" s="61"/>
      <c r="K32" s="61"/>
      <c r="L32" s="61"/>
      <c r="M32" s="61"/>
      <c r="N32" s="61"/>
      <c r="O32" s="62"/>
      <c r="P32" s="63"/>
      <c r="Q32" s="61"/>
      <c r="R32" s="46"/>
      <c r="S32" s="46"/>
      <c r="T32" s="6"/>
      <c r="AD32" s="120"/>
      <c r="AI32" s="121"/>
      <c r="AJ32" s="13"/>
      <c r="AK32" s="13"/>
      <c r="AL32" s="13"/>
      <c r="AM32" s="13"/>
      <c r="AN32" s="13"/>
      <c r="AO32" s="13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3"/>
      <c r="BH32" s="127"/>
      <c r="BI32" s="125"/>
      <c r="BJ32" s="126"/>
      <c r="BK32" s="30"/>
      <c r="BL32" s="127"/>
      <c r="BM32" s="128"/>
      <c r="BN32" s="123"/>
      <c r="BO32" s="128"/>
      <c r="BP32" s="13"/>
      <c r="BQ32" s="129"/>
      <c r="BR32" s="123"/>
      <c r="BS32" s="130"/>
      <c r="BT32" s="13"/>
      <c r="BU32" s="123"/>
      <c r="BV32" s="131"/>
      <c r="DD32" s="120"/>
      <c r="DI32" s="121"/>
      <c r="DJ32" s="13"/>
      <c r="DK32" s="13"/>
      <c r="DL32" s="13"/>
      <c r="DM32" s="13"/>
      <c r="DN32" s="13"/>
      <c r="DO32" s="13"/>
      <c r="DW32" s="121"/>
      <c r="DX32" s="121"/>
      <c r="DY32" s="121"/>
      <c r="DZ32" s="121"/>
      <c r="EA32" s="121"/>
      <c r="EB32" s="121"/>
      <c r="EC32" s="121"/>
      <c r="ED32" s="121"/>
      <c r="EE32" s="121"/>
      <c r="EF32" s="121"/>
      <c r="EG32" s="123"/>
      <c r="EH32" s="127"/>
      <c r="EI32" s="125"/>
      <c r="EJ32" s="126"/>
      <c r="EK32" s="30"/>
      <c r="EL32" s="127"/>
      <c r="EM32" s="128"/>
      <c r="EN32" s="123"/>
      <c r="EO32" s="128"/>
      <c r="EP32" s="13"/>
      <c r="EQ32" s="129"/>
      <c r="ER32" s="123"/>
      <c r="ES32" s="130"/>
      <c r="ET32" s="13"/>
      <c r="EU32" s="123"/>
      <c r="EV32" s="131"/>
    </row>
    <row r="33" spans="2:152" ht="12.75" customHeight="1">
      <c r="B33" s="12">
        <v>400</v>
      </c>
      <c r="C33" s="12">
        <v>200</v>
      </c>
      <c r="I33" s="8"/>
      <c r="J33" s="61" t="str">
        <f>"- Que hàn:"</f>
        <v>- Que hàn:</v>
      </c>
      <c r="K33" s="61"/>
      <c r="L33" s="62"/>
      <c r="M33" s="64"/>
      <c r="N33" s="61"/>
      <c r="O33" s="46"/>
      <c r="P33" s="46"/>
      <c r="Q33" s="46"/>
      <c r="R33" s="46"/>
      <c r="S33" s="47" t="s">
        <v>76</v>
      </c>
      <c r="T33" s="9"/>
      <c r="AD33" s="120"/>
      <c r="AI33" s="121"/>
      <c r="AJ33" s="13"/>
      <c r="AK33" s="13"/>
      <c r="AL33" s="13"/>
      <c r="AM33" s="13"/>
      <c r="AN33" s="13"/>
      <c r="AO33" s="13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3"/>
      <c r="BH33" s="127"/>
      <c r="BI33" s="125"/>
      <c r="BJ33" s="126"/>
      <c r="BK33" s="30"/>
      <c r="BL33" s="127"/>
      <c r="BM33" s="128"/>
      <c r="BN33" s="123"/>
      <c r="BO33" s="128"/>
      <c r="BP33" s="13"/>
      <c r="BQ33" s="129"/>
      <c r="BR33" s="123"/>
      <c r="BS33" s="130"/>
      <c r="BT33" s="13"/>
      <c r="BU33" s="123"/>
      <c r="BV33" s="131"/>
      <c r="DD33" s="120"/>
      <c r="DI33" s="121"/>
      <c r="DJ33" s="13"/>
      <c r="DK33" s="13"/>
      <c r="DL33" s="13"/>
      <c r="DM33" s="13"/>
      <c r="DN33" s="13"/>
      <c r="DO33" s="13"/>
      <c r="DW33" s="121"/>
      <c r="DX33" s="121"/>
      <c r="DY33" s="121"/>
      <c r="DZ33" s="121"/>
      <c r="EA33" s="121"/>
      <c r="EB33" s="121"/>
      <c r="EC33" s="121"/>
      <c r="ED33" s="121"/>
      <c r="EE33" s="121"/>
      <c r="EF33" s="121"/>
      <c r="EG33" s="123"/>
      <c r="EH33" s="127"/>
      <c r="EI33" s="125"/>
      <c r="EJ33" s="126"/>
      <c r="EK33" s="30"/>
      <c r="EL33" s="127"/>
      <c r="EM33" s="128"/>
      <c r="EN33" s="123"/>
      <c r="EO33" s="128"/>
      <c r="EP33" s="13"/>
      <c r="EQ33" s="129"/>
      <c r="ER33" s="123"/>
      <c r="ES33" s="130"/>
      <c r="ET33" s="13"/>
      <c r="EU33" s="123"/>
      <c r="EV33" s="131"/>
    </row>
    <row r="34" spans="2:152" ht="12.75" customHeight="1">
      <c r="B34" s="12">
        <v>500</v>
      </c>
      <c r="C34" s="12">
        <v>250</v>
      </c>
      <c r="I34" s="8"/>
      <c r="J34" s="61" t="str">
        <f>"- Cường độ tiêu chuẩn theo giới hạn bền:"</f>
        <v>- Cường độ tiêu chuẩn theo giới hạn bền:</v>
      </c>
      <c r="K34" s="61"/>
      <c r="L34" s="62"/>
      <c r="M34" s="64"/>
      <c r="N34" s="61"/>
      <c r="O34" s="46"/>
      <c r="P34" s="46"/>
      <c r="Q34" s="46"/>
      <c r="R34" s="49" t="s">
        <v>14</v>
      </c>
      <c r="S34" s="50">
        <f>VLOOKUP(S33,Data!$L$39:$N$43,2,FALSE)</f>
        <v>450</v>
      </c>
      <c r="T34" s="10" t="s">
        <v>2</v>
      </c>
      <c r="AD34" s="120"/>
      <c r="AI34" s="121"/>
      <c r="AJ34" s="13"/>
      <c r="AK34" s="13"/>
      <c r="AL34" s="13"/>
      <c r="AM34" s="13"/>
      <c r="AN34" s="13"/>
      <c r="AO34" s="13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3"/>
      <c r="BH34" s="127"/>
      <c r="BI34" s="125"/>
      <c r="BJ34" s="126"/>
      <c r="BK34" s="30"/>
      <c r="BL34" s="127"/>
      <c r="BM34" s="128"/>
      <c r="BN34" s="123"/>
      <c r="BO34" s="128"/>
      <c r="BP34" s="13"/>
      <c r="BQ34" s="129"/>
      <c r="BR34" s="123"/>
      <c r="BS34" s="130"/>
      <c r="BT34" s="13"/>
      <c r="BU34" s="123"/>
      <c r="BV34" s="131"/>
      <c r="DD34" s="120"/>
      <c r="DI34" s="121"/>
      <c r="DJ34" s="13"/>
      <c r="DK34" s="13"/>
      <c r="DL34" s="13"/>
      <c r="DM34" s="13"/>
      <c r="DN34" s="13"/>
      <c r="DO34" s="13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3"/>
      <c r="EH34" s="127"/>
      <c r="EI34" s="125"/>
      <c r="EJ34" s="126"/>
      <c r="EK34" s="30"/>
      <c r="EL34" s="127"/>
      <c r="EM34" s="128"/>
      <c r="EN34" s="123"/>
      <c r="EO34" s="128"/>
      <c r="EP34" s="13"/>
      <c r="EQ34" s="129"/>
      <c r="ER34" s="123"/>
      <c r="ES34" s="130"/>
      <c r="ET34" s="13"/>
      <c r="EU34" s="123"/>
      <c r="EV34" s="131"/>
    </row>
    <row r="35" spans="2:152" ht="12.75" customHeight="1">
      <c r="I35" s="8"/>
      <c r="J35" s="61" t="str">
        <f>"- Cường độ tính toán theo kim loại đường hàn:"</f>
        <v>- Cường độ tính toán theo kim loại đường hàn:</v>
      </c>
      <c r="K35" s="61"/>
      <c r="L35" s="62"/>
      <c r="M35" s="64"/>
      <c r="N35" s="61"/>
      <c r="O35" s="46"/>
      <c r="P35" s="51" t="s">
        <v>15</v>
      </c>
      <c r="Q35" s="47">
        <v>0.7</v>
      </c>
      <c r="R35" s="49" t="s">
        <v>16</v>
      </c>
      <c r="S35" s="50">
        <f>VLOOKUP(S33,Data!$L$39:$N$43,3,FALSE)</f>
        <v>200</v>
      </c>
      <c r="T35" s="10" t="s">
        <v>2</v>
      </c>
      <c r="AD35" s="120"/>
      <c r="AI35" s="121"/>
      <c r="AJ35" s="13"/>
      <c r="AK35" s="13"/>
      <c r="AL35" s="13"/>
      <c r="AM35" s="13"/>
      <c r="AN35" s="13"/>
      <c r="AO35" s="13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3"/>
      <c r="BH35" s="127"/>
      <c r="BI35" s="125"/>
      <c r="BJ35" s="126"/>
      <c r="BK35" s="30"/>
      <c r="BL35" s="127"/>
      <c r="BM35" s="128"/>
      <c r="BN35" s="123"/>
      <c r="BO35" s="128"/>
      <c r="BP35" s="13"/>
      <c r="BQ35" s="129"/>
      <c r="BR35" s="123"/>
      <c r="BS35" s="130"/>
      <c r="BT35" s="13"/>
      <c r="BU35" s="123"/>
      <c r="BV35" s="131"/>
      <c r="DD35" s="120"/>
      <c r="DI35" s="121"/>
      <c r="DJ35" s="13"/>
      <c r="DK35" s="13"/>
      <c r="DL35" s="13"/>
      <c r="DM35" s="13"/>
      <c r="DN35" s="13"/>
      <c r="DO35" s="13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3"/>
      <c r="EH35" s="127"/>
      <c r="EI35" s="125"/>
      <c r="EJ35" s="126"/>
      <c r="EK35" s="30"/>
      <c r="EL35" s="127"/>
      <c r="EM35" s="128"/>
      <c r="EN35" s="123"/>
      <c r="EO35" s="128"/>
      <c r="EP35" s="13"/>
      <c r="EQ35" s="129"/>
      <c r="ER35" s="123"/>
      <c r="ES35" s="130"/>
      <c r="ET35" s="13"/>
      <c r="EU35" s="123"/>
      <c r="EV35" s="131"/>
    </row>
    <row r="36" spans="2:152" ht="12.75" customHeight="1">
      <c r="I36" s="8"/>
      <c r="J36" s="61" t="str">
        <f>"- Cường độ tính toán theo kim loại biên nóng chảy:"</f>
        <v>- Cường độ tính toán theo kim loại biên nóng chảy:</v>
      </c>
      <c r="K36" s="61"/>
      <c r="L36" s="62"/>
      <c r="M36" s="64"/>
      <c r="N36" s="61"/>
      <c r="O36" s="46"/>
      <c r="P36" s="51" t="s">
        <v>17</v>
      </c>
      <c r="Q36" s="67">
        <v>1</v>
      </c>
      <c r="R36" s="49" t="s">
        <v>18</v>
      </c>
      <c r="S36" s="50">
        <f>0.45*S28</f>
        <v>171</v>
      </c>
      <c r="T36" s="10" t="s">
        <v>2</v>
      </c>
      <c r="AD36" s="120"/>
      <c r="AI36" s="121"/>
      <c r="AJ36" s="13"/>
      <c r="AK36" s="13"/>
      <c r="AL36" s="13"/>
      <c r="AM36" s="13"/>
      <c r="AN36" s="13"/>
      <c r="AO36" s="13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3"/>
      <c r="BH36" s="127"/>
      <c r="BI36" s="125"/>
      <c r="BJ36" s="126"/>
      <c r="BK36" s="30"/>
      <c r="BL36" s="127"/>
      <c r="BM36" s="128"/>
      <c r="BN36" s="123"/>
      <c r="BO36" s="128"/>
      <c r="BP36" s="13"/>
      <c r="BQ36" s="129"/>
      <c r="BR36" s="123"/>
      <c r="BS36" s="130"/>
      <c r="BT36" s="13"/>
      <c r="BU36" s="123"/>
      <c r="BV36" s="131"/>
      <c r="DD36" s="120"/>
      <c r="DI36" s="121"/>
      <c r="DJ36" s="13"/>
      <c r="DK36" s="13"/>
      <c r="DL36" s="13"/>
      <c r="DM36" s="13"/>
      <c r="DN36" s="13"/>
      <c r="DO36" s="13"/>
      <c r="DW36" s="121"/>
      <c r="DX36" s="121"/>
      <c r="DY36" s="121"/>
      <c r="DZ36" s="121"/>
      <c r="EA36" s="121"/>
      <c r="EB36" s="121"/>
      <c r="EC36" s="121"/>
      <c r="ED36" s="121"/>
      <c r="EE36" s="121"/>
      <c r="EF36" s="121"/>
      <c r="EG36" s="123"/>
      <c r="EH36" s="127"/>
      <c r="EI36" s="125"/>
      <c r="EJ36" s="126"/>
      <c r="EK36" s="30"/>
      <c r="EL36" s="127"/>
      <c r="EM36" s="128"/>
      <c r="EN36" s="123"/>
      <c r="EO36" s="128"/>
      <c r="EP36" s="13"/>
      <c r="EQ36" s="129"/>
      <c r="ER36" s="123"/>
      <c r="ES36" s="130"/>
      <c r="ET36" s="13"/>
      <c r="EU36" s="123"/>
      <c r="EV36" s="131"/>
    </row>
    <row r="37" spans="2:152" ht="12.75" customHeight="1">
      <c r="I37" s="8"/>
      <c r="J37" s="61" t="str">
        <f>"- Hệ số điều kiện làm việc :"</f>
        <v>- Hệ số điều kiện làm việc :</v>
      </c>
      <c r="K37" s="61"/>
      <c r="L37" s="62"/>
      <c r="M37" s="64"/>
      <c r="N37" s="61"/>
      <c r="O37" s="46"/>
      <c r="P37" s="46"/>
      <c r="Q37" s="46"/>
      <c r="R37" s="51" t="s">
        <v>11</v>
      </c>
      <c r="S37" s="47">
        <v>0.9</v>
      </c>
      <c r="T37" s="10" t="s">
        <v>2</v>
      </c>
      <c r="U37" s="11"/>
      <c r="AD37" s="120"/>
      <c r="AI37" s="121"/>
      <c r="AJ37" s="13"/>
      <c r="AK37" s="13"/>
      <c r="AL37" s="13"/>
      <c r="AM37" s="13"/>
      <c r="AN37" s="13"/>
      <c r="AO37" s="13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3"/>
      <c r="BH37" s="127"/>
      <c r="BI37" s="125"/>
      <c r="BJ37" s="126"/>
      <c r="BK37" s="30"/>
      <c r="BL37" s="127"/>
      <c r="BM37" s="128"/>
      <c r="BN37" s="123"/>
      <c r="BO37" s="128"/>
      <c r="BP37" s="13"/>
      <c r="BQ37" s="129"/>
      <c r="BR37" s="123"/>
      <c r="BS37" s="130"/>
      <c r="BT37" s="13"/>
      <c r="BU37" s="123"/>
      <c r="BV37" s="131"/>
      <c r="DD37" s="120"/>
      <c r="DI37" s="121"/>
      <c r="DJ37" s="13"/>
      <c r="DK37" s="13"/>
      <c r="DL37" s="13"/>
      <c r="DM37" s="13"/>
      <c r="DN37" s="13"/>
      <c r="DO37" s="13"/>
      <c r="DW37" s="121"/>
      <c r="DX37" s="121"/>
      <c r="DY37" s="121"/>
      <c r="DZ37" s="121"/>
      <c r="EA37" s="121"/>
      <c r="EB37" s="121"/>
      <c r="EC37" s="121"/>
      <c r="ED37" s="121"/>
      <c r="EE37" s="121"/>
      <c r="EF37" s="121"/>
      <c r="EG37" s="123"/>
      <c r="EH37" s="127"/>
      <c r="EI37" s="125"/>
      <c r="EJ37" s="126"/>
      <c r="EK37" s="30"/>
      <c r="EL37" s="127"/>
      <c r="EM37" s="128"/>
      <c r="EN37" s="123"/>
      <c r="EO37" s="128"/>
      <c r="EP37" s="13"/>
      <c r="EQ37" s="129"/>
      <c r="ER37" s="123"/>
      <c r="ES37" s="130"/>
      <c r="ET37" s="13"/>
      <c r="EU37" s="123"/>
      <c r="EV37" s="131"/>
    </row>
    <row r="38" spans="2:152" ht="12.75" customHeight="1">
      <c r="I38" s="8"/>
      <c r="J38" s="61" t="str">
        <f>"- Cường độ tính toán của đường hàn:"</f>
        <v>- Cường độ tính toán của đường hàn:</v>
      </c>
      <c r="K38" s="61"/>
      <c r="L38" s="62"/>
      <c r="M38" s="64"/>
      <c r="N38" s="61"/>
      <c r="O38" s="46"/>
      <c r="P38" s="51"/>
      <c r="Q38" s="47"/>
      <c r="R38" s="49" t="s">
        <v>140</v>
      </c>
      <c r="S38" s="67">
        <f>1.15*MIN(Q35*S35,Q36*S36)*S37</f>
        <v>144.9</v>
      </c>
      <c r="T38" s="10" t="s">
        <v>2</v>
      </c>
      <c r="AD38" s="120"/>
      <c r="AI38" s="121"/>
      <c r="AJ38" s="13"/>
      <c r="AK38" s="13"/>
      <c r="AL38" s="13"/>
      <c r="AM38" s="13"/>
      <c r="AN38" s="13"/>
      <c r="AO38" s="13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3"/>
      <c r="BH38" s="127"/>
      <c r="BI38" s="125"/>
      <c r="BJ38" s="126"/>
      <c r="BK38" s="30"/>
      <c r="BL38" s="127"/>
      <c r="BM38" s="128"/>
      <c r="BN38" s="123"/>
      <c r="BO38" s="128"/>
      <c r="BP38" s="13"/>
      <c r="BQ38" s="129"/>
      <c r="BR38" s="123"/>
      <c r="BS38" s="130"/>
      <c r="BT38" s="13"/>
      <c r="BU38" s="123"/>
      <c r="BV38" s="131"/>
      <c r="DD38" s="120"/>
      <c r="DI38" s="121"/>
      <c r="DJ38" s="13"/>
      <c r="DK38" s="13"/>
      <c r="DL38" s="13"/>
      <c r="DM38" s="13"/>
      <c r="DN38" s="13"/>
      <c r="DO38" s="13"/>
      <c r="DW38" s="121"/>
      <c r="DX38" s="121"/>
      <c r="DY38" s="121"/>
      <c r="DZ38" s="121"/>
      <c r="EA38" s="121"/>
      <c r="EB38" s="121"/>
      <c r="EC38" s="121"/>
      <c r="ED38" s="121"/>
      <c r="EE38" s="121"/>
      <c r="EF38" s="121"/>
      <c r="EG38" s="123"/>
      <c r="EH38" s="127"/>
      <c r="EI38" s="125"/>
      <c r="EJ38" s="126"/>
      <c r="EK38" s="30"/>
      <c r="EL38" s="127"/>
      <c r="EM38" s="128"/>
      <c r="EN38" s="123"/>
      <c r="EO38" s="128"/>
      <c r="EP38" s="13"/>
      <c r="EQ38" s="129"/>
      <c r="ER38" s="123"/>
      <c r="ES38" s="130"/>
      <c r="ET38" s="13"/>
      <c r="EU38" s="123"/>
      <c r="EV38" s="131"/>
    </row>
    <row r="39" spans="2:152" ht="12.75" customHeight="1">
      <c r="I39" s="7" t="s">
        <v>43</v>
      </c>
      <c r="J39" s="61"/>
      <c r="K39" s="61"/>
      <c r="L39" s="61"/>
      <c r="M39" s="61"/>
      <c r="N39" s="61"/>
      <c r="O39" s="61"/>
      <c r="P39" s="63"/>
      <c r="Q39" s="61"/>
      <c r="R39" s="46"/>
      <c r="S39" s="46"/>
      <c r="T39" s="6"/>
      <c r="AD39" s="120"/>
      <c r="AI39" s="121"/>
      <c r="AJ39" s="13"/>
      <c r="AK39" s="13"/>
      <c r="AL39" s="13"/>
      <c r="AM39" s="13"/>
      <c r="AN39" s="13"/>
      <c r="AO39" s="13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3"/>
      <c r="BH39" s="127"/>
      <c r="BI39" s="125"/>
      <c r="BJ39" s="126"/>
      <c r="BK39" s="30"/>
      <c r="BL39" s="127"/>
      <c r="BM39" s="128"/>
      <c r="BN39" s="123"/>
      <c r="BO39" s="128"/>
      <c r="BP39" s="13"/>
      <c r="BQ39" s="129"/>
      <c r="BR39" s="123"/>
      <c r="BS39" s="130"/>
      <c r="BT39" s="13"/>
      <c r="BU39" s="123"/>
      <c r="BV39" s="131"/>
      <c r="DD39" s="120"/>
      <c r="DI39" s="121"/>
      <c r="DJ39" s="13"/>
      <c r="DK39" s="13"/>
      <c r="DL39" s="13"/>
      <c r="DM39" s="13"/>
      <c r="DN39" s="13"/>
      <c r="DO39" s="13"/>
      <c r="DW39" s="121"/>
      <c r="DX39" s="121"/>
      <c r="DY39" s="121"/>
      <c r="DZ39" s="121"/>
      <c r="EA39" s="121"/>
      <c r="EB39" s="121"/>
      <c r="EC39" s="121"/>
      <c r="ED39" s="121"/>
      <c r="EE39" s="121"/>
      <c r="EF39" s="121"/>
      <c r="EG39" s="123"/>
      <c r="EH39" s="127"/>
      <c r="EI39" s="125"/>
      <c r="EJ39" s="126"/>
      <c r="EK39" s="30"/>
      <c r="EL39" s="127"/>
      <c r="EM39" s="128"/>
      <c r="EN39" s="123"/>
      <c r="EO39" s="128"/>
      <c r="EP39" s="13"/>
      <c r="EQ39" s="129"/>
      <c r="ER39" s="123"/>
      <c r="ES39" s="130"/>
      <c r="ET39" s="13"/>
      <c r="EU39" s="123"/>
      <c r="EV39" s="131"/>
    </row>
    <row r="40" spans="2:152" ht="12.75" customHeight="1">
      <c r="I40" s="7"/>
      <c r="J40" s="61"/>
      <c r="K40" s="61"/>
      <c r="L40" s="61"/>
      <c r="M40" s="61"/>
      <c r="N40" s="61"/>
      <c r="O40" s="61"/>
      <c r="P40" s="69"/>
      <c r="Q40" s="61"/>
      <c r="R40" s="46"/>
      <c r="S40" s="46"/>
      <c r="T40" s="6"/>
      <c r="AD40" s="120"/>
      <c r="AI40" s="121"/>
      <c r="AJ40" s="13"/>
      <c r="AK40" s="13"/>
      <c r="AL40" s="13"/>
      <c r="AM40" s="13"/>
      <c r="AN40" s="13"/>
      <c r="AO40" s="13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3"/>
      <c r="BH40" s="127"/>
      <c r="BI40" s="125"/>
      <c r="BJ40" s="126"/>
      <c r="BK40" s="30"/>
      <c r="BL40" s="127"/>
      <c r="BM40" s="128"/>
      <c r="BN40" s="123"/>
      <c r="BO40" s="128"/>
      <c r="BP40" s="13"/>
      <c r="BQ40" s="129"/>
      <c r="BR40" s="123"/>
      <c r="BS40" s="130"/>
      <c r="BT40" s="13"/>
      <c r="BU40" s="123"/>
      <c r="BV40" s="131"/>
      <c r="DD40" s="120"/>
      <c r="DI40" s="121"/>
      <c r="DJ40" s="13"/>
      <c r="DK40" s="13"/>
      <c r="DL40" s="13"/>
      <c r="DM40" s="13"/>
      <c r="DN40" s="13"/>
      <c r="DO40" s="13"/>
      <c r="DW40" s="121"/>
      <c r="DX40" s="121"/>
      <c r="DY40" s="121"/>
      <c r="DZ40" s="121"/>
      <c r="EA40" s="121"/>
      <c r="EB40" s="121"/>
      <c r="EC40" s="121"/>
      <c r="ED40" s="121"/>
      <c r="EE40" s="121"/>
      <c r="EF40" s="121"/>
      <c r="EG40" s="123"/>
      <c r="EH40" s="127"/>
      <c r="EI40" s="125"/>
      <c r="EJ40" s="126"/>
      <c r="EK40" s="30"/>
      <c r="EL40" s="127"/>
      <c r="EM40" s="128"/>
      <c r="EN40" s="123"/>
      <c r="EO40" s="128"/>
      <c r="EP40" s="13"/>
      <c r="EQ40" s="129"/>
      <c r="ER40" s="123"/>
      <c r="ES40" s="130"/>
      <c r="ET40" s="13"/>
      <c r="EU40" s="123"/>
      <c r="EV40" s="131"/>
    </row>
    <row r="41" spans="2:152" ht="12.75" customHeight="1">
      <c r="B41" s="158" t="s">
        <v>160</v>
      </c>
      <c r="C41" s="158"/>
      <c r="D41" s="158"/>
      <c r="E41" s="158"/>
      <c r="F41" s="158"/>
      <c r="G41" s="56" cm="1">
        <f t="array" ref="G41">INDEX(B43:B54,IFERROR(MATCH(S41,$B$43:$B$54,0),MATCH(S41,$B$43:$B$54,1)+1))</f>
        <v>500</v>
      </c>
      <c r="I41" s="7"/>
      <c r="J41" s="61"/>
      <c r="K41" s="61"/>
      <c r="L41" s="61"/>
      <c r="M41" s="61"/>
      <c r="N41" s="61"/>
      <c r="O41" s="61"/>
      <c r="P41" s="63"/>
      <c r="Q41" s="61"/>
      <c r="R41" s="49" t="s">
        <v>110</v>
      </c>
      <c r="S41" s="47">
        <v>480</v>
      </c>
      <c r="T41" s="10" t="s">
        <v>4</v>
      </c>
      <c r="AD41" s="120"/>
      <c r="AI41" s="121"/>
      <c r="AJ41" s="13"/>
      <c r="AK41" s="13"/>
      <c r="AL41" s="13"/>
      <c r="AM41" s="13"/>
      <c r="AN41" s="13"/>
      <c r="AO41" s="13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3"/>
      <c r="BH41" s="127"/>
      <c r="BI41" s="125"/>
      <c r="BJ41" s="126"/>
      <c r="BK41" s="30"/>
      <c r="BL41" s="127"/>
      <c r="BM41" s="128"/>
      <c r="BN41" s="123"/>
      <c r="BO41" s="128"/>
      <c r="BP41" s="13"/>
      <c r="BQ41" s="129"/>
      <c r="BR41" s="123"/>
      <c r="BS41" s="130"/>
      <c r="BT41" s="13"/>
      <c r="BU41" s="123"/>
      <c r="BV41" s="131"/>
      <c r="DD41" s="120"/>
      <c r="DI41" s="121"/>
      <c r="DJ41" s="13"/>
      <c r="DK41" s="13"/>
      <c r="DL41" s="13"/>
      <c r="DM41" s="13"/>
      <c r="DN41" s="13"/>
      <c r="DO41" s="13"/>
      <c r="DW41" s="121"/>
      <c r="DX41" s="121"/>
      <c r="DY41" s="121"/>
      <c r="DZ41" s="121"/>
      <c r="EA41" s="121"/>
      <c r="EB41" s="121"/>
      <c r="EC41" s="121"/>
      <c r="ED41" s="121"/>
      <c r="EE41" s="121"/>
      <c r="EF41" s="121"/>
      <c r="EG41" s="123"/>
      <c r="EH41" s="127"/>
      <c r="EI41" s="125"/>
      <c r="EJ41" s="126"/>
      <c r="EK41" s="30"/>
      <c r="EL41" s="127"/>
      <c r="EM41" s="128"/>
      <c r="EN41" s="123"/>
      <c r="EO41" s="128"/>
      <c r="EP41" s="13"/>
      <c r="EQ41" s="129"/>
      <c r="ER41" s="123"/>
      <c r="ES41" s="130"/>
      <c r="ET41" s="13"/>
      <c r="EU41" s="123"/>
      <c r="EV41" s="131"/>
    </row>
    <row r="42" spans="2:152" ht="12.75" customHeight="1">
      <c r="B42" s="32" t="s">
        <v>161</v>
      </c>
      <c r="C42" s="26" t="s">
        <v>163</v>
      </c>
      <c r="D42" s="26" t="s">
        <v>164</v>
      </c>
      <c r="E42" s="26" t="s">
        <v>165</v>
      </c>
      <c r="F42" s="26" t="s">
        <v>33</v>
      </c>
      <c r="G42" s="26" t="s">
        <v>162</v>
      </c>
      <c r="I42" s="7"/>
      <c r="J42" s="61"/>
      <c r="K42" s="61"/>
      <c r="L42" s="61"/>
      <c r="M42" s="61"/>
      <c r="N42" s="61"/>
      <c r="O42" s="61"/>
      <c r="P42" s="63"/>
      <c r="Q42" s="61"/>
      <c r="R42" s="49" t="s">
        <v>111</v>
      </c>
      <c r="S42" s="47">
        <v>200</v>
      </c>
      <c r="T42" s="10" t="s">
        <v>4</v>
      </c>
      <c r="AD42" s="120"/>
      <c r="AI42" s="121"/>
      <c r="AJ42" s="13"/>
      <c r="AK42" s="13"/>
      <c r="AL42" s="13"/>
      <c r="AM42" s="13"/>
      <c r="AN42" s="13"/>
      <c r="AO42" s="13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3"/>
      <c r="BH42" s="127"/>
      <c r="BI42" s="125"/>
      <c r="BJ42" s="126"/>
      <c r="BK42" s="30"/>
      <c r="BL42" s="127"/>
      <c r="BM42" s="128"/>
      <c r="BN42" s="123"/>
      <c r="BO42" s="128"/>
      <c r="BP42" s="13"/>
      <c r="BQ42" s="129"/>
      <c r="BR42" s="123"/>
      <c r="BS42" s="130"/>
      <c r="BT42" s="13"/>
      <c r="BU42" s="123"/>
      <c r="BV42" s="131"/>
      <c r="DD42" s="120"/>
      <c r="DI42" s="121"/>
      <c r="DJ42" s="13"/>
      <c r="DK42" s="13"/>
      <c r="DL42" s="13"/>
      <c r="DM42" s="13"/>
      <c r="DN42" s="13"/>
      <c r="DO42" s="13"/>
      <c r="DW42" s="121"/>
      <c r="DX42" s="121"/>
      <c r="DY42" s="121"/>
      <c r="DZ42" s="121"/>
      <c r="EA42" s="121"/>
      <c r="EB42" s="121"/>
      <c r="EC42" s="121"/>
      <c r="ED42" s="121"/>
      <c r="EE42" s="121"/>
      <c r="EF42" s="121"/>
      <c r="EG42" s="123"/>
      <c r="EH42" s="127"/>
      <c r="EI42" s="125"/>
      <c r="EJ42" s="126"/>
      <c r="EK42" s="30"/>
      <c r="EL42" s="127"/>
      <c r="EM42" s="128"/>
      <c r="EN42" s="123"/>
      <c r="EO42" s="128"/>
      <c r="EP42" s="13"/>
      <c r="EQ42" s="129"/>
      <c r="ER42" s="123"/>
      <c r="ES42" s="130"/>
      <c r="ET42" s="13"/>
      <c r="EU42" s="123"/>
      <c r="EV42" s="131"/>
    </row>
    <row r="43" spans="2:152" ht="12.75" customHeight="1">
      <c r="B43" s="12">
        <v>250</v>
      </c>
      <c r="C43" s="13">
        <v>2</v>
      </c>
      <c r="D43" s="13">
        <v>0</v>
      </c>
      <c r="E43" s="13">
        <v>2</v>
      </c>
      <c r="F43" s="12">
        <v>20</v>
      </c>
      <c r="G43" s="12">
        <v>16</v>
      </c>
      <c r="I43" s="7"/>
      <c r="J43" s="61"/>
      <c r="K43" s="61"/>
      <c r="L43" s="61"/>
      <c r="M43" s="61"/>
      <c r="N43" s="61"/>
      <c r="O43" s="61"/>
      <c r="P43" s="63"/>
      <c r="Q43" s="61"/>
      <c r="R43" s="49" t="s">
        <v>112</v>
      </c>
      <c r="S43" s="47">
        <v>6</v>
      </c>
      <c r="T43" s="10" t="s">
        <v>4</v>
      </c>
      <c r="AD43" s="120"/>
      <c r="AI43" s="121"/>
      <c r="AJ43" s="13"/>
      <c r="AK43" s="13"/>
      <c r="AL43" s="13"/>
      <c r="AM43" s="13"/>
      <c r="AN43" s="13"/>
      <c r="AO43" s="13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3"/>
      <c r="BH43" s="127"/>
      <c r="BI43" s="125"/>
      <c r="BJ43" s="126"/>
      <c r="BK43" s="30"/>
      <c r="BL43" s="127"/>
      <c r="BM43" s="128"/>
      <c r="BN43" s="123"/>
      <c r="BO43" s="128"/>
      <c r="BP43" s="13"/>
      <c r="BQ43" s="129"/>
      <c r="BR43" s="123"/>
      <c r="BS43" s="130"/>
      <c r="BT43" s="13"/>
      <c r="BU43" s="123"/>
      <c r="BV43" s="131"/>
      <c r="DD43" s="120"/>
      <c r="DI43" s="121"/>
      <c r="DJ43" s="13"/>
      <c r="DK43" s="13"/>
      <c r="DL43" s="13"/>
      <c r="DM43" s="13"/>
      <c r="DN43" s="13"/>
      <c r="DO43" s="13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3"/>
      <c r="EH43" s="127"/>
      <c r="EI43" s="125"/>
      <c r="EJ43" s="126"/>
      <c r="EK43" s="30"/>
      <c r="EL43" s="127"/>
      <c r="EM43" s="128"/>
      <c r="EN43" s="123"/>
      <c r="EO43" s="128"/>
      <c r="EP43" s="13"/>
      <c r="EQ43" s="129"/>
      <c r="ER43" s="123"/>
      <c r="ES43" s="130"/>
      <c r="ET43" s="13"/>
      <c r="EU43" s="123"/>
      <c r="EV43" s="131"/>
    </row>
    <row r="44" spans="2:152" ht="12.75" customHeight="1">
      <c r="B44" s="12">
        <v>300</v>
      </c>
      <c r="C44" s="13">
        <v>2</v>
      </c>
      <c r="D44" s="13">
        <v>0</v>
      </c>
      <c r="E44" s="13">
        <v>2</v>
      </c>
      <c r="F44" s="12">
        <v>20</v>
      </c>
      <c r="G44" s="12">
        <v>20</v>
      </c>
      <c r="I44" s="7"/>
      <c r="J44" s="61"/>
      <c r="K44" s="61"/>
      <c r="L44" s="61"/>
      <c r="M44" s="61"/>
      <c r="N44" s="61"/>
      <c r="O44" s="61"/>
      <c r="P44" s="63"/>
      <c r="Q44" s="61"/>
      <c r="R44" s="49" t="s">
        <v>113</v>
      </c>
      <c r="S44" s="47">
        <v>10</v>
      </c>
      <c r="T44" s="10" t="s">
        <v>4</v>
      </c>
      <c r="AD44" s="120"/>
      <c r="AI44" s="121"/>
      <c r="AJ44" s="13"/>
      <c r="AK44" s="13"/>
      <c r="AL44" s="13"/>
      <c r="AM44" s="13"/>
      <c r="AN44" s="13"/>
      <c r="AO44" s="13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3"/>
      <c r="BH44" s="127"/>
      <c r="BI44" s="125"/>
      <c r="BJ44" s="126"/>
      <c r="BK44" s="30"/>
      <c r="BL44" s="127"/>
      <c r="BM44" s="128"/>
      <c r="BN44" s="123"/>
      <c r="BO44" s="128"/>
      <c r="BP44" s="13"/>
      <c r="BQ44" s="129"/>
      <c r="BR44" s="123"/>
      <c r="BS44" s="130"/>
      <c r="BT44" s="13"/>
      <c r="BU44" s="123"/>
      <c r="BV44" s="131"/>
      <c r="DD44" s="120"/>
      <c r="DI44" s="121"/>
      <c r="DJ44" s="13"/>
      <c r="DK44" s="13"/>
      <c r="DL44" s="13"/>
      <c r="DM44" s="13"/>
      <c r="DN44" s="13"/>
      <c r="DO44" s="13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3"/>
      <c r="EH44" s="127"/>
      <c r="EI44" s="125"/>
      <c r="EJ44" s="126"/>
      <c r="EK44" s="30"/>
      <c r="EL44" s="127"/>
      <c r="EM44" s="128"/>
      <c r="EN44" s="123"/>
      <c r="EO44" s="128"/>
      <c r="EP44" s="13"/>
      <c r="EQ44" s="129"/>
      <c r="ER44" s="123"/>
      <c r="ES44" s="130"/>
      <c r="ET44" s="13"/>
      <c r="EU44" s="123"/>
      <c r="EV44" s="131"/>
    </row>
    <row r="45" spans="2:152" ht="12.75" customHeight="1">
      <c r="B45" s="12">
        <v>350</v>
      </c>
      <c r="C45" s="13">
        <v>2</v>
      </c>
      <c r="D45" s="13">
        <v>0</v>
      </c>
      <c r="E45" s="13">
        <v>2</v>
      </c>
      <c r="F45" s="12">
        <v>20</v>
      </c>
      <c r="G45" s="12">
        <v>20</v>
      </c>
      <c r="I45" s="7"/>
      <c r="J45" s="61"/>
      <c r="K45" s="61"/>
      <c r="L45" s="61"/>
      <c r="M45" s="61"/>
      <c r="N45" s="61"/>
      <c r="O45" s="61"/>
      <c r="P45" s="63"/>
      <c r="Q45" s="61"/>
      <c r="R45" s="49" t="s">
        <v>223</v>
      </c>
      <c r="S45" s="47">
        <v>20</v>
      </c>
      <c r="T45" s="10" t="s">
        <v>4</v>
      </c>
      <c r="AD45" s="120"/>
      <c r="AI45" s="121"/>
      <c r="AJ45" s="13"/>
      <c r="AK45" s="13"/>
      <c r="AL45" s="13"/>
      <c r="AM45" s="13"/>
      <c r="AN45" s="13"/>
      <c r="AO45" s="13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3"/>
      <c r="BH45" s="127"/>
      <c r="BI45" s="125"/>
      <c r="BJ45" s="126"/>
      <c r="BK45" s="30"/>
      <c r="BL45" s="127"/>
      <c r="BM45" s="128"/>
      <c r="BN45" s="123"/>
      <c r="BO45" s="128"/>
      <c r="BP45" s="13"/>
      <c r="BQ45" s="129"/>
      <c r="BR45" s="123"/>
      <c r="BS45" s="130"/>
      <c r="BT45" s="13"/>
      <c r="BU45" s="123"/>
      <c r="BV45" s="131"/>
      <c r="DD45" s="120"/>
      <c r="DI45" s="121"/>
      <c r="DJ45" s="13"/>
      <c r="DK45" s="13"/>
      <c r="DL45" s="13"/>
      <c r="DM45" s="13"/>
      <c r="DN45" s="13"/>
      <c r="DO45" s="13"/>
      <c r="DW45" s="121"/>
      <c r="DX45" s="121"/>
      <c r="DY45" s="121"/>
      <c r="DZ45" s="121"/>
      <c r="EA45" s="121"/>
      <c r="EB45" s="121"/>
      <c r="EC45" s="121"/>
      <c r="ED45" s="121"/>
      <c r="EE45" s="121"/>
      <c r="EF45" s="121"/>
      <c r="EG45" s="123"/>
      <c r="EH45" s="127"/>
      <c r="EI45" s="125"/>
      <c r="EJ45" s="126"/>
      <c r="EK45" s="30"/>
      <c r="EL45" s="127"/>
      <c r="EM45" s="128"/>
      <c r="EN45" s="123"/>
      <c r="EO45" s="128"/>
      <c r="EP45" s="13"/>
      <c r="EQ45" s="129"/>
      <c r="ER45" s="123"/>
      <c r="ES45" s="130"/>
      <c r="ET45" s="13"/>
      <c r="EU45" s="123"/>
      <c r="EV45" s="131"/>
    </row>
    <row r="46" spans="2:152" ht="12.75" customHeight="1">
      <c r="B46" s="12">
        <v>400</v>
      </c>
      <c r="C46" s="13">
        <v>2</v>
      </c>
      <c r="D46" s="13">
        <v>2</v>
      </c>
      <c r="E46" s="13">
        <v>2</v>
      </c>
      <c r="F46" s="12">
        <v>20</v>
      </c>
      <c r="G46" s="12">
        <v>25</v>
      </c>
      <c r="I46" s="7"/>
      <c r="J46" s="61"/>
      <c r="K46" s="61"/>
      <c r="L46" s="61"/>
      <c r="M46" s="61"/>
      <c r="N46" s="61"/>
      <c r="O46" s="61"/>
      <c r="P46" s="63"/>
      <c r="Q46" s="61"/>
      <c r="R46" s="49" t="s">
        <v>151</v>
      </c>
      <c r="S46" s="66">
        <f>VLOOKUP(G41,$B$43:$G$54,2,FALSE)</f>
        <v>4</v>
      </c>
      <c r="T46" s="10" t="s">
        <v>84</v>
      </c>
      <c r="AD46" s="120"/>
      <c r="AI46" s="121"/>
      <c r="AJ46" s="13"/>
      <c r="AK46" s="13"/>
      <c r="AL46" s="13"/>
      <c r="AM46" s="13"/>
      <c r="AN46" s="13"/>
      <c r="AO46" s="13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3"/>
      <c r="BH46" s="127"/>
      <c r="BI46" s="125"/>
      <c r="BJ46" s="126"/>
      <c r="BK46" s="30"/>
      <c r="BL46" s="127"/>
      <c r="BM46" s="128"/>
      <c r="BN46" s="123"/>
      <c r="BO46" s="128"/>
      <c r="BP46" s="13"/>
      <c r="BQ46" s="129"/>
      <c r="BR46" s="123"/>
      <c r="BS46" s="130"/>
      <c r="BT46" s="13"/>
      <c r="BU46" s="123"/>
      <c r="BV46" s="131"/>
      <c r="DD46" s="120"/>
      <c r="DI46" s="121"/>
      <c r="DJ46" s="13"/>
      <c r="DK46" s="13"/>
      <c r="DL46" s="13"/>
      <c r="DM46" s="13"/>
      <c r="DN46" s="13"/>
      <c r="DO46" s="13"/>
      <c r="DW46" s="121"/>
      <c r="DX46" s="121"/>
      <c r="DY46" s="121"/>
      <c r="DZ46" s="121"/>
      <c r="EA46" s="121"/>
      <c r="EB46" s="121"/>
      <c r="EC46" s="121"/>
      <c r="ED46" s="121"/>
      <c r="EE46" s="121"/>
      <c r="EF46" s="121"/>
      <c r="EG46" s="123"/>
      <c r="EH46" s="127"/>
      <c r="EI46" s="125"/>
      <c r="EJ46" s="126"/>
      <c r="EK46" s="30"/>
      <c r="EL46" s="127"/>
      <c r="EM46" s="128"/>
      <c r="EN46" s="123"/>
      <c r="EO46" s="128"/>
      <c r="EP46" s="13"/>
      <c r="EQ46" s="129"/>
      <c r="ER46" s="123"/>
      <c r="ES46" s="130"/>
      <c r="ET46" s="13"/>
      <c r="EU46" s="123"/>
      <c r="EV46" s="131"/>
    </row>
    <row r="47" spans="2:152" ht="12.75" customHeight="1">
      <c r="B47" s="12">
        <v>450</v>
      </c>
      <c r="C47" s="13">
        <v>2</v>
      </c>
      <c r="D47" s="13">
        <v>2</v>
      </c>
      <c r="E47" s="13">
        <v>2</v>
      </c>
      <c r="F47" s="12">
        <v>20</v>
      </c>
      <c r="G47" s="12">
        <v>25</v>
      </c>
      <c r="I47" s="7"/>
      <c r="J47" s="61"/>
      <c r="K47" s="61"/>
      <c r="L47" s="61"/>
      <c r="M47" s="61"/>
      <c r="N47" s="61"/>
      <c r="O47" s="61"/>
      <c r="P47" s="63"/>
      <c r="Q47" s="61"/>
      <c r="R47" s="49" t="s">
        <v>152</v>
      </c>
      <c r="S47" s="66">
        <f>VLOOKUP(G41,$B$43:$G$54,3,FALSE)</f>
        <v>2</v>
      </c>
      <c r="T47" s="10" t="s">
        <v>84</v>
      </c>
      <c r="AD47" s="120"/>
      <c r="AI47" s="121"/>
      <c r="AJ47" s="13"/>
      <c r="AK47" s="13"/>
      <c r="AL47" s="13"/>
      <c r="AM47" s="13"/>
      <c r="AN47" s="13"/>
      <c r="AO47" s="13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3"/>
      <c r="BH47" s="127"/>
      <c r="BI47" s="125"/>
      <c r="BJ47" s="126"/>
      <c r="BK47" s="30"/>
      <c r="BL47" s="127"/>
      <c r="BM47" s="128"/>
      <c r="BN47" s="123"/>
      <c r="BO47" s="128"/>
      <c r="BP47" s="13"/>
      <c r="BQ47" s="129"/>
      <c r="BR47" s="123"/>
      <c r="BS47" s="130"/>
      <c r="BT47" s="13"/>
      <c r="BU47" s="123"/>
      <c r="BV47" s="131"/>
      <c r="DD47" s="120"/>
      <c r="DI47" s="121"/>
      <c r="DJ47" s="13"/>
      <c r="DK47" s="13"/>
      <c r="DL47" s="13"/>
      <c r="DM47" s="13"/>
      <c r="DN47" s="13"/>
      <c r="DO47" s="13"/>
      <c r="DW47" s="121"/>
      <c r="DX47" s="121"/>
      <c r="DY47" s="121"/>
      <c r="DZ47" s="121"/>
      <c r="EA47" s="121"/>
      <c r="EB47" s="121"/>
      <c r="EC47" s="121"/>
      <c r="ED47" s="121"/>
      <c r="EE47" s="121"/>
      <c r="EF47" s="121"/>
      <c r="EG47" s="123"/>
      <c r="EH47" s="127"/>
      <c r="EI47" s="125"/>
      <c r="EJ47" s="126"/>
      <c r="EK47" s="30"/>
      <c r="EL47" s="127"/>
      <c r="EM47" s="128"/>
      <c r="EN47" s="123"/>
      <c r="EO47" s="128"/>
      <c r="EP47" s="13"/>
      <c r="EQ47" s="129"/>
      <c r="ER47" s="123"/>
      <c r="ES47" s="130"/>
      <c r="ET47" s="13"/>
      <c r="EU47" s="123"/>
      <c r="EV47" s="131"/>
    </row>
    <row r="48" spans="2:152" ht="12.75" customHeight="1">
      <c r="B48" s="12">
        <v>500</v>
      </c>
      <c r="C48" s="13">
        <v>4</v>
      </c>
      <c r="D48" s="13">
        <v>2</v>
      </c>
      <c r="E48" s="13">
        <v>4</v>
      </c>
      <c r="F48" s="12">
        <v>20</v>
      </c>
      <c r="G48" s="12">
        <v>25</v>
      </c>
      <c r="I48" s="7"/>
      <c r="J48" s="61"/>
      <c r="K48" s="61"/>
      <c r="L48" s="61"/>
      <c r="M48" s="61"/>
      <c r="N48" s="61"/>
      <c r="O48" s="61"/>
      <c r="P48" s="63"/>
      <c r="Q48" s="61"/>
      <c r="R48" s="49" t="s">
        <v>153</v>
      </c>
      <c r="S48" s="66">
        <f>VLOOKUP(G41,$B$43:$G$54,4,FALSE)</f>
        <v>4</v>
      </c>
      <c r="T48" s="10" t="s">
        <v>84</v>
      </c>
      <c r="AD48" s="120"/>
      <c r="AI48" s="121"/>
      <c r="AJ48" s="13"/>
      <c r="AK48" s="13"/>
      <c r="AL48" s="13"/>
      <c r="AM48" s="13"/>
      <c r="AN48" s="13"/>
      <c r="AO48" s="13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3"/>
      <c r="BH48" s="127"/>
      <c r="BI48" s="125"/>
      <c r="BJ48" s="126"/>
      <c r="BK48" s="30"/>
      <c r="BL48" s="127"/>
      <c r="BM48" s="128"/>
      <c r="BN48" s="123"/>
      <c r="BO48" s="128"/>
      <c r="BP48" s="13"/>
      <c r="BQ48" s="129"/>
      <c r="BR48" s="123"/>
      <c r="BS48" s="130"/>
      <c r="BT48" s="13"/>
      <c r="BU48" s="123"/>
      <c r="BV48" s="131"/>
      <c r="DD48" s="120"/>
      <c r="DI48" s="121"/>
      <c r="DJ48" s="13"/>
      <c r="DK48" s="13"/>
      <c r="DL48" s="13"/>
      <c r="DM48" s="13"/>
      <c r="DN48" s="13"/>
      <c r="DO48" s="13"/>
      <c r="DW48" s="121"/>
      <c r="DX48" s="121"/>
      <c r="DY48" s="121"/>
      <c r="DZ48" s="121"/>
      <c r="EA48" s="121"/>
      <c r="EB48" s="121"/>
      <c r="EC48" s="121"/>
      <c r="ED48" s="121"/>
      <c r="EE48" s="121"/>
      <c r="EF48" s="121"/>
      <c r="EG48" s="123"/>
      <c r="EH48" s="127"/>
      <c r="EI48" s="125"/>
      <c r="EJ48" s="126"/>
      <c r="EK48" s="30"/>
      <c r="EL48" s="127"/>
      <c r="EM48" s="128"/>
      <c r="EN48" s="123"/>
      <c r="EO48" s="128"/>
      <c r="EP48" s="13"/>
      <c r="EQ48" s="129"/>
      <c r="ER48" s="123"/>
      <c r="ES48" s="130"/>
      <c r="ET48" s="13"/>
      <c r="EU48" s="123"/>
      <c r="EV48" s="131"/>
    </row>
    <row r="49" spans="2:152" ht="12.75" customHeight="1">
      <c r="B49" s="12">
        <v>550</v>
      </c>
      <c r="C49" s="13">
        <v>4</v>
      </c>
      <c r="D49" s="13">
        <v>2</v>
      </c>
      <c r="E49" s="13">
        <v>4</v>
      </c>
      <c r="F49" s="12">
        <v>24</v>
      </c>
      <c r="G49" s="12">
        <v>25</v>
      </c>
      <c r="I49" s="7"/>
      <c r="J49" s="61"/>
      <c r="K49" s="61"/>
      <c r="L49" s="61"/>
      <c r="M49" s="61"/>
      <c r="N49" s="61"/>
      <c r="O49" s="61"/>
      <c r="P49" s="63"/>
      <c r="Q49" s="61"/>
      <c r="R49" s="49" t="s">
        <v>154</v>
      </c>
      <c r="S49" s="50">
        <f>S46+S47+S48</f>
        <v>10</v>
      </c>
      <c r="T49" s="10" t="s">
        <v>84</v>
      </c>
      <c r="AD49" s="120"/>
      <c r="AI49" s="121"/>
      <c r="AJ49" s="13"/>
      <c r="AK49" s="13"/>
      <c r="AL49" s="13"/>
      <c r="AM49" s="13"/>
      <c r="AN49" s="13"/>
      <c r="AO49" s="13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3"/>
      <c r="BH49" s="127"/>
      <c r="BI49" s="125"/>
      <c r="BJ49" s="126"/>
      <c r="BK49" s="30"/>
      <c r="BL49" s="127"/>
      <c r="BM49" s="128"/>
      <c r="BN49" s="123"/>
      <c r="BO49" s="128"/>
      <c r="BP49" s="13"/>
      <c r="BQ49" s="129"/>
      <c r="BR49" s="123"/>
      <c r="BS49" s="130"/>
      <c r="BT49" s="13"/>
      <c r="BU49" s="123"/>
      <c r="BV49" s="131"/>
      <c r="DD49" s="120"/>
      <c r="DI49" s="121"/>
      <c r="DJ49" s="13"/>
      <c r="DK49" s="13"/>
      <c r="DL49" s="13"/>
      <c r="DM49" s="13"/>
      <c r="DN49" s="13"/>
      <c r="DO49" s="13"/>
      <c r="DW49" s="121"/>
      <c r="DX49" s="121"/>
      <c r="DY49" s="121"/>
      <c r="DZ49" s="121"/>
      <c r="EA49" s="121"/>
      <c r="EB49" s="121"/>
      <c r="EC49" s="121"/>
      <c r="ED49" s="121"/>
      <c r="EE49" s="121"/>
      <c r="EF49" s="121"/>
      <c r="EG49" s="123"/>
      <c r="EH49" s="127"/>
      <c r="EI49" s="125"/>
      <c r="EJ49" s="126"/>
      <c r="EK49" s="30"/>
      <c r="EL49" s="127"/>
      <c r="EM49" s="128"/>
      <c r="EN49" s="123"/>
      <c r="EO49" s="128"/>
      <c r="EP49" s="13"/>
      <c r="EQ49" s="129"/>
      <c r="ER49" s="123"/>
      <c r="ES49" s="130"/>
      <c r="ET49" s="13"/>
      <c r="EU49" s="123"/>
      <c r="EV49" s="131"/>
    </row>
    <row r="50" spans="2:152" ht="12.75" customHeight="1">
      <c r="B50" s="12">
        <v>600</v>
      </c>
      <c r="C50" s="13">
        <v>4</v>
      </c>
      <c r="D50" s="13">
        <v>2</v>
      </c>
      <c r="E50" s="13">
        <v>4</v>
      </c>
      <c r="F50" s="12">
        <v>24</v>
      </c>
      <c r="G50" s="12">
        <v>25</v>
      </c>
      <c r="I50" s="7"/>
      <c r="J50" s="61"/>
      <c r="K50" s="61"/>
      <c r="L50" s="61"/>
      <c r="M50" s="61"/>
      <c r="N50" s="61"/>
      <c r="O50" s="61"/>
      <c r="P50" s="47"/>
      <c r="Q50" s="46"/>
      <c r="R50" s="49" t="s">
        <v>108</v>
      </c>
      <c r="S50" s="66">
        <f>VLOOKUP(G41,$B$43:$G$54,6,FALSE)</f>
        <v>25</v>
      </c>
      <c r="T50" s="10" t="s">
        <v>4</v>
      </c>
      <c r="AD50" s="120"/>
      <c r="AI50" s="121"/>
      <c r="AJ50" s="13"/>
      <c r="AK50" s="13"/>
      <c r="AL50" s="13"/>
      <c r="AM50" s="13"/>
      <c r="AN50" s="13"/>
      <c r="AO50" s="13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3"/>
      <c r="BH50" s="127"/>
      <c r="BI50" s="125"/>
      <c r="BJ50" s="126"/>
      <c r="BK50" s="30"/>
      <c r="BL50" s="127"/>
      <c r="BM50" s="128"/>
      <c r="BN50" s="123"/>
      <c r="BO50" s="128"/>
      <c r="BP50" s="13"/>
      <c r="BQ50" s="129"/>
      <c r="BR50" s="123"/>
      <c r="BS50" s="130"/>
      <c r="BT50" s="13"/>
      <c r="BU50" s="123"/>
      <c r="BV50" s="131"/>
      <c r="DD50" s="120"/>
      <c r="DI50" s="121"/>
      <c r="DJ50" s="13"/>
      <c r="DK50" s="13"/>
      <c r="DL50" s="13"/>
      <c r="DM50" s="13"/>
      <c r="DN50" s="13"/>
      <c r="DO50" s="13"/>
      <c r="DW50" s="121"/>
      <c r="DX50" s="121"/>
      <c r="DY50" s="121"/>
      <c r="DZ50" s="121"/>
      <c r="EA50" s="121"/>
      <c r="EB50" s="121"/>
      <c r="EC50" s="121"/>
      <c r="ED50" s="121"/>
      <c r="EE50" s="121"/>
      <c r="EF50" s="121"/>
      <c r="EG50" s="123"/>
      <c r="EH50" s="127"/>
      <c r="EI50" s="125"/>
      <c r="EJ50" s="126"/>
      <c r="EK50" s="30"/>
      <c r="EL50" s="127"/>
      <c r="EM50" s="128"/>
      <c r="EN50" s="123"/>
      <c r="EO50" s="128"/>
      <c r="EP50" s="13"/>
      <c r="EQ50" s="129"/>
      <c r="ER50" s="123"/>
      <c r="ES50" s="130"/>
      <c r="ET50" s="13"/>
      <c r="EU50" s="123"/>
      <c r="EV50" s="131"/>
    </row>
    <row r="51" spans="2:152" ht="12.75" customHeight="1">
      <c r="B51" s="12">
        <v>700</v>
      </c>
      <c r="C51" s="13">
        <v>4</v>
      </c>
      <c r="D51" s="13">
        <v>2</v>
      </c>
      <c r="E51" s="13">
        <v>4</v>
      </c>
      <c r="F51" s="12">
        <v>24</v>
      </c>
      <c r="G51" s="12">
        <v>25</v>
      </c>
      <c r="I51" s="162" t="s">
        <v>156</v>
      </c>
      <c r="J51" s="163"/>
      <c r="K51" s="164"/>
      <c r="L51" s="36" t="s">
        <v>86</v>
      </c>
      <c r="M51" s="36" t="s">
        <v>87</v>
      </c>
      <c r="N51" s="37" t="s">
        <v>89</v>
      </c>
      <c r="O51" s="46"/>
      <c r="P51" s="47"/>
      <c r="Q51" s="46"/>
      <c r="R51" s="49" t="s">
        <v>107</v>
      </c>
      <c r="S51" s="68">
        <f>S41+2*S45</f>
        <v>520</v>
      </c>
      <c r="T51" s="10" t="s">
        <v>4</v>
      </c>
      <c r="AD51" s="120"/>
      <c r="AI51" s="121"/>
      <c r="AJ51" s="13"/>
      <c r="AK51" s="13"/>
      <c r="AL51" s="13"/>
      <c r="AM51" s="13"/>
      <c r="AN51" s="13"/>
      <c r="AO51" s="13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3"/>
      <c r="BH51" s="127"/>
      <c r="BI51" s="125"/>
      <c r="BJ51" s="126"/>
      <c r="BK51" s="30"/>
      <c r="BL51" s="127"/>
      <c r="BM51" s="128"/>
      <c r="BN51" s="123"/>
      <c r="BO51" s="128"/>
      <c r="BP51" s="13"/>
      <c r="BQ51" s="129"/>
      <c r="BR51" s="123"/>
      <c r="BS51" s="130"/>
      <c r="BT51" s="13"/>
      <c r="BU51" s="123"/>
      <c r="BV51" s="131"/>
      <c r="DD51" s="120"/>
      <c r="DI51" s="121"/>
      <c r="DJ51" s="13"/>
      <c r="DK51" s="13"/>
      <c r="DL51" s="13"/>
      <c r="DM51" s="13"/>
      <c r="DN51" s="13"/>
      <c r="DO51" s="13"/>
      <c r="DW51" s="121"/>
      <c r="DX51" s="121"/>
      <c r="DY51" s="121"/>
      <c r="DZ51" s="121"/>
      <c r="EA51" s="121"/>
      <c r="EB51" s="121"/>
      <c r="EC51" s="121"/>
      <c r="ED51" s="121"/>
      <c r="EE51" s="121"/>
      <c r="EF51" s="121"/>
      <c r="EG51" s="123"/>
      <c r="EH51" s="127"/>
      <c r="EI51" s="125"/>
      <c r="EJ51" s="126"/>
      <c r="EK51" s="30"/>
      <c r="EL51" s="127"/>
      <c r="EM51" s="128"/>
      <c r="EN51" s="123"/>
      <c r="EO51" s="128"/>
      <c r="EP51" s="13"/>
      <c r="EQ51" s="129"/>
      <c r="ER51" s="123"/>
      <c r="ES51" s="130"/>
      <c r="ET51" s="13"/>
      <c r="EU51" s="123"/>
      <c r="EV51" s="131"/>
    </row>
    <row r="52" spans="2:152" ht="12.75" customHeight="1">
      <c r="B52" s="12">
        <v>800</v>
      </c>
      <c r="C52" s="13">
        <v>6</v>
      </c>
      <c r="D52" s="13">
        <v>2</v>
      </c>
      <c r="E52" s="13">
        <v>6</v>
      </c>
      <c r="F52" s="12">
        <v>24</v>
      </c>
      <c r="G52" s="12">
        <v>25</v>
      </c>
      <c r="I52" s="165"/>
      <c r="J52" s="166"/>
      <c r="K52" s="167"/>
      <c r="L52" s="38">
        <f>VLOOKUP(S20,$B$13:$F$21,4,FALSE)</f>
        <v>60</v>
      </c>
      <c r="M52" s="38">
        <f>VLOOKUP(S20,$B$13:$F$21,5,FALSE)</f>
        <v>120</v>
      </c>
      <c r="N52" s="39" cm="1">
        <f t="array" ref="N52">_xll.DCEBoltDisKa(S46, S47, S48, S41, L52, M52, "EQ")</f>
        <v>60</v>
      </c>
      <c r="O52" s="46"/>
      <c r="P52" s="47"/>
      <c r="Q52" s="46"/>
      <c r="R52" s="49" t="s">
        <v>109</v>
      </c>
      <c r="S52" s="66" cm="1">
        <f t="array" ref="S52">INDEX(B27:B34,IFERROR(MATCH(S42,$B$27:$B$34,0),MATCH(S42,$B$27:$B$34,1)+1))</f>
        <v>212</v>
      </c>
      <c r="T52" s="10" t="s">
        <v>4</v>
      </c>
      <c r="AD52" s="120"/>
      <c r="AI52" s="121"/>
      <c r="AJ52" s="13"/>
      <c r="AK52" s="13"/>
      <c r="AL52" s="13"/>
      <c r="AM52" s="13"/>
      <c r="AN52" s="13"/>
      <c r="AO52" s="13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3"/>
      <c r="BH52" s="127"/>
      <c r="BI52" s="125"/>
      <c r="BJ52" s="126"/>
      <c r="BK52" s="30"/>
      <c r="BL52" s="127"/>
      <c r="BM52" s="128"/>
      <c r="BN52" s="123"/>
      <c r="BO52" s="128"/>
      <c r="BP52" s="13"/>
      <c r="BQ52" s="129"/>
      <c r="BR52" s="123"/>
      <c r="BS52" s="130"/>
      <c r="BT52" s="13"/>
      <c r="BU52" s="123"/>
      <c r="BV52" s="131"/>
      <c r="DD52" s="120"/>
      <c r="DI52" s="121"/>
      <c r="DJ52" s="13"/>
      <c r="DK52" s="13"/>
      <c r="DL52" s="13"/>
      <c r="DM52" s="13"/>
      <c r="DN52" s="13"/>
      <c r="DO52" s="13"/>
      <c r="DW52" s="121"/>
      <c r="DX52" s="121"/>
      <c r="DY52" s="121"/>
      <c r="DZ52" s="121"/>
      <c r="EA52" s="121"/>
      <c r="EB52" s="121"/>
      <c r="EC52" s="121"/>
      <c r="ED52" s="121"/>
      <c r="EE52" s="121"/>
      <c r="EF52" s="121"/>
      <c r="EG52" s="123"/>
      <c r="EH52" s="127"/>
      <c r="EI52" s="125"/>
      <c r="EJ52" s="126"/>
      <c r="EK52" s="30"/>
      <c r="EL52" s="127"/>
      <c r="EM52" s="128"/>
      <c r="EN52" s="123"/>
      <c r="EO52" s="128"/>
      <c r="EP52" s="13"/>
      <c r="EQ52" s="129"/>
      <c r="ER52" s="123"/>
      <c r="ES52" s="130"/>
      <c r="ET52" s="13"/>
      <c r="EU52" s="123"/>
      <c r="EV52" s="131"/>
    </row>
    <row r="53" spans="2:152" ht="12.75" customHeight="1">
      <c r="B53" s="12">
        <v>900</v>
      </c>
      <c r="C53" s="13">
        <v>6</v>
      </c>
      <c r="D53" s="13">
        <v>2</v>
      </c>
      <c r="E53" s="13">
        <v>6</v>
      </c>
      <c r="F53" s="12">
        <v>24</v>
      </c>
      <c r="G53" s="12">
        <v>25</v>
      </c>
      <c r="I53" s="36" t="s">
        <v>100</v>
      </c>
      <c r="J53" s="36" t="s">
        <v>99</v>
      </c>
      <c r="K53" s="36" t="s">
        <v>98</v>
      </c>
      <c r="L53" s="36" t="s">
        <v>97</v>
      </c>
      <c r="M53" s="36" t="s">
        <v>96</v>
      </c>
      <c r="N53" s="37" t="s">
        <v>95</v>
      </c>
      <c r="O53" s="46"/>
      <c r="P53" s="47"/>
      <c r="Q53" s="46"/>
      <c r="R53" s="49" t="s">
        <v>90</v>
      </c>
      <c r="S53" s="66">
        <f>VLOOKUP(S52,$B$27:$C$34,2,FALSE)</f>
        <v>120</v>
      </c>
      <c r="T53" s="10" t="s">
        <v>4</v>
      </c>
      <c r="AD53" s="120"/>
      <c r="AI53" s="121"/>
      <c r="AJ53" s="13"/>
      <c r="AK53" s="13"/>
      <c r="AL53" s="13"/>
      <c r="AM53" s="13"/>
      <c r="AN53" s="13"/>
      <c r="AO53" s="13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3"/>
      <c r="BH53" s="127"/>
      <c r="BI53" s="125"/>
      <c r="BJ53" s="126"/>
      <c r="BK53" s="30"/>
      <c r="BL53" s="127"/>
      <c r="BM53" s="128"/>
      <c r="BN53" s="123"/>
      <c r="BO53" s="128"/>
      <c r="BP53" s="13"/>
      <c r="BQ53" s="129"/>
      <c r="BR53" s="123"/>
      <c r="BS53" s="130"/>
      <c r="BT53" s="13"/>
      <c r="BU53" s="123"/>
      <c r="BV53" s="131"/>
      <c r="DD53" s="120"/>
      <c r="DI53" s="121"/>
      <c r="DJ53" s="13"/>
      <c r="DK53" s="13"/>
      <c r="DL53" s="13"/>
      <c r="DM53" s="13"/>
      <c r="DN53" s="13"/>
      <c r="DO53" s="13"/>
      <c r="DW53" s="121"/>
      <c r="DX53" s="121"/>
      <c r="DY53" s="121"/>
      <c r="DZ53" s="121"/>
      <c r="EA53" s="121"/>
      <c r="EB53" s="121"/>
      <c r="EC53" s="121"/>
      <c r="ED53" s="121"/>
      <c r="EE53" s="121"/>
      <c r="EF53" s="121"/>
      <c r="EG53" s="123"/>
      <c r="EH53" s="127"/>
      <c r="EI53" s="125"/>
      <c r="EJ53" s="126"/>
      <c r="EK53" s="30"/>
      <c r="EL53" s="127"/>
      <c r="EM53" s="128"/>
      <c r="EN53" s="123"/>
      <c r="EO53" s="128"/>
      <c r="EP53" s="13"/>
      <c r="EQ53" s="129"/>
      <c r="ER53" s="123"/>
      <c r="ES53" s="130"/>
      <c r="ET53" s="13"/>
      <c r="EU53" s="123"/>
      <c r="EV53" s="131"/>
    </row>
    <row r="54" spans="2:152" ht="12.75" customHeight="1">
      <c r="B54" s="12">
        <v>1500</v>
      </c>
      <c r="C54" s="13">
        <v>6</v>
      </c>
      <c r="D54" s="13">
        <v>2</v>
      </c>
      <c r="E54" s="13">
        <v>6</v>
      </c>
      <c r="F54" s="12">
        <v>24</v>
      </c>
      <c r="G54" s="12">
        <v>25</v>
      </c>
      <c r="I54" s="40" cm="1">
        <f t="array" ref="I54">_xll.DCEBoltDisKa(S46, S47, S48, S41, L52, M52, "h6")</f>
        <v>360</v>
      </c>
      <c r="J54" s="45" cm="1">
        <f t="array" ref="J54">_xll.DCEBoltDisKa(S46, S47, S48, S41, L52, M52, "h5")</f>
        <v>240</v>
      </c>
      <c r="K54" s="38" cm="1">
        <f t="array" ref="K54">_xll.DCEBoltDisKa(S46, S47, S48, S41, L52, M52, "h4")</f>
        <v>0</v>
      </c>
      <c r="L54" s="38" cm="1">
        <f t="array" ref="L54">_xll.DCEBoltDisKa(S46, S47, S48, S41, L52, M52, "h3")</f>
        <v>180</v>
      </c>
      <c r="M54" s="45" cm="1">
        <f t="array" ref="M54">_xll.DCEBoltDisKa(S46, S47, S48, S41, L52, M52, "h2")</f>
        <v>0</v>
      </c>
      <c r="N54" s="53" cm="1">
        <f t="array" ref="N54">_xll.DCEBoltDisKa(S46, S47, S48, S41, L52, M52, "h1")</f>
        <v>120</v>
      </c>
      <c r="O54" s="46"/>
      <c r="P54" s="46"/>
      <c r="Q54" s="46"/>
      <c r="R54" s="51" t="s">
        <v>114</v>
      </c>
      <c r="S54" s="68">
        <f>SUMSQ(I54,J54,K54,L54,M54,N54)</f>
        <v>234000</v>
      </c>
      <c r="T54" s="10" t="s">
        <v>6</v>
      </c>
      <c r="AD54" s="120"/>
      <c r="AI54" s="121"/>
      <c r="AJ54" s="13"/>
      <c r="AK54" s="13"/>
      <c r="AL54" s="13"/>
      <c r="AM54" s="13"/>
      <c r="AN54" s="13"/>
      <c r="AO54" s="13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3"/>
      <c r="BH54" s="127"/>
      <c r="BI54" s="125"/>
      <c r="BJ54" s="126"/>
      <c r="BK54" s="30"/>
      <c r="BL54" s="127"/>
      <c r="BM54" s="128"/>
      <c r="BN54" s="123"/>
      <c r="BO54" s="128"/>
      <c r="BP54" s="13"/>
      <c r="BQ54" s="129"/>
      <c r="BR54" s="123"/>
      <c r="BS54" s="130"/>
      <c r="BT54" s="13"/>
      <c r="BU54" s="123"/>
      <c r="BV54" s="131"/>
      <c r="DD54" s="120"/>
      <c r="DI54" s="121"/>
      <c r="DJ54" s="13"/>
      <c r="DK54" s="13"/>
      <c r="DL54" s="13"/>
      <c r="DM54" s="13"/>
      <c r="DN54" s="13"/>
      <c r="DO54" s="13"/>
      <c r="DW54" s="121"/>
      <c r="DX54" s="121"/>
      <c r="DY54" s="121"/>
      <c r="DZ54" s="121"/>
      <c r="EA54" s="121"/>
      <c r="EB54" s="121"/>
      <c r="EC54" s="121"/>
      <c r="ED54" s="121"/>
      <c r="EE54" s="121"/>
      <c r="EF54" s="121"/>
      <c r="EG54" s="123"/>
      <c r="EH54" s="127"/>
      <c r="EI54" s="125"/>
      <c r="EJ54" s="126"/>
      <c r="EK54" s="30"/>
      <c r="EL54" s="127"/>
      <c r="EM54" s="128"/>
      <c r="EN54" s="123"/>
      <c r="EO54" s="128"/>
      <c r="EP54" s="13"/>
      <c r="EQ54" s="129"/>
      <c r="ER54" s="123"/>
      <c r="ES54" s="130"/>
      <c r="ET54" s="13"/>
      <c r="EU54" s="123"/>
      <c r="EV54" s="131"/>
    </row>
    <row r="55" spans="2:152" ht="12.75" customHeight="1">
      <c r="I55" s="8"/>
      <c r="J55" s="61"/>
      <c r="K55" s="61"/>
      <c r="L55" s="62"/>
      <c r="M55" s="64"/>
      <c r="N55" s="61"/>
      <c r="O55" s="46"/>
      <c r="P55" s="46"/>
      <c r="Q55" s="65"/>
      <c r="R55" s="49" t="s">
        <v>91</v>
      </c>
      <c r="S55" s="47">
        <v>8</v>
      </c>
      <c r="T55" s="10" t="s">
        <v>4</v>
      </c>
      <c r="AD55" s="120"/>
      <c r="AI55" s="121"/>
      <c r="AJ55" s="13"/>
      <c r="AK55" s="13"/>
      <c r="AL55" s="13"/>
      <c r="AM55" s="13"/>
      <c r="AN55" s="13"/>
      <c r="AO55" s="13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3"/>
      <c r="BH55" s="127"/>
      <c r="BI55" s="125"/>
      <c r="BJ55" s="126"/>
      <c r="BK55" s="30"/>
      <c r="BL55" s="127"/>
      <c r="BM55" s="128"/>
      <c r="BN55" s="123"/>
      <c r="BO55" s="128"/>
      <c r="BP55" s="13"/>
      <c r="BQ55" s="129"/>
      <c r="BR55" s="123"/>
      <c r="BS55" s="130"/>
      <c r="BT55" s="13"/>
      <c r="BU55" s="123"/>
      <c r="BV55" s="131"/>
      <c r="DD55" s="120"/>
      <c r="DI55" s="121"/>
      <c r="DJ55" s="13"/>
      <c r="DK55" s="13"/>
      <c r="DL55" s="13"/>
      <c r="DM55" s="13"/>
      <c r="DN55" s="13"/>
      <c r="DO55" s="13"/>
      <c r="DW55" s="121"/>
      <c r="DX55" s="121"/>
      <c r="DY55" s="121"/>
      <c r="DZ55" s="121"/>
      <c r="EA55" s="121"/>
      <c r="EB55" s="121"/>
      <c r="EC55" s="121"/>
      <c r="ED55" s="121"/>
      <c r="EE55" s="121"/>
      <c r="EF55" s="121"/>
      <c r="EG55" s="123"/>
      <c r="EH55" s="127"/>
      <c r="EI55" s="125"/>
      <c r="EJ55" s="126"/>
      <c r="EK55" s="30"/>
      <c r="EL55" s="127"/>
      <c r="EM55" s="128"/>
      <c r="EN55" s="123"/>
      <c r="EO55" s="128"/>
      <c r="EP55" s="13"/>
      <c r="EQ55" s="129"/>
      <c r="ER55" s="123"/>
      <c r="ES55" s="130"/>
      <c r="ET55" s="13"/>
      <c r="EU55" s="123"/>
      <c r="EV55" s="131"/>
    </row>
    <row r="56" spans="2:152" ht="12.75" customHeight="1">
      <c r="I56" s="8"/>
      <c r="J56" s="61"/>
      <c r="K56" s="61"/>
      <c r="L56" s="62"/>
      <c r="M56" s="64"/>
      <c r="N56" s="61"/>
      <c r="O56" s="46"/>
      <c r="P56" s="46"/>
      <c r="Q56" s="65"/>
      <c r="R56" s="49" t="s">
        <v>92</v>
      </c>
      <c r="S56" s="47">
        <v>6</v>
      </c>
      <c r="T56" s="10" t="s">
        <v>4</v>
      </c>
      <c r="AD56" s="120"/>
      <c r="AI56" s="121"/>
      <c r="AJ56" s="13"/>
      <c r="AK56" s="13"/>
      <c r="AL56" s="13"/>
      <c r="AM56" s="13"/>
      <c r="AN56" s="13"/>
      <c r="AO56" s="13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3"/>
      <c r="BH56" s="127"/>
      <c r="BI56" s="125"/>
      <c r="BJ56" s="126"/>
      <c r="BK56" s="30"/>
      <c r="BL56" s="127"/>
      <c r="BM56" s="128"/>
      <c r="BN56" s="123"/>
      <c r="BO56" s="128"/>
      <c r="BP56" s="13"/>
      <c r="BQ56" s="129"/>
      <c r="BR56" s="123"/>
      <c r="BS56" s="130"/>
      <c r="BT56" s="13"/>
      <c r="BU56" s="123"/>
      <c r="BV56" s="131"/>
      <c r="DD56" s="120"/>
      <c r="DI56" s="121"/>
      <c r="DJ56" s="13"/>
      <c r="DK56" s="13"/>
      <c r="DL56" s="13"/>
      <c r="DM56" s="13"/>
      <c r="DN56" s="13"/>
      <c r="DO56" s="13"/>
      <c r="DW56" s="121"/>
      <c r="DX56" s="121"/>
      <c r="DY56" s="121"/>
      <c r="DZ56" s="121"/>
      <c r="EA56" s="121"/>
      <c r="EB56" s="121"/>
      <c r="EC56" s="121"/>
      <c r="ED56" s="121"/>
      <c r="EE56" s="121"/>
      <c r="EF56" s="121"/>
      <c r="EG56" s="123"/>
      <c r="EH56" s="127"/>
      <c r="EI56" s="125"/>
      <c r="EJ56" s="126"/>
      <c r="EK56" s="30"/>
      <c r="EL56" s="127"/>
      <c r="EM56" s="128"/>
      <c r="EN56" s="123"/>
      <c r="EO56" s="128"/>
      <c r="EP56" s="13"/>
      <c r="EQ56" s="129"/>
      <c r="ER56" s="123"/>
      <c r="ES56" s="130"/>
      <c r="ET56" s="13"/>
      <c r="EU56" s="123"/>
      <c r="EV56" s="131"/>
    </row>
    <row r="57" spans="2:152" ht="12.75" customHeight="1">
      <c r="I57" s="7" t="s">
        <v>78</v>
      </c>
      <c r="J57" s="61"/>
      <c r="K57" s="61"/>
      <c r="L57" s="61"/>
      <c r="M57" s="61"/>
      <c r="N57" s="61"/>
      <c r="O57" s="62"/>
      <c r="P57" s="63"/>
      <c r="Q57" s="61"/>
      <c r="R57" s="46"/>
      <c r="S57" s="46"/>
      <c r="T57" s="6"/>
      <c r="U57" s="11"/>
      <c r="AD57" s="120"/>
      <c r="AI57" s="121"/>
      <c r="AJ57" s="13"/>
      <c r="AK57" s="13"/>
      <c r="AL57" s="13"/>
      <c r="AM57" s="13"/>
      <c r="AN57" s="13"/>
      <c r="AO57" s="13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3"/>
      <c r="BH57" s="127"/>
      <c r="BI57" s="125"/>
      <c r="BJ57" s="126"/>
      <c r="BK57" s="30"/>
      <c r="BL57" s="127"/>
      <c r="BM57" s="128"/>
      <c r="BN57" s="123"/>
      <c r="BO57" s="128"/>
      <c r="BP57" s="13"/>
      <c r="BQ57" s="129"/>
      <c r="BR57" s="123"/>
      <c r="BS57" s="130"/>
      <c r="BT57" s="13"/>
      <c r="BU57" s="123"/>
      <c r="BV57" s="131"/>
      <c r="DD57" s="120"/>
      <c r="DI57" s="121"/>
      <c r="DJ57" s="13"/>
      <c r="DK57" s="13"/>
      <c r="DL57" s="13"/>
      <c r="DM57" s="13"/>
      <c r="DN57" s="13"/>
      <c r="DO57" s="13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3"/>
      <c r="EH57" s="127"/>
      <c r="EI57" s="125"/>
      <c r="EJ57" s="126"/>
      <c r="EK57" s="30"/>
      <c r="EL57" s="127"/>
      <c r="EM57" s="128"/>
      <c r="EN57" s="123"/>
      <c r="EO57" s="128"/>
      <c r="EP57" s="13"/>
      <c r="EQ57" s="129"/>
      <c r="ER57" s="123"/>
      <c r="ES57" s="130"/>
      <c r="ET57" s="13"/>
      <c r="EU57" s="123"/>
      <c r="EV57" s="131"/>
    </row>
    <row r="58" spans="2:152" ht="12.75" customHeight="1">
      <c r="I58" s="70"/>
      <c r="J58" s="46"/>
      <c r="K58" s="46"/>
      <c r="L58" s="159" t="s">
        <v>166</v>
      </c>
      <c r="M58" s="58" t="s">
        <v>167</v>
      </c>
      <c r="N58" s="160" t="s">
        <v>168</v>
      </c>
      <c r="O58" s="160"/>
      <c r="P58" s="12" t="s">
        <v>169</v>
      </c>
      <c r="Q58" s="12" t="s">
        <v>170</v>
      </c>
      <c r="R58" s="12" t="s">
        <v>171</v>
      </c>
      <c r="S58" s="46"/>
      <c r="T58" s="9"/>
      <c r="U58" s="11"/>
      <c r="AD58" s="120"/>
      <c r="AI58" s="121"/>
      <c r="AJ58" s="13"/>
      <c r="AK58" s="13"/>
      <c r="AL58" s="13"/>
      <c r="AM58" s="13"/>
      <c r="AN58" s="13"/>
      <c r="AO58" s="13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3"/>
      <c r="BH58" s="127"/>
      <c r="BI58" s="125"/>
      <c r="BJ58" s="126"/>
      <c r="BK58" s="30"/>
      <c r="BL58" s="127"/>
      <c r="BM58" s="128"/>
      <c r="BN58" s="123"/>
      <c r="BO58" s="128"/>
      <c r="BP58" s="13"/>
      <c r="BQ58" s="129"/>
      <c r="BR58" s="123"/>
      <c r="BS58" s="130"/>
      <c r="BT58" s="13"/>
      <c r="BU58" s="123"/>
      <c r="BV58" s="131"/>
      <c r="DD58" s="120"/>
      <c r="DI58" s="121"/>
      <c r="DJ58" s="13"/>
      <c r="DK58" s="13"/>
      <c r="DL58" s="13"/>
      <c r="DM58" s="13"/>
      <c r="DN58" s="13"/>
      <c r="DO58" s="13"/>
      <c r="DW58" s="121"/>
      <c r="DX58" s="121"/>
      <c r="DY58" s="121"/>
      <c r="DZ58" s="121"/>
      <c r="EA58" s="121"/>
      <c r="EB58" s="121"/>
      <c r="EC58" s="121"/>
      <c r="ED58" s="121"/>
      <c r="EE58" s="121"/>
      <c r="EF58" s="121"/>
      <c r="EG58" s="123"/>
      <c r="EH58" s="127"/>
      <c r="EI58" s="125"/>
      <c r="EJ58" s="126"/>
      <c r="EK58" s="30"/>
      <c r="EL58" s="127"/>
      <c r="EM58" s="128"/>
      <c r="EN58" s="123"/>
      <c r="EO58" s="128"/>
      <c r="EP58" s="13"/>
      <c r="EQ58" s="129"/>
      <c r="ER58" s="123"/>
      <c r="ES58" s="130"/>
      <c r="ET58" s="13"/>
      <c r="EU58" s="123"/>
      <c r="EV58" s="131"/>
    </row>
    <row r="59" spans="2:152" ht="12.75" customHeight="1">
      <c r="I59" s="70"/>
      <c r="J59" s="46"/>
      <c r="K59" s="46"/>
      <c r="L59" s="159"/>
      <c r="M59" s="13" t="s">
        <v>172</v>
      </c>
      <c r="N59" s="160"/>
      <c r="O59" s="160"/>
      <c r="P59" s="12" t="s">
        <v>173</v>
      </c>
      <c r="Q59" s="12" t="s">
        <v>173</v>
      </c>
      <c r="R59" s="12" t="s">
        <v>174</v>
      </c>
      <c r="S59" s="46"/>
      <c r="T59" s="9"/>
      <c r="U59" s="11"/>
      <c r="AD59" s="120"/>
      <c r="AI59" s="121"/>
      <c r="AJ59" s="13"/>
      <c r="AK59" s="13"/>
      <c r="AL59" s="13"/>
      <c r="AM59" s="13"/>
      <c r="AN59" s="13"/>
      <c r="AO59" s="13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3"/>
      <c r="BH59" s="127"/>
      <c r="BI59" s="125"/>
      <c r="BJ59" s="126"/>
      <c r="BK59" s="30"/>
      <c r="BL59" s="127"/>
      <c r="BM59" s="128"/>
      <c r="BN59" s="123"/>
      <c r="BO59" s="128"/>
      <c r="BP59" s="13"/>
      <c r="BQ59" s="129"/>
      <c r="BR59" s="123"/>
      <c r="BS59" s="130"/>
      <c r="BT59" s="13"/>
      <c r="BU59" s="123"/>
      <c r="BV59" s="131"/>
      <c r="DD59" s="120"/>
      <c r="DI59" s="121"/>
      <c r="DJ59" s="13"/>
      <c r="DK59" s="13"/>
      <c r="DL59" s="13"/>
      <c r="DM59" s="13"/>
      <c r="DN59" s="13"/>
      <c r="DO59" s="13"/>
      <c r="DW59" s="121"/>
      <c r="DX59" s="121"/>
      <c r="DY59" s="121"/>
      <c r="DZ59" s="121"/>
      <c r="EA59" s="121"/>
      <c r="EB59" s="121"/>
      <c r="EC59" s="121"/>
      <c r="ED59" s="121"/>
      <c r="EE59" s="121"/>
      <c r="EF59" s="121"/>
      <c r="EG59" s="123"/>
      <c r="EH59" s="127"/>
      <c r="EI59" s="125"/>
      <c r="EJ59" s="126"/>
      <c r="EK59" s="30"/>
      <c r="EL59" s="127"/>
      <c r="EM59" s="128"/>
      <c r="EN59" s="123"/>
      <c r="EO59" s="128"/>
      <c r="EP59" s="13"/>
      <c r="EQ59" s="129"/>
      <c r="ER59" s="123"/>
      <c r="ES59" s="130"/>
      <c r="ET59" s="13"/>
      <c r="EU59" s="123"/>
      <c r="EV59" s="131"/>
    </row>
    <row r="60" spans="2:152" ht="15" customHeight="1">
      <c r="I60" s="70"/>
      <c r="J60" s="46"/>
      <c r="K60" s="46"/>
      <c r="L60" s="59">
        <v>409</v>
      </c>
      <c r="M60" s="60">
        <v>0</v>
      </c>
      <c r="N60" s="161" t="s">
        <v>175</v>
      </c>
      <c r="O60" s="161"/>
      <c r="P60" s="59">
        <v>-50</v>
      </c>
      <c r="Q60" s="59">
        <v>120</v>
      </c>
      <c r="R60" s="59">
        <v>100</v>
      </c>
      <c r="S60" s="46"/>
      <c r="T60" s="9"/>
      <c r="U60" s="11"/>
      <c r="AD60" s="120"/>
      <c r="AI60" s="121"/>
      <c r="AJ60" s="13"/>
      <c r="AK60" s="13"/>
      <c r="AL60" s="13"/>
      <c r="AM60" s="13"/>
      <c r="AN60" s="13"/>
      <c r="AO60" s="13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3"/>
      <c r="BH60" s="127"/>
      <c r="BI60" s="125"/>
      <c r="BJ60" s="126"/>
      <c r="BK60" s="30"/>
      <c r="BL60" s="127"/>
      <c r="BM60" s="128"/>
      <c r="BN60" s="123"/>
      <c r="BO60" s="128"/>
      <c r="BP60" s="13"/>
      <c r="BQ60" s="129"/>
      <c r="BR60" s="123"/>
      <c r="BS60" s="130"/>
      <c r="BT60" s="13"/>
      <c r="BU60" s="123"/>
      <c r="BV60" s="131"/>
      <c r="DD60" s="120"/>
      <c r="DI60" s="121"/>
      <c r="DJ60" s="13"/>
      <c r="DK60" s="13"/>
      <c r="DL60" s="13"/>
      <c r="DM60" s="13"/>
      <c r="DN60" s="13"/>
      <c r="DO60" s="13"/>
      <c r="DW60" s="121"/>
      <c r="DX60" s="121"/>
      <c r="DY60" s="121"/>
      <c r="DZ60" s="121"/>
      <c r="EA60" s="121"/>
      <c r="EB60" s="121"/>
      <c r="EC60" s="121"/>
      <c r="ED60" s="121"/>
      <c r="EE60" s="121"/>
      <c r="EF60" s="121"/>
      <c r="EG60" s="123"/>
      <c r="EH60" s="127"/>
      <c r="EI60" s="125"/>
      <c r="EJ60" s="126"/>
      <c r="EK60" s="30"/>
      <c r="EL60" s="127"/>
      <c r="EM60" s="128"/>
      <c r="EN60" s="123"/>
      <c r="EO60" s="128"/>
      <c r="EP60" s="13"/>
      <c r="EQ60" s="129"/>
      <c r="ER60" s="123"/>
      <c r="ES60" s="130"/>
      <c r="ET60" s="13"/>
      <c r="EU60" s="123"/>
      <c r="EV60" s="131"/>
    </row>
    <row r="61" spans="2:152">
      <c r="I61" s="145" t="s">
        <v>19</v>
      </c>
      <c r="J61" s="146"/>
      <c r="K61" s="146"/>
      <c r="L61" s="49"/>
      <c r="M61" s="71"/>
      <c r="N61" s="72"/>
      <c r="O61" s="46"/>
      <c r="P61" s="46"/>
      <c r="Q61" s="46"/>
      <c r="R61" s="46"/>
      <c r="S61" s="46"/>
      <c r="T61" s="9"/>
      <c r="U61" s="11"/>
      <c r="AD61" s="120"/>
      <c r="AI61" s="121"/>
      <c r="AJ61" s="13"/>
      <c r="AK61" s="13"/>
      <c r="AL61" s="13"/>
      <c r="AM61" s="13"/>
      <c r="AN61" s="13"/>
      <c r="AO61" s="13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3"/>
      <c r="BH61" s="127"/>
      <c r="BI61" s="125"/>
      <c r="BJ61" s="126"/>
      <c r="BK61" s="30"/>
      <c r="BL61" s="127"/>
      <c r="BM61" s="128"/>
      <c r="BN61" s="123"/>
      <c r="BO61" s="128"/>
      <c r="BP61" s="13"/>
      <c r="BQ61" s="129"/>
      <c r="BR61" s="123"/>
      <c r="BS61" s="130"/>
      <c r="BT61" s="13"/>
      <c r="BU61" s="123"/>
      <c r="BV61" s="131"/>
      <c r="DD61" s="120"/>
      <c r="DI61" s="121"/>
      <c r="DJ61" s="13"/>
      <c r="DK61" s="13"/>
      <c r="DL61" s="13"/>
      <c r="DM61" s="13"/>
      <c r="DN61" s="13"/>
      <c r="DO61" s="13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3"/>
      <c r="EH61" s="127"/>
      <c r="EI61" s="125"/>
      <c r="EJ61" s="126"/>
      <c r="EK61" s="30"/>
      <c r="EL61" s="127"/>
      <c r="EM61" s="128"/>
      <c r="EN61" s="123"/>
      <c r="EO61" s="128"/>
      <c r="EP61" s="13"/>
      <c r="EQ61" s="129"/>
      <c r="ER61" s="123"/>
      <c r="ES61" s="130"/>
      <c r="ET61" s="13"/>
      <c r="EU61" s="123"/>
      <c r="EV61" s="131"/>
    </row>
    <row r="62" spans="2:152" ht="12.75" customHeight="1">
      <c r="I62" s="7" t="s">
        <v>79</v>
      </c>
      <c r="J62" s="61"/>
      <c r="K62" s="61"/>
      <c r="L62" s="61"/>
      <c r="M62" s="61"/>
      <c r="N62" s="61"/>
      <c r="O62" s="62"/>
      <c r="P62" s="63"/>
      <c r="Q62" s="61"/>
      <c r="R62" s="46"/>
      <c r="S62" s="46"/>
      <c r="T62" s="6"/>
      <c r="U62" s="11"/>
      <c r="AD62" s="120"/>
      <c r="AI62" s="121"/>
      <c r="AJ62" s="13"/>
      <c r="AK62" s="13"/>
      <c r="AL62" s="13"/>
      <c r="AM62" s="13"/>
      <c r="AN62" s="13"/>
      <c r="AO62" s="13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3"/>
      <c r="BH62" s="127"/>
      <c r="BI62" s="125"/>
      <c r="BJ62" s="126"/>
      <c r="BK62" s="30"/>
      <c r="BL62" s="127"/>
      <c r="BM62" s="128"/>
      <c r="BN62" s="123"/>
      <c r="BO62" s="128"/>
      <c r="BP62" s="13"/>
      <c r="BQ62" s="129"/>
      <c r="BR62" s="123"/>
      <c r="BS62" s="130"/>
      <c r="BT62" s="13"/>
      <c r="BU62" s="123"/>
      <c r="BV62" s="131"/>
      <c r="DD62" s="120"/>
      <c r="DI62" s="121"/>
      <c r="DJ62" s="13"/>
      <c r="DK62" s="13"/>
      <c r="DL62" s="13"/>
      <c r="DM62" s="13"/>
      <c r="DN62" s="13"/>
      <c r="DO62" s="13"/>
      <c r="DW62" s="121"/>
      <c r="DX62" s="121"/>
      <c r="DY62" s="121"/>
      <c r="DZ62" s="121"/>
      <c r="EA62" s="121"/>
      <c r="EB62" s="121"/>
      <c r="EC62" s="121"/>
      <c r="ED62" s="121"/>
      <c r="EE62" s="121"/>
      <c r="EF62" s="121"/>
      <c r="EG62" s="123"/>
      <c r="EH62" s="127"/>
      <c r="EI62" s="125"/>
      <c r="EJ62" s="126"/>
      <c r="EK62" s="30"/>
      <c r="EL62" s="127"/>
      <c r="EM62" s="128"/>
      <c r="EN62" s="123"/>
      <c r="EO62" s="128"/>
      <c r="EP62" s="13"/>
      <c r="EQ62" s="129"/>
      <c r="ER62" s="123"/>
      <c r="ES62" s="130"/>
      <c r="ET62" s="13"/>
      <c r="EU62" s="123"/>
      <c r="EV62" s="131"/>
    </row>
    <row r="63" spans="2:152" ht="15">
      <c r="I63" s="8" t="str">
        <f>"- Khả năng chịu cắt của 1 bu lông:"</f>
        <v>- Khả năng chịu cắt của 1 bu lông:</v>
      </c>
      <c r="J63" s="73"/>
      <c r="K63" s="73"/>
      <c r="L63" s="49"/>
      <c r="M63" s="71"/>
      <c r="N63" s="72"/>
      <c r="O63" s="46"/>
      <c r="P63" s="46"/>
      <c r="Q63" s="46"/>
      <c r="R63" s="49" t="s">
        <v>80</v>
      </c>
      <c r="S63" s="74">
        <f>S17*S21*S23*S24/1000</f>
        <v>84.483709640336713</v>
      </c>
      <c r="T63" s="10" t="s">
        <v>20</v>
      </c>
      <c r="U63" s="11"/>
      <c r="AD63" s="120"/>
      <c r="AI63" s="121"/>
      <c r="AJ63" s="13"/>
      <c r="AK63" s="13"/>
      <c r="AL63" s="13"/>
      <c r="AM63" s="13"/>
      <c r="AN63" s="13"/>
      <c r="AO63" s="13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3"/>
      <c r="BH63" s="127"/>
      <c r="BI63" s="125"/>
      <c r="BJ63" s="126"/>
      <c r="BK63" s="30"/>
      <c r="BL63" s="127"/>
      <c r="BM63" s="128"/>
      <c r="BN63" s="123"/>
      <c r="BO63" s="128"/>
      <c r="BP63" s="13"/>
      <c r="BQ63" s="129"/>
      <c r="BR63" s="123"/>
      <c r="BS63" s="130"/>
      <c r="BT63" s="13"/>
      <c r="BU63" s="123"/>
      <c r="BV63" s="131"/>
      <c r="DD63" s="120"/>
      <c r="DI63" s="121"/>
      <c r="DJ63" s="13"/>
      <c r="DK63" s="13"/>
      <c r="DL63" s="13"/>
      <c r="DM63" s="13"/>
      <c r="DN63" s="13"/>
      <c r="DO63" s="13"/>
      <c r="DW63" s="121"/>
      <c r="DX63" s="121"/>
      <c r="DY63" s="121"/>
      <c r="DZ63" s="121"/>
      <c r="EA63" s="121"/>
      <c r="EB63" s="121"/>
      <c r="EC63" s="121"/>
      <c r="ED63" s="121"/>
      <c r="EE63" s="121"/>
      <c r="EF63" s="121"/>
      <c r="EG63" s="123"/>
      <c r="EH63" s="127"/>
      <c r="EI63" s="125"/>
      <c r="EJ63" s="126"/>
      <c r="EK63" s="30"/>
      <c r="EL63" s="127"/>
      <c r="EM63" s="128"/>
      <c r="EN63" s="123"/>
      <c r="EO63" s="128"/>
      <c r="EP63" s="13"/>
      <c r="EQ63" s="129"/>
      <c r="ER63" s="123"/>
      <c r="ES63" s="130"/>
      <c r="ET63" s="13"/>
      <c r="EU63" s="123"/>
      <c r="EV63" s="131"/>
    </row>
    <row r="64" spans="2:152" ht="15">
      <c r="I64" s="8" t="str">
        <f>"- Khả năng chịu ép mặt của 1 bu lông:"</f>
        <v>- Khả năng chịu ép mặt của 1 bu lông:</v>
      </c>
      <c r="J64" s="73"/>
      <c r="K64" s="73"/>
      <c r="L64" s="49"/>
      <c r="M64" s="71"/>
      <c r="N64" s="51"/>
      <c r="O64" s="47"/>
      <c r="P64" s="47"/>
      <c r="Q64" s="46"/>
      <c r="R64" s="49" t="s">
        <v>82</v>
      </c>
      <c r="S64" s="74">
        <f>S19*S20*S50*S23*S24/1000</f>
        <v>207.76499999999999</v>
      </c>
      <c r="T64" s="10" t="s">
        <v>20</v>
      </c>
      <c r="U64" s="11"/>
      <c r="AD64" s="120"/>
      <c r="AI64" s="121"/>
      <c r="AJ64" s="13"/>
      <c r="AK64" s="13"/>
      <c r="AL64" s="13"/>
      <c r="AM64" s="13"/>
      <c r="AN64" s="13"/>
      <c r="AO64" s="13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3"/>
      <c r="BH64" s="127"/>
      <c r="BI64" s="125"/>
      <c r="BJ64" s="126"/>
      <c r="BK64" s="30"/>
      <c r="BL64" s="127"/>
      <c r="BM64" s="128"/>
      <c r="BN64" s="123"/>
      <c r="BO64" s="128"/>
      <c r="BP64" s="13"/>
      <c r="BQ64" s="129"/>
      <c r="BR64" s="123"/>
      <c r="BS64" s="130"/>
      <c r="BT64" s="13"/>
      <c r="BU64" s="123"/>
      <c r="BV64" s="131"/>
      <c r="DD64" s="120"/>
      <c r="DI64" s="121"/>
      <c r="DJ64" s="13"/>
      <c r="DK64" s="13"/>
      <c r="DL64" s="13"/>
      <c r="DM64" s="13"/>
      <c r="DN64" s="13"/>
      <c r="DO64" s="13"/>
      <c r="DW64" s="121"/>
      <c r="DX64" s="121"/>
      <c r="DY64" s="121"/>
      <c r="DZ64" s="121"/>
      <c r="EA64" s="121"/>
      <c r="EB64" s="121"/>
      <c r="EC64" s="121"/>
      <c r="ED64" s="121"/>
      <c r="EE64" s="121"/>
      <c r="EF64" s="121"/>
      <c r="EG64" s="123"/>
      <c r="EH64" s="127"/>
      <c r="EI64" s="125"/>
      <c r="EJ64" s="126"/>
      <c r="EK64" s="30"/>
      <c r="EL64" s="127"/>
      <c r="EM64" s="128"/>
      <c r="EN64" s="123"/>
      <c r="EO64" s="128"/>
      <c r="EP64" s="13"/>
      <c r="EQ64" s="129"/>
      <c r="ER64" s="123"/>
      <c r="ES64" s="130"/>
      <c r="ET64" s="13"/>
      <c r="EU64" s="123"/>
      <c r="EV64" s="131"/>
    </row>
    <row r="65" spans="9:152" ht="15">
      <c r="I65" s="8" t="str">
        <f>"- Khả năng chịu kéo của 1 bu lông:"</f>
        <v>- Khả năng chịu kéo của 1 bu lông:</v>
      </c>
      <c r="J65" s="73"/>
      <c r="K65" s="73"/>
      <c r="L65" s="49"/>
      <c r="M65" s="71"/>
      <c r="N65" s="51"/>
      <c r="O65" s="47"/>
      <c r="P65" s="47"/>
      <c r="Q65" s="46"/>
      <c r="R65" s="49" t="s">
        <v>101</v>
      </c>
      <c r="S65" s="74">
        <f>S18*S22*S23/1000</f>
        <v>98.784000000000006</v>
      </c>
      <c r="T65" s="10" t="s">
        <v>20</v>
      </c>
      <c r="U65" s="11"/>
      <c r="AD65" s="120"/>
      <c r="AI65" s="121"/>
      <c r="AJ65" s="13"/>
      <c r="AK65" s="13"/>
      <c r="AL65" s="13"/>
      <c r="AM65" s="13"/>
      <c r="AN65" s="13"/>
      <c r="AO65" s="13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3"/>
      <c r="BH65" s="127"/>
      <c r="BI65" s="125"/>
      <c r="BJ65" s="126"/>
      <c r="BK65" s="30"/>
      <c r="BL65" s="127"/>
      <c r="BM65" s="128"/>
      <c r="BN65" s="123"/>
      <c r="BO65" s="128"/>
      <c r="BP65" s="13"/>
      <c r="BQ65" s="129"/>
      <c r="BR65" s="123"/>
      <c r="BS65" s="130"/>
      <c r="BT65" s="13"/>
      <c r="BU65" s="123"/>
      <c r="BV65" s="131"/>
      <c r="DD65" s="120"/>
      <c r="DI65" s="121"/>
      <c r="DJ65" s="13"/>
      <c r="DK65" s="13"/>
      <c r="DL65" s="13"/>
      <c r="DM65" s="13"/>
      <c r="DN65" s="13"/>
      <c r="DO65" s="13"/>
      <c r="DW65" s="121"/>
      <c r="DX65" s="121"/>
      <c r="DY65" s="121"/>
      <c r="DZ65" s="121"/>
      <c r="EA65" s="121"/>
      <c r="EB65" s="121"/>
      <c r="EC65" s="121"/>
      <c r="ED65" s="121"/>
      <c r="EE65" s="121"/>
      <c r="EF65" s="121"/>
      <c r="EG65" s="123"/>
      <c r="EH65" s="127"/>
      <c r="EI65" s="125"/>
      <c r="EJ65" s="126"/>
      <c r="EK65" s="30"/>
      <c r="EL65" s="127"/>
      <c r="EM65" s="128"/>
      <c r="EN65" s="123"/>
      <c r="EO65" s="128"/>
      <c r="EP65" s="13"/>
      <c r="EQ65" s="129"/>
      <c r="ER65" s="123"/>
      <c r="ES65" s="130"/>
      <c r="ET65" s="13"/>
      <c r="EU65" s="123"/>
      <c r="EV65" s="131"/>
    </row>
    <row r="66" spans="9:152">
      <c r="I66" s="7" t="s">
        <v>102</v>
      </c>
      <c r="J66" s="73"/>
      <c r="K66" s="73"/>
      <c r="L66" s="49"/>
      <c r="M66" s="71"/>
      <c r="N66" s="72"/>
      <c r="O66" s="46"/>
      <c r="P66" s="46"/>
      <c r="Q66" s="46"/>
      <c r="R66" s="49"/>
      <c r="S66" s="68"/>
      <c r="T66" s="10"/>
      <c r="U66" s="11"/>
      <c r="AD66" s="120"/>
      <c r="AI66" s="121"/>
      <c r="AJ66" s="13"/>
      <c r="AK66" s="13"/>
      <c r="AL66" s="13"/>
      <c r="AM66" s="13"/>
      <c r="AN66" s="13"/>
      <c r="AO66" s="13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3"/>
      <c r="BH66" s="127"/>
      <c r="BI66" s="125"/>
      <c r="BJ66" s="126"/>
      <c r="BK66" s="30"/>
      <c r="BL66" s="127"/>
      <c r="BM66" s="128"/>
      <c r="BN66" s="123"/>
      <c r="BO66" s="128"/>
      <c r="BP66" s="13"/>
      <c r="BQ66" s="129"/>
      <c r="BR66" s="123"/>
      <c r="BS66" s="130"/>
      <c r="BT66" s="13"/>
      <c r="BU66" s="123"/>
      <c r="BV66" s="131"/>
      <c r="DD66" s="120"/>
      <c r="DI66" s="121"/>
      <c r="DJ66" s="13"/>
      <c r="DK66" s="13"/>
      <c r="DL66" s="13"/>
      <c r="DM66" s="13"/>
      <c r="DN66" s="13"/>
      <c r="DO66" s="13"/>
      <c r="DW66" s="121"/>
      <c r="DX66" s="121"/>
      <c r="DY66" s="121"/>
      <c r="DZ66" s="121"/>
      <c r="EA66" s="121"/>
      <c r="EB66" s="121"/>
      <c r="EC66" s="121"/>
      <c r="ED66" s="121"/>
      <c r="EE66" s="121"/>
      <c r="EF66" s="121"/>
      <c r="EG66" s="123"/>
      <c r="EH66" s="127"/>
      <c r="EI66" s="125"/>
      <c r="EJ66" s="126"/>
      <c r="EK66" s="30"/>
      <c r="EL66" s="127"/>
      <c r="EM66" s="128"/>
      <c r="EN66" s="123"/>
      <c r="EO66" s="128"/>
      <c r="EP66" s="13"/>
      <c r="EQ66" s="129"/>
      <c r="ER66" s="123"/>
      <c r="ES66" s="130"/>
      <c r="ET66" s="13"/>
      <c r="EU66" s="123"/>
      <c r="EV66" s="131"/>
    </row>
    <row r="67" spans="9:152" ht="15">
      <c r="I67" s="8" t="str">
        <f>"- Lực tác dụng lên một bu lông do lực cắt V:"</f>
        <v>- Lực tác dụng lên một bu lông do lực cắt V:</v>
      </c>
      <c r="J67" s="73"/>
      <c r="K67" s="73"/>
      <c r="L67" s="49"/>
      <c r="M67" s="71"/>
      <c r="N67" s="72"/>
      <c r="O67" s="46"/>
      <c r="P67" s="46"/>
      <c r="Q67" s="46"/>
      <c r="R67" s="49" t="s">
        <v>157</v>
      </c>
      <c r="S67" s="74">
        <f>ABS(Q60)/S49</f>
        <v>12</v>
      </c>
      <c r="T67" s="10" t="s">
        <v>20</v>
      </c>
      <c r="U67" s="11"/>
      <c r="AD67" s="120"/>
      <c r="AI67" s="121"/>
      <c r="AJ67" s="13"/>
      <c r="AK67" s="13"/>
      <c r="AL67" s="13"/>
      <c r="AM67" s="13"/>
      <c r="AN67" s="13"/>
      <c r="AO67" s="13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3"/>
      <c r="BH67" s="127"/>
      <c r="BI67" s="125"/>
      <c r="BJ67" s="126"/>
      <c r="BK67" s="30"/>
      <c r="BL67" s="127"/>
      <c r="BM67" s="128"/>
      <c r="BN67" s="123"/>
      <c r="BO67" s="128"/>
      <c r="BP67" s="13"/>
      <c r="BQ67" s="129"/>
      <c r="BR67" s="123"/>
      <c r="BS67" s="130"/>
      <c r="BT67" s="13"/>
      <c r="BU67" s="123"/>
      <c r="BV67" s="131"/>
      <c r="DD67" s="120"/>
      <c r="DI67" s="121"/>
      <c r="DJ67" s="13"/>
      <c r="DK67" s="13"/>
      <c r="DL67" s="13"/>
      <c r="DM67" s="13"/>
      <c r="DN67" s="13"/>
      <c r="DO67" s="13"/>
      <c r="DW67" s="121"/>
      <c r="DX67" s="121"/>
      <c r="DY67" s="121"/>
      <c r="DZ67" s="121"/>
      <c r="EA67" s="121"/>
      <c r="EB67" s="121"/>
      <c r="EC67" s="121"/>
      <c r="ED67" s="121"/>
      <c r="EE67" s="121"/>
      <c r="EF67" s="121"/>
      <c r="EG67" s="123"/>
      <c r="EH67" s="127"/>
      <c r="EI67" s="125"/>
      <c r="EJ67" s="126"/>
      <c r="EK67" s="30"/>
      <c r="EL67" s="127"/>
      <c r="EM67" s="128"/>
      <c r="EN67" s="123"/>
      <c r="EO67" s="128"/>
      <c r="EP67" s="13"/>
      <c r="EQ67" s="129"/>
      <c r="ER67" s="123"/>
      <c r="ES67" s="130"/>
      <c r="ET67" s="13"/>
      <c r="EU67" s="123"/>
      <c r="EV67" s="131"/>
    </row>
    <row r="68" spans="9:152" ht="15">
      <c r="I68" s="8" t="str">
        <f>"- Tỷ số huy động cấu kiện:"</f>
        <v>- Tỷ số huy động cấu kiện:</v>
      </c>
      <c r="J68" s="46"/>
      <c r="K68" s="46"/>
      <c r="L68" s="49"/>
      <c r="M68" s="71"/>
      <c r="N68" s="72"/>
      <c r="O68" s="46"/>
      <c r="P68" s="46"/>
      <c r="Q68" s="46"/>
      <c r="R68" s="49" t="s">
        <v>103</v>
      </c>
      <c r="S68" s="75">
        <f>S67/MIN(S63,S64)</f>
        <v>0.14203921739571204</v>
      </c>
      <c r="T68" s="14" t="str">
        <f>IF(S68&lt;=1,"OK","Check")</f>
        <v>OK</v>
      </c>
      <c r="U68" s="11"/>
      <c r="AD68" s="120"/>
      <c r="AI68" s="121"/>
      <c r="AJ68" s="13"/>
      <c r="AK68" s="13"/>
      <c r="AL68" s="13"/>
      <c r="AM68" s="13"/>
      <c r="AN68" s="13"/>
      <c r="AO68" s="13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3"/>
      <c r="BH68" s="127"/>
      <c r="BI68" s="125"/>
      <c r="BJ68" s="126"/>
      <c r="BK68" s="30"/>
      <c r="BL68" s="127"/>
      <c r="BM68" s="128"/>
      <c r="BN68" s="123"/>
      <c r="BO68" s="128"/>
      <c r="BP68" s="13"/>
      <c r="BQ68" s="129"/>
      <c r="BR68" s="123"/>
      <c r="BS68" s="130"/>
      <c r="BT68" s="13"/>
      <c r="BU68" s="123"/>
      <c r="BV68" s="131"/>
      <c r="DD68" s="120"/>
      <c r="DI68" s="121"/>
      <c r="DJ68" s="13"/>
      <c r="DK68" s="13"/>
      <c r="DL68" s="13"/>
      <c r="DM68" s="13"/>
      <c r="DN68" s="13"/>
      <c r="DO68" s="13"/>
      <c r="DW68" s="121"/>
      <c r="DX68" s="121"/>
      <c r="DY68" s="121"/>
      <c r="DZ68" s="121"/>
      <c r="EA68" s="121"/>
      <c r="EB68" s="121"/>
      <c r="EC68" s="121"/>
      <c r="ED68" s="121"/>
      <c r="EE68" s="121"/>
      <c r="EF68" s="121"/>
      <c r="EG68" s="123"/>
      <c r="EH68" s="127"/>
      <c r="EI68" s="125"/>
      <c r="EJ68" s="126"/>
      <c r="EK68" s="30"/>
      <c r="EL68" s="127"/>
      <c r="EM68" s="128"/>
      <c r="EN68" s="123"/>
      <c r="EO68" s="128"/>
      <c r="EP68" s="13"/>
      <c r="EQ68" s="129"/>
      <c r="ER68" s="123"/>
      <c r="ES68" s="130"/>
      <c r="ET68" s="13"/>
      <c r="EU68" s="123"/>
      <c r="EV68" s="131"/>
    </row>
    <row r="69" spans="9:152">
      <c r="I69" s="7" t="s">
        <v>104</v>
      </c>
      <c r="J69" s="73"/>
      <c r="K69" s="73"/>
      <c r="L69" s="49"/>
      <c r="M69" s="71"/>
      <c r="N69" s="72"/>
      <c r="O69" s="46"/>
      <c r="P69" s="46"/>
      <c r="Q69" s="46"/>
      <c r="R69" s="49"/>
      <c r="S69" s="68"/>
      <c r="T69" s="10"/>
      <c r="U69" s="11"/>
      <c r="AD69" s="120"/>
      <c r="AI69" s="121"/>
      <c r="AJ69" s="13"/>
      <c r="AK69" s="13"/>
      <c r="AL69" s="13"/>
      <c r="AM69" s="13"/>
      <c r="AN69" s="13"/>
      <c r="AO69" s="13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3"/>
      <c r="BH69" s="127"/>
      <c r="BI69" s="125"/>
      <c r="BJ69" s="126"/>
      <c r="BK69" s="30"/>
      <c r="BL69" s="127"/>
      <c r="BM69" s="128"/>
      <c r="BN69" s="123"/>
      <c r="BO69" s="128"/>
      <c r="BP69" s="13"/>
      <c r="BQ69" s="129"/>
      <c r="BR69" s="123"/>
      <c r="BS69" s="130"/>
      <c r="BT69" s="13"/>
      <c r="BU69" s="123"/>
      <c r="BV69" s="131"/>
      <c r="DD69" s="120"/>
      <c r="DI69" s="121"/>
      <c r="DJ69" s="13"/>
      <c r="DK69" s="13"/>
      <c r="DL69" s="13"/>
      <c r="DM69" s="13"/>
      <c r="DN69" s="13"/>
      <c r="DO69" s="13"/>
      <c r="DW69" s="121"/>
      <c r="DX69" s="121"/>
      <c r="DY69" s="121"/>
      <c r="DZ69" s="121"/>
      <c r="EA69" s="121"/>
      <c r="EB69" s="121"/>
      <c r="EC69" s="121"/>
      <c r="ED69" s="121"/>
      <c r="EE69" s="121"/>
      <c r="EF69" s="121"/>
      <c r="EG69" s="123"/>
      <c r="EH69" s="127"/>
      <c r="EI69" s="125"/>
      <c r="EJ69" s="126"/>
      <c r="EK69" s="30"/>
      <c r="EL69" s="127"/>
      <c r="EM69" s="128"/>
      <c r="EN69" s="123"/>
      <c r="EO69" s="128"/>
      <c r="EP69" s="13"/>
      <c r="EQ69" s="129"/>
      <c r="ER69" s="123"/>
      <c r="ES69" s="130"/>
      <c r="ET69" s="13"/>
      <c r="EU69" s="123"/>
      <c r="EV69" s="131"/>
    </row>
    <row r="70" spans="9:152" ht="15">
      <c r="I70" s="8" t="str">
        <f>"- Lực kéo tác dụng vào 1 bu lông ở dãy ngoài cùng:"</f>
        <v>- Lực kéo tác dụng vào 1 bu lông ở dãy ngoài cùng:</v>
      </c>
      <c r="J70" s="73"/>
      <c r="K70" s="73"/>
      <c r="L70" s="49"/>
      <c r="M70" s="71"/>
      <c r="N70" s="72"/>
      <c r="O70" s="46"/>
      <c r="P70" s="46"/>
      <c r="Q70" s="46"/>
      <c r="R70" s="49" t="s">
        <v>158</v>
      </c>
      <c r="S70" s="74">
        <f>ABS(R60)*I54/(2*S54)*1000-P60/S49</f>
        <v>81.923076923076934</v>
      </c>
      <c r="T70" s="10" t="s">
        <v>20</v>
      </c>
      <c r="U70" s="11"/>
      <c r="AD70" s="120"/>
      <c r="AI70" s="121"/>
      <c r="AJ70" s="13"/>
      <c r="AK70" s="13"/>
      <c r="AL70" s="13"/>
      <c r="AM70" s="13"/>
      <c r="AN70" s="13"/>
      <c r="AO70" s="13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3"/>
      <c r="BH70" s="127"/>
      <c r="BI70" s="125"/>
      <c r="BJ70" s="126"/>
      <c r="BK70" s="30"/>
      <c r="BL70" s="127"/>
      <c r="BM70" s="128"/>
      <c r="BN70" s="123"/>
      <c r="BO70" s="128"/>
      <c r="BP70" s="13"/>
      <c r="BQ70" s="129"/>
      <c r="BR70" s="123"/>
      <c r="BS70" s="130"/>
      <c r="BT70" s="13"/>
      <c r="BU70" s="123"/>
      <c r="BV70" s="131"/>
      <c r="DD70" s="120"/>
      <c r="DI70" s="121"/>
      <c r="DJ70" s="13"/>
      <c r="DK70" s="13"/>
      <c r="DL70" s="13"/>
      <c r="DM70" s="13"/>
      <c r="DN70" s="13"/>
      <c r="DO70" s="13"/>
      <c r="DW70" s="121"/>
      <c r="DX70" s="121"/>
      <c r="DY70" s="121"/>
      <c r="DZ70" s="121"/>
      <c r="EA70" s="121"/>
      <c r="EB70" s="121"/>
      <c r="EC70" s="121"/>
      <c r="ED70" s="121"/>
      <c r="EE70" s="121"/>
      <c r="EF70" s="121"/>
      <c r="EG70" s="123"/>
      <c r="EH70" s="127"/>
      <c r="EI70" s="125"/>
      <c r="EJ70" s="126"/>
      <c r="EK70" s="30"/>
      <c r="EL70" s="127"/>
      <c r="EM70" s="128"/>
      <c r="EN70" s="123"/>
      <c r="EO70" s="128"/>
      <c r="EP70" s="13"/>
      <c r="EQ70" s="129"/>
      <c r="ER70" s="123"/>
      <c r="ES70" s="130"/>
      <c r="ET70" s="13"/>
      <c r="EU70" s="123"/>
      <c r="EV70" s="131"/>
    </row>
    <row r="71" spans="9:152" ht="15">
      <c r="I71" s="8" t="str">
        <f>"- Tỷ số huy động cấu kiện:"</f>
        <v>- Tỷ số huy động cấu kiện:</v>
      </c>
      <c r="J71" s="46"/>
      <c r="K71" s="46"/>
      <c r="L71" s="49"/>
      <c r="M71" s="71"/>
      <c r="N71" s="72"/>
      <c r="O71" s="46"/>
      <c r="P71" s="46"/>
      <c r="Q71" s="46"/>
      <c r="R71" s="49" t="s">
        <v>105</v>
      </c>
      <c r="S71" s="75">
        <f>S70/S65</f>
        <v>0.82931524258054878</v>
      </c>
      <c r="T71" s="14" t="str">
        <f>IF(S71&lt;=1,"OK","Check")</f>
        <v>OK</v>
      </c>
      <c r="U71" s="11"/>
      <c r="AD71" s="120"/>
      <c r="AI71" s="121"/>
      <c r="AJ71" s="13"/>
      <c r="AK71" s="13"/>
      <c r="AL71" s="13"/>
      <c r="AM71" s="13"/>
      <c r="AN71" s="13"/>
      <c r="AO71" s="13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3"/>
      <c r="BH71" s="127"/>
      <c r="BI71" s="125"/>
      <c r="BJ71" s="126"/>
      <c r="BK71" s="30"/>
      <c r="BL71" s="127"/>
      <c r="BM71" s="128"/>
      <c r="BN71" s="123"/>
      <c r="BO71" s="128"/>
      <c r="BP71" s="13"/>
      <c r="BQ71" s="129"/>
      <c r="BR71" s="123"/>
      <c r="BS71" s="130"/>
      <c r="BT71" s="13"/>
      <c r="BU71" s="123"/>
      <c r="BV71" s="131"/>
      <c r="DD71" s="120"/>
      <c r="DI71" s="121"/>
      <c r="DJ71" s="13"/>
      <c r="DK71" s="13"/>
      <c r="DL71" s="13"/>
      <c r="DM71" s="13"/>
      <c r="DN71" s="13"/>
      <c r="DO71" s="13"/>
      <c r="DW71" s="121"/>
      <c r="DX71" s="121"/>
      <c r="DY71" s="121"/>
      <c r="DZ71" s="121"/>
      <c r="EA71" s="121"/>
      <c r="EB71" s="121"/>
      <c r="EC71" s="121"/>
      <c r="ED71" s="121"/>
      <c r="EE71" s="121"/>
      <c r="EF71" s="121"/>
      <c r="EG71" s="123"/>
      <c r="EH71" s="127"/>
      <c r="EI71" s="125"/>
      <c r="EJ71" s="126"/>
      <c r="EK71" s="30"/>
      <c r="EL71" s="127"/>
      <c r="EM71" s="128"/>
      <c r="EN71" s="123"/>
      <c r="EO71" s="128"/>
      <c r="EP71" s="13"/>
      <c r="EQ71" s="129"/>
      <c r="ER71" s="123"/>
      <c r="ES71" s="130"/>
      <c r="ET71" s="13"/>
      <c r="EU71" s="123"/>
      <c r="EV71" s="131"/>
    </row>
    <row r="72" spans="9:152">
      <c r="I72" s="7" t="s">
        <v>106</v>
      </c>
      <c r="J72" s="46"/>
      <c r="K72" s="46"/>
      <c r="L72" s="49"/>
      <c r="M72" s="71"/>
      <c r="N72" s="72"/>
      <c r="O72" s="46"/>
      <c r="P72" s="46"/>
      <c r="Q72" s="46"/>
      <c r="R72" s="49"/>
      <c r="S72" s="46"/>
      <c r="T72" s="14"/>
      <c r="U72" s="11"/>
      <c r="AD72" s="120"/>
      <c r="AI72" s="121"/>
      <c r="AJ72" s="13"/>
      <c r="AK72" s="13"/>
      <c r="AL72" s="13"/>
      <c r="AM72" s="13"/>
      <c r="AN72" s="13"/>
      <c r="AO72" s="13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3"/>
      <c r="BH72" s="127"/>
      <c r="BI72" s="125"/>
      <c r="BJ72" s="126"/>
      <c r="BK72" s="30"/>
      <c r="BL72" s="127"/>
      <c r="BM72" s="128"/>
      <c r="BN72" s="123"/>
      <c r="BO72" s="128"/>
      <c r="BP72" s="13"/>
      <c r="BQ72" s="129"/>
      <c r="BR72" s="123"/>
      <c r="BS72" s="130"/>
      <c r="BT72" s="13"/>
      <c r="BU72" s="123"/>
      <c r="BV72" s="131"/>
      <c r="DD72" s="120"/>
      <c r="DI72" s="121"/>
      <c r="DJ72" s="13"/>
      <c r="DK72" s="13"/>
      <c r="DL72" s="13"/>
      <c r="DM72" s="13"/>
      <c r="DN72" s="13"/>
      <c r="DO72" s="13"/>
      <c r="DW72" s="121"/>
      <c r="DX72" s="121"/>
      <c r="DY72" s="121"/>
      <c r="DZ72" s="121"/>
      <c r="EA72" s="121"/>
      <c r="EB72" s="121"/>
      <c r="EC72" s="121"/>
      <c r="ED72" s="121"/>
      <c r="EE72" s="121"/>
      <c r="EF72" s="121"/>
      <c r="EG72" s="123"/>
      <c r="EH72" s="127"/>
      <c r="EI72" s="125"/>
      <c r="EJ72" s="126"/>
      <c r="EK72" s="30"/>
      <c r="EL72" s="127"/>
      <c r="EM72" s="128"/>
      <c r="EN72" s="123"/>
      <c r="EO72" s="128"/>
      <c r="EP72" s="13"/>
      <c r="EQ72" s="129"/>
      <c r="ER72" s="123"/>
      <c r="ES72" s="130"/>
      <c r="ET72" s="13"/>
      <c r="EU72" s="123"/>
      <c r="EV72" s="131"/>
    </row>
    <row r="73" spans="9:152">
      <c r="I73" s="8" t="str">
        <f>"- Mặt bích ngàm bởi 2 cột bu lông, chịu lực tập trung P tại giữa thanh:"</f>
        <v>- Mặt bích ngàm bởi 2 cột bu lông, chịu lực tập trung P tại giữa thanh:</v>
      </c>
      <c r="J73" s="46"/>
      <c r="K73" s="46"/>
      <c r="L73" s="49"/>
      <c r="M73" s="71"/>
      <c r="N73" s="72"/>
      <c r="O73" s="46"/>
      <c r="P73" s="46"/>
      <c r="Q73" s="46"/>
      <c r="R73" s="49" t="s">
        <v>159</v>
      </c>
      <c r="S73" s="76">
        <f>ABS(R60)/(S41/1000)-P60</f>
        <v>258.33333333333337</v>
      </c>
      <c r="T73" s="10" t="s">
        <v>20</v>
      </c>
      <c r="U73" s="11"/>
      <c r="AD73" s="120"/>
      <c r="AI73" s="121"/>
      <c r="AJ73" s="13"/>
      <c r="AK73" s="13"/>
      <c r="AL73" s="13"/>
      <c r="AM73" s="13"/>
      <c r="AN73" s="13"/>
      <c r="AO73" s="13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3"/>
      <c r="BH73" s="127"/>
      <c r="BI73" s="125"/>
      <c r="BJ73" s="126"/>
      <c r="BK73" s="30"/>
      <c r="BL73" s="127"/>
      <c r="BM73" s="128"/>
      <c r="BN73" s="123"/>
      <c r="BO73" s="128"/>
      <c r="BP73" s="13"/>
      <c r="BQ73" s="129"/>
      <c r="BR73" s="123"/>
      <c r="BS73" s="130"/>
      <c r="BT73" s="13"/>
      <c r="BU73" s="123"/>
      <c r="BV73" s="131"/>
      <c r="DD73" s="120"/>
      <c r="DI73" s="121"/>
      <c r="DJ73" s="13"/>
      <c r="DK73" s="13"/>
      <c r="DL73" s="13"/>
      <c r="DM73" s="13"/>
      <c r="DN73" s="13"/>
      <c r="DO73" s="13"/>
      <c r="DW73" s="121"/>
      <c r="DX73" s="121"/>
      <c r="DY73" s="121"/>
      <c r="DZ73" s="121"/>
      <c r="EA73" s="121"/>
      <c r="EB73" s="121"/>
      <c r="EC73" s="121"/>
      <c r="ED73" s="121"/>
      <c r="EE73" s="121"/>
      <c r="EF73" s="121"/>
      <c r="EG73" s="123"/>
      <c r="EH73" s="127"/>
      <c r="EI73" s="125"/>
      <c r="EJ73" s="126"/>
      <c r="EK73" s="30"/>
      <c r="EL73" s="127"/>
      <c r="EM73" s="128"/>
      <c r="EN73" s="123"/>
      <c r="EO73" s="128"/>
      <c r="EP73" s="13"/>
      <c r="EQ73" s="129"/>
      <c r="ER73" s="123"/>
      <c r="ES73" s="130"/>
      <c r="ET73" s="13"/>
      <c r="EU73" s="123"/>
      <c r="EV73" s="131"/>
    </row>
    <row r="74" spans="9:152" ht="15">
      <c r="I74" s="8" t="str">
        <f>"- Moment gây uốn mặt bích:"</f>
        <v>- Moment gây uốn mặt bích:</v>
      </c>
      <c r="J74" s="46"/>
      <c r="K74" s="46"/>
      <c r="L74" s="49"/>
      <c r="M74" s="71"/>
      <c r="N74" s="72"/>
      <c r="O74" s="46"/>
      <c r="P74" s="46"/>
      <c r="Q74" s="46"/>
      <c r="R74" s="49" t="s">
        <v>115</v>
      </c>
      <c r="S74" s="76">
        <f>S73*(S53/1000)/8</f>
        <v>3.8750000000000004</v>
      </c>
      <c r="T74" s="10" t="s">
        <v>21</v>
      </c>
      <c r="U74" s="11"/>
      <c r="AD74" s="120"/>
      <c r="AI74" s="121"/>
      <c r="AJ74" s="13"/>
      <c r="AK74" s="13"/>
      <c r="AL74" s="13"/>
      <c r="AM74" s="13"/>
      <c r="AN74" s="13"/>
      <c r="AO74" s="13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3"/>
      <c r="BH74" s="127"/>
      <c r="BI74" s="125"/>
      <c r="BJ74" s="126"/>
      <c r="BK74" s="30"/>
      <c r="BL74" s="127"/>
      <c r="BM74" s="128"/>
      <c r="BN74" s="123"/>
      <c r="BO74" s="128"/>
      <c r="BP74" s="13"/>
      <c r="BQ74" s="129"/>
      <c r="BR74" s="123"/>
      <c r="BS74" s="130"/>
      <c r="BT74" s="13"/>
      <c r="BU74" s="123"/>
      <c r="BV74" s="131"/>
      <c r="DD74" s="120"/>
      <c r="DI74" s="121"/>
      <c r="DJ74" s="13"/>
      <c r="DK74" s="13"/>
      <c r="DL74" s="13"/>
      <c r="DM74" s="13"/>
      <c r="DN74" s="13"/>
      <c r="DO74" s="13"/>
      <c r="DW74" s="121"/>
      <c r="DX74" s="121"/>
      <c r="DY74" s="121"/>
      <c r="DZ74" s="121"/>
      <c r="EA74" s="121"/>
      <c r="EB74" s="121"/>
      <c r="EC74" s="121"/>
      <c r="ED74" s="121"/>
      <c r="EE74" s="121"/>
      <c r="EF74" s="121"/>
      <c r="EG74" s="123"/>
      <c r="EH74" s="127"/>
      <c r="EI74" s="125"/>
      <c r="EJ74" s="126"/>
      <c r="EK74" s="30"/>
      <c r="EL74" s="127"/>
      <c r="EM74" s="128"/>
      <c r="EN74" s="123"/>
      <c r="EO74" s="128"/>
      <c r="EP74" s="13"/>
      <c r="EQ74" s="129"/>
      <c r="ER74" s="123"/>
      <c r="ES74" s="130"/>
      <c r="ET74" s="13"/>
      <c r="EU74" s="123"/>
      <c r="EV74" s="131"/>
    </row>
    <row r="75" spans="9:152" ht="15">
      <c r="I75" s="8" t="str">
        <f>"- Lực cắt trong mặt bích:"</f>
        <v>- Lực cắt trong mặt bích:</v>
      </c>
      <c r="J75" s="46"/>
      <c r="K75" s="46"/>
      <c r="L75" s="49"/>
      <c r="M75" s="71"/>
      <c r="N75" s="72"/>
      <c r="O75" s="46"/>
      <c r="P75" s="46"/>
      <c r="Q75" s="46"/>
      <c r="R75" s="49" t="s">
        <v>116</v>
      </c>
      <c r="S75" s="76">
        <f>S73/2</f>
        <v>129.16666666666669</v>
      </c>
      <c r="T75" s="10" t="s">
        <v>20</v>
      </c>
      <c r="U75" s="11"/>
      <c r="AD75" s="120"/>
      <c r="AI75" s="121"/>
      <c r="AJ75" s="13"/>
      <c r="AK75" s="13"/>
      <c r="AL75" s="13"/>
      <c r="AM75" s="13"/>
      <c r="AN75" s="13"/>
      <c r="AO75" s="13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3"/>
      <c r="BH75" s="127"/>
      <c r="BI75" s="125"/>
      <c r="BJ75" s="126"/>
      <c r="BK75" s="30"/>
      <c r="BL75" s="127"/>
      <c r="BM75" s="128"/>
      <c r="BN75" s="123"/>
      <c r="BO75" s="128"/>
      <c r="BP75" s="13"/>
      <c r="BQ75" s="129"/>
      <c r="BR75" s="123"/>
      <c r="BS75" s="130"/>
      <c r="BT75" s="13"/>
      <c r="BU75" s="123"/>
      <c r="BV75" s="131"/>
      <c r="DD75" s="120"/>
      <c r="DI75" s="121"/>
      <c r="DJ75" s="13"/>
      <c r="DK75" s="13"/>
      <c r="DL75" s="13"/>
      <c r="DM75" s="13"/>
      <c r="DN75" s="13"/>
      <c r="DO75" s="13"/>
      <c r="DW75" s="121"/>
      <c r="DX75" s="121"/>
      <c r="DY75" s="121"/>
      <c r="DZ75" s="121"/>
      <c r="EA75" s="121"/>
      <c r="EB75" s="121"/>
      <c r="EC75" s="121"/>
      <c r="ED75" s="121"/>
      <c r="EE75" s="121"/>
      <c r="EF75" s="121"/>
      <c r="EG75" s="123"/>
      <c r="EH75" s="127"/>
      <c r="EI75" s="125"/>
      <c r="EJ75" s="126"/>
      <c r="EK75" s="30"/>
      <c r="EL75" s="127"/>
      <c r="EM75" s="128"/>
      <c r="EN75" s="123"/>
      <c r="EO75" s="128"/>
      <c r="EP75" s="13"/>
      <c r="EQ75" s="129"/>
      <c r="ER75" s="123"/>
      <c r="ES75" s="130"/>
      <c r="ET75" s="13"/>
      <c r="EU75" s="123"/>
      <c r="EV75" s="131"/>
    </row>
    <row r="76" spans="9:152" ht="15">
      <c r="I76" s="8" t="str">
        <f>"- Ứng suất pháp:"</f>
        <v>- Ứng suất pháp:</v>
      </c>
      <c r="J76" s="46"/>
      <c r="K76" s="46"/>
      <c r="L76" s="49"/>
      <c r="M76" s="71"/>
      <c r="N76" s="72"/>
      <c r="O76" s="46"/>
      <c r="P76" s="46"/>
      <c r="Q76" s="46"/>
      <c r="R76" s="51" t="s">
        <v>121</v>
      </c>
      <c r="S76" s="76">
        <f>6*S74*1000000/(S51*S50^2)</f>
        <v>71.538461538461547</v>
      </c>
      <c r="T76" s="10" t="s">
        <v>2</v>
      </c>
      <c r="U76" s="11"/>
      <c r="AD76" s="120"/>
      <c r="AI76" s="121"/>
      <c r="AJ76" s="13"/>
      <c r="AK76" s="13"/>
      <c r="AL76" s="13"/>
      <c r="AM76" s="13"/>
      <c r="AN76" s="13"/>
      <c r="AO76" s="13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3"/>
      <c r="BH76" s="127"/>
      <c r="BI76" s="125"/>
      <c r="BJ76" s="126"/>
      <c r="BK76" s="30"/>
      <c r="BL76" s="127"/>
      <c r="BM76" s="128"/>
      <c r="BN76" s="123"/>
      <c r="BO76" s="128"/>
      <c r="BP76" s="13"/>
      <c r="BQ76" s="129"/>
      <c r="BR76" s="123"/>
      <c r="BS76" s="130"/>
      <c r="BT76" s="13"/>
      <c r="BU76" s="123"/>
      <c r="BV76" s="131"/>
      <c r="DD76" s="120"/>
      <c r="DI76" s="121"/>
      <c r="DJ76" s="13"/>
      <c r="DK76" s="13"/>
      <c r="DL76" s="13"/>
      <c r="DM76" s="13"/>
      <c r="DN76" s="13"/>
      <c r="DO76" s="13"/>
      <c r="DW76" s="121"/>
      <c r="DX76" s="121"/>
      <c r="DY76" s="121"/>
      <c r="DZ76" s="121"/>
      <c r="EA76" s="121"/>
      <c r="EB76" s="121"/>
      <c r="EC76" s="121"/>
      <c r="ED76" s="121"/>
      <c r="EE76" s="121"/>
      <c r="EF76" s="121"/>
      <c r="EG76" s="123"/>
      <c r="EH76" s="127"/>
      <c r="EI76" s="125"/>
      <c r="EJ76" s="126"/>
      <c r="EK76" s="30"/>
      <c r="EL76" s="127"/>
      <c r="EM76" s="128"/>
      <c r="EN76" s="123"/>
      <c r="EO76" s="128"/>
      <c r="EP76" s="13"/>
      <c r="EQ76" s="129"/>
      <c r="ER76" s="123"/>
      <c r="ES76" s="130"/>
      <c r="ET76" s="13"/>
      <c r="EU76" s="123"/>
      <c r="EV76" s="131"/>
    </row>
    <row r="77" spans="9:152" ht="15">
      <c r="I77" s="41" t="str">
        <f>"+ Tỷ số huy động:"</f>
        <v>+ Tỷ số huy động:</v>
      </c>
      <c r="J77" s="46"/>
      <c r="K77" s="46"/>
      <c r="L77" s="49"/>
      <c r="M77" s="71"/>
      <c r="N77" s="72"/>
      <c r="O77" s="46"/>
      <c r="P77" s="46"/>
      <c r="Q77" s="46"/>
      <c r="R77" s="51" t="s">
        <v>117</v>
      </c>
      <c r="S77" s="75">
        <f>S76/(S31*S29)</f>
        <v>0.34775641025641035</v>
      </c>
      <c r="T77" s="14" t="str">
        <f>IF(S77&lt;=1,"OK","Check")</f>
        <v>OK</v>
      </c>
      <c r="U77" s="11"/>
      <c r="AD77" s="120"/>
      <c r="AI77" s="121"/>
      <c r="AJ77" s="13"/>
      <c r="AK77" s="13"/>
      <c r="AL77" s="13"/>
      <c r="AM77" s="13"/>
      <c r="AN77" s="13"/>
      <c r="AO77" s="13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3"/>
      <c r="BH77" s="127"/>
      <c r="BI77" s="125"/>
      <c r="BJ77" s="126"/>
      <c r="BK77" s="30"/>
      <c r="BL77" s="127"/>
      <c r="BM77" s="128"/>
      <c r="BN77" s="123"/>
      <c r="BO77" s="128"/>
      <c r="BP77" s="13"/>
      <c r="BQ77" s="129"/>
      <c r="BR77" s="123"/>
      <c r="BS77" s="130"/>
      <c r="BT77" s="13"/>
      <c r="BU77" s="123"/>
      <c r="BV77" s="131"/>
      <c r="DD77" s="120"/>
      <c r="DI77" s="121"/>
      <c r="DJ77" s="13"/>
      <c r="DK77" s="13"/>
      <c r="DL77" s="13"/>
      <c r="DM77" s="13"/>
      <c r="DN77" s="13"/>
      <c r="DO77" s="13"/>
      <c r="DW77" s="121"/>
      <c r="DX77" s="121"/>
      <c r="DY77" s="121"/>
      <c r="DZ77" s="121"/>
      <c r="EA77" s="121"/>
      <c r="EB77" s="121"/>
      <c r="EC77" s="121"/>
      <c r="ED77" s="121"/>
      <c r="EE77" s="121"/>
      <c r="EF77" s="121"/>
      <c r="EG77" s="123"/>
      <c r="EH77" s="127"/>
      <c r="EI77" s="125"/>
      <c r="EJ77" s="126"/>
      <c r="EK77" s="30"/>
      <c r="EL77" s="127"/>
      <c r="EM77" s="128"/>
      <c r="EN77" s="123"/>
      <c r="EO77" s="128"/>
      <c r="EP77" s="13"/>
      <c r="EQ77" s="129"/>
      <c r="ER77" s="123"/>
      <c r="ES77" s="130"/>
      <c r="ET77" s="13"/>
      <c r="EU77" s="123"/>
      <c r="EV77" s="131"/>
    </row>
    <row r="78" spans="9:152" ht="15">
      <c r="I78" s="8" t="str">
        <f>"+ Ứng suất tiếp:"</f>
        <v>+ Ứng suất tiếp:</v>
      </c>
      <c r="J78" s="46"/>
      <c r="K78" s="46"/>
      <c r="L78" s="49"/>
      <c r="M78" s="71"/>
      <c r="N78" s="72"/>
      <c r="O78" s="46"/>
      <c r="P78" s="46"/>
      <c r="Q78" s="46"/>
      <c r="R78" s="51" t="s">
        <v>122</v>
      </c>
      <c r="S78" s="76">
        <f>S75*1000/(S51*S50)</f>
        <v>9.9358974358974379</v>
      </c>
      <c r="T78" s="10" t="s">
        <v>2</v>
      </c>
      <c r="U78" s="11"/>
      <c r="AD78" s="120"/>
      <c r="AI78" s="121"/>
      <c r="AJ78" s="13"/>
      <c r="AK78" s="13"/>
      <c r="AL78" s="13"/>
      <c r="AM78" s="13"/>
      <c r="AN78" s="13"/>
      <c r="AO78" s="13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3"/>
      <c r="BH78" s="127"/>
      <c r="BI78" s="125"/>
      <c r="BJ78" s="126"/>
      <c r="BK78" s="30"/>
      <c r="BL78" s="127"/>
      <c r="BM78" s="128"/>
      <c r="BN78" s="123"/>
      <c r="BO78" s="128"/>
      <c r="BP78" s="13"/>
      <c r="BQ78" s="129"/>
      <c r="BR78" s="123"/>
      <c r="BS78" s="130"/>
      <c r="BT78" s="13"/>
      <c r="BU78" s="123"/>
      <c r="BV78" s="131"/>
      <c r="DD78" s="120"/>
      <c r="DI78" s="121"/>
      <c r="DJ78" s="13"/>
      <c r="DK78" s="13"/>
      <c r="DL78" s="13"/>
      <c r="DM78" s="13"/>
      <c r="DN78" s="13"/>
      <c r="DO78" s="13"/>
      <c r="DW78" s="121"/>
      <c r="DX78" s="121"/>
      <c r="DY78" s="121"/>
      <c r="DZ78" s="121"/>
      <c r="EA78" s="121"/>
      <c r="EB78" s="121"/>
      <c r="EC78" s="121"/>
      <c r="ED78" s="121"/>
      <c r="EE78" s="121"/>
      <c r="EF78" s="121"/>
      <c r="EG78" s="123"/>
      <c r="EH78" s="127"/>
      <c r="EI78" s="125"/>
      <c r="EJ78" s="126"/>
      <c r="EK78" s="30"/>
      <c r="EL78" s="127"/>
      <c r="EM78" s="128"/>
      <c r="EN78" s="123"/>
      <c r="EO78" s="128"/>
      <c r="EP78" s="13"/>
      <c r="EQ78" s="129"/>
      <c r="ER78" s="123"/>
      <c r="ES78" s="130"/>
      <c r="ET78" s="13"/>
      <c r="EU78" s="123"/>
      <c r="EV78" s="131"/>
    </row>
    <row r="79" spans="9:152" ht="15">
      <c r="I79" s="41" t="str">
        <f>"- Tỷ số huy động:"</f>
        <v>- Tỷ số huy động:</v>
      </c>
      <c r="J79" s="46"/>
      <c r="K79" s="46"/>
      <c r="L79" s="49"/>
      <c r="M79" s="71"/>
      <c r="N79" s="72"/>
      <c r="O79" s="46"/>
      <c r="P79" s="46"/>
      <c r="Q79" s="46"/>
      <c r="R79" s="51" t="s">
        <v>118</v>
      </c>
      <c r="S79" s="75">
        <f>S78/(S31*S30)</f>
        <v>8.1776933628785492E-2</v>
      </c>
      <c r="T79" s="14" t="str">
        <f>IF(S79&lt;=1,"OK","Check")</f>
        <v>OK</v>
      </c>
      <c r="U79" s="11"/>
      <c r="AD79" s="120"/>
      <c r="AI79" s="121"/>
      <c r="AJ79" s="13"/>
      <c r="AK79" s="13"/>
      <c r="AL79" s="13"/>
      <c r="AM79" s="13"/>
      <c r="AN79" s="13"/>
      <c r="AO79" s="13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3"/>
      <c r="BH79" s="127"/>
      <c r="BI79" s="125"/>
      <c r="BJ79" s="126"/>
      <c r="BK79" s="30"/>
      <c r="BL79" s="127"/>
      <c r="BM79" s="128"/>
      <c r="BN79" s="123"/>
      <c r="BO79" s="128"/>
      <c r="BP79" s="13"/>
      <c r="BQ79" s="129"/>
      <c r="BR79" s="123"/>
      <c r="BS79" s="130"/>
      <c r="BT79" s="13"/>
      <c r="BU79" s="123"/>
      <c r="BV79" s="131"/>
      <c r="DD79" s="120"/>
      <c r="DI79" s="121"/>
      <c r="DJ79" s="13"/>
      <c r="DK79" s="13"/>
      <c r="DL79" s="13"/>
      <c r="DM79" s="13"/>
      <c r="DN79" s="13"/>
      <c r="DO79" s="13"/>
      <c r="DW79" s="121"/>
      <c r="DX79" s="121"/>
      <c r="DY79" s="121"/>
      <c r="DZ79" s="121"/>
      <c r="EA79" s="121"/>
      <c r="EB79" s="121"/>
      <c r="EC79" s="121"/>
      <c r="ED79" s="121"/>
      <c r="EE79" s="121"/>
      <c r="EF79" s="121"/>
      <c r="EG79" s="123"/>
      <c r="EH79" s="127"/>
      <c r="EI79" s="125"/>
      <c r="EJ79" s="126"/>
      <c r="EK79" s="30"/>
      <c r="EL79" s="127"/>
      <c r="EM79" s="128"/>
      <c r="EN79" s="123"/>
      <c r="EO79" s="128"/>
      <c r="EP79" s="13"/>
      <c r="EQ79" s="129"/>
      <c r="ER79" s="123"/>
      <c r="ES79" s="130"/>
      <c r="ET79" s="13"/>
      <c r="EU79" s="123"/>
      <c r="EV79" s="131"/>
    </row>
    <row r="80" spans="9:152" ht="15">
      <c r="I80" s="8" t="str">
        <f>"- Ứng suất tương đương:"</f>
        <v>- Ứng suất tương đương:</v>
      </c>
      <c r="J80" s="46"/>
      <c r="K80" s="46"/>
      <c r="L80" s="49"/>
      <c r="M80" s="71"/>
      <c r="N80" s="72"/>
      <c r="O80" s="46"/>
      <c r="P80" s="46"/>
      <c r="Q80" s="46"/>
      <c r="R80" s="51" t="s">
        <v>119</v>
      </c>
      <c r="S80" s="76">
        <f>SQRT(S76^2+3*S78^2)</f>
        <v>73.579328978049006</v>
      </c>
      <c r="T80" s="10" t="s">
        <v>2</v>
      </c>
      <c r="U80" s="11"/>
      <c r="AD80" s="120"/>
      <c r="AI80" s="121"/>
      <c r="AJ80" s="13"/>
      <c r="AK80" s="13"/>
      <c r="AL80" s="13"/>
      <c r="AM80" s="13"/>
      <c r="AN80" s="13"/>
      <c r="AO80" s="13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3"/>
      <c r="BH80" s="127"/>
      <c r="BI80" s="125"/>
      <c r="BJ80" s="126"/>
      <c r="BK80" s="30"/>
      <c r="BL80" s="127"/>
      <c r="BM80" s="128"/>
      <c r="BN80" s="123"/>
      <c r="BO80" s="128"/>
      <c r="BP80" s="13"/>
      <c r="BQ80" s="129"/>
      <c r="BR80" s="123"/>
      <c r="BS80" s="130"/>
      <c r="BT80" s="13"/>
      <c r="BU80" s="123"/>
      <c r="BV80" s="131"/>
      <c r="DD80" s="120"/>
      <c r="DI80" s="121"/>
      <c r="DJ80" s="13"/>
      <c r="DK80" s="13"/>
      <c r="DL80" s="13"/>
      <c r="DM80" s="13"/>
      <c r="DN80" s="13"/>
      <c r="DO80" s="13"/>
      <c r="DW80" s="121"/>
      <c r="DX80" s="121"/>
      <c r="DY80" s="121"/>
      <c r="DZ80" s="121"/>
      <c r="EA80" s="121"/>
      <c r="EB80" s="121"/>
      <c r="EC80" s="121"/>
      <c r="ED80" s="121"/>
      <c r="EE80" s="121"/>
      <c r="EF80" s="121"/>
      <c r="EG80" s="123"/>
      <c r="EH80" s="127"/>
      <c r="EI80" s="125"/>
      <c r="EJ80" s="126"/>
      <c r="EK80" s="30"/>
      <c r="EL80" s="127"/>
      <c r="EM80" s="128"/>
      <c r="EN80" s="123"/>
      <c r="EO80" s="128"/>
      <c r="EP80" s="13"/>
      <c r="EQ80" s="129"/>
      <c r="ER80" s="123"/>
      <c r="ES80" s="130"/>
      <c r="ET80" s="13"/>
      <c r="EU80" s="123"/>
      <c r="EV80" s="131"/>
    </row>
    <row r="81" spans="9:152" ht="15">
      <c r="I81" s="41" t="str">
        <f>"+ Tỷ số huy động:"</f>
        <v>+ Tỷ số huy động:</v>
      </c>
      <c r="J81" s="46"/>
      <c r="K81" s="46"/>
      <c r="L81" s="49"/>
      <c r="M81" s="71"/>
      <c r="N81" s="72"/>
      <c r="O81" s="46"/>
      <c r="P81" s="46"/>
      <c r="Q81" s="46"/>
      <c r="R81" s="51" t="s">
        <v>120</v>
      </c>
      <c r="S81" s="75">
        <f>S80/(1.15*S31*S29)</f>
        <v>0.31102373360286423</v>
      </c>
      <c r="T81" s="14" t="str">
        <f>IF(S81&lt;=1,"OK","Check")</f>
        <v>OK</v>
      </c>
      <c r="U81" s="11"/>
      <c r="AD81" s="120"/>
      <c r="AI81" s="121"/>
      <c r="AJ81" s="13"/>
      <c r="AK81" s="13"/>
      <c r="AL81" s="13"/>
      <c r="AM81" s="13"/>
      <c r="AN81" s="13"/>
      <c r="AO81" s="13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3"/>
      <c r="BH81" s="127"/>
      <c r="BI81" s="125"/>
      <c r="BJ81" s="126"/>
      <c r="BK81" s="30"/>
      <c r="BL81" s="127"/>
      <c r="BM81" s="128"/>
      <c r="BN81" s="123"/>
      <c r="BO81" s="128"/>
      <c r="BP81" s="13"/>
      <c r="BQ81" s="129"/>
      <c r="BR81" s="123"/>
      <c r="BS81" s="130"/>
      <c r="BT81" s="13"/>
      <c r="BU81" s="123"/>
      <c r="BV81" s="131"/>
      <c r="DD81" s="120"/>
      <c r="DI81" s="121"/>
      <c r="DJ81" s="13"/>
      <c r="DK81" s="13"/>
      <c r="DL81" s="13"/>
      <c r="DM81" s="13"/>
      <c r="DN81" s="13"/>
      <c r="DO81" s="13"/>
      <c r="DW81" s="121"/>
      <c r="DX81" s="121"/>
      <c r="DY81" s="121"/>
      <c r="DZ81" s="121"/>
      <c r="EA81" s="121"/>
      <c r="EB81" s="121"/>
      <c r="EC81" s="121"/>
      <c r="ED81" s="121"/>
      <c r="EE81" s="121"/>
      <c r="EF81" s="121"/>
      <c r="EG81" s="123"/>
      <c r="EH81" s="127"/>
      <c r="EI81" s="125"/>
      <c r="EJ81" s="126"/>
      <c r="EK81" s="30"/>
      <c r="EL81" s="127"/>
      <c r="EM81" s="128"/>
      <c r="EN81" s="123"/>
      <c r="EO81" s="128"/>
      <c r="EP81" s="13"/>
      <c r="EQ81" s="129"/>
      <c r="ER81" s="123"/>
      <c r="ES81" s="130"/>
      <c r="ET81" s="13"/>
      <c r="EU81" s="123"/>
      <c r="EV81" s="131"/>
    </row>
    <row r="82" spans="9:152" ht="12.75" customHeight="1">
      <c r="I82" s="7" t="s">
        <v>123</v>
      </c>
      <c r="J82" s="61"/>
      <c r="K82" s="61"/>
      <c r="L82" s="61"/>
      <c r="M82" s="61"/>
      <c r="N82" s="61"/>
      <c r="O82" s="62"/>
      <c r="P82" s="63"/>
      <c r="Q82" s="61"/>
      <c r="R82" s="46"/>
      <c r="S82" s="46"/>
      <c r="T82" s="6"/>
      <c r="U82" s="11"/>
      <c r="AD82" s="120"/>
      <c r="AI82" s="121"/>
      <c r="AJ82" s="13"/>
      <c r="AK82" s="13"/>
      <c r="AL82" s="13"/>
      <c r="AM82" s="13"/>
      <c r="AN82" s="13"/>
      <c r="AO82" s="13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3"/>
      <c r="BH82" s="127"/>
      <c r="BI82" s="125"/>
      <c r="BJ82" s="126"/>
      <c r="BK82" s="30"/>
      <c r="BL82" s="127"/>
      <c r="BM82" s="128"/>
      <c r="BN82" s="123"/>
      <c r="BO82" s="128"/>
      <c r="BP82" s="13"/>
      <c r="BQ82" s="129"/>
      <c r="BR82" s="123"/>
      <c r="BS82" s="130"/>
      <c r="BT82" s="13"/>
      <c r="BU82" s="123"/>
      <c r="BV82" s="131"/>
      <c r="DD82" s="120"/>
      <c r="DI82" s="121"/>
      <c r="DJ82" s="13"/>
      <c r="DK82" s="13"/>
      <c r="DL82" s="13"/>
      <c r="DM82" s="13"/>
      <c r="DN82" s="13"/>
      <c r="DO82" s="13"/>
      <c r="DW82" s="121"/>
      <c r="DX82" s="121"/>
      <c r="DY82" s="121"/>
      <c r="DZ82" s="121"/>
      <c r="EA82" s="121"/>
      <c r="EB82" s="121"/>
      <c r="EC82" s="121"/>
      <c r="ED82" s="121"/>
      <c r="EE82" s="121"/>
      <c r="EF82" s="121"/>
      <c r="EG82" s="123"/>
      <c r="EH82" s="127"/>
      <c r="EI82" s="125"/>
      <c r="EJ82" s="126"/>
      <c r="EK82" s="30"/>
      <c r="EL82" s="127"/>
      <c r="EM82" s="128"/>
      <c r="EN82" s="123"/>
      <c r="EO82" s="128"/>
      <c r="EP82" s="13"/>
      <c r="EQ82" s="129"/>
      <c r="ER82" s="123"/>
      <c r="ES82" s="130"/>
      <c r="ET82" s="13"/>
      <c r="EU82" s="123"/>
      <c r="EV82" s="131"/>
    </row>
    <row r="83" spans="9:152" ht="15">
      <c r="I83" s="8" t="str">
        <f>"- Diện tích mặt cắt tiết diện đường hàn:"</f>
        <v>- Diện tích mặt cắt tiết diện đường hàn:</v>
      </c>
      <c r="J83" s="73"/>
      <c r="K83" s="73"/>
      <c r="L83" s="49"/>
      <c r="M83" s="71"/>
      <c r="N83" s="49"/>
      <c r="O83" s="77"/>
      <c r="P83" s="49"/>
      <c r="Q83" s="77"/>
      <c r="R83" s="49" t="s">
        <v>124</v>
      </c>
      <c r="S83" s="77">
        <f>P91+P92+P93</f>
        <v>11224</v>
      </c>
      <c r="T83" s="10" t="s">
        <v>6</v>
      </c>
      <c r="U83" s="11"/>
      <c r="AD83" s="120"/>
      <c r="AI83" s="121"/>
      <c r="AJ83" s="13"/>
      <c r="AK83" s="13"/>
      <c r="AL83" s="13"/>
      <c r="AM83" s="13"/>
      <c r="AN83" s="13"/>
      <c r="AO83" s="13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3"/>
      <c r="BH83" s="127"/>
      <c r="BI83" s="125"/>
      <c r="BJ83" s="126"/>
      <c r="BK83" s="30"/>
      <c r="BL83" s="127"/>
      <c r="BM83" s="128"/>
      <c r="BN83" s="123"/>
      <c r="BO83" s="128"/>
      <c r="BP83" s="13"/>
      <c r="BQ83" s="129"/>
      <c r="BR83" s="123"/>
      <c r="BS83" s="130"/>
      <c r="BT83" s="13"/>
      <c r="BU83" s="123"/>
      <c r="BV83" s="131"/>
      <c r="DD83" s="120"/>
      <c r="DI83" s="121"/>
      <c r="DJ83" s="13"/>
      <c r="DK83" s="13"/>
      <c r="DL83" s="13"/>
      <c r="DM83" s="13"/>
      <c r="DN83" s="13"/>
      <c r="DO83" s="13"/>
      <c r="DW83" s="121"/>
      <c r="DX83" s="121"/>
      <c r="DY83" s="121"/>
      <c r="DZ83" s="121"/>
      <c r="EA83" s="121"/>
      <c r="EB83" s="121"/>
      <c r="EC83" s="121"/>
      <c r="ED83" s="121"/>
      <c r="EE83" s="121"/>
      <c r="EF83" s="121"/>
      <c r="EG83" s="123"/>
      <c r="EH83" s="127"/>
      <c r="EI83" s="125"/>
      <c r="EJ83" s="126"/>
      <c r="EK83" s="30"/>
      <c r="EL83" s="127"/>
      <c r="EM83" s="128"/>
      <c r="EN83" s="123"/>
      <c r="EO83" s="128"/>
      <c r="EP83" s="13"/>
      <c r="EQ83" s="129"/>
      <c r="ER83" s="123"/>
      <c r="ES83" s="130"/>
      <c r="ET83" s="13"/>
      <c r="EU83" s="123"/>
      <c r="EV83" s="131"/>
    </row>
    <row r="84" spans="9:152" ht="15">
      <c r="I84" s="8" t="str">
        <f>"- Moment quán tính tiết diện đường hàn:"</f>
        <v>- Moment quán tính tiết diện đường hàn:</v>
      </c>
      <c r="J84" s="73"/>
      <c r="K84" s="73"/>
      <c r="L84" s="49"/>
      <c r="M84" s="71"/>
      <c r="N84" s="49"/>
      <c r="O84" s="78"/>
      <c r="P84" s="49"/>
      <c r="Q84" s="78"/>
      <c r="R84" s="49" t="s">
        <v>134</v>
      </c>
      <c r="S84" s="79">
        <f>Q91+Q92+Q93</f>
        <v>1026961885.3333333</v>
      </c>
      <c r="T84" s="10" t="s">
        <v>135</v>
      </c>
      <c r="U84" s="11"/>
      <c r="AD84" s="120"/>
      <c r="AI84" s="121"/>
      <c r="AJ84" s="13"/>
      <c r="AK84" s="13"/>
      <c r="AL84" s="13"/>
      <c r="AM84" s="13"/>
      <c r="AN84" s="13"/>
      <c r="AO84" s="13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3"/>
      <c r="BH84" s="127"/>
      <c r="BI84" s="125"/>
      <c r="BJ84" s="126"/>
      <c r="BK84" s="30"/>
      <c r="BL84" s="127"/>
      <c r="BM84" s="128"/>
      <c r="BN84" s="123"/>
      <c r="BO84" s="128"/>
      <c r="BP84" s="13"/>
      <c r="BQ84" s="129"/>
      <c r="BR84" s="123"/>
      <c r="BS84" s="130"/>
      <c r="BT84" s="13"/>
      <c r="BU84" s="123"/>
      <c r="BV84" s="131"/>
      <c r="DD84" s="120"/>
      <c r="DI84" s="121"/>
      <c r="DJ84" s="13"/>
      <c r="DK84" s="13"/>
      <c r="DL84" s="13"/>
      <c r="DM84" s="13"/>
      <c r="DN84" s="13"/>
      <c r="DO84" s="13"/>
      <c r="DW84" s="121"/>
      <c r="DX84" s="121"/>
      <c r="DY84" s="121"/>
      <c r="DZ84" s="121"/>
      <c r="EA84" s="121"/>
      <c r="EB84" s="121"/>
      <c r="EC84" s="121"/>
      <c r="ED84" s="121"/>
      <c r="EE84" s="121"/>
      <c r="EF84" s="121"/>
      <c r="EG84" s="123"/>
      <c r="EH84" s="127"/>
      <c r="EI84" s="125"/>
      <c r="EJ84" s="126"/>
      <c r="EK84" s="30"/>
      <c r="EL84" s="127"/>
      <c r="EM84" s="128"/>
      <c r="EN84" s="123"/>
      <c r="EO84" s="128"/>
      <c r="EP84" s="13"/>
      <c r="EQ84" s="129"/>
      <c r="ER84" s="123"/>
      <c r="ES84" s="130"/>
      <c r="ET84" s="13"/>
      <c r="EU84" s="123"/>
      <c r="EV84" s="131"/>
    </row>
    <row r="85" spans="9:152" ht="15">
      <c r="I85" s="8" t="str">
        <f>"- Moment kháng uốn tiết diện đường hàn:"</f>
        <v>- Moment kháng uốn tiết diện đường hàn:</v>
      </c>
      <c r="J85" s="73"/>
      <c r="K85" s="73"/>
      <c r="L85" s="49"/>
      <c r="M85" s="71"/>
      <c r="N85" s="49"/>
      <c r="O85" s="78"/>
      <c r="P85" s="49"/>
      <c r="Q85" s="78"/>
      <c r="R85" s="49" t="s">
        <v>136</v>
      </c>
      <c r="S85" s="79">
        <f>R91+R92+R93</f>
        <v>4416523.8577790614</v>
      </c>
      <c r="T85" s="10" t="s">
        <v>135</v>
      </c>
      <c r="U85" s="11"/>
      <c r="AD85" s="120"/>
      <c r="AI85" s="121"/>
      <c r="AJ85" s="13"/>
      <c r="AK85" s="13"/>
      <c r="AL85" s="13"/>
      <c r="AM85" s="13"/>
      <c r="AN85" s="13"/>
      <c r="AO85" s="13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3"/>
      <c r="BH85" s="127"/>
      <c r="BI85" s="125"/>
      <c r="BJ85" s="126"/>
      <c r="BK85" s="30"/>
      <c r="BL85" s="127"/>
      <c r="BM85" s="128"/>
      <c r="BN85" s="123"/>
      <c r="BO85" s="128"/>
      <c r="BP85" s="13"/>
      <c r="BQ85" s="129"/>
      <c r="BR85" s="123"/>
      <c r="BS85" s="130"/>
      <c r="BT85" s="13"/>
      <c r="BU85" s="123"/>
      <c r="BV85" s="131"/>
      <c r="DD85" s="120"/>
      <c r="DI85" s="121"/>
      <c r="DJ85" s="13"/>
      <c r="DK85" s="13"/>
      <c r="DL85" s="13"/>
      <c r="DM85" s="13"/>
      <c r="DN85" s="13"/>
      <c r="DO85" s="13"/>
      <c r="DW85" s="121"/>
      <c r="DX85" s="121"/>
      <c r="DY85" s="121"/>
      <c r="DZ85" s="121"/>
      <c r="EA85" s="121"/>
      <c r="EB85" s="121"/>
      <c r="EC85" s="121"/>
      <c r="ED85" s="121"/>
      <c r="EE85" s="121"/>
      <c r="EF85" s="121"/>
      <c r="EG85" s="123"/>
      <c r="EH85" s="127"/>
      <c r="EI85" s="125"/>
      <c r="EJ85" s="126"/>
      <c r="EK85" s="30"/>
      <c r="EL85" s="127"/>
      <c r="EM85" s="128"/>
      <c r="EN85" s="123"/>
      <c r="EO85" s="128"/>
      <c r="EP85" s="13"/>
      <c r="EQ85" s="129"/>
      <c r="ER85" s="123"/>
      <c r="ES85" s="130"/>
      <c r="ET85" s="13"/>
      <c r="EU85" s="123"/>
      <c r="EV85" s="131"/>
    </row>
    <row r="86" spans="9:152" ht="12.75" customHeight="1">
      <c r="I86" s="8" t="str">
        <f>"- Ứng suất tương đương:"</f>
        <v>- Ứng suất tương đương:</v>
      </c>
      <c r="J86" s="46"/>
      <c r="K86" s="46"/>
      <c r="L86" s="80"/>
      <c r="M86" s="81"/>
      <c r="N86" s="82"/>
      <c r="O86" s="83"/>
      <c r="P86" s="72"/>
      <c r="Q86" s="46"/>
      <c r="R86" s="51" t="s">
        <v>138</v>
      </c>
      <c r="S86" s="76">
        <f>SQRT((ABS(R60)*1000000/S85+P60*1000/S83)^2+(Q60*1000/S83)^2)</f>
        <v>21.097173532684288</v>
      </c>
      <c r="T86" s="10" t="s">
        <v>2</v>
      </c>
      <c r="AD86" s="120"/>
      <c r="AI86" s="121"/>
      <c r="AJ86" s="13"/>
      <c r="AK86" s="13"/>
      <c r="AL86" s="13"/>
      <c r="AM86" s="13"/>
      <c r="AN86" s="13"/>
      <c r="AO86" s="13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3"/>
      <c r="BH86" s="127"/>
      <c r="BI86" s="125"/>
      <c r="BJ86" s="126"/>
      <c r="BK86" s="30"/>
      <c r="BL86" s="127"/>
      <c r="BM86" s="128"/>
      <c r="BN86" s="123"/>
      <c r="BO86" s="128"/>
      <c r="BP86" s="13"/>
      <c r="BQ86" s="129"/>
      <c r="BR86" s="123"/>
      <c r="BS86" s="130"/>
      <c r="BT86" s="13"/>
      <c r="BU86" s="123"/>
      <c r="BV86" s="131"/>
      <c r="DD86" s="120"/>
      <c r="DI86" s="121"/>
      <c r="DJ86" s="13"/>
      <c r="DK86" s="13"/>
      <c r="DL86" s="13"/>
      <c r="DM86" s="13"/>
      <c r="DN86" s="13"/>
      <c r="DO86" s="13"/>
      <c r="DW86" s="121"/>
      <c r="DX86" s="121"/>
      <c r="DY86" s="121"/>
      <c r="DZ86" s="121"/>
      <c r="EA86" s="121"/>
      <c r="EB86" s="121"/>
      <c r="EC86" s="121"/>
      <c r="ED86" s="121"/>
      <c r="EE86" s="121"/>
      <c r="EF86" s="121"/>
      <c r="EG86" s="123"/>
      <c r="EH86" s="127"/>
      <c r="EI86" s="125"/>
      <c r="EJ86" s="126"/>
      <c r="EK86" s="30"/>
      <c r="EL86" s="127"/>
      <c r="EM86" s="128"/>
      <c r="EN86" s="123"/>
      <c r="EO86" s="128"/>
      <c r="EP86" s="13"/>
      <c r="EQ86" s="129"/>
      <c r="ER86" s="123"/>
      <c r="ES86" s="130"/>
      <c r="ET86" s="13"/>
      <c r="EU86" s="123"/>
      <c r="EV86" s="131"/>
    </row>
    <row r="87" spans="9:152" ht="15">
      <c r="I87" s="8" t="str">
        <f>"- Tỷ số huy động cấu kiện:"</f>
        <v>- Tỷ số huy động cấu kiện:</v>
      </c>
      <c r="J87" s="46"/>
      <c r="K87" s="46"/>
      <c r="L87" s="49"/>
      <c r="M87" s="71"/>
      <c r="N87" s="72"/>
      <c r="O87" s="46"/>
      <c r="P87" s="46"/>
      <c r="Q87" s="46"/>
      <c r="R87" s="51" t="s">
        <v>139</v>
      </c>
      <c r="S87" s="75">
        <f>S86/(S38)</f>
        <v>0.14559816102611653</v>
      </c>
      <c r="T87" s="14" t="str">
        <f>IF(S87&lt;=1,"OK","Check")</f>
        <v>OK</v>
      </c>
      <c r="U87" s="11"/>
      <c r="AD87" s="120"/>
      <c r="AI87" s="121"/>
      <c r="AJ87" s="13"/>
      <c r="AK87" s="13"/>
      <c r="AL87" s="13"/>
      <c r="AM87" s="13"/>
      <c r="AN87" s="13"/>
      <c r="AO87" s="13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3"/>
      <c r="BH87" s="127"/>
      <c r="BI87" s="125"/>
      <c r="BJ87" s="126"/>
      <c r="BK87" s="30"/>
      <c r="BL87" s="127"/>
      <c r="BM87" s="128"/>
      <c r="BN87" s="123"/>
      <c r="BO87" s="128"/>
      <c r="BP87" s="13"/>
      <c r="BQ87" s="129"/>
      <c r="BR87" s="123"/>
      <c r="BS87" s="130"/>
      <c r="BT87" s="13"/>
      <c r="BU87" s="123"/>
      <c r="BV87" s="131"/>
      <c r="DD87" s="120"/>
      <c r="DI87" s="121"/>
      <c r="DJ87" s="13"/>
      <c r="DK87" s="13"/>
      <c r="DL87" s="13"/>
      <c r="DM87" s="13"/>
      <c r="DN87" s="13"/>
      <c r="DO87" s="13"/>
      <c r="DW87" s="121"/>
      <c r="DX87" s="121"/>
      <c r="DY87" s="121"/>
      <c r="DZ87" s="121"/>
      <c r="EA87" s="121"/>
      <c r="EB87" s="121"/>
      <c r="EC87" s="121"/>
      <c r="ED87" s="121"/>
      <c r="EE87" s="121"/>
      <c r="EF87" s="121"/>
      <c r="EG87" s="123"/>
      <c r="EH87" s="127"/>
      <c r="EI87" s="125"/>
      <c r="EJ87" s="126"/>
      <c r="EK87" s="30"/>
      <c r="EL87" s="127"/>
      <c r="EM87" s="128"/>
      <c r="EN87" s="123"/>
      <c r="EO87" s="128"/>
      <c r="EP87" s="13"/>
      <c r="EQ87" s="129"/>
      <c r="ER87" s="123"/>
      <c r="ES87" s="130"/>
      <c r="ET87" s="13"/>
      <c r="EU87" s="123"/>
      <c r="EV87" s="131"/>
    </row>
    <row r="88" spans="9:152">
      <c r="I88" s="15" t="s">
        <v>22</v>
      </c>
      <c r="J88" s="46"/>
      <c r="K88" s="46"/>
      <c r="L88" s="84"/>
      <c r="M88" s="85"/>
      <c r="N88" s="50"/>
      <c r="O88" s="50"/>
      <c r="P88" s="86"/>
      <c r="Q88" s="51"/>
      <c r="R88" s="76"/>
      <c r="S88" s="46"/>
      <c r="T88" s="9"/>
      <c r="AD88" s="120"/>
      <c r="AI88" s="121"/>
      <c r="AJ88" s="13"/>
      <c r="AK88" s="13"/>
      <c r="AL88" s="13"/>
      <c r="AM88" s="13"/>
      <c r="AN88" s="13"/>
      <c r="AO88" s="13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3"/>
      <c r="BH88" s="127"/>
      <c r="BI88" s="125"/>
      <c r="BJ88" s="126"/>
      <c r="BK88" s="30"/>
      <c r="BL88" s="127"/>
      <c r="BM88" s="128"/>
      <c r="BN88" s="123"/>
      <c r="BO88" s="128"/>
      <c r="BP88" s="13"/>
      <c r="BQ88" s="129"/>
      <c r="BR88" s="123"/>
      <c r="BS88" s="130"/>
      <c r="BT88" s="13"/>
      <c r="BU88" s="123"/>
      <c r="BV88" s="131"/>
      <c r="DD88" s="120"/>
      <c r="DI88" s="121"/>
      <c r="DJ88" s="13"/>
      <c r="DK88" s="13"/>
      <c r="DL88" s="13"/>
      <c r="DM88" s="13"/>
      <c r="DN88" s="13"/>
      <c r="DO88" s="13"/>
      <c r="DW88" s="121"/>
      <c r="DX88" s="121"/>
      <c r="DY88" s="121"/>
      <c r="DZ88" s="121"/>
      <c r="EA88" s="121"/>
      <c r="EB88" s="121"/>
      <c r="EC88" s="121"/>
      <c r="ED88" s="121"/>
      <c r="EE88" s="121"/>
      <c r="EF88" s="121"/>
      <c r="EG88" s="123"/>
      <c r="EH88" s="127"/>
      <c r="EI88" s="125"/>
      <c r="EJ88" s="126"/>
      <c r="EK88" s="30"/>
      <c r="EL88" s="127"/>
      <c r="EM88" s="128"/>
      <c r="EN88" s="123"/>
      <c r="EO88" s="128"/>
      <c r="EP88" s="13"/>
      <c r="EQ88" s="129"/>
      <c r="ER88" s="123"/>
      <c r="ES88" s="130"/>
      <c r="ET88" s="13"/>
      <c r="EU88" s="123"/>
      <c r="EV88" s="131"/>
    </row>
    <row r="89" spans="9:152">
      <c r="I89" s="16"/>
      <c r="J89" s="17"/>
      <c r="K89" s="17"/>
      <c r="L89" s="18"/>
      <c r="M89" s="19"/>
      <c r="N89" s="20"/>
      <c r="O89" s="20"/>
      <c r="P89" s="21"/>
      <c r="Q89" s="22"/>
      <c r="R89" s="23"/>
      <c r="S89" s="23"/>
      <c r="T89" s="24"/>
      <c r="AD89" s="120"/>
      <c r="AI89" s="121"/>
      <c r="AJ89" s="13"/>
      <c r="AK89" s="13"/>
      <c r="AL89" s="13"/>
      <c r="AM89" s="13"/>
      <c r="AN89" s="13"/>
      <c r="AO89" s="13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3"/>
      <c r="BH89" s="127"/>
      <c r="BI89" s="125"/>
      <c r="BJ89" s="126"/>
      <c r="BK89" s="30"/>
      <c r="BL89" s="127"/>
      <c r="BM89" s="128"/>
      <c r="BN89" s="123"/>
      <c r="BO89" s="128"/>
      <c r="BP89" s="13"/>
      <c r="BQ89" s="129"/>
      <c r="BR89" s="123"/>
      <c r="BS89" s="130"/>
      <c r="BT89" s="13"/>
      <c r="BU89" s="123"/>
      <c r="BV89" s="131"/>
      <c r="DD89" s="120"/>
      <c r="DI89" s="121"/>
      <c r="DJ89" s="13"/>
      <c r="DK89" s="13"/>
      <c r="DL89" s="13"/>
      <c r="DM89" s="13"/>
      <c r="DN89" s="13"/>
      <c r="DO89" s="13"/>
      <c r="DW89" s="121"/>
      <c r="DX89" s="121"/>
      <c r="DY89" s="121"/>
      <c r="DZ89" s="121"/>
      <c r="EA89" s="121"/>
      <c r="EB89" s="121"/>
      <c r="EC89" s="121"/>
      <c r="ED89" s="121"/>
      <c r="EE89" s="121"/>
      <c r="EF89" s="121"/>
      <c r="EG89" s="123"/>
      <c r="EH89" s="127"/>
      <c r="EI89" s="125"/>
      <c r="EJ89" s="126"/>
      <c r="EK89" s="30"/>
      <c r="EL89" s="127"/>
      <c r="EM89" s="128"/>
      <c r="EN89" s="123"/>
      <c r="EO89" s="128"/>
      <c r="EP89" s="13"/>
      <c r="EQ89" s="129"/>
      <c r="ER89" s="123"/>
      <c r="ES89" s="130"/>
      <c r="ET89" s="13"/>
      <c r="EU89" s="123"/>
      <c r="EV89" s="131"/>
    </row>
    <row r="90" spans="9:152">
      <c r="I90" s="138" t="s">
        <v>137</v>
      </c>
      <c r="J90" s="138"/>
      <c r="K90" s="138"/>
      <c r="L90" s="42" t="s">
        <v>132</v>
      </c>
      <c r="M90" s="43" t="s">
        <v>128</v>
      </c>
      <c r="N90" s="43" t="s">
        <v>129</v>
      </c>
      <c r="O90" s="43" t="s">
        <v>130</v>
      </c>
      <c r="P90" s="43" t="s">
        <v>29</v>
      </c>
      <c r="Q90" s="43" t="s">
        <v>133</v>
      </c>
      <c r="R90" s="43" t="s">
        <v>94</v>
      </c>
      <c r="S90" s="139"/>
      <c r="T90" s="140"/>
      <c r="AD90" s="120"/>
      <c r="AI90" s="121"/>
      <c r="AJ90" s="13"/>
      <c r="AK90" s="13"/>
      <c r="AL90" s="13"/>
      <c r="AM90" s="13"/>
      <c r="AN90" s="13"/>
      <c r="AO90" s="13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3"/>
      <c r="BH90" s="127"/>
      <c r="BI90" s="125"/>
      <c r="BJ90" s="126"/>
      <c r="BK90" s="30"/>
      <c r="BL90" s="127"/>
      <c r="BM90" s="128"/>
      <c r="BN90" s="123"/>
      <c r="BO90" s="128"/>
      <c r="BP90" s="13"/>
      <c r="BQ90" s="129"/>
      <c r="BR90" s="123"/>
      <c r="BS90" s="130"/>
      <c r="BT90" s="13"/>
      <c r="BU90" s="123"/>
      <c r="BV90" s="131"/>
      <c r="DD90" s="120"/>
      <c r="DI90" s="121"/>
      <c r="DJ90" s="13"/>
      <c r="DK90" s="13"/>
      <c r="DL90" s="13"/>
      <c r="DM90" s="13"/>
      <c r="DN90" s="13"/>
      <c r="DO90" s="13"/>
      <c r="DW90" s="121"/>
      <c r="DX90" s="121"/>
      <c r="DY90" s="121"/>
      <c r="DZ90" s="121"/>
      <c r="EA90" s="121"/>
      <c r="EB90" s="121"/>
      <c r="EC90" s="121"/>
      <c r="ED90" s="121"/>
      <c r="EE90" s="121"/>
      <c r="EF90" s="121"/>
      <c r="EG90" s="123"/>
      <c r="EH90" s="127"/>
      <c r="EI90" s="125"/>
      <c r="EJ90" s="126"/>
      <c r="EK90" s="30"/>
      <c r="EL90" s="127"/>
      <c r="EM90" s="128"/>
      <c r="EN90" s="123"/>
      <c r="EO90" s="128"/>
      <c r="EP90" s="13"/>
      <c r="EQ90" s="129"/>
      <c r="ER90" s="123"/>
      <c r="ES90" s="130"/>
      <c r="ET90" s="13"/>
      <c r="EU90" s="123"/>
      <c r="EV90" s="131"/>
    </row>
    <row r="91" spans="9:152">
      <c r="I91" s="137" t="s">
        <v>125</v>
      </c>
      <c r="J91" s="137"/>
      <c r="K91" s="137"/>
      <c r="L91" s="43">
        <v>2</v>
      </c>
      <c r="M91" s="43">
        <f>S42-10</f>
        <v>190</v>
      </c>
      <c r="N91" s="43">
        <f>S55</f>
        <v>8</v>
      </c>
      <c r="O91" s="43">
        <f>S41/2+S55/2</f>
        <v>244</v>
      </c>
      <c r="P91" s="43">
        <f>L91*M91*N91</f>
        <v>3040</v>
      </c>
      <c r="Q91" s="44">
        <f>L91*(M91*N91^3/12+P91*O91^2)</f>
        <v>361995093.33333331</v>
      </c>
      <c r="R91" s="44">
        <f>Q91/O91</f>
        <v>1483586.4480874317</v>
      </c>
      <c r="S91" s="141"/>
      <c r="T91" s="142"/>
      <c r="AD91" s="120"/>
      <c r="AI91" s="121"/>
      <c r="AJ91" s="13"/>
      <c r="AK91" s="13"/>
      <c r="AL91" s="13"/>
      <c r="AM91" s="13"/>
      <c r="AN91" s="13"/>
      <c r="AO91" s="13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3"/>
      <c r="BH91" s="127"/>
      <c r="BI91" s="125"/>
      <c r="BJ91" s="126"/>
      <c r="BK91" s="30"/>
      <c r="BL91" s="127"/>
      <c r="BM91" s="128"/>
      <c r="BN91" s="123"/>
      <c r="BO91" s="128"/>
      <c r="BP91" s="13"/>
      <c r="BQ91" s="129"/>
      <c r="BR91" s="123"/>
      <c r="BS91" s="130"/>
      <c r="BT91" s="13"/>
      <c r="BU91" s="123"/>
      <c r="BV91" s="131"/>
      <c r="DD91" s="120"/>
      <c r="DI91" s="121"/>
      <c r="DJ91" s="13"/>
      <c r="DK91" s="13"/>
      <c r="DL91" s="13"/>
      <c r="DM91" s="13"/>
      <c r="DN91" s="13"/>
      <c r="DO91" s="13"/>
      <c r="DW91" s="121"/>
      <c r="DX91" s="121"/>
      <c r="DY91" s="121"/>
      <c r="DZ91" s="121"/>
      <c r="EA91" s="121"/>
      <c r="EB91" s="121"/>
      <c r="EC91" s="121"/>
      <c r="ED91" s="121"/>
      <c r="EE91" s="121"/>
      <c r="EF91" s="121"/>
      <c r="EG91" s="123"/>
      <c r="EH91" s="127"/>
      <c r="EI91" s="125"/>
      <c r="EJ91" s="126"/>
      <c r="EK91" s="30"/>
      <c r="EL91" s="127"/>
      <c r="EM91" s="128"/>
      <c r="EN91" s="123"/>
      <c r="EO91" s="128"/>
      <c r="EP91" s="13"/>
      <c r="EQ91" s="129"/>
      <c r="ER91" s="123"/>
      <c r="ES91" s="130"/>
      <c r="ET91" s="13"/>
      <c r="EU91" s="123"/>
      <c r="EV91" s="131"/>
    </row>
    <row r="92" spans="9:152">
      <c r="I92" s="137" t="s">
        <v>126</v>
      </c>
      <c r="J92" s="137"/>
      <c r="K92" s="137"/>
      <c r="L92" s="43">
        <v>4</v>
      </c>
      <c r="M92" s="43">
        <f>(S42-S43)/2-10</f>
        <v>87</v>
      </c>
      <c r="N92" s="43">
        <f>S55</f>
        <v>8</v>
      </c>
      <c r="O92" s="43">
        <f>S41/2-S44-S56/2</f>
        <v>227</v>
      </c>
      <c r="P92" s="43">
        <f t="shared" ref="P92:P93" si="0">L92*M92*N92</f>
        <v>2784</v>
      </c>
      <c r="Q92" s="44">
        <f>L92*(M92*N92^3/12+P92*O92^2)</f>
        <v>573841792</v>
      </c>
      <c r="R92" s="44">
        <f>Q92/O92</f>
        <v>2527937.4096916299</v>
      </c>
      <c r="S92" s="141"/>
      <c r="T92" s="142"/>
      <c r="AD92" s="120"/>
      <c r="AI92" s="121"/>
      <c r="AJ92" s="13"/>
      <c r="AK92" s="13"/>
      <c r="AL92" s="13"/>
      <c r="AM92" s="13"/>
      <c r="AN92" s="13"/>
      <c r="AO92" s="13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3"/>
      <c r="BH92" s="127"/>
      <c r="BI92" s="125"/>
      <c r="BJ92" s="126"/>
      <c r="BK92" s="30"/>
      <c r="BL92" s="127"/>
      <c r="BM92" s="128"/>
      <c r="BN92" s="123"/>
      <c r="BO92" s="128"/>
      <c r="BP92" s="13"/>
      <c r="BQ92" s="129"/>
      <c r="BR92" s="123"/>
      <c r="BS92" s="130"/>
      <c r="BT92" s="13"/>
      <c r="BU92" s="123"/>
      <c r="BV92" s="131"/>
      <c r="DD92" s="120"/>
      <c r="DI92" s="121"/>
      <c r="DJ92" s="13"/>
      <c r="DK92" s="13"/>
      <c r="DL92" s="13"/>
      <c r="DM92" s="13"/>
      <c r="DN92" s="13"/>
      <c r="DO92" s="13"/>
      <c r="DW92" s="121"/>
      <c r="DX92" s="121"/>
      <c r="DY92" s="121"/>
      <c r="DZ92" s="121"/>
      <c r="EA92" s="121"/>
      <c r="EB92" s="121"/>
      <c r="EC92" s="121"/>
      <c r="ED92" s="121"/>
      <c r="EE92" s="121"/>
      <c r="EF92" s="121"/>
      <c r="EG92" s="123"/>
      <c r="EH92" s="127"/>
      <c r="EI92" s="125"/>
      <c r="EJ92" s="126"/>
      <c r="EK92" s="30"/>
      <c r="EL92" s="127"/>
      <c r="EM92" s="128"/>
      <c r="EN92" s="123"/>
      <c r="EO92" s="128"/>
      <c r="EP92" s="13"/>
      <c r="EQ92" s="129"/>
      <c r="ER92" s="123"/>
      <c r="ES92" s="130"/>
      <c r="ET92" s="13"/>
      <c r="EU92" s="123"/>
      <c r="EV92" s="131"/>
    </row>
    <row r="93" spans="9:152">
      <c r="I93" s="137" t="s">
        <v>127</v>
      </c>
      <c r="J93" s="137"/>
      <c r="K93" s="137"/>
      <c r="L93" s="43">
        <v>2</v>
      </c>
      <c r="M93" s="43">
        <f>S56</f>
        <v>6</v>
      </c>
      <c r="N93" s="43">
        <f>S41-2*S44-10</f>
        <v>450</v>
      </c>
      <c r="O93" s="43">
        <v>0</v>
      </c>
      <c r="P93" s="43">
        <f t="shared" si="0"/>
        <v>5400</v>
      </c>
      <c r="Q93" s="44">
        <f>L93*(M93*N93^3/12)</f>
        <v>91125000</v>
      </c>
      <c r="R93" s="44">
        <f>Q93/(N93/2)</f>
        <v>405000</v>
      </c>
      <c r="S93" s="143"/>
      <c r="T93" s="144"/>
      <c r="AD93" s="120"/>
      <c r="AI93" s="121"/>
      <c r="AJ93" s="13"/>
      <c r="AK93" s="13"/>
      <c r="AL93" s="13"/>
      <c r="AM93" s="13"/>
      <c r="AN93" s="13"/>
      <c r="AO93" s="13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3"/>
      <c r="BH93" s="127"/>
      <c r="BI93" s="125"/>
      <c r="BJ93" s="126"/>
      <c r="BK93" s="30"/>
      <c r="BL93" s="127"/>
      <c r="BM93" s="128"/>
      <c r="BN93" s="123"/>
      <c r="BO93" s="128"/>
      <c r="BP93" s="13"/>
      <c r="BQ93" s="129"/>
      <c r="BR93" s="123"/>
      <c r="BS93" s="130"/>
      <c r="BT93" s="13"/>
      <c r="BU93" s="123"/>
      <c r="BV93" s="131"/>
      <c r="DD93" s="120"/>
      <c r="DI93" s="121"/>
      <c r="DJ93" s="13"/>
      <c r="DK93" s="13"/>
      <c r="DL93" s="13"/>
      <c r="DM93" s="13"/>
      <c r="DN93" s="13"/>
      <c r="DO93" s="13"/>
      <c r="DW93" s="121"/>
      <c r="DX93" s="121"/>
      <c r="DY93" s="121"/>
      <c r="DZ93" s="121"/>
      <c r="EA93" s="121"/>
      <c r="EB93" s="121"/>
      <c r="EC93" s="121"/>
      <c r="ED93" s="121"/>
      <c r="EE93" s="121"/>
      <c r="EF93" s="121"/>
      <c r="EG93" s="123"/>
      <c r="EH93" s="127"/>
      <c r="EI93" s="125"/>
      <c r="EJ93" s="126"/>
      <c r="EK93" s="30"/>
      <c r="EL93" s="127"/>
      <c r="EM93" s="128"/>
      <c r="EN93" s="123"/>
      <c r="EO93" s="128"/>
      <c r="EP93" s="13"/>
      <c r="EQ93" s="129"/>
      <c r="ER93" s="123"/>
      <c r="ES93" s="130"/>
      <c r="ET93" s="13"/>
      <c r="EU93" s="123"/>
      <c r="EV93" s="131"/>
    </row>
    <row r="94" spans="9:152">
      <c r="I94" s="1" t="s">
        <v>131</v>
      </c>
      <c r="AD94" s="120"/>
      <c r="AI94" s="121"/>
      <c r="AJ94" s="13"/>
      <c r="AK94" s="13"/>
      <c r="AL94" s="13"/>
      <c r="AM94" s="13"/>
      <c r="AN94" s="13"/>
      <c r="AO94" s="13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3"/>
      <c r="BH94" s="127"/>
      <c r="BI94" s="125"/>
      <c r="BJ94" s="126"/>
      <c r="BK94" s="30"/>
      <c r="BL94" s="127"/>
      <c r="BM94" s="128"/>
      <c r="BN94" s="123"/>
      <c r="BO94" s="128"/>
      <c r="BP94" s="13"/>
      <c r="BQ94" s="129"/>
      <c r="BR94" s="123"/>
      <c r="BS94" s="130"/>
      <c r="BT94" s="13"/>
      <c r="BU94" s="123"/>
      <c r="BV94" s="131"/>
      <c r="DD94" s="120"/>
      <c r="DI94" s="121"/>
      <c r="DJ94" s="13"/>
      <c r="DK94" s="13"/>
      <c r="DL94" s="13"/>
      <c r="DM94" s="13"/>
      <c r="DN94" s="13"/>
      <c r="DO94" s="13"/>
      <c r="DW94" s="121"/>
      <c r="DX94" s="121"/>
      <c r="DY94" s="121"/>
      <c r="DZ94" s="121"/>
      <c r="EA94" s="121"/>
      <c r="EB94" s="121"/>
      <c r="EC94" s="121"/>
      <c r="ED94" s="121"/>
      <c r="EE94" s="121"/>
      <c r="EF94" s="121"/>
      <c r="EG94" s="123"/>
      <c r="EH94" s="127"/>
      <c r="EI94" s="125"/>
      <c r="EJ94" s="126"/>
      <c r="EK94" s="30"/>
      <c r="EL94" s="127"/>
      <c r="EM94" s="128"/>
      <c r="EN94" s="123"/>
      <c r="EO94" s="128"/>
      <c r="EP94" s="13"/>
      <c r="EQ94" s="129"/>
      <c r="ER94" s="123"/>
      <c r="ES94" s="130"/>
      <c r="ET94" s="13"/>
      <c r="EU94" s="123"/>
      <c r="EV94" s="131"/>
    </row>
    <row r="95" spans="9:152">
      <c r="AD95" s="120"/>
      <c r="AI95" s="121"/>
      <c r="AJ95" s="13"/>
      <c r="AK95" s="13"/>
      <c r="AL95" s="13"/>
      <c r="AM95" s="13"/>
      <c r="AN95" s="13"/>
      <c r="AO95" s="13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3"/>
      <c r="BH95" s="127"/>
      <c r="BI95" s="125"/>
      <c r="BJ95" s="126"/>
      <c r="BK95" s="30"/>
      <c r="BL95" s="127"/>
      <c r="BM95" s="128"/>
      <c r="BN95" s="123"/>
      <c r="BO95" s="128"/>
      <c r="BP95" s="13"/>
      <c r="BQ95" s="129"/>
      <c r="BR95" s="123"/>
      <c r="BS95" s="130"/>
      <c r="BT95" s="13"/>
      <c r="BU95" s="123"/>
      <c r="BV95" s="131"/>
      <c r="DD95" s="120"/>
      <c r="DI95" s="121"/>
      <c r="DJ95" s="13"/>
      <c r="DK95" s="13"/>
      <c r="DL95" s="13"/>
      <c r="DM95" s="13"/>
      <c r="DN95" s="13"/>
      <c r="DO95" s="13"/>
      <c r="DW95" s="121"/>
      <c r="DX95" s="121"/>
      <c r="DY95" s="121"/>
      <c r="DZ95" s="121"/>
      <c r="EA95" s="121"/>
      <c r="EB95" s="121"/>
      <c r="EC95" s="121"/>
      <c r="ED95" s="121"/>
      <c r="EE95" s="121"/>
      <c r="EF95" s="121"/>
      <c r="EG95" s="123"/>
      <c r="EH95" s="127"/>
      <c r="EI95" s="125"/>
      <c r="EJ95" s="126"/>
      <c r="EK95" s="30"/>
      <c r="EL95" s="127"/>
      <c r="EM95" s="128"/>
      <c r="EN95" s="123"/>
      <c r="EO95" s="128"/>
      <c r="EP95" s="13"/>
      <c r="EQ95" s="129"/>
      <c r="ER95" s="123"/>
      <c r="ES95" s="130"/>
      <c r="ET95" s="13"/>
      <c r="EU95" s="123"/>
      <c r="EV95" s="131"/>
    </row>
    <row r="96" spans="9:152">
      <c r="AD96" s="120"/>
      <c r="AI96" s="121"/>
      <c r="AJ96" s="13"/>
      <c r="AK96" s="13"/>
      <c r="AL96" s="13"/>
      <c r="AM96" s="13"/>
      <c r="AN96" s="13"/>
      <c r="AO96" s="13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3"/>
      <c r="BH96" s="127"/>
      <c r="BI96" s="125"/>
      <c r="BJ96" s="126"/>
      <c r="BK96" s="30"/>
      <c r="BL96" s="127"/>
      <c r="BM96" s="128"/>
      <c r="BN96" s="123"/>
      <c r="BO96" s="128"/>
      <c r="BP96" s="13"/>
      <c r="BQ96" s="129"/>
      <c r="BR96" s="123"/>
      <c r="BS96" s="130"/>
      <c r="BT96" s="13"/>
      <c r="BU96" s="123"/>
      <c r="BV96" s="131"/>
      <c r="DD96" s="120"/>
      <c r="DI96" s="121"/>
      <c r="DJ96" s="13"/>
      <c r="DK96" s="13"/>
      <c r="DL96" s="13"/>
      <c r="DM96" s="13"/>
      <c r="DN96" s="13"/>
      <c r="DO96" s="13"/>
      <c r="DW96" s="121"/>
      <c r="DX96" s="121"/>
      <c r="DY96" s="121"/>
      <c r="DZ96" s="121"/>
      <c r="EA96" s="121"/>
      <c r="EB96" s="121"/>
      <c r="EC96" s="121"/>
      <c r="ED96" s="121"/>
      <c r="EE96" s="121"/>
      <c r="EF96" s="121"/>
      <c r="EG96" s="123"/>
      <c r="EH96" s="127"/>
      <c r="EI96" s="125"/>
      <c r="EJ96" s="126"/>
      <c r="EK96" s="30"/>
      <c r="EL96" s="127"/>
      <c r="EM96" s="128"/>
      <c r="EN96" s="123"/>
      <c r="EO96" s="128"/>
      <c r="EP96" s="13"/>
      <c r="EQ96" s="129"/>
      <c r="ER96" s="123"/>
      <c r="ES96" s="130"/>
      <c r="ET96" s="13"/>
      <c r="EU96" s="123"/>
      <c r="EV96" s="131"/>
    </row>
    <row r="97" spans="30:152">
      <c r="AD97" s="120"/>
      <c r="AI97" s="121"/>
      <c r="AJ97" s="13"/>
      <c r="AK97" s="13"/>
      <c r="AL97" s="13"/>
      <c r="AM97" s="13"/>
      <c r="AN97" s="13"/>
      <c r="AO97" s="13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3"/>
      <c r="BH97" s="127"/>
      <c r="BI97" s="125"/>
      <c r="BJ97" s="126"/>
      <c r="BK97" s="30"/>
      <c r="BL97" s="127"/>
      <c r="BM97" s="128"/>
      <c r="BN97" s="123"/>
      <c r="BO97" s="128"/>
      <c r="BP97" s="13"/>
      <c r="BQ97" s="129"/>
      <c r="BR97" s="123"/>
      <c r="BS97" s="130"/>
      <c r="BT97" s="13"/>
      <c r="BU97" s="123"/>
      <c r="BV97" s="131"/>
      <c r="DD97" s="120"/>
      <c r="DI97" s="121"/>
      <c r="DJ97" s="13"/>
      <c r="DK97" s="13"/>
      <c r="DL97" s="13"/>
      <c r="DM97" s="13"/>
      <c r="DN97" s="13"/>
      <c r="DO97" s="13"/>
      <c r="DW97" s="121"/>
      <c r="DX97" s="121"/>
      <c r="DY97" s="121"/>
      <c r="DZ97" s="121"/>
      <c r="EA97" s="121"/>
      <c r="EB97" s="121"/>
      <c r="EC97" s="121"/>
      <c r="ED97" s="121"/>
      <c r="EE97" s="121"/>
      <c r="EF97" s="121"/>
      <c r="EG97" s="123"/>
      <c r="EH97" s="127"/>
      <c r="EI97" s="125"/>
      <c r="EJ97" s="126"/>
      <c r="EK97" s="30"/>
      <c r="EL97" s="127"/>
      <c r="EM97" s="128"/>
      <c r="EN97" s="123"/>
      <c r="EO97" s="128"/>
      <c r="EP97" s="13"/>
      <c r="EQ97" s="129"/>
      <c r="ER97" s="123"/>
      <c r="ES97" s="130"/>
      <c r="ET97" s="13"/>
      <c r="EU97" s="123"/>
      <c r="EV97" s="131"/>
    </row>
    <row r="98" spans="30:152">
      <c r="AD98" s="120"/>
      <c r="AI98" s="121"/>
      <c r="AJ98" s="13"/>
      <c r="AK98" s="13"/>
      <c r="AL98" s="13"/>
      <c r="AM98" s="13"/>
      <c r="AN98" s="13"/>
      <c r="AO98" s="13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3"/>
      <c r="BH98" s="127"/>
      <c r="BI98" s="125"/>
      <c r="BJ98" s="126"/>
      <c r="BK98" s="30"/>
      <c r="BL98" s="127"/>
      <c r="BM98" s="128"/>
      <c r="BN98" s="123"/>
      <c r="BO98" s="128"/>
      <c r="BP98" s="13"/>
      <c r="BQ98" s="129"/>
      <c r="BR98" s="123"/>
      <c r="BS98" s="130"/>
      <c r="BT98" s="13"/>
      <c r="BU98" s="123"/>
      <c r="BV98" s="131"/>
      <c r="DD98" s="120"/>
      <c r="DI98" s="121"/>
      <c r="DJ98" s="13"/>
      <c r="DK98" s="13"/>
      <c r="DL98" s="13"/>
      <c r="DM98" s="13"/>
      <c r="DN98" s="13"/>
      <c r="DO98" s="13"/>
      <c r="DW98" s="121"/>
      <c r="DX98" s="121"/>
      <c r="DY98" s="121"/>
      <c r="DZ98" s="121"/>
      <c r="EA98" s="121"/>
      <c r="EB98" s="121"/>
      <c r="EC98" s="121"/>
      <c r="ED98" s="121"/>
      <c r="EE98" s="121"/>
      <c r="EF98" s="121"/>
      <c r="EG98" s="123"/>
      <c r="EH98" s="127"/>
      <c r="EI98" s="125"/>
      <c r="EJ98" s="126"/>
      <c r="EK98" s="30"/>
      <c r="EL98" s="127"/>
      <c r="EM98" s="128"/>
      <c r="EN98" s="123"/>
      <c r="EO98" s="128"/>
      <c r="EP98" s="13"/>
      <c r="EQ98" s="129"/>
      <c r="ER98" s="123"/>
      <c r="ES98" s="130"/>
      <c r="ET98" s="13"/>
      <c r="EU98" s="123"/>
      <c r="EV98" s="131"/>
    </row>
    <row r="99" spans="30:152">
      <c r="AD99" s="120"/>
      <c r="AI99" s="121"/>
      <c r="AJ99" s="13"/>
      <c r="AK99" s="13"/>
      <c r="AL99" s="13"/>
      <c r="AM99" s="13"/>
      <c r="AN99" s="13"/>
      <c r="AO99" s="13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3"/>
      <c r="BH99" s="127"/>
      <c r="BI99" s="125"/>
      <c r="BJ99" s="126"/>
      <c r="BK99" s="30"/>
      <c r="BL99" s="127"/>
      <c r="BM99" s="128"/>
      <c r="BN99" s="123"/>
      <c r="BO99" s="128"/>
      <c r="BP99" s="13"/>
      <c r="BQ99" s="129"/>
      <c r="BR99" s="123"/>
      <c r="BS99" s="130"/>
      <c r="BT99" s="13"/>
      <c r="BU99" s="123"/>
      <c r="BV99" s="131"/>
      <c r="DD99" s="120"/>
      <c r="DI99" s="121"/>
      <c r="DJ99" s="13"/>
      <c r="DK99" s="13"/>
      <c r="DL99" s="13"/>
      <c r="DM99" s="13"/>
      <c r="DN99" s="13"/>
      <c r="DO99" s="13"/>
      <c r="DW99" s="121"/>
      <c r="DX99" s="121"/>
      <c r="DY99" s="121"/>
      <c r="DZ99" s="121"/>
      <c r="EA99" s="121"/>
      <c r="EB99" s="121"/>
      <c r="EC99" s="121"/>
      <c r="ED99" s="121"/>
      <c r="EE99" s="121"/>
      <c r="EF99" s="121"/>
      <c r="EG99" s="123"/>
      <c r="EH99" s="127"/>
      <c r="EI99" s="125"/>
      <c r="EJ99" s="126"/>
      <c r="EK99" s="30"/>
      <c r="EL99" s="127"/>
      <c r="EM99" s="128"/>
      <c r="EN99" s="123"/>
      <c r="EO99" s="128"/>
      <c r="EP99" s="13"/>
      <c r="EQ99" s="129"/>
      <c r="ER99" s="123"/>
      <c r="ES99" s="130"/>
      <c r="ET99" s="13"/>
      <c r="EU99" s="123"/>
      <c r="EV99" s="131"/>
    </row>
    <row r="100" spans="30:152">
      <c r="AD100" s="120"/>
      <c r="AI100" s="121"/>
      <c r="AJ100" s="13"/>
      <c r="AK100" s="13"/>
      <c r="AL100" s="13"/>
      <c r="AM100" s="13"/>
      <c r="AN100" s="13"/>
      <c r="AO100" s="13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3"/>
      <c r="BH100" s="127"/>
      <c r="BI100" s="125"/>
      <c r="BJ100" s="126"/>
      <c r="BK100" s="30"/>
      <c r="BL100" s="127"/>
      <c r="BM100" s="128"/>
      <c r="BN100" s="123"/>
      <c r="BO100" s="128"/>
      <c r="BP100" s="13"/>
      <c r="BQ100" s="129"/>
      <c r="BR100" s="123"/>
      <c r="BS100" s="130"/>
      <c r="BT100" s="13"/>
      <c r="BU100" s="123"/>
      <c r="BV100" s="131"/>
      <c r="DD100" s="120"/>
      <c r="DI100" s="121"/>
      <c r="DJ100" s="13"/>
      <c r="DK100" s="13"/>
      <c r="DL100" s="13"/>
      <c r="DM100" s="13"/>
      <c r="DN100" s="13"/>
      <c r="DO100" s="13"/>
      <c r="DW100" s="121"/>
      <c r="DX100" s="121"/>
      <c r="DY100" s="121"/>
      <c r="DZ100" s="121"/>
      <c r="EA100" s="121"/>
      <c r="EB100" s="121"/>
      <c r="EC100" s="121"/>
      <c r="ED100" s="121"/>
      <c r="EE100" s="121"/>
      <c r="EF100" s="121"/>
      <c r="EG100" s="123"/>
      <c r="EH100" s="127"/>
      <c r="EI100" s="125"/>
      <c r="EJ100" s="126"/>
      <c r="EK100" s="30"/>
      <c r="EL100" s="127"/>
      <c r="EM100" s="128"/>
      <c r="EN100" s="123"/>
      <c r="EO100" s="128"/>
      <c r="EP100" s="13"/>
      <c r="EQ100" s="129"/>
      <c r="ER100" s="123"/>
      <c r="ES100" s="130"/>
      <c r="ET100" s="13"/>
      <c r="EU100" s="123"/>
      <c r="EV100" s="131"/>
    </row>
    <row r="101" spans="30:152">
      <c r="AD101" s="120"/>
      <c r="AI101" s="121"/>
      <c r="AJ101" s="13"/>
      <c r="AK101" s="13"/>
      <c r="AL101" s="13"/>
      <c r="AM101" s="13"/>
      <c r="AN101" s="13"/>
      <c r="AO101" s="13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3"/>
      <c r="BH101" s="127"/>
      <c r="BI101" s="125"/>
      <c r="BJ101" s="126"/>
      <c r="BK101" s="30"/>
      <c r="BL101" s="127"/>
      <c r="BM101" s="128"/>
      <c r="BN101" s="123"/>
      <c r="BO101" s="128"/>
      <c r="BP101" s="13"/>
      <c r="BQ101" s="129"/>
      <c r="BR101" s="123"/>
      <c r="BS101" s="130"/>
      <c r="BT101" s="13"/>
      <c r="BU101" s="123"/>
      <c r="BV101" s="131"/>
      <c r="DD101" s="120"/>
      <c r="DI101" s="121"/>
      <c r="DJ101" s="13"/>
      <c r="DK101" s="13"/>
      <c r="DL101" s="13"/>
      <c r="DM101" s="13"/>
      <c r="DN101" s="13"/>
      <c r="DO101" s="13"/>
      <c r="DW101" s="121"/>
      <c r="DX101" s="121"/>
      <c r="DY101" s="121"/>
      <c r="DZ101" s="121"/>
      <c r="EA101" s="121"/>
      <c r="EB101" s="121"/>
      <c r="EC101" s="121"/>
      <c r="ED101" s="121"/>
      <c r="EE101" s="121"/>
      <c r="EF101" s="121"/>
      <c r="EG101" s="123"/>
      <c r="EH101" s="127"/>
      <c r="EI101" s="125"/>
      <c r="EJ101" s="126"/>
      <c r="EK101" s="30"/>
      <c r="EL101" s="127"/>
      <c r="EM101" s="128"/>
      <c r="EN101" s="123"/>
      <c r="EO101" s="128"/>
      <c r="EP101" s="13"/>
      <c r="EQ101" s="129"/>
      <c r="ER101" s="123"/>
      <c r="ES101" s="130"/>
      <c r="ET101" s="13"/>
      <c r="EU101" s="123"/>
      <c r="EV101" s="131"/>
    </row>
    <row r="102" spans="30:152">
      <c r="AD102" s="120"/>
      <c r="AI102" s="121"/>
      <c r="AJ102" s="13"/>
      <c r="AK102" s="13"/>
      <c r="AL102" s="13"/>
      <c r="AM102" s="13"/>
      <c r="AN102" s="13"/>
      <c r="AO102" s="13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3"/>
      <c r="BH102" s="127"/>
      <c r="BI102" s="125"/>
      <c r="BJ102" s="126"/>
      <c r="BK102" s="30"/>
      <c r="BL102" s="127"/>
      <c r="BM102" s="128"/>
      <c r="BN102" s="123"/>
      <c r="BO102" s="128"/>
      <c r="BP102" s="13"/>
      <c r="BQ102" s="129"/>
      <c r="BR102" s="123"/>
      <c r="BS102" s="130"/>
      <c r="BT102" s="13"/>
      <c r="BU102" s="123"/>
      <c r="BV102" s="131"/>
      <c r="DD102" s="120"/>
      <c r="DI102" s="121"/>
      <c r="DJ102" s="13"/>
      <c r="DK102" s="13"/>
      <c r="DL102" s="13"/>
      <c r="DM102" s="13"/>
      <c r="DN102" s="13"/>
      <c r="DO102" s="13"/>
      <c r="DW102" s="121"/>
      <c r="DX102" s="121"/>
      <c r="DY102" s="121"/>
      <c r="DZ102" s="121"/>
      <c r="EA102" s="121"/>
      <c r="EB102" s="121"/>
      <c r="EC102" s="121"/>
      <c r="ED102" s="121"/>
      <c r="EE102" s="121"/>
      <c r="EF102" s="121"/>
      <c r="EG102" s="123"/>
      <c r="EH102" s="127"/>
      <c r="EI102" s="125"/>
      <c r="EJ102" s="126"/>
      <c r="EK102" s="30"/>
      <c r="EL102" s="127"/>
      <c r="EM102" s="128"/>
      <c r="EN102" s="123"/>
      <c r="EO102" s="128"/>
      <c r="EP102" s="13"/>
      <c r="EQ102" s="129"/>
      <c r="ER102" s="123"/>
      <c r="ES102" s="130"/>
      <c r="ET102" s="13"/>
      <c r="EU102" s="123"/>
      <c r="EV102" s="131"/>
    </row>
    <row r="103" spans="30:152">
      <c r="AD103" s="120"/>
      <c r="AI103" s="121"/>
      <c r="AJ103" s="13"/>
      <c r="AK103" s="13"/>
      <c r="AL103" s="13"/>
      <c r="AM103" s="13"/>
      <c r="AN103" s="13"/>
      <c r="AO103" s="13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3"/>
      <c r="BH103" s="127"/>
      <c r="BI103" s="125"/>
      <c r="BJ103" s="126"/>
      <c r="BK103" s="30"/>
      <c r="BL103" s="127"/>
      <c r="BM103" s="128"/>
      <c r="BN103" s="123"/>
      <c r="BO103" s="128"/>
      <c r="BP103" s="13"/>
      <c r="BQ103" s="129"/>
      <c r="BR103" s="123"/>
      <c r="BS103" s="130"/>
      <c r="BT103" s="13"/>
      <c r="BU103" s="123"/>
      <c r="BV103" s="131"/>
      <c r="DD103" s="120"/>
      <c r="DI103" s="121"/>
      <c r="DJ103" s="13"/>
      <c r="DK103" s="13"/>
      <c r="DL103" s="13"/>
      <c r="DM103" s="13"/>
      <c r="DN103" s="13"/>
      <c r="DO103" s="13"/>
      <c r="DW103" s="121"/>
      <c r="DX103" s="121"/>
      <c r="DY103" s="121"/>
      <c r="DZ103" s="121"/>
      <c r="EA103" s="121"/>
      <c r="EB103" s="121"/>
      <c r="EC103" s="121"/>
      <c r="ED103" s="121"/>
      <c r="EE103" s="121"/>
      <c r="EF103" s="121"/>
      <c r="EG103" s="123"/>
      <c r="EH103" s="127"/>
      <c r="EI103" s="125"/>
      <c r="EJ103" s="126"/>
      <c r="EK103" s="30"/>
      <c r="EL103" s="127"/>
      <c r="EM103" s="128"/>
      <c r="EN103" s="123"/>
      <c r="EO103" s="128"/>
      <c r="EP103" s="13"/>
      <c r="EQ103" s="129"/>
      <c r="ER103" s="123"/>
      <c r="ES103" s="130"/>
      <c r="ET103" s="13"/>
      <c r="EU103" s="123"/>
      <c r="EV103" s="131"/>
    </row>
    <row r="104" spans="30:152">
      <c r="AD104" s="120"/>
      <c r="AI104" s="121"/>
      <c r="AJ104" s="13"/>
      <c r="AK104" s="13"/>
      <c r="AL104" s="13"/>
      <c r="AM104" s="13"/>
      <c r="AN104" s="13"/>
      <c r="AO104" s="13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3"/>
      <c r="BH104" s="127"/>
      <c r="BI104" s="125"/>
      <c r="BJ104" s="126"/>
      <c r="BK104" s="30"/>
      <c r="BL104" s="127"/>
      <c r="BM104" s="128"/>
      <c r="BN104" s="123"/>
      <c r="BO104" s="128"/>
      <c r="BP104" s="13"/>
      <c r="BQ104" s="129"/>
      <c r="BR104" s="123"/>
      <c r="BS104" s="130"/>
      <c r="BT104" s="13"/>
      <c r="BU104" s="123"/>
      <c r="BV104" s="131"/>
      <c r="DD104" s="120"/>
      <c r="DI104" s="121"/>
      <c r="DJ104" s="13"/>
      <c r="DK104" s="13"/>
      <c r="DL104" s="13"/>
      <c r="DM104" s="13"/>
      <c r="DN104" s="13"/>
      <c r="DO104" s="13"/>
      <c r="DW104" s="121"/>
      <c r="DX104" s="121"/>
      <c r="DY104" s="121"/>
      <c r="DZ104" s="121"/>
      <c r="EA104" s="121"/>
      <c r="EB104" s="121"/>
      <c r="EC104" s="121"/>
      <c r="ED104" s="121"/>
      <c r="EE104" s="121"/>
      <c r="EF104" s="121"/>
      <c r="EG104" s="123"/>
      <c r="EH104" s="127"/>
      <c r="EI104" s="125"/>
      <c r="EJ104" s="126"/>
      <c r="EK104" s="30"/>
      <c r="EL104" s="127"/>
      <c r="EM104" s="128"/>
      <c r="EN104" s="123"/>
      <c r="EO104" s="128"/>
      <c r="EP104" s="13"/>
      <c r="EQ104" s="129"/>
      <c r="ER104" s="123"/>
      <c r="ES104" s="130"/>
      <c r="ET104" s="13"/>
      <c r="EU104" s="123"/>
      <c r="EV104" s="131"/>
    </row>
    <row r="105" spans="30:152">
      <c r="AD105" s="120"/>
      <c r="AI105" s="121"/>
      <c r="AJ105" s="13"/>
      <c r="AK105" s="13"/>
      <c r="AL105" s="13"/>
      <c r="AM105" s="13"/>
      <c r="AN105" s="13"/>
      <c r="AO105" s="13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3"/>
      <c r="BH105" s="127"/>
      <c r="BI105" s="125"/>
      <c r="BJ105" s="126"/>
      <c r="BK105" s="30"/>
      <c r="BL105" s="127"/>
      <c r="BM105" s="128"/>
      <c r="BN105" s="123"/>
      <c r="BO105" s="128"/>
      <c r="BP105" s="13"/>
      <c r="BQ105" s="129"/>
      <c r="BR105" s="123"/>
      <c r="BS105" s="130"/>
      <c r="BT105" s="13"/>
      <c r="BU105" s="123"/>
      <c r="BV105" s="131"/>
      <c r="DD105" s="120"/>
      <c r="DI105" s="121"/>
      <c r="DJ105" s="13"/>
      <c r="DK105" s="13"/>
      <c r="DL105" s="13"/>
      <c r="DM105" s="13"/>
      <c r="DN105" s="13"/>
      <c r="DO105" s="13"/>
      <c r="DW105" s="121"/>
      <c r="DX105" s="121"/>
      <c r="DY105" s="121"/>
      <c r="DZ105" s="121"/>
      <c r="EA105" s="121"/>
      <c r="EB105" s="121"/>
      <c r="EC105" s="121"/>
      <c r="ED105" s="121"/>
      <c r="EE105" s="121"/>
      <c r="EF105" s="121"/>
      <c r="EG105" s="123"/>
      <c r="EH105" s="127"/>
      <c r="EI105" s="125"/>
      <c r="EJ105" s="126"/>
      <c r="EK105" s="30"/>
      <c r="EL105" s="127"/>
      <c r="EM105" s="128"/>
      <c r="EN105" s="123"/>
      <c r="EO105" s="128"/>
      <c r="EP105" s="13"/>
      <c r="EQ105" s="129"/>
      <c r="ER105" s="123"/>
      <c r="ES105" s="130"/>
      <c r="ET105" s="13"/>
      <c r="EU105" s="123"/>
      <c r="EV105" s="131"/>
    </row>
    <row r="106" spans="30:152">
      <c r="AD106" s="120"/>
      <c r="AI106" s="121"/>
      <c r="AJ106" s="13"/>
      <c r="AK106" s="13"/>
      <c r="AL106" s="13"/>
      <c r="AM106" s="13"/>
      <c r="AN106" s="13"/>
      <c r="AO106" s="13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3"/>
      <c r="BH106" s="127"/>
      <c r="BI106" s="125"/>
      <c r="BJ106" s="126"/>
      <c r="BK106" s="30"/>
      <c r="BL106" s="127"/>
      <c r="BM106" s="128"/>
      <c r="BN106" s="123"/>
      <c r="BO106" s="128"/>
      <c r="BP106" s="13"/>
      <c r="BQ106" s="129"/>
      <c r="BR106" s="123"/>
      <c r="BS106" s="130"/>
      <c r="BT106" s="13"/>
      <c r="BU106" s="123"/>
      <c r="BV106" s="131"/>
      <c r="DD106" s="120"/>
      <c r="DI106" s="121"/>
      <c r="DJ106" s="13"/>
      <c r="DK106" s="13"/>
      <c r="DL106" s="13"/>
      <c r="DM106" s="13"/>
      <c r="DN106" s="13"/>
      <c r="DO106" s="13"/>
      <c r="DW106" s="121"/>
      <c r="DX106" s="121"/>
      <c r="DY106" s="121"/>
      <c r="DZ106" s="121"/>
      <c r="EA106" s="121"/>
      <c r="EB106" s="121"/>
      <c r="EC106" s="121"/>
      <c r="ED106" s="121"/>
      <c r="EE106" s="121"/>
      <c r="EF106" s="121"/>
      <c r="EG106" s="123"/>
      <c r="EH106" s="127"/>
      <c r="EI106" s="125"/>
      <c r="EJ106" s="126"/>
      <c r="EK106" s="30"/>
      <c r="EL106" s="127"/>
      <c r="EM106" s="128"/>
      <c r="EN106" s="123"/>
      <c r="EO106" s="128"/>
      <c r="EP106" s="13"/>
      <c r="EQ106" s="129"/>
      <c r="ER106" s="123"/>
      <c r="ES106" s="130"/>
      <c r="ET106" s="13"/>
      <c r="EU106" s="123"/>
      <c r="EV106" s="131"/>
    </row>
    <row r="107" spans="30:152">
      <c r="AD107" s="120"/>
      <c r="AI107" s="121"/>
      <c r="AJ107" s="13"/>
      <c r="AK107" s="13"/>
      <c r="AL107" s="13"/>
      <c r="AM107" s="13"/>
      <c r="AN107" s="13"/>
      <c r="AO107" s="13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3"/>
      <c r="BH107" s="127"/>
      <c r="BI107" s="125"/>
      <c r="BJ107" s="126"/>
      <c r="BK107" s="30"/>
      <c r="BL107" s="127"/>
      <c r="BM107" s="128"/>
      <c r="BN107" s="123"/>
      <c r="BO107" s="128"/>
      <c r="BP107" s="13"/>
      <c r="BQ107" s="129"/>
      <c r="BR107" s="123"/>
      <c r="BS107" s="130"/>
      <c r="BT107" s="13"/>
      <c r="BU107" s="123"/>
      <c r="BV107" s="131"/>
      <c r="DD107" s="120"/>
      <c r="DI107" s="121"/>
      <c r="DJ107" s="13"/>
      <c r="DK107" s="13"/>
      <c r="DL107" s="13"/>
      <c r="DM107" s="13"/>
      <c r="DN107" s="13"/>
      <c r="DO107" s="13"/>
      <c r="DW107" s="121"/>
      <c r="DX107" s="121"/>
      <c r="DY107" s="121"/>
      <c r="DZ107" s="121"/>
      <c r="EA107" s="121"/>
      <c r="EB107" s="121"/>
      <c r="EC107" s="121"/>
      <c r="ED107" s="121"/>
      <c r="EE107" s="121"/>
      <c r="EF107" s="121"/>
      <c r="EG107" s="123"/>
      <c r="EH107" s="127"/>
      <c r="EI107" s="125"/>
      <c r="EJ107" s="126"/>
      <c r="EK107" s="30"/>
      <c r="EL107" s="127"/>
      <c r="EM107" s="128"/>
      <c r="EN107" s="123"/>
      <c r="EO107" s="128"/>
      <c r="EP107" s="13"/>
      <c r="EQ107" s="129"/>
      <c r="ER107" s="123"/>
      <c r="ES107" s="130"/>
      <c r="ET107" s="13"/>
      <c r="EU107" s="123"/>
      <c r="EV107" s="131"/>
    </row>
    <row r="108" spans="30:152">
      <c r="AD108" s="120"/>
      <c r="AI108" s="121"/>
      <c r="AJ108" s="13"/>
      <c r="AK108" s="13"/>
      <c r="AL108" s="13"/>
      <c r="AM108" s="13"/>
      <c r="AN108" s="13"/>
      <c r="AO108" s="13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3"/>
      <c r="BH108" s="127"/>
      <c r="BI108" s="125"/>
      <c r="BJ108" s="126"/>
      <c r="BK108" s="30"/>
      <c r="BL108" s="127"/>
      <c r="BM108" s="128"/>
      <c r="BN108" s="123"/>
      <c r="BO108" s="128"/>
      <c r="BP108" s="13"/>
      <c r="BQ108" s="129"/>
      <c r="BR108" s="123"/>
      <c r="BS108" s="130"/>
      <c r="BT108" s="13"/>
      <c r="BU108" s="123"/>
      <c r="BV108" s="131"/>
      <c r="DD108" s="120"/>
      <c r="DI108" s="121"/>
      <c r="DJ108" s="13"/>
      <c r="DK108" s="13"/>
      <c r="DL108" s="13"/>
      <c r="DM108" s="13"/>
      <c r="DN108" s="13"/>
      <c r="DO108" s="13"/>
      <c r="DW108" s="121"/>
      <c r="DX108" s="121"/>
      <c r="DY108" s="121"/>
      <c r="DZ108" s="121"/>
      <c r="EA108" s="121"/>
      <c r="EB108" s="121"/>
      <c r="EC108" s="121"/>
      <c r="ED108" s="121"/>
      <c r="EE108" s="121"/>
      <c r="EF108" s="121"/>
      <c r="EG108" s="123"/>
      <c r="EH108" s="127"/>
      <c r="EI108" s="125"/>
      <c r="EJ108" s="126"/>
      <c r="EK108" s="30"/>
      <c r="EL108" s="127"/>
      <c r="EM108" s="128"/>
      <c r="EN108" s="123"/>
      <c r="EO108" s="128"/>
      <c r="EP108" s="13"/>
      <c r="EQ108" s="129"/>
      <c r="ER108" s="123"/>
      <c r="ES108" s="130"/>
      <c r="ET108" s="13"/>
      <c r="EU108" s="123"/>
      <c r="EV108" s="131"/>
    </row>
    <row r="109" spans="30:152">
      <c r="AD109" s="120"/>
      <c r="AI109" s="121"/>
      <c r="AJ109" s="13"/>
      <c r="AK109" s="13"/>
      <c r="AL109" s="13"/>
      <c r="AM109" s="13"/>
      <c r="AN109" s="13"/>
      <c r="AO109" s="13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3"/>
      <c r="BH109" s="127"/>
      <c r="BI109" s="125"/>
      <c r="BJ109" s="126"/>
      <c r="BK109" s="30"/>
      <c r="BL109" s="127"/>
      <c r="BM109" s="128"/>
      <c r="BN109" s="123"/>
      <c r="BO109" s="128"/>
      <c r="BP109" s="13"/>
      <c r="BQ109" s="129"/>
      <c r="BR109" s="123"/>
      <c r="BS109" s="130"/>
      <c r="BT109" s="13"/>
      <c r="BU109" s="123"/>
      <c r="BV109" s="131"/>
      <c r="DD109" s="120"/>
      <c r="DI109" s="121"/>
      <c r="DJ109" s="13"/>
      <c r="DK109" s="13"/>
      <c r="DL109" s="13"/>
      <c r="DM109" s="13"/>
      <c r="DN109" s="13"/>
      <c r="DO109" s="13"/>
      <c r="DW109" s="121"/>
      <c r="DX109" s="121"/>
      <c r="DY109" s="121"/>
      <c r="DZ109" s="121"/>
      <c r="EA109" s="121"/>
      <c r="EB109" s="121"/>
      <c r="EC109" s="121"/>
      <c r="ED109" s="121"/>
      <c r="EE109" s="121"/>
      <c r="EF109" s="121"/>
      <c r="EG109" s="123"/>
      <c r="EH109" s="127"/>
      <c r="EI109" s="125"/>
      <c r="EJ109" s="126"/>
      <c r="EK109" s="30"/>
      <c r="EL109" s="127"/>
      <c r="EM109" s="128"/>
      <c r="EN109" s="123"/>
      <c r="EO109" s="128"/>
      <c r="EP109" s="13"/>
      <c r="EQ109" s="129"/>
      <c r="ER109" s="123"/>
      <c r="ES109" s="130"/>
      <c r="ET109" s="13"/>
      <c r="EU109" s="123"/>
      <c r="EV109" s="131"/>
    </row>
    <row r="110" spans="30:152">
      <c r="AD110" s="120"/>
      <c r="AI110" s="121"/>
      <c r="AJ110" s="13"/>
      <c r="AK110" s="13"/>
      <c r="AL110" s="13"/>
      <c r="AM110" s="13"/>
      <c r="AN110" s="13"/>
      <c r="AO110" s="13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3"/>
      <c r="BH110" s="127"/>
      <c r="BI110" s="125"/>
      <c r="BJ110" s="126"/>
      <c r="BK110" s="30"/>
      <c r="BL110" s="127"/>
      <c r="BM110" s="128"/>
      <c r="BN110" s="123"/>
      <c r="BO110" s="128"/>
      <c r="BP110" s="13"/>
      <c r="BQ110" s="129"/>
      <c r="BR110" s="123"/>
      <c r="BS110" s="130"/>
      <c r="BT110" s="13"/>
      <c r="BU110" s="123"/>
      <c r="BV110" s="131"/>
      <c r="DD110" s="120"/>
      <c r="DI110" s="121"/>
      <c r="DJ110" s="13"/>
      <c r="DK110" s="13"/>
      <c r="DL110" s="13"/>
      <c r="DM110" s="13"/>
      <c r="DN110" s="13"/>
      <c r="DO110" s="13"/>
      <c r="DW110" s="121"/>
      <c r="DX110" s="121"/>
      <c r="DY110" s="121"/>
      <c r="DZ110" s="121"/>
      <c r="EA110" s="121"/>
      <c r="EB110" s="121"/>
      <c r="EC110" s="121"/>
      <c r="ED110" s="121"/>
      <c r="EE110" s="121"/>
      <c r="EF110" s="121"/>
      <c r="EG110" s="123"/>
      <c r="EH110" s="127"/>
      <c r="EI110" s="125"/>
      <c r="EJ110" s="126"/>
      <c r="EK110" s="30"/>
      <c r="EL110" s="127"/>
      <c r="EM110" s="128"/>
      <c r="EN110" s="123"/>
      <c r="EO110" s="128"/>
      <c r="EP110" s="13"/>
      <c r="EQ110" s="129"/>
      <c r="ER110" s="123"/>
      <c r="ES110" s="130"/>
      <c r="ET110" s="13"/>
      <c r="EU110" s="123"/>
      <c r="EV110" s="131"/>
    </row>
    <row r="111" spans="30:152">
      <c r="AD111" s="120"/>
      <c r="AI111" s="121"/>
      <c r="AJ111" s="13"/>
      <c r="AK111" s="13"/>
      <c r="AL111" s="13"/>
      <c r="AM111" s="13"/>
      <c r="AN111" s="13"/>
      <c r="AO111" s="13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3"/>
      <c r="BH111" s="127"/>
      <c r="BI111" s="125"/>
      <c r="BJ111" s="126"/>
      <c r="BK111" s="30"/>
      <c r="BL111" s="127"/>
      <c r="BM111" s="128"/>
      <c r="BN111" s="123"/>
      <c r="BO111" s="128"/>
      <c r="BP111" s="13"/>
      <c r="BQ111" s="129"/>
      <c r="BR111" s="123"/>
      <c r="BS111" s="130"/>
      <c r="BT111" s="13"/>
      <c r="BU111" s="123"/>
      <c r="BV111" s="131"/>
      <c r="DD111" s="120"/>
      <c r="DI111" s="121"/>
      <c r="DJ111" s="13"/>
      <c r="DK111" s="13"/>
      <c r="DL111" s="13"/>
      <c r="DM111" s="13"/>
      <c r="DN111" s="13"/>
      <c r="DO111" s="13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21"/>
      <c r="EG111" s="123"/>
      <c r="EH111" s="127"/>
      <c r="EI111" s="125"/>
      <c r="EJ111" s="126"/>
      <c r="EK111" s="30"/>
      <c r="EL111" s="127"/>
      <c r="EM111" s="128"/>
      <c r="EN111" s="123"/>
      <c r="EO111" s="128"/>
      <c r="EP111" s="13"/>
      <c r="EQ111" s="129"/>
      <c r="ER111" s="123"/>
      <c r="ES111" s="130"/>
      <c r="ET111" s="13"/>
      <c r="EU111" s="123"/>
      <c r="EV111" s="131"/>
    </row>
    <row r="112" spans="30:152">
      <c r="AD112" s="120"/>
      <c r="AI112" s="121"/>
      <c r="AJ112" s="13"/>
      <c r="AK112" s="13"/>
      <c r="AL112" s="13"/>
      <c r="AM112" s="13"/>
      <c r="AN112" s="13"/>
      <c r="AO112" s="13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3"/>
      <c r="BH112" s="127"/>
      <c r="BI112" s="125"/>
      <c r="BJ112" s="126"/>
      <c r="BK112" s="30"/>
      <c r="BL112" s="127"/>
      <c r="BM112" s="128"/>
      <c r="BN112" s="123"/>
      <c r="BO112" s="128"/>
      <c r="BP112" s="13"/>
      <c r="BQ112" s="129"/>
      <c r="BR112" s="123"/>
      <c r="BS112" s="130"/>
      <c r="BT112" s="13"/>
      <c r="BU112" s="123"/>
      <c r="BV112" s="131"/>
      <c r="DD112" s="120"/>
      <c r="DI112" s="121"/>
      <c r="DJ112" s="13"/>
      <c r="DK112" s="13"/>
      <c r="DL112" s="13"/>
      <c r="DM112" s="13"/>
      <c r="DN112" s="13"/>
      <c r="DO112" s="13"/>
      <c r="DW112" s="121"/>
      <c r="DX112" s="121"/>
      <c r="DY112" s="121"/>
      <c r="DZ112" s="121"/>
      <c r="EA112" s="121"/>
      <c r="EB112" s="121"/>
      <c r="EC112" s="121"/>
      <c r="ED112" s="121"/>
      <c r="EE112" s="121"/>
      <c r="EF112" s="121"/>
      <c r="EG112" s="123"/>
      <c r="EH112" s="127"/>
      <c r="EI112" s="125"/>
      <c r="EJ112" s="126"/>
      <c r="EK112" s="30"/>
      <c r="EL112" s="127"/>
      <c r="EM112" s="128"/>
      <c r="EN112" s="123"/>
      <c r="EO112" s="128"/>
      <c r="EP112" s="13"/>
      <c r="EQ112" s="129"/>
      <c r="ER112" s="123"/>
      <c r="ES112" s="130"/>
      <c r="ET112" s="13"/>
      <c r="EU112" s="123"/>
      <c r="EV112" s="131"/>
    </row>
    <row r="113" spans="9:152">
      <c r="AD113" s="120"/>
      <c r="AI113" s="121"/>
      <c r="AJ113" s="13"/>
      <c r="AK113" s="13"/>
      <c r="AL113" s="13"/>
      <c r="AM113" s="13"/>
      <c r="AN113" s="13"/>
      <c r="AO113" s="13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3"/>
      <c r="BH113" s="127"/>
      <c r="BI113" s="125"/>
      <c r="BJ113" s="126"/>
      <c r="BK113" s="30"/>
      <c r="BL113" s="127"/>
      <c r="BM113" s="128"/>
      <c r="BN113" s="123"/>
      <c r="BO113" s="128"/>
      <c r="BP113" s="13"/>
      <c r="BQ113" s="129"/>
      <c r="BR113" s="123"/>
      <c r="BS113" s="130"/>
      <c r="BT113" s="13"/>
      <c r="BU113" s="123"/>
      <c r="BV113" s="131"/>
      <c r="DD113" s="120"/>
      <c r="DI113" s="121"/>
      <c r="DJ113" s="13"/>
      <c r="DK113" s="13"/>
      <c r="DL113" s="13"/>
      <c r="DM113" s="13"/>
      <c r="DN113" s="13"/>
      <c r="DO113" s="13"/>
      <c r="DW113" s="121"/>
      <c r="DX113" s="121"/>
      <c r="DY113" s="121"/>
      <c r="DZ113" s="121"/>
      <c r="EA113" s="121"/>
      <c r="EB113" s="121"/>
      <c r="EC113" s="121"/>
      <c r="ED113" s="121"/>
      <c r="EE113" s="121"/>
      <c r="EF113" s="121"/>
      <c r="EG113" s="123"/>
      <c r="EH113" s="127"/>
      <c r="EI113" s="125"/>
      <c r="EJ113" s="126"/>
      <c r="EK113" s="30"/>
      <c r="EL113" s="127"/>
      <c r="EM113" s="128"/>
      <c r="EN113" s="123"/>
      <c r="EO113" s="128"/>
      <c r="EP113" s="13"/>
      <c r="EQ113" s="129"/>
      <c r="ER113" s="123"/>
      <c r="ES113" s="130"/>
      <c r="ET113" s="13"/>
      <c r="EU113" s="123"/>
      <c r="EV113" s="131"/>
    </row>
    <row r="114" spans="9:152">
      <c r="AD114" s="120"/>
      <c r="AI114" s="121"/>
      <c r="AJ114" s="13"/>
      <c r="AK114" s="13"/>
      <c r="AL114" s="13"/>
      <c r="AM114" s="13"/>
      <c r="AN114" s="13"/>
      <c r="AO114" s="13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3"/>
      <c r="BH114" s="127"/>
      <c r="BI114" s="125"/>
      <c r="BJ114" s="126"/>
      <c r="BK114" s="30"/>
      <c r="BL114" s="127"/>
      <c r="BM114" s="128"/>
      <c r="BN114" s="123"/>
      <c r="BO114" s="128"/>
      <c r="BP114" s="13"/>
      <c r="BQ114" s="129"/>
      <c r="BR114" s="123"/>
      <c r="BS114" s="130"/>
      <c r="BT114" s="13"/>
      <c r="BU114" s="123"/>
      <c r="BV114" s="131"/>
      <c r="DD114" s="120"/>
      <c r="DI114" s="121"/>
      <c r="DJ114" s="13"/>
      <c r="DK114" s="13"/>
      <c r="DL114" s="13"/>
      <c r="DM114" s="13"/>
      <c r="DN114" s="13"/>
      <c r="DO114" s="13"/>
      <c r="DW114" s="121"/>
      <c r="DX114" s="121"/>
      <c r="DY114" s="121"/>
      <c r="DZ114" s="121"/>
      <c r="EA114" s="121"/>
      <c r="EB114" s="121"/>
      <c r="EC114" s="121"/>
      <c r="ED114" s="121"/>
      <c r="EE114" s="121"/>
      <c r="EF114" s="121"/>
      <c r="EG114" s="123"/>
      <c r="EH114" s="127"/>
      <c r="EI114" s="125"/>
      <c r="EJ114" s="126"/>
      <c r="EK114" s="30"/>
      <c r="EL114" s="127"/>
      <c r="EM114" s="128"/>
      <c r="EN114" s="123"/>
      <c r="EO114" s="128"/>
      <c r="EP114" s="13"/>
      <c r="EQ114" s="129"/>
      <c r="ER114" s="123"/>
      <c r="ES114" s="130"/>
      <c r="ET114" s="13"/>
      <c r="EU114" s="123"/>
      <c r="EV114" s="131"/>
    </row>
    <row r="115" spans="9:152">
      <c r="AD115" s="120"/>
      <c r="AI115" s="121"/>
      <c r="AJ115" s="13"/>
      <c r="AK115" s="13"/>
      <c r="AL115" s="13"/>
      <c r="AM115" s="13"/>
      <c r="AN115" s="13"/>
      <c r="AO115" s="13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3"/>
      <c r="BH115" s="127"/>
      <c r="BI115" s="125"/>
      <c r="BJ115" s="126"/>
      <c r="BK115" s="30"/>
      <c r="BL115" s="127"/>
      <c r="BM115" s="128"/>
      <c r="BN115" s="123"/>
      <c r="BO115" s="128"/>
      <c r="BP115" s="13"/>
      <c r="BQ115" s="129"/>
      <c r="BR115" s="123"/>
      <c r="BS115" s="130"/>
      <c r="BT115" s="13"/>
      <c r="BU115" s="123"/>
      <c r="BV115" s="131"/>
      <c r="DD115" s="120"/>
      <c r="DI115" s="121"/>
      <c r="DJ115" s="13"/>
      <c r="DK115" s="13"/>
      <c r="DL115" s="13"/>
      <c r="DM115" s="13"/>
      <c r="DN115" s="13"/>
      <c r="DO115" s="13"/>
      <c r="DW115" s="121"/>
      <c r="DX115" s="121"/>
      <c r="DY115" s="121"/>
      <c r="DZ115" s="121"/>
      <c r="EA115" s="121"/>
      <c r="EB115" s="121"/>
      <c r="EC115" s="121"/>
      <c r="ED115" s="121"/>
      <c r="EE115" s="121"/>
      <c r="EF115" s="121"/>
      <c r="EG115" s="123"/>
      <c r="EH115" s="127"/>
      <c r="EI115" s="125"/>
      <c r="EJ115" s="126"/>
      <c r="EK115" s="30"/>
      <c r="EL115" s="127"/>
      <c r="EM115" s="128"/>
      <c r="EN115" s="123"/>
      <c r="EO115" s="128"/>
      <c r="EP115" s="13"/>
      <c r="EQ115" s="129"/>
      <c r="ER115" s="123"/>
      <c r="ES115" s="130"/>
      <c r="ET115" s="13"/>
      <c r="EU115" s="123"/>
      <c r="EV115" s="131"/>
    </row>
    <row r="116" spans="9:152">
      <c r="AD116" s="120"/>
      <c r="AI116" s="121"/>
      <c r="AJ116" s="13"/>
      <c r="AK116" s="13"/>
      <c r="AL116" s="13"/>
      <c r="AM116" s="13"/>
      <c r="AN116" s="13"/>
      <c r="AO116" s="13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3"/>
      <c r="BH116" s="127"/>
      <c r="BI116" s="125"/>
      <c r="BJ116" s="126"/>
      <c r="BK116" s="30"/>
      <c r="BL116" s="127"/>
      <c r="BM116" s="128"/>
      <c r="BN116" s="123"/>
      <c r="BO116" s="128"/>
      <c r="BP116" s="13"/>
      <c r="BQ116" s="129"/>
      <c r="BR116" s="123"/>
      <c r="BS116" s="130"/>
      <c r="BT116" s="13"/>
      <c r="BU116" s="123"/>
      <c r="BV116" s="131"/>
      <c r="DD116" s="120"/>
      <c r="DI116" s="121"/>
      <c r="DJ116" s="13"/>
      <c r="DK116" s="13"/>
      <c r="DL116" s="13"/>
      <c r="DM116" s="13"/>
      <c r="DN116" s="13"/>
      <c r="DO116" s="13"/>
      <c r="DW116" s="121"/>
      <c r="DX116" s="121"/>
      <c r="DY116" s="121"/>
      <c r="DZ116" s="121"/>
      <c r="EA116" s="121"/>
      <c r="EB116" s="121"/>
      <c r="EC116" s="121"/>
      <c r="ED116" s="121"/>
      <c r="EE116" s="121"/>
      <c r="EF116" s="121"/>
      <c r="EG116" s="123"/>
      <c r="EH116" s="127"/>
      <c r="EI116" s="125"/>
      <c r="EJ116" s="126"/>
      <c r="EK116" s="30"/>
      <c r="EL116" s="127"/>
      <c r="EM116" s="128"/>
      <c r="EN116" s="123"/>
      <c r="EO116" s="128"/>
      <c r="EP116" s="13"/>
      <c r="EQ116" s="129"/>
      <c r="ER116" s="123"/>
      <c r="ES116" s="130"/>
      <c r="ET116" s="13"/>
      <c r="EU116" s="123"/>
      <c r="EV116" s="131"/>
    </row>
    <row r="117" spans="9:152">
      <c r="AD117" s="120"/>
      <c r="AI117" s="121"/>
      <c r="AJ117" s="13"/>
      <c r="AK117" s="13"/>
      <c r="AL117" s="13"/>
      <c r="AM117" s="13"/>
      <c r="AN117" s="13"/>
      <c r="AO117" s="13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3"/>
      <c r="BH117" s="127"/>
      <c r="BI117" s="125"/>
      <c r="BJ117" s="126"/>
      <c r="BK117" s="30"/>
      <c r="BL117" s="127"/>
      <c r="BM117" s="128"/>
      <c r="BN117" s="123"/>
      <c r="BO117" s="128"/>
      <c r="BP117" s="13"/>
      <c r="BQ117" s="129"/>
      <c r="BR117" s="123"/>
      <c r="BS117" s="130"/>
      <c r="BT117" s="13"/>
      <c r="BU117" s="123"/>
      <c r="BV117" s="131"/>
      <c r="DD117" s="120"/>
      <c r="DI117" s="121"/>
      <c r="DJ117" s="13"/>
      <c r="DK117" s="13"/>
      <c r="DL117" s="13"/>
      <c r="DM117" s="13"/>
      <c r="DN117" s="13"/>
      <c r="DO117" s="13"/>
      <c r="DW117" s="121"/>
      <c r="DX117" s="121"/>
      <c r="DY117" s="121"/>
      <c r="DZ117" s="121"/>
      <c r="EA117" s="121"/>
      <c r="EB117" s="121"/>
      <c r="EC117" s="121"/>
      <c r="ED117" s="121"/>
      <c r="EE117" s="121"/>
      <c r="EF117" s="121"/>
      <c r="EG117" s="123"/>
      <c r="EH117" s="127"/>
      <c r="EI117" s="125"/>
      <c r="EJ117" s="126"/>
      <c r="EK117" s="30"/>
      <c r="EL117" s="127"/>
      <c r="EM117" s="128"/>
      <c r="EN117" s="123"/>
      <c r="EO117" s="128"/>
      <c r="EP117" s="13"/>
      <c r="EQ117" s="129"/>
      <c r="ER117" s="123"/>
      <c r="ES117" s="130"/>
      <c r="ET117" s="13"/>
      <c r="EU117" s="123"/>
      <c r="EV117" s="131"/>
    </row>
    <row r="118" spans="9:152">
      <c r="AD118" s="120"/>
      <c r="AI118" s="121"/>
      <c r="AJ118" s="13"/>
      <c r="AK118" s="13"/>
      <c r="AL118" s="13"/>
      <c r="AM118" s="13"/>
      <c r="AN118" s="13"/>
      <c r="AO118" s="13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3"/>
      <c r="BH118" s="127"/>
      <c r="BI118" s="125"/>
      <c r="BJ118" s="126"/>
      <c r="BK118" s="30"/>
      <c r="BL118" s="127"/>
      <c r="BM118" s="128"/>
      <c r="BN118" s="123"/>
      <c r="BO118" s="128"/>
      <c r="BP118" s="13"/>
      <c r="BQ118" s="129"/>
      <c r="BR118" s="123"/>
      <c r="BS118" s="130"/>
      <c r="BT118" s="13"/>
      <c r="BU118" s="123"/>
      <c r="BV118" s="131"/>
      <c r="DD118" s="120"/>
      <c r="DI118" s="121"/>
      <c r="DJ118" s="13"/>
      <c r="DK118" s="13"/>
      <c r="DL118" s="13"/>
      <c r="DM118" s="13"/>
      <c r="DN118" s="13"/>
      <c r="DO118" s="13"/>
      <c r="DW118" s="121"/>
      <c r="DX118" s="121"/>
      <c r="DY118" s="121"/>
      <c r="DZ118" s="121"/>
      <c r="EA118" s="121"/>
      <c r="EB118" s="121"/>
      <c r="EC118" s="121"/>
      <c r="ED118" s="121"/>
      <c r="EE118" s="121"/>
      <c r="EF118" s="121"/>
      <c r="EG118" s="123"/>
      <c r="EH118" s="127"/>
      <c r="EI118" s="125"/>
      <c r="EJ118" s="126"/>
      <c r="EK118" s="30"/>
      <c r="EL118" s="127"/>
      <c r="EM118" s="128"/>
      <c r="EN118" s="123"/>
      <c r="EO118" s="128"/>
      <c r="EP118" s="13"/>
      <c r="EQ118" s="129"/>
      <c r="ER118" s="123"/>
      <c r="ES118" s="130"/>
      <c r="ET118" s="13"/>
      <c r="EU118" s="123"/>
      <c r="EV118" s="131"/>
    </row>
    <row r="119" spans="9:152">
      <c r="AD119" s="120"/>
      <c r="AI119" s="121"/>
      <c r="AJ119" s="13"/>
      <c r="AK119" s="13"/>
      <c r="AL119" s="13"/>
      <c r="AM119" s="13"/>
      <c r="AN119" s="13"/>
      <c r="AO119" s="13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3"/>
      <c r="BH119" s="127"/>
      <c r="BI119" s="125"/>
      <c r="BJ119" s="126"/>
      <c r="BK119" s="30"/>
      <c r="BL119" s="127"/>
      <c r="BM119" s="128"/>
      <c r="BN119" s="123"/>
      <c r="BO119" s="128"/>
      <c r="BP119" s="13"/>
      <c r="BQ119" s="129"/>
      <c r="BR119" s="123"/>
      <c r="BS119" s="130"/>
      <c r="BT119" s="13"/>
      <c r="BU119" s="123"/>
      <c r="BV119" s="131"/>
      <c r="DD119" s="120"/>
      <c r="DI119" s="121"/>
      <c r="DJ119" s="13"/>
      <c r="DK119" s="13"/>
      <c r="DL119" s="13"/>
      <c r="DM119" s="13"/>
      <c r="DN119" s="13"/>
      <c r="DO119" s="13"/>
      <c r="DW119" s="121"/>
      <c r="DX119" s="121"/>
      <c r="DY119" s="121"/>
      <c r="DZ119" s="121"/>
      <c r="EA119" s="121"/>
      <c r="EB119" s="121"/>
      <c r="EC119" s="121"/>
      <c r="ED119" s="121"/>
      <c r="EE119" s="121"/>
      <c r="EF119" s="121"/>
      <c r="EG119" s="123"/>
      <c r="EH119" s="127"/>
      <c r="EI119" s="125"/>
      <c r="EJ119" s="126"/>
      <c r="EK119" s="30"/>
      <c r="EL119" s="127"/>
      <c r="EM119" s="128"/>
      <c r="EN119" s="123"/>
      <c r="EO119" s="128"/>
      <c r="EP119" s="13"/>
      <c r="EQ119" s="129"/>
      <c r="ER119" s="123"/>
      <c r="ES119" s="130"/>
      <c r="ET119" s="13"/>
      <c r="EU119" s="123"/>
      <c r="EV119" s="131"/>
    </row>
    <row r="120" spans="9:152">
      <c r="AD120" s="120"/>
      <c r="AI120" s="121"/>
      <c r="AJ120" s="13"/>
      <c r="AK120" s="13"/>
      <c r="AL120" s="13"/>
      <c r="AM120" s="13"/>
      <c r="AN120" s="13"/>
      <c r="AO120" s="13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3"/>
      <c r="BH120" s="127"/>
      <c r="BI120" s="125"/>
      <c r="BJ120" s="126"/>
      <c r="BK120" s="30"/>
      <c r="BL120" s="127"/>
      <c r="BM120" s="128"/>
      <c r="BN120" s="123"/>
      <c r="BO120" s="128"/>
      <c r="BP120" s="13"/>
      <c r="BQ120" s="129"/>
      <c r="BR120" s="123"/>
      <c r="BS120" s="130"/>
      <c r="BT120" s="13"/>
      <c r="BU120" s="123"/>
      <c r="BV120" s="131"/>
      <c r="DD120" s="120"/>
      <c r="DI120" s="121"/>
      <c r="DJ120" s="13"/>
      <c r="DK120" s="13"/>
      <c r="DL120" s="13"/>
      <c r="DM120" s="13"/>
      <c r="DN120" s="13"/>
      <c r="DO120" s="13"/>
      <c r="DW120" s="121"/>
      <c r="DX120" s="121"/>
      <c r="DY120" s="121"/>
      <c r="DZ120" s="121"/>
      <c r="EA120" s="121"/>
      <c r="EB120" s="121"/>
      <c r="EC120" s="121"/>
      <c r="ED120" s="121"/>
      <c r="EE120" s="121"/>
      <c r="EF120" s="121"/>
      <c r="EG120" s="123"/>
      <c r="EH120" s="127"/>
      <c r="EI120" s="125"/>
      <c r="EJ120" s="126"/>
      <c r="EK120" s="30"/>
      <c r="EL120" s="127"/>
      <c r="EM120" s="128"/>
      <c r="EN120" s="123"/>
      <c r="EO120" s="128"/>
      <c r="EP120" s="13"/>
      <c r="EQ120" s="129"/>
      <c r="ER120" s="123"/>
      <c r="ES120" s="130"/>
      <c r="ET120" s="13"/>
      <c r="EU120" s="123"/>
      <c r="EV120" s="131"/>
    </row>
    <row r="121" spans="9:152">
      <c r="AD121" s="120"/>
      <c r="AI121" s="121"/>
      <c r="AJ121" s="13"/>
      <c r="AK121" s="13"/>
      <c r="AL121" s="13"/>
      <c r="AM121" s="13"/>
      <c r="AN121" s="13"/>
      <c r="AO121" s="13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3"/>
      <c r="BH121" s="127"/>
      <c r="BI121" s="125"/>
      <c r="BJ121" s="126"/>
      <c r="BK121" s="30"/>
      <c r="BL121" s="127"/>
      <c r="BM121" s="128"/>
      <c r="BN121" s="123"/>
      <c r="BO121" s="128"/>
      <c r="BP121" s="13"/>
      <c r="BQ121" s="129"/>
      <c r="BR121" s="123"/>
      <c r="BS121" s="130"/>
      <c r="BT121" s="13"/>
      <c r="BU121" s="123"/>
      <c r="BV121" s="131"/>
      <c r="DD121" s="120"/>
      <c r="DI121" s="121"/>
      <c r="DJ121" s="13"/>
      <c r="DK121" s="13"/>
      <c r="DL121" s="13"/>
      <c r="DM121" s="13"/>
      <c r="DN121" s="13"/>
      <c r="DO121" s="13"/>
      <c r="DW121" s="121"/>
      <c r="DX121" s="121"/>
      <c r="DY121" s="121"/>
      <c r="DZ121" s="121"/>
      <c r="EA121" s="121"/>
      <c r="EB121" s="121"/>
      <c r="EC121" s="121"/>
      <c r="ED121" s="121"/>
      <c r="EE121" s="121"/>
      <c r="EF121" s="121"/>
      <c r="EG121" s="123"/>
      <c r="EH121" s="127"/>
      <c r="EI121" s="125"/>
      <c r="EJ121" s="126"/>
      <c r="EK121" s="30"/>
      <c r="EL121" s="127"/>
      <c r="EM121" s="128"/>
      <c r="EN121" s="123"/>
      <c r="EO121" s="128"/>
      <c r="EP121" s="13"/>
      <c r="EQ121" s="129"/>
      <c r="ER121" s="123"/>
      <c r="ES121" s="130"/>
      <c r="ET121" s="13"/>
      <c r="EU121" s="123"/>
      <c r="EV121" s="131"/>
    </row>
    <row r="122" spans="9:152">
      <c r="AD122" s="120"/>
      <c r="AI122" s="121"/>
      <c r="AJ122" s="13"/>
      <c r="AK122" s="13"/>
      <c r="AL122" s="13"/>
      <c r="AM122" s="13"/>
      <c r="AN122" s="13"/>
      <c r="AO122" s="13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3"/>
      <c r="BH122" s="127"/>
      <c r="BI122" s="125"/>
      <c r="BJ122" s="126"/>
      <c r="BK122" s="30"/>
      <c r="BL122" s="127"/>
      <c r="BM122" s="128"/>
      <c r="BN122" s="123"/>
      <c r="BO122" s="128"/>
      <c r="BP122" s="13"/>
      <c r="BQ122" s="129"/>
      <c r="BR122" s="123"/>
      <c r="BS122" s="130"/>
      <c r="BT122" s="13"/>
      <c r="BU122" s="123"/>
      <c r="BV122" s="131"/>
      <c r="DD122" s="120"/>
      <c r="DI122" s="121"/>
      <c r="DJ122" s="13"/>
      <c r="DK122" s="13"/>
      <c r="DL122" s="13"/>
      <c r="DM122" s="13"/>
      <c r="DN122" s="13"/>
      <c r="DO122" s="13"/>
      <c r="DW122" s="121"/>
      <c r="DX122" s="121"/>
      <c r="DY122" s="121"/>
      <c r="DZ122" s="121"/>
      <c r="EA122" s="121"/>
      <c r="EB122" s="121"/>
      <c r="EC122" s="121"/>
      <c r="ED122" s="121"/>
      <c r="EE122" s="121"/>
      <c r="EF122" s="121"/>
      <c r="EG122" s="123"/>
      <c r="EH122" s="127"/>
      <c r="EI122" s="125"/>
      <c r="EJ122" s="126"/>
      <c r="EK122" s="30"/>
      <c r="EL122" s="127"/>
      <c r="EM122" s="128"/>
      <c r="EN122" s="123"/>
      <c r="EO122" s="128"/>
      <c r="EP122" s="13"/>
      <c r="EQ122" s="129"/>
      <c r="ER122" s="123"/>
      <c r="ES122" s="130"/>
      <c r="ET122" s="13"/>
      <c r="EU122" s="123"/>
      <c r="EV122" s="131"/>
    </row>
    <row r="123" spans="9:152">
      <c r="AD123" s="120"/>
      <c r="AI123" s="121"/>
      <c r="AJ123" s="13"/>
      <c r="AK123" s="13"/>
      <c r="AL123" s="13"/>
      <c r="AM123" s="13"/>
      <c r="AN123" s="13"/>
      <c r="AO123" s="13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3"/>
      <c r="BH123" s="127"/>
      <c r="BI123" s="125"/>
      <c r="BJ123" s="126"/>
      <c r="BK123" s="30"/>
      <c r="BL123" s="127"/>
      <c r="BM123" s="128"/>
      <c r="BN123" s="123"/>
      <c r="BO123" s="128"/>
      <c r="BP123" s="13"/>
      <c r="BQ123" s="129"/>
      <c r="BR123" s="123"/>
      <c r="BS123" s="130"/>
      <c r="BT123" s="13"/>
      <c r="BU123" s="123"/>
      <c r="BV123" s="131"/>
      <c r="DD123" s="120"/>
      <c r="DI123" s="121"/>
      <c r="DJ123" s="13"/>
      <c r="DK123" s="13"/>
      <c r="DL123" s="13"/>
      <c r="DM123" s="13"/>
      <c r="DN123" s="13"/>
      <c r="DO123" s="13"/>
      <c r="DW123" s="121"/>
      <c r="DX123" s="121"/>
      <c r="DY123" s="121"/>
      <c r="DZ123" s="121"/>
      <c r="EA123" s="121"/>
      <c r="EB123" s="121"/>
      <c r="EC123" s="121"/>
      <c r="ED123" s="121"/>
      <c r="EE123" s="121"/>
      <c r="EF123" s="121"/>
      <c r="EG123" s="123"/>
      <c r="EH123" s="127"/>
      <c r="EI123" s="125"/>
      <c r="EJ123" s="126"/>
      <c r="EK123" s="30"/>
      <c r="EL123" s="127"/>
      <c r="EM123" s="128"/>
      <c r="EN123" s="123"/>
      <c r="EO123" s="128"/>
      <c r="EP123" s="13"/>
      <c r="EQ123" s="129"/>
      <c r="ER123" s="123"/>
      <c r="ES123" s="130"/>
      <c r="ET123" s="13"/>
      <c r="EU123" s="123"/>
      <c r="EV123" s="131"/>
    </row>
    <row r="124" spans="9:152">
      <c r="I124" s="1">
        <v>0.25</v>
      </c>
      <c r="J124" s="1">
        <v>1.19</v>
      </c>
      <c r="AD124" s="120"/>
      <c r="AI124" s="121"/>
      <c r="AJ124" s="13"/>
      <c r="AK124" s="13"/>
      <c r="AL124" s="13"/>
      <c r="AM124" s="13"/>
      <c r="AN124" s="13"/>
      <c r="AO124" s="13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3"/>
      <c r="BH124" s="127"/>
      <c r="BI124" s="125"/>
      <c r="BJ124" s="126"/>
      <c r="BK124" s="30"/>
      <c r="BL124" s="127"/>
      <c r="BM124" s="128"/>
      <c r="BN124" s="123"/>
      <c r="BO124" s="128"/>
      <c r="BP124" s="13"/>
      <c r="BQ124" s="129"/>
      <c r="BR124" s="123"/>
      <c r="BS124" s="130"/>
      <c r="BT124" s="13"/>
      <c r="BU124" s="123"/>
      <c r="BV124" s="131"/>
      <c r="DD124" s="120"/>
      <c r="DI124" s="121"/>
      <c r="DJ124" s="13"/>
      <c r="DK124" s="13"/>
      <c r="DL124" s="13"/>
      <c r="DM124" s="13"/>
      <c r="DN124" s="13"/>
      <c r="DO124" s="13"/>
      <c r="DW124" s="121"/>
      <c r="DX124" s="121"/>
      <c r="DY124" s="121"/>
      <c r="DZ124" s="121"/>
      <c r="EA124" s="121"/>
      <c r="EB124" s="121"/>
      <c r="EC124" s="121"/>
      <c r="ED124" s="121"/>
      <c r="EE124" s="121"/>
      <c r="EF124" s="121"/>
      <c r="EG124" s="123"/>
      <c r="EH124" s="127"/>
      <c r="EI124" s="125"/>
      <c r="EJ124" s="126"/>
      <c r="EK124" s="30"/>
      <c r="EL124" s="127"/>
      <c r="EM124" s="128"/>
      <c r="EN124" s="123"/>
      <c r="EO124" s="128"/>
      <c r="EP124" s="13"/>
      <c r="EQ124" s="129"/>
      <c r="ER124" s="123"/>
      <c r="ES124" s="130"/>
      <c r="ET124" s="13"/>
      <c r="EU124" s="123"/>
      <c r="EV124" s="131"/>
    </row>
    <row r="125" spans="9:152">
      <c r="I125" s="1">
        <v>0.5</v>
      </c>
      <c r="J125" s="1">
        <v>1.1200000000000001</v>
      </c>
      <c r="AD125" s="120"/>
      <c r="AI125" s="121"/>
      <c r="AJ125" s="13"/>
      <c r="AK125" s="13"/>
      <c r="AL125" s="13"/>
      <c r="AM125" s="13"/>
      <c r="AN125" s="13"/>
      <c r="AO125" s="13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3"/>
      <c r="BH125" s="127"/>
      <c r="BI125" s="125"/>
      <c r="BJ125" s="126"/>
      <c r="BK125" s="30"/>
      <c r="BL125" s="127"/>
      <c r="BM125" s="128"/>
      <c r="BN125" s="123"/>
      <c r="BO125" s="128"/>
      <c r="BP125" s="13"/>
      <c r="BQ125" s="129"/>
      <c r="BR125" s="123"/>
      <c r="BS125" s="130"/>
      <c r="BT125" s="13"/>
      <c r="BU125" s="123"/>
      <c r="BV125" s="131"/>
      <c r="DD125" s="120"/>
      <c r="DI125" s="121"/>
      <c r="DJ125" s="13"/>
      <c r="DK125" s="13"/>
      <c r="DL125" s="13"/>
      <c r="DM125" s="13"/>
      <c r="DN125" s="13"/>
      <c r="DO125" s="13"/>
      <c r="DW125" s="121"/>
      <c r="DX125" s="121"/>
      <c r="DY125" s="121"/>
      <c r="DZ125" s="121"/>
      <c r="EA125" s="121"/>
      <c r="EB125" s="121"/>
      <c r="EC125" s="121"/>
      <c r="ED125" s="121"/>
      <c r="EE125" s="121"/>
      <c r="EF125" s="121"/>
      <c r="EG125" s="123"/>
      <c r="EH125" s="127"/>
      <c r="EI125" s="125"/>
      <c r="EJ125" s="126"/>
      <c r="EK125" s="30"/>
      <c r="EL125" s="127"/>
      <c r="EM125" s="128"/>
      <c r="EN125" s="123"/>
      <c r="EO125" s="128"/>
      <c r="EP125" s="13"/>
      <c r="EQ125" s="129"/>
      <c r="ER125" s="123"/>
      <c r="ES125" s="130"/>
      <c r="ET125" s="13"/>
      <c r="EU125" s="123"/>
      <c r="EV125" s="131"/>
    </row>
    <row r="126" spans="9:152">
      <c r="I126" s="1">
        <v>1</v>
      </c>
      <c r="J126" s="1">
        <v>1.07</v>
      </c>
      <c r="AD126" s="120"/>
      <c r="AI126" s="121"/>
      <c r="AJ126" s="13"/>
      <c r="AK126" s="13"/>
      <c r="AL126" s="13"/>
      <c r="AM126" s="13"/>
      <c r="AN126" s="13"/>
      <c r="AO126" s="13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3"/>
      <c r="BH126" s="127"/>
      <c r="BI126" s="125"/>
      <c r="BJ126" s="126"/>
      <c r="BK126" s="30"/>
      <c r="BL126" s="127"/>
      <c r="BM126" s="128"/>
      <c r="BN126" s="123"/>
      <c r="BO126" s="128"/>
      <c r="BP126" s="13"/>
      <c r="BQ126" s="129"/>
      <c r="BR126" s="123"/>
      <c r="BS126" s="130"/>
      <c r="BT126" s="13"/>
      <c r="BU126" s="123"/>
      <c r="BV126" s="131"/>
      <c r="DD126" s="120"/>
      <c r="DI126" s="121"/>
      <c r="DJ126" s="13"/>
      <c r="DK126" s="13"/>
      <c r="DL126" s="13"/>
      <c r="DM126" s="13"/>
      <c r="DN126" s="13"/>
      <c r="DO126" s="13"/>
      <c r="DW126" s="121"/>
      <c r="DX126" s="121"/>
      <c r="DY126" s="121"/>
      <c r="DZ126" s="121"/>
      <c r="EA126" s="121"/>
      <c r="EB126" s="121"/>
      <c r="EC126" s="121"/>
      <c r="ED126" s="121"/>
      <c r="EE126" s="121"/>
      <c r="EF126" s="121"/>
      <c r="EG126" s="123"/>
      <c r="EH126" s="127"/>
      <c r="EI126" s="125"/>
      <c r="EJ126" s="126"/>
      <c r="EK126" s="30"/>
      <c r="EL126" s="127"/>
      <c r="EM126" s="128"/>
      <c r="EN126" s="123"/>
      <c r="EO126" s="128"/>
      <c r="EP126" s="13"/>
      <c r="EQ126" s="129"/>
      <c r="ER126" s="123"/>
      <c r="ES126" s="130"/>
      <c r="ET126" s="13"/>
      <c r="EU126" s="123"/>
      <c r="EV126" s="131"/>
    </row>
    <row r="127" spans="9:152">
      <c r="I127" s="1">
        <v>2</v>
      </c>
      <c r="J127" s="1">
        <v>1.04</v>
      </c>
      <c r="K127" s="1" t="e" cm="1">
        <f t="array" aca="1" ref="K127" ca="1">noisuy1chieu(#REF!,I124:I127,J124:J127)</f>
        <v>#NAME?</v>
      </c>
      <c r="AD127" s="120"/>
      <c r="AI127" s="121"/>
      <c r="AJ127" s="13"/>
      <c r="AK127" s="13"/>
      <c r="AL127" s="13"/>
      <c r="AM127" s="13"/>
      <c r="AN127" s="13"/>
      <c r="AO127" s="13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3"/>
      <c r="BH127" s="127"/>
      <c r="BI127" s="125"/>
      <c r="BJ127" s="126"/>
      <c r="BK127" s="30"/>
      <c r="BL127" s="127"/>
      <c r="BM127" s="128"/>
      <c r="BN127" s="123"/>
      <c r="BO127" s="128"/>
      <c r="BP127" s="13"/>
      <c r="BQ127" s="129"/>
      <c r="BR127" s="123"/>
      <c r="BS127" s="130"/>
      <c r="BT127" s="13"/>
      <c r="BU127" s="123"/>
      <c r="BV127" s="131"/>
      <c r="DD127" s="120"/>
      <c r="DI127" s="121"/>
      <c r="DJ127" s="13"/>
      <c r="DK127" s="13"/>
      <c r="DL127" s="13"/>
      <c r="DM127" s="13"/>
      <c r="DN127" s="13"/>
      <c r="DO127" s="13"/>
      <c r="DW127" s="121"/>
      <c r="DX127" s="121"/>
      <c r="DY127" s="121"/>
      <c r="DZ127" s="121"/>
      <c r="EA127" s="121"/>
      <c r="EB127" s="121"/>
      <c r="EC127" s="121"/>
      <c r="ED127" s="121"/>
      <c r="EE127" s="121"/>
      <c r="EF127" s="121"/>
      <c r="EG127" s="123"/>
      <c r="EH127" s="127"/>
      <c r="EI127" s="125"/>
      <c r="EJ127" s="126"/>
      <c r="EK127" s="30"/>
      <c r="EL127" s="127"/>
      <c r="EM127" s="128"/>
      <c r="EN127" s="123"/>
      <c r="EO127" s="128"/>
      <c r="EP127" s="13"/>
      <c r="EQ127" s="129"/>
      <c r="ER127" s="123"/>
      <c r="ES127" s="130"/>
      <c r="ET127" s="13"/>
      <c r="EU127" s="123"/>
      <c r="EV127" s="131"/>
    </row>
    <row r="128" spans="9:152">
      <c r="AD128" s="120"/>
      <c r="AI128" s="121"/>
      <c r="AJ128" s="13"/>
      <c r="AK128" s="13"/>
      <c r="AL128" s="13"/>
      <c r="AM128" s="13"/>
      <c r="AN128" s="13"/>
      <c r="AO128" s="13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3"/>
      <c r="BH128" s="127"/>
      <c r="BI128" s="125"/>
      <c r="BJ128" s="126"/>
      <c r="BK128" s="30"/>
      <c r="BL128" s="127"/>
      <c r="BM128" s="128"/>
      <c r="BN128" s="123"/>
      <c r="BO128" s="128"/>
      <c r="BP128" s="13"/>
      <c r="BQ128" s="129"/>
      <c r="BR128" s="123"/>
      <c r="BS128" s="130"/>
      <c r="BT128" s="13"/>
      <c r="BU128" s="123"/>
      <c r="BV128" s="131"/>
      <c r="DD128" s="120"/>
      <c r="DI128" s="121"/>
      <c r="DJ128" s="13"/>
      <c r="DK128" s="13"/>
      <c r="DL128" s="13"/>
      <c r="DM128" s="13"/>
      <c r="DN128" s="13"/>
      <c r="DO128" s="13"/>
      <c r="DW128" s="121"/>
      <c r="DX128" s="121"/>
      <c r="DY128" s="121"/>
      <c r="DZ128" s="121"/>
      <c r="EA128" s="121"/>
      <c r="EB128" s="121"/>
      <c r="EC128" s="121"/>
      <c r="ED128" s="121"/>
      <c r="EE128" s="121"/>
      <c r="EF128" s="121"/>
      <c r="EG128" s="123"/>
      <c r="EH128" s="127"/>
      <c r="EI128" s="125"/>
      <c r="EJ128" s="126"/>
      <c r="EK128" s="30"/>
      <c r="EL128" s="127"/>
      <c r="EM128" s="128"/>
      <c r="EN128" s="123"/>
      <c r="EO128" s="128"/>
      <c r="EP128" s="13"/>
      <c r="EQ128" s="129"/>
      <c r="ER128" s="123"/>
      <c r="ES128" s="130"/>
      <c r="ET128" s="13"/>
      <c r="EU128" s="123"/>
      <c r="EV128" s="131"/>
    </row>
    <row r="129" spans="30:152">
      <c r="AD129" s="120"/>
      <c r="AI129" s="121"/>
      <c r="AJ129" s="13"/>
      <c r="AK129" s="13"/>
      <c r="AL129" s="13"/>
      <c r="AM129" s="13"/>
      <c r="AN129" s="13"/>
      <c r="AO129" s="13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3"/>
      <c r="BH129" s="127"/>
      <c r="BI129" s="125"/>
      <c r="BJ129" s="126"/>
      <c r="BK129" s="30"/>
      <c r="BL129" s="127"/>
      <c r="BM129" s="128"/>
      <c r="BN129" s="123"/>
      <c r="BO129" s="128"/>
      <c r="BP129" s="13"/>
      <c r="BQ129" s="129"/>
      <c r="BR129" s="123"/>
      <c r="BS129" s="130"/>
      <c r="BT129" s="13"/>
      <c r="BU129" s="123"/>
      <c r="BV129" s="131"/>
      <c r="DD129" s="120"/>
      <c r="DI129" s="121"/>
      <c r="DJ129" s="13"/>
      <c r="DK129" s="13"/>
      <c r="DL129" s="13"/>
      <c r="DM129" s="13"/>
      <c r="DN129" s="13"/>
      <c r="DO129" s="13"/>
      <c r="DW129" s="121"/>
      <c r="DX129" s="121"/>
      <c r="DY129" s="121"/>
      <c r="DZ129" s="121"/>
      <c r="EA129" s="121"/>
      <c r="EB129" s="121"/>
      <c r="EC129" s="121"/>
      <c r="ED129" s="121"/>
      <c r="EE129" s="121"/>
      <c r="EF129" s="121"/>
      <c r="EG129" s="123"/>
      <c r="EH129" s="127"/>
      <c r="EI129" s="125"/>
      <c r="EJ129" s="126"/>
      <c r="EK129" s="30"/>
      <c r="EL129" s="127"/>
      <c r="EM129" s="128"/>
      <c r="EN129" s="123"/>
      <c r="EO129" s="128"/>
      <c r="EP129" s="13"/>
      <c r="EQ129" s="129"/>
      <c r="ER129" s="123"/>
      <c r="ES129" s="130"/>
      <c r="ET129" s="13"/>
      <c r="EU129" s="123"/>
      <c r="EV129" s="131"/>
    </row>
    <row r="130" spans="30:152">
      <c r="AD130" s="120"/>
      <c r="AI130" s="121"/>
      <c r="AJ130" s="13"/>
      <c r="AK130" s="13"/>
      <c r="AL130" s="13"/>
      <c r="AM130" s="13"/>
      <c r="AN130" s="13"/>
      <c r="AO130" s="13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3"/>
      <c r="BH130" s="127"/>
      <c r="BI130" s="125"/>
      <c r="BJ130" s="126"/>
      <c r="BK130" s="30"/>
      <c r="BL130" s="127"/>
      <c r="BM130" s="128"/>
      <c r="BN130" s="123"/>
      <c r="BO130" s="128"/>
      <c r="BP130" s="13"/>
      <c r="BQ130" s="129"/>
      <c r="BR130" s="123"/>
      <c r="BS130" s="130"/>
      <c r="BT130" s="13"/>
      <c r="BU130" s="123"/>
      <c r="BV130" s="131"/>
      <c r="DD130" s="120"/>
      <c r="DI130" s="121"/>
      <c r="DJ130" s="13"/>
      <c r="DK130" s="13"/>
      <c r="DL130" s="13"/>
      <c r="DM130" s="13"/>
      <c r="DN130" s="13"/>
      <c r="DO130" s="13"/>
      <c r="DW130" s="121"/>
      <c r="DX130" s="121"/>
      <c r="DY130" s="121"/>
      <c r="DZ130" s="121"/>
      <c r="EA130" s="121"/>
      <c r="EB130" s="121"/>
      <c r="EC130" s="121"/>
      <c r="ED130" s="121"/>
      <c r="EE130" s="121"/>
      <c r="EF130" s="121"/>
      <c r="EG130" s="123"/>
      <c r="EH130" s="127"/>
      <c r="EI130" s="125"/>
      <c r="EJ130" s="126"/>
      <c r="EK130" s="30"/>
      <c r="EL130" s="127"/>
      <c r="EM130" s="128"/>
      <c r="EN130" s="123"/>
      <c r="EO130" s="128"/>
      <c r="EP130" s="13"/>
      <c r="EQ130" s="129"/>
      <c r="ER130" s="123"/>
      <c r="ES130" s="130"/>
      <c r="ET130" s="13"/>
      <c r="EU130" s="123"/>
      <c r="EV130" s="131"/>
    </row>
    <row r="131" spans="30:152">
      <c r="AD131" s="120"/>
      <c r="AI131" s="121"/>
      <c r="AJ131" s="13"/>
      <c r="AK131" s="13"/>
      <c r="AL131" s="13"/>
      <c r="AM131" s="13"/>
      <c r="AN131" s="13"/>
      <c r="AO131" s="13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3"/>
      <c r="BH131" s="127"/>
      <c r="BI131" s="125"/>
      <c r="BJ131" s="126"/>
      <c r="BK131" s="30"/>
      <c r="BL131" s="127"/>
      <c r="BM131" s="128"/>
      <c r="BN131" s="123"/>
      <c r="BO131" s="128"/>
      <c r="BP131" s="13"/>
      <c r="BQ131" s="129"/>
      <c r="BR131" s="123"/>
      <c r="BS131" s="130"/>
      <c r="BT131" s="13"/>
      <c r="BU131" s="123"/>
      <c r="BV131" s="131"/>
      <c r="DD131" s="120"/>
      <c r="DI131" s="121"/>
      <c r="DJ131" s="13"/>
      <c r="DK131" s="13"/>
      <c r="DL131" s="13"/>
      <c r="DM131" s="13"/>
      <c r="DN131" s="13"/>
      <c r="DO131" s="13"/>
      <c r="DW131" s="121"/>
      <c r="DX131" s="121"/>
      <c r="DY131" s="121"/>
      <c r="DZ131" s="121"/>
      <c r="EA131" s="121"/>
      <c r="EB131" s="121"/>
      <c r="EC131" s="121"/>
      <c r="ED131" s="121"/>
      <c r="EE131" s="121"/>
      <c r="EF131" s="121"/>
      <c r="EG131" s="123"/>
      <c r="EH131" s="127"/>
      <c r="EI131" s="125"/>
      <c r="EJ131" s="126"/>
      <c r="EK131" s="30"/>
      <c r="EL131" s="127"/>
      <c r="EM131" s="128"/>
      <c r="EN131" s="123"/>
      <c r="EO131" s="128"/>
      <c r="EP131" s="13"/>
      <c r="EQ131" s="129"/>
      <c r="ER131" s="123"/>
      <c r="ES131" s="130"/>
      <c r="ET131" s="13"/>
      <c r="EU131" s="123"/>
      <c r="EV131" s="131"/>
    </row>
    <row r="132" spans="30:152">
      <c r="AD132" s="120"/>
      <c r="AI132" s="121"/>
      <c r="AJ132" s="13"/>
      <c r="AK132" s="13"/>
      <c r="AL132" s="13"/>
      <c r="AM132" s="13"/>
      <c r="AN132" s="13"/>
      <c r="AO132" s="13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3"/>
      <c r="BH132" s="127"/>
      <c r="BI132" s="125"/>
      <c r="BJ132" s="126"/>
      <c r="BK132" s="30"/>
      <c r="BL132" s="127"/>
      <c r="BM132" s="128"/>
      <c r="BN132" s="123"/>
      <c r="BO132" s="128"/>
      <c r="BP132" s="13"/>
      <c r="BQ132" s="129"/>
      <c r="BR132" s="123"/>
      <c r="BS132" s="130"/>
      <c r="BT132" s="13"/>
      <c r="BU132" s="123"/>
      <c r="BV132" s="131"/>
      <c r="DD132" s="120"/>
      <c r="DI132" s="121"/>
      <c r="DJ132" s="13"/>
      <c r="DK132" s="13"/>
      <c r="DL132" s="13"/>
      <c r="DM132" s="13"/>
      <c r="DN132" s="13"/>
      <c r="DO132" s="13"/>
      <c r="DW132" s="121"/>
      <c r="DX132" s="121"/>
      <c r="DY132" s="121"/>
      <c r="DZ132" s="121"/>
      <c r="EA132" s="121"/>
      <c r="EB132" s="121"/>
      <c r="EC132" s="121"/>
      <c r="ED132" s="121"/>
      <c r="EE132" s="121"/>
      <c r="EF132" s="121"/>
      <c r="EG132" s="123"/>
      <c r="EH132" s="127"/>
      <c r="EI132" s="125"/>
      <c r="EJ132" s="126"/>
      <c r="EK132" s="30"/>
      <c r="EL132" s="127"/>
      <c r="EM132" s="128"/>
      <c r="EN132" s="123"/>
      <c r="EO132" s="128"/>
      <c r="EP132" s="13"/>
      <c r="EQ132" s="129"/>
      <c r="ER132" s="123"/>
      <c r="ES132" s="130"/>
      <c r="ET132" s="13"/>
      <c r="EU132" s="123"/>
      <c r="EV132" s="131"/>
    </row>
    <row r="133" spans="30:152">
      <c r="AD133" s="120"/>
      <c r="AI133" s="121"/>
      <c r="AJ133" s="13"/>
      <c r="AK133" s="13"/>
      <c r="AL133" s="13"/>
      <c r="AM133" s="13"/>
      <c r="AN133" s="13"/>
      <c r="AO133" s="13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3"/>
      <c r="BH133" s="127"/>
      <c r="BI133" s="125"/>
      <c r="BJ133" s="126"/>
      <c r="BK133" s="30"/>
      <c r="BL133" s="127"/>
      <c r="BM133" s="128"/>
      <c r="BN133" s="123"/>
      <c r="BO133" s="128"/>
      <c r="BP133" s="13"/>
      <c r="BQ133" s="129"/>
      <c r="BR133" s="123"/>
      <c r="BS133" s="130"/>
      <c r="BT133" s="13"/>
      <c r="BU133" s="123"/>
      <c r="BV133" s="131"/>
      <c r="DD133" s="120"/>
      <c r="DI133" s="121"/>
      <c r="DJ133" s="13"/>
      <c r="DK133" s="13"/>
      <c r="DL133" s="13"/>
      <c r="DM133" s="13"/>
      <c r="DN133" s="13"/>
      <c r="DO133" s="13"/>
      <c r="DW133" s="121"/>
      <c r="DX133" s="121"/>
      <c r="DY133" s="121"/>
      <c r="DZ133" s="121"/>
      <c r="EA133" s="121"/>
      <c r="EB133" s="121"/>
      <c r="EC133" s="121"/>
      <c r="ED133" s="121"/>
      <c r="EE133" s="121"/>
      <c r="EF133" s="121"/>
      <c r="EG133" s="123"/>
      <c r="EH133" s="127"/>
      <c r="EI133" s="125"/>
      <c r="EJ133" s="126"/>
      <c r="EK133" s="30"/>
      <c r="EL133" s="127"/>
      <c r="EM133" s="128"/>
      <c r="EN133" s="123"/>
      <c r="EO133" s="128"/>
      <c r="EP133" s="13"/>
      <c r="EQ133" s="129"/>
      <c r="ER133" s="123"/>
      <c r="ES133" s="130"/>
      <c r="ET133" s="13"/>
      <c r="EU133" s="123"/>
      <c r="EV133" s="131"/>
    </row>
    <row r="134" spans="30:152">
      <c r="AD134" s="120"/>
      <c r="AI134" s="121"/>
      <c r="AJ134" s="13"/>
      <c r="AK134" s="13"/>
      <c r="AL134" s="13"/>
      <c r="AM134" s="13"/>
      <c r="AN134" s="13"/>
      <c r="AO134" s="13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3"/>
      <c r="BH134" s="127"/>
      <c r="BI134" s="125"/>
      <c r="BJ134" s="126"/>
      <c r="BK134" s="30"/>
      <c r="BL134" s="127"/>
      <c r="BM134" s="128"/>
      <c r="BN134" s="123"/>
      <c r="BO134" s="128"/>
      <c r="BP134" s="13"/>
      <c r="BQ134" s="129"/>
      <c r="BR134" s="123"/>
      <c r="BS134" s="130"/>
      <c r="BT134" s="13"/>
      <c r="BU134" s="123"/>
      <c r="BV134" s="131"/>
      <c r="DD134" s="120"/>
      <c r="DI134" s="121"/>
      <c r="DJ134" s="13"/>
      <c r="DK134" s="13"/>
      <c r="DL134" s="13"/>
      <c r="DM134" s="13"/>
      <c r="DN134" s="13"/>
      <c r="DO134" s="13"/>
      <c r="DW134" s="121"/>
      <c r="DX134" s="121"/>
      <c r="DY134" s="121"/>
      <c r="DZ134" s="121"/>
      <c r="EA134" s="121"/>
      <c r="EB134" s="121"/>
      <c r="EC134" s="121"/>
      <c r="ED134" s="121"/>
      <c r="EE134" s="121"/>
      <c r="EF134" s="121"/>
      <c r="EG134" s="123"/>
      <c r="EH134" s="127"/>
      <c r="EI134" s="125"/>
      <c r="EJ134" s="126"/>
      <c r="EK134" s="30"/>
      <c r="EL134" s="127"/>
      <c r="EM134" s="128"/>
      <c r="EN134" s="123"/>
      <c r="EO134" s="128"/>
      <c r="EP134" s="13"/>
      <c r="EQ134" s="129"/>
      <c r="ER134" s="123"/>
      <c r="ES134" s="130"/>
      <c r="ET134" s="13"/>
      <c r="EU134" s="123"/>
      <c r="EV134" s="131"/>
    </row>
    <row r="135" spans="30:152">
      <c r="AD135" s="120"/>
      <c r="AI135" s="121"/>
      <c r="AJ135" s="13"/>
      <c r="AK135" s="13"/>
      <c r="AL135" s="13"/>
      <c r="AM135" s="13"/>
      <c r="AN135" s="13"/>
      <c r="AO135" s="13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3"/>
      <c r="BH135" s="127"/>
      <c r="BI135" s="125"/>
      <c r="BJ135" s="126"/>
      <c r="BK135" s="30"/>
      <c r="BL135" s="127"/>
      <c r="BM135" s="128"/>
      <c r="BN135" s="123"/>
      <c r="BO135" s="128"/>
      <c r="BP135" s="13"/>
      <c r="BQ135" s="129"/>
      <c r="BR135" s="123"/>
      <c r="BS135" s="130"/>
      <c r="BT135" s="13"/>
      <c r="BU135" s="123"/>
      <c r="BV135" s="131"/>
      <c r="DD135" s="120"/>
      <c r="DI135" s="121"/>
      <c r="DJ135" s="13"/>
      <c r="DK135" s="13"/>
      <c r="DL135" s="13"/>
      <c r="DM135" s="13"/>
      <c r="DN135" s="13"/>
      <c r="DO135" s="13"/>
      <c r="DW135" s="121"/>
      <c r="DX135" s="121"/>
      <c r="DY135" s="121"/>
      <c r="DZ135" s="121"/>
      <c r="EA135" s="121"/>
      <c r="EB135" s="121"/>
      <c r="EC135" s="121"/>
      <c r="ED135" s="121"/>
      <c r="EE135" s="121"/>
      <c r="EF135" s="121"/>
      <c r="EG135" s="123"/>
      <c r="EH135" s="127"/>
      <c r="EI135" s="125"/>
      <c r="EJ135" s="126"/>
      <c r="EK135" s="30"/>
      <c r="EL135" s="127"/>
      <c r="EM135" s="128"/>
      <c r="EN135" s="123"/>
      <c r="EO135" s="128"/>
      <c r="EP135" s="13"/>
      <c r="EQ135" s="129"/>
      <c r="ER135" s="123"/>
      <c r="ES135" s="130"/>
      <c r="ET135" s="13"/>
      <c r="EU135" s="123"/>
      <c r="EV135" s="131"/>
    </row>
    <row r="136" spans="30:152">
      <c r="AD136" s="120"/>
      <c r="AI136" s="121"/>
      <c r="AJ136" s="13"/>
      <c r="AK136" s="13"/>
      <c r="AL136" s="13"/>
      <c r="AM136" s="13"/>
      <c r="AN136" s="13"/>
      <c r="AO136" s="13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3"/>
      <c r="BH136" s="127"/>
      <c r="BI136" s="125"/>
      <c r="BJ136" s="126"/>
      <c r="BK136" s="30"/>
      <c r="BL136" s="127"/>
      <c r="BM136" s="128"/>
      <c r="BN136" s="123"/>
      <c r="BO136" s="128"/>
      <c r="BP136" s="13"/>
      <c r="BQ136" s="129"/>
      <c r="BR136" s="123"/>
      <c r="BS136" s="130"/>
      <c r="BT136" s="13"/>
      <c r="BU136" s="123"/>
      <c r="BV136" s="131"/>
      <c r="DD136" s="120"/>
      <c r="DI136" s="121"/>
      <c r="DJ136" s="13"/>
      <c r="DK136" s="13"/>
      <c r="DL136" s="13"/>
      <c r="DM136" s="13"/>
      <c r="DN136" s="13"/>
      <c r="DO136" s="13"/>
      <c r="DW136" s="121"/>
      <c r="DX136" s="121"/>
      <c r="DY136" s="121"/>
      <c r="DZ136" s="121"/>
      <c r="EA136" s="121"/>
      <c r="EB136" s="121"/>
      <c r="EC136" s="121"/>
      <c r="ED136" s="121"/>
      <c r="EE136" s="121"/>
      <c r="EF136" s="121"/>
      <c r="EG136" s="123"/>
      <c r="EH136" s="127"/>
      <c r="EI136" s="125"/>
      <c r="EJ136" s="126"/>
      <c r="EK136" s="30"/>
      <c r="EL136" s="127"/>
      <c r="EM136" s="128"/>
      <c r="EN136" s="123"/>
      <c r="EO136" s="128"/>
      <c r="EP136" s="13"/>
      <c r="EQ136" s="129"/>
      <c r="ER136" s="123"/>
      <c r="ES136" s="130"/>
      <c r="ET136" s="13"/>
      <c r="EU136" s="123"/>
      <c r="EV136" s="131"/>
    </row>
    <row r="137" spans="30:152">
      <c r="AD137" s="120"/>
      <c r="AI137" s="121"/>
      <c r="AJ137" s="13"/>
      <c r="AK137" s="13"/>
      <c r="AL137" s="13"/>
      <c r="AM137" s="13"/>
      <c r="AN137" s="13"/>
      <c r="AO137" s="13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3"/>
      <c r="BH137" s="127"/>
      <c r="BI137" s="125"/>
      <c r="BJ137" s="126"/>
      <c r="BK137" s="30"/>
      <c r="BL137" s="127"/>
      <c r="BM137" s="128"/>
      <c r="BN137" s="123"/>
      <c r="BO137" s="128"/>
      <c r="BP137" s="13"/>
      <c r="BQ137" s="129"/>
      <c r="BR137" s="123"/>
      <c r="BS137" s="130"/>
      <c r="BT137" s="13"/>
      <c r="BU137" s="123"/>
      <c r="BV137" s="131"/>
      <c r="DD137" s="120"/>
      <c r="DI137" s="121"/>
      <c r="DJ137" s="13"/>
      <c r="DK137" s="13"/>
      <c r="DL137" s="13"/>
      <c r="DM137" s="13"/>
      <c r="DN137" s="13"/>
      <c r="DO137" s="13"/>
      <c r="DW137" s="121"/>
      <c r="DX137" s="121"/>
      <c r="DY137" s="121"/>
      <c r="DZ137" s="121"/>
      <c r="EA137" s="121"/>
      <c r="EB137" s="121"/>
      <c r="EC137" s="121"/>
      <c r="ED137" s="121"/>
      <c r="EE137" s="121"/>
      <c r="EF137" s="121"/>
      <c r="EG137" s="123"/>
      <c r="EH137" s="127"/>
      <c r="EI137" s="125"/>
      <c r="EJ137" s="126"/>
      <c r="EK137" s="30"/>
      <c r="EL137" s="127"/>
      <c r="EM137" s="128"/>
      <c r="EN137" s="123"/>
      <c r="EO137" s="128"/>
      <c r="EP137" s="13"/>
      <c r="EQ137" s="129"/>
      <c r="ER137" s="123"/>
      <c r="ES137" s="130"/>
      <c r="ET137" s="13"/>
      <c r="EU137" s="123"/>
      <c r="EV137" s="131"/>
    </row>
    <row r="138" spans="30:152">
      <c r="AD138" s="120"/>
      <c r="AI138" s="121"/>
      <c r="AJ138" s="13"/>
      <c r="AK138" s="13"/>
      <c r="AL138" s="13"/>
      <c r="AM138" s="13"/>
      <c r="AN138" s="13"/>
      <c r="AO138" s="13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3"/>
      <c r="BH138" s="127"/>
      <c r="BI138" s="125"/>
      <c r="BJ138" s="126"/>
      <c r="BK138" s="30"/>
      <c r="BL138" s="127"/>
      <c r="BM138" s="128"/>
      <c r="BN138" s="123"/>
      <c r="BO138" s="128"/>
      <c r="BP138" s="13"/>
      <c r="BQ138" s="129"/>
      <c r="BR138" s="123"/>
      <c r="BS138" s="130"/>
      <c r="BT138" s="13"/>
      <c r="BU138" s="123"/>
      <c r="BV138" s="131"/>
      <c r="DD138" s="120"/>
      <c r="DI138" s="121"/>
      <c r="DJ138" s="13"/>
      <c r="DK138" s="13"/>
      <c r="DL138" s="13"/>
      <c r="DM138" s="13"/>
      <c r="DN138" s="13"/>
      <c r="DO138" s="13"/>
      <c r="DW138" s="121"/>
      <c r="DX138" s="121"/>
      <c r="DY138" s="121"/>
      <c r="DZ138" s="121"/>
      <c r="EA138" s="121"/>
      <c r="EB138" s="121"/>
      <c r="EC138" s="121"/>
      <c r="ED138" s="121"/>
      <c r="EE138" s="121"/>
      <c r="EF138" s="121"/>
      <c r="EG138" s="123"/>
      <c r="EH138" s="127"/>
      <c r="EI138" s="125"/>
      <c r="EJ138" s="126"/>
      <c r="EK138" s="30"/>
      <c r="EL138" s="127"/>
      <c r="EM138" s="128"/>
      <c r="EN138" s="123"/>
      <c r="EO138" s="128"/>
      <c r="EP138" s="13"/>
      <c r="EQ138" s="129"/>
      <c r="ER138" s="123"/>
      <c r="ES138" s="130"/>
      <c r="ET138" s="13"/>
      <c r="EU138" s="123"/>
      <c r="EV138" s="131"/>
    </row>
    <row r="139" spans="30:152">
      <c r="AD139" s="120"/>
      <c r="AI139" s="121"/>
      <c r="AJ139" s="13"/>
      <c r="AK139" s="13"/>
      <c r="AL139" s="13"/>
      <c r="AM139" s="13"/>
      <c r="AN139" s="13"/>
      <c r="AO139" s="13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3"/>
      <c r="BH139" s="127"/>
      <c r="BI139" s="125"/>
      <c r="BJ139" s="126"/>
      <c r="BK139" s="30"/>
      <c r="BL139" s="127"/>
      <c r="BM139" s="128"/>
      <c r="BN139" s="123"/>
      <c r="BO139" s="128"/>
      <c r="BP139" s="13"/>
      <c r="BQ139" s="129"/>
      <c r="BR139" s="123"/>
      <c r="BS139" s="130"/>
      <c r="BT139" s="13"/>
      <c r="BU139" s="123"/>
      <c r="BV139" s="131"/>
      <c r="DD139" s="120"/>
      <c r="DI139" s="121"/>
      <c r="DJ139" s="13"/>
      <c r="DK139" s="13"/>
      <c r="DL139" s="13"/>
      <c r="DM139" s="13"/>
      <c r="DN139" s="13"/>
      <c r="DO139" s="13"/>
      <c r="DW139" s="121"/>
      <c r="DX139" s="121"/>
      <c r="DY139" s="121"/>
      <c r="DZ139" s="121"/>
      <c r="EA139" s="121"/>
      <c r="EB139" s="121"/>
      <c r="EC139" s="121"/>
      <c r="ED139" s="121"/>
      <c r="EE139" s="121"/>
      <c r="EF139" s="121"/>
      <c r="EG139" s="123"/>
      <c r="EH139" s="127"/>
      <c r="EI139" s="125"/>
      <c r="EJ139" s="126"/>
      <c r="EK139" s="30"/>
      <c r="EL139" s="127"/>
      <c r="EM139" s="128"/>
      <c r="EN139" s="123"/>
      <c r="EO139" s="128"/>
      <c r="EP139" s="13"/>
      <c r="EQ139" s="129"/>
      <c r="ER139" s="123"/>
      <c r="ES139" s="130"/>
      <c r="ET139" s="13"/>
      <c r="EU139" s="123"/>
      <c r="EV139" s="131"/>
    </row>
    <row r="140" spans="30:152">
      <c r="AD140" s="120"/>
      <c r="AI140" s="121"/>
      <c r="AJ140" s="13"/>
      <c r="AK140" s="13"/>
      <c r="AL140" s="13"/>
      <c r="AM140" s="13"/>
      <c r="AN140" s="13"/>
      <c r="AO140" s="13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3"/>
      <c r="BH140" s="127"/>
      <c r="BI140" s="125"/>
      <c r="BJ140" s="126"/>
      <c r="BK140" s="30"/>
      <c r="BL140" s="127"/>
      <c r="BM140" s="128"/>
      <c r="BN140" s="123"/>
      <c r="BO140" s="128"/>
      <c r="BP140" s="13"/>
      <c r="BQ140" s="129"/>
      <c r="BR140" s="123"/>
      <c r="BS140" s="130"/>
      <c r="BT140" s="13"/>
      <c r="BU140" s="123"/>
      <c r="BV140" s="131"/>
      <c r="DD140" s="120"/>
      <c r="DI140" s="121"/>
      <c r="DJ140" s="13"/>
      <c r="DK140" s="13"/>
      <c r="DL140" s="13"/>
      <c r="DM140" s="13"/>
      <c r="DN140" s="13"/>
      <c r="DO140" s="13"/>
      <c r="DW140" s="121"/>
      <c r="DX140" s="121"/>
      <c r="DY140" s="121"/>
      <c r="DZ140" s="121"/>
      <c r="EA140" s="121"/>
      <c r="EB140" s="121"/>
      <c r="EC140" s="121"/>
      <c r="ED140" s="121"/>
      <c r="EE140" s="121"/>
      <c r="EF140" s="121"/>
      <c r="EG140" s="123"/>
      <c r="EH140" s="127"/>
      <c r="EI140" s="125"/>
      <c r="EJ140" s="126"/>
      <c r="EK140" s="30"/>
      <c r="EL140" s="127"/>
      <c r="EM140" s="128"/>
      <c r="EN140" s="123"/>
      <c r="EO140" s="128"/>
      <c r="EP140" s="13"/>
      <c r="EQ140" s="129"/>
      <c r="ER140" s="123"/>
      <c r="ES140" s="130"/>
      <c r="ET140" s="13"/>
      <c r="EU140" s="123"/>
      <c r="EV140" s="131"/>
    </row>
    <row r="141" spans="30:152">
      <c r="AD141" s="120"/>
      <c r="AI141" s="121"/>
      <c r="AJ141" s="13"/>
      <c r="AK141" s="13"/>
      <c r="AL141" s="13"/>
      <c r="AM141" s="13"/>
      <c r="AN141" s="13"/>
      <c r="AO141" s="13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3"/>
      <c r="BH141" s="127"/>
      <c r="BI141" s="125"/>
      <c r="BJ141" s="126"/>
      <c r="BK141" s="30"/>
      <c r="BL141" s="127"/>
      <c r="BM141" s="128"/>
      <c r="BN141" s="123"/>
      <c r="BO141" s="128"/>
      <c r="BP141" s="13"/>
      <c r="BQ141" s="129"/>
      <c r="BR141" s="123"/>
      <c r="BS141" s="130"/>
      <c r="BT141" s="13"/>
      <c r="BU141" s="123"/>
      <c r="BV141" s="131"/>
      <c r="DD141" s="120"/>
      <c r="DI141" s="121"/>
      <c r="DJ141" s="13"/>
      <c r="DK141" s="13"/>
      <c r="DL141" s="13"/>
      <c r="DM141" s="13"/>
      <c r="DN141" s="13"/>
      <c r="DO141" s="13"/>
      <c r="DW141" s="121"/>
      <c r="DX141" s="121"/>
      <c r="DY141" s="121"/>
      <c r="DZ141" s="121"/>
      <c r="EA141" s="121"/>
      <c r="EB141" s="121"/>
      <c r="EC141" s="121"/>
      <c r="ED141" s="121"/>
      <c r="EE141" s="121"/>
      <c r="EF141" s="121"/>
      <c r="EG141" s="123"/>
      <c r="EH141" s="127"/>
      <c r="EI141" s="125"/>
      <c r="EJ141" s="126"/>
      <c r="EK141" s="30"/>
      <c r="EL141" s="127"/>
      <c r="EM141" s="128"/>
      <c r="EN141" s="123"/>
      <c r="EO141" s="128"/>
      <c r="EP141" s="13"/>
      <c r="EQ141" s="129"/>
      <c r="ER141" s="123"/>
      <c r="ES141" s="130"/>
      <c r="ET141" s="13"/>
      <c r="EU141" s="123"/>
      <c r="EV141" s="131"/>
    </row>
    <row r="142" spans="30:152">
      <c r="AD142" s="120"/>
      <c r="AI142" s="121"/>
      <c r="AJ142" s="13"/>
      <c r="AK142" s="13"/>
      <c r="AL142" s="13"/>
      <c r="AM142" s="13"/>
      <c r="AN142" s="13"/>
      <c r="AO142" s="13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3"/>
      <c r="BH142" s="127"/>
      <c r="BI142" s="125"/>
      <c r="BJ142" s="126"/>
      <c r="BK142" s="30"/>
      <c r="BL142" s="127"/>
      <c r="BM142" s="128"/>
      <c r="BN142" s="123"/>
      <c r="BO142" s="128"/>
      <c r="BP142" s="13"/>
      <c r="BQ142" s="129"/>
      <c r="BR142" s="123"/>
      <c r="BS142" s="130"/>
      <c r="BT142" s="13"/>
      <c r="BU142" s="123"/>
      <c r="BV142" s="131"/>
      <c r="DD142" s="120"/>
      <c r="DI142" s="121"/>
      <c r="DJ142" s="13"/>
      <c r="DK142" s="13"/>
      <c r="DL142" s="13"/>
      <c r="DM142" s="13"/>
      <c r="DN142" s="13"/>
      <c r="DO142" s="13"/>
      <c r="DW142" s="121"/>
      <c r="DX142" s="121"/>
      <c r="DY142" s="121"/>
      <c r="DZ142" s="121"/>
      <c r="EA142" s="121"/>
      <c r="EB142" s="121"/>
      <c r="EC142" s="121"/>
      <c r="ED142" s="121"/>
      <c r="EE142" s="121"/>
      <c r="EF142" s="121"/>
      <c r="EG142" s="123"/>
      <c r="EH142" s="127"/>
      <c r="EI142" s="125"/>
      <c r="EJ142" s="126"/>
      <c r="EK142" s="30"/>
      <c r="EL142" s="127"/>
      <c r="EM142" s="128"/>
      <c r="EN142" s="123"/>
      <c r="EO142" s="128"/>
      <c r="EP142" s="13"/>
      <c r="EQ142" s="129"/>
      <c r="ER142" s="123"/>
      <c r="ES142" s="130"/>
      <c r="ET142" s="13"/>
      <c r="EU142" s="123"/>
      <c r="EV142" s="131"/>
    </row>
    <row r="143" spans="30:152">
      <c r="AD143" s="120"/>
      <c r="AI143" s="121"/>
      <c r="AJ143" s="13"/>
      <c r="AK143" s="13"/>
      <c r="AL143" s="13"/>
      <c r="AM143" s="13"/>
      <c r="AN143" s="13"/>
      <c r="AO143" s="13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3"/>
      <c r="BH143" s="127"/>
      <c r="BI143" s="125"/>
      <c r="BJ143" s="126"/>
      <c r="BK143" s="30"/>
      <c r="BL143" s="127"/>
      <c r="BM143" s="128"/>
      <c r="BN143" s="123"/>
      <c r="BO143" s="128"/>
      <c r="BP143" s="13"/>
      <c r="BQ143" s="129"/>
      <c r="BR143" s="123"/>
      <c r="BS143" s="130"/>
      <c r="BT143" s="13"/>
      <c r="BU143" s="123"/>
      <c r="BV143" s="131"/>
      <c r="DD143" s="120"/>
      <c r="DI143" s="121"/>
      <c r="DJ143" s="13"/>
      <c r="DK143" s="13"/>
      <c r="DL143" s="13"/>
      <c r="DM143" s="13"/>
      <c r="DN143" s="13"/>
      <c r="DO143" s="13"/>
      <c r="DW143" s="121"/>
      <c r="DX143" s="121"/>
      <c r="DY143" s="121"/>
      <c r="DZ143" s="121"/>
      <c r="EA143" s="121"/>
      <c r="EB143" s="121"/>
      <c r="EC143" s="121"/>
      <c r="ED143" s="121"/>
      <c r="EE143" s="121"/>
      <c r="EF143" s="121"/>
      <c r="EG143" s="123"/>
      <c r="EH143" s="127"/>
      <c r="EI143" s="125"/>
      <c r="EJ143" s="126"/>
      <c r="EK143" s="30"/>
      <c r="EL143" s="127"/>
      <c r="EM143" s="128"/>
      <c r="EN143" s="123"/>
      <c r="EO143" s="128"/>
      <c r="EP143" s="13"/>
      <c r="EQ143" s="129"/>
      <c r="ER143" s="123"/>
      <c r="ES143" s="130"/>
      <c r="ET143" s="13"/>
      <c r="EU143" s="123"/>
      <c r="EV143" s="131"/>
    </row>
    <row r="144" spans="30:152">
      <c r="AD144" s="120"/>
      <c r="AI144" s="121"/>
      <c r="AJ144" s="13"/>
      <c r="AK144" s="13"/>
      <c r="AL144" s="13"/>
      <c r="AM144" s="13"/>
      <c r="AN144" s="13"/>
      <c r="AO144" s="13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3"/>
      <c r="BH144" s="127"/>
      <c r="BI144" s="125"/>
      <c r="BJ144" s="126"/>
      <c r="BK144" s="30"/>
      <c r="BL144" s="127"/>
      <c r="BM144" s="128"/>
      <c r="BN144" s="123"/>
      <c r="BO144" s="128"/>
      <c r="BP144" s="13"/>
      <c r="BQ144" s="129"/>
      <c r="BR144" s="123"/>
      <c r="BS144" s="130"/>
      <c r="BT144" s="13"/>
      <c r="BU144" s="123"/>
      <c r="BV144" s="131"/>
      <c r="DD144" s="120"/>
      <c r="DI144" s="121"/>
      <c r="DJ144" s="13"/>
      <c r="DK144" s="13"/>
      <c r="DL144" s="13"/>
      <c r="DM144" s="13"/>
      <c r="DN144" s="13"/>
      <c r="DO144" s="13"/>
      <c r="DW144" s="121"/>
      <c r="DX144" s="121"/>
      <c r="DY144" s="121"/>
      <c r="DZ144" s="121"/>
      <c r="EA144" s="121"/>
      <c r="EB144" s="121"/>
      <c r="EC144" s="121"/>
      <c r="ED144" s="121"/>
      <c r="EE144" s="121"/>
      <c r="EF144" s="121"/>
      <c r="EG144" s="123"/>
      <c r="EH144" s="127"/>
      <c r="EI144" s="125"/>
      <c r="EJ144" s="126"/>
      <c r="EK144" s="30"/>
      <c r="EL144" s="127"/>
      <c r="EM144" s="128"/>
      <c r="EN144" s="123"/>
      <c r="EO144" s="128"/>
      <c r="EP144" s="13"/>
      <c r="EQ144" s="129"/>
      <c r="ER144" s="123"/>
      <c r="ES144" s="130"/>
      <c r="ET144" s="13"/>
      <c r="EU144" s="123"/>
      <c r="EV144" s="131"/>
    </row>
    <row r="145" spans="30:152">
      <c r="AD145" s="120"/>
      <c r="AI145" s="121"/>
      <c r="AJ145" s="13"/>
      <c r="AK145" s="13"/>
      <c r="AL145" s="13"/>
      <c r="AM145" s="13"/>
      <c r="AN145" s="13"/>
      <c r="AO145" s="13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3"/>
      <c r="BH145" s="127"/>
      <c r="BI145" s="125"/>
      <c r="BJ145" s="126"/>
      <c r="BK145" s="30"/>
      <c r="BL145" s="127"/>
      <c r="BM145" s="128"/>
      <c r="BN145" s="123"/>
      <c r="BO145" s="128"/>
      <c r="BP145" s="13"/>
      <c r="BQ145" s="129"/>
      <c r="BR145" s="123"/>
      <c r="BS145" s="130"/>
      <c r="BT145" s="13"/>
      <c r="BU145" s="123"/>
      <c r="BV145" s="131"/>
      <c r="DD145" s="120"/>
      <c r="DI145" s="121"/>
      <c r="DJ145" s="13"/>
      <c r="DK145" s="13"/>
      <c r="DL145" s="13"/>
      <c r="DM145" s="13"/>
      <c r="DN145" s="13"/>
      <c r="DO145" s="13"/>
      <c r="DW145" s="121"/>
      <c r="DX145" s="121"/>
      <c r="DY145" s="121"/>
      <c r="DZ145" s="121"/>
      <c r="EA145" s="121"/>
      <c r="EB145" s="121"/>
      <c r="EC145" s="121"/>
      <c r="ED145" s="121"/>
      <c r="EE145" s="121"/>
      <c r="EF145" s="121"/>
      <c r="EG145" s="123"/>
      <c r="EH145" s="127"/>
      <c r="EI145" s="125"/>
      <c r="EJ145" s="126"/>
      <c r="EK145" s="30"/>
      <c r="EL145" s="127"/>
      <c r="EM145" s="128"/>
      <c r="EN145" s="123"/>
      <c r="EO145" s="128"/>
      <c r="EP145" s="13"/>
      <c r="EQ145" s="129"/>
      <c r="ER145" s="123"/>
      <c r="ES145" s="130"/>
      <c r="ET145" s="13"/>
      <c r="EU145" s="123"/>
      <c r="EV145" s="131"/>
    </row>
    <row r="146" spans="30:152">
      <c r="AD146" s="120"/>
      <c r="AI146" s="121"/>
      <c r="AJ146" s="13"/>
      <c r="AK146" s="13"/>
      <c r="AL146" s="13"/>
      <c r="AM146" s="13"/>
      <c r="AN146" s="13"/>
      <c r="AO146" s="13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3"/>
      <c r="BH146" s="127"/>
      <c r="BI146" s="125"/>
      <c r="BJ146" s="126"/>
      <c r="BK146" s="30"/>
      <c r="BL146" s="127"/>
      <c r="BM146" s="128"/>
      <c r="BN146" s="123"/>
      <c r="BO146" s="128"/>
      <c r="BP146" s="13"/>
      <c r="BQ146" s="129"/>
      <c r="BR146" s="123"/>
      <c r="BS146" s="130"/>
      <c r="BT146" s="13"/>
      <c r="BU146" s="123"/>
      <c r="BV146" s="131"/>
      <c r="DD146" s="120"/>
      <c r="DI146" s="121"/>
      <c r="DJ146" s="13"/>
      <c r="DK146" s="13"/>
      <c r="DL146" s="13"/>
      <c r="DM146" s="13"/>
      <c r="DN146" s="13"/>
      <c r="DO146" s="13"/>
      <c r="DW146" s="121"/>
      <c r="DX146" s="121"/>
      <c r="DY146" s="121"/>
      <c r="DZ146" s="121"/>
      <c r="EA146" s="121"/>
      <c r="EB146" s="121"/>
      <c r="EC146" s="121"/>
      <c r="ED146" s="121"/>
      <c r="EE146" s="121"/>
      <c r="EF146" s="121"/>
      <c r="EG146" s="123"/>
      <c r="EH146" s="127"/>
      <c r="EI146" s="125"/>
      <c r="EJ146" s="126"/>
      <c r="EK146" s="30"/>
      <c r="EL146" s="127"/>
      <c r="EM146" s="128"/>
      <c r="EN146" s="123"/>
      <c r="EO146" s="128"/>
      <c r="EP146" s="13"/>
      <c r="EQ146" s="129"/>
      <c r="ER146" s="123"/>
      <c r="ES146" s="130"/>
      <c r="ET146" s="13"/>
      <c r="EU146" s="123"/>
      <c r="EV146" s="131"/>
    </row>
    <row r="147" spans="30:152">
      <c r="AD147" s="120"/>
      <c r="AI147" s="121"/>
      <c r="AJ147" s="13"/>
      <c r="AK147" s="13"/>
      <c r="AL147" s="13"/>
      <c r="AM147" s="13"/>
      <c r="AN147" s="13"/>
      <c r="AO147" s="13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3"/>
      <c r="BH147" s="127"/>
      <c r="BI147" s="125"/>
      <c r="BJ147" s="126"/>
      <c r="BK147" s="30"/>
      <c r="BL147" s="127"/>
      <c r="BM147" s="128"/>
      <c r="BN147" s="123"/>
      <c r="BO147" s="128"/>
      <c r="BP147" s="13"/>
      <c r="BQ147" s="129"/>
      <c r="BR147" s="123"/>
      <c r="BS147" s="130"/>
      <c r="BT147" s="13"/>
      <c r="BU147" s="123"/>
      <c r="BV147" s="131"/>
      <c r="DD147" s="120"/>
      <c r="DI147" s="121"/>
      <c r="DJ147" s="13"/>
      <c r="DK147" s="13"/>
      <c r="DL147" s="13"/>
      <c r="DM147" s="13"/>
      <c r="DN147" s="13"/>
      <c r="DO147" s="13"/>
      <c r="DW147" s="121"/>
      <c r="DX147" s="121"/>
      <c r="DY147" s="121"/>
      <c r="DZ147" s="121"/>
      <c r="EA147" s="121"/>
      <c r="EB147" s="121"/>
      <c r="EC147" s="121"/>
      <c r="ED147" s="121"/>
      <c r="EE147" s="121"/>
      <c r="EF147" s="121"/>
      <c r="EG147" s="123"/>
      <c r="EH147" s="127"/>
      <c r="EI147" s="125"/>
      <c r="EJ147" s="126"/>
      <c r="EK147" s="30"/>
      <c r="EL147" s="127"/>
      <c r="EM147" s="128"/>
      <c r="EN147" s="123"/>
      <c r="EO147" s="128"/>
      <c r="EP147" s="13"/>
      <c r="EQ147" s="129"/>
      <c r="ER147" s="123"/>
      <c r="ES147" s="130"/>
      <c r="ET147" s="13"/>
      <c r="EU147" s="123"/>
      <c r="EV147" s="131"/>
    </row>
    <row r="148" spans="30:152">
      <c r="AD148" s="120"/>
      <c r="AI148" s="121"/>
      <c r="AJ148" s="13"/>
      <c r="AK148" s="13"/>
      <c r="AL148" s="13"/>
      <c r="AM148" s="13"/>
      <c r="AN148" s="13"/>
      <c r="AO148" s="13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3"/>
      <c r="BH148" s="127"/>
      <c r="BI148" s="125"/>
      <c r="BJ148" s="126"/>
      <c r="BK148" s="30"/>
      <c r="BL148" s="127"/>
      <c r="BM148" s="128"/>
      <c r="BN148" s="123"/>
      <c r="BO148" s="128"/>
      <c r="BP148" s="13"/>
      <c r="BQ148" s="129"/>
      <c r="BR148" s="123"/>
      <c r="BS148" s="130"/>
      <c r="BT148" s="13"/>
      <c r="BU148" s="123"/>
      <c r="BV148" s="131"/>
      <c r="DD148" s="120"/>
      <c r="DI148" s="121"/>
      <c r="DJ148" s="13"/>
      <c r="DK148" s="13"/>
      <c r="DL148" s="13"/>
      <c r="DM148" s="13"/>
      <c r="DN148" s="13"/>
      <c r="DO148" s="13"/>
      <c r="DW148" s="121"/>
      <c r="DX148" s="121"/>
      <c r="DY148" s="121"/>
      <c r="DZ148" s="121"/>
      <c r="EA148" s="121"/>
      <c r="EB148" s="121"/>
      <c r="EC148" s="121"/>
      <c r="ED148" s="121"/>
      <c r="EE148" s="121"/>
      <c r="EF148" s="121"/>
      <c r="EG148" s="123"/>
      <c r="EH148" s="127"/>
      <c r="EI148" s="125"/>
      <c r="EJ148" s="126"/>
      <c r="EK148" s="30"/>
      <c r="EL148" s="127"/>
      <c r="EM148" s="128"/>
      <c r="EN148" s="123"/>
      <c r="EO148" s="128"/>
      <c r="EP148" s="13"/>
      <c r="EQ148" s="129"/>
      <c r="ER148" s="123"/>
      <c r="ES148" s="130"/>
      <c r="ET148" s="13"/>
      <c r="EU148" s="123"/>
      <c r="EV148" s="131"/>
    </row>
    <row r="149" spans="30:152">
      <c r="AD149" s="120"/>
      <c r="AI149" s="121"/>
      <c r="AJ149" s="13"/>
      <c r="AK149" s="13"/>
      <c r="AL149" s="13"/>
      <c r="AM149" s="13"/>
      <c r="AN149" s="13"/>
      <c r="AO149" s="13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3"/>
      <c r="BH149" s="127"/>
      <c r="BI149" s="125"/>
      <c r="BJ149" s="126"/>
      <c r="BK149" s="30"/>
      <c r="BL149" s="127"/>
      <c r="BM149" s="128"/>
      <c r="BN149" s="123"/>
      <c r="BO149" s="128"/>
      <c r="BP149" s="13"/>
      <c r="BQ149" s="129"/>
      <c r="BR149" s="123"/>
      <c r="BS149" s="130"/>
      <c r="BT149" s="13"/>
      <c r="BU149" s="123"/>
      <c r="BV149" s="131"/>
      <c r="DD149" s="120"/>
      <c r="DI149" s="121"/>
      <c r="DJ149" s="13"/>
      <c r="DK149" s="13"/>
      <c r="DL149" s="13"/>
      <c r="DM149" s="13"/>
      <c r="DN149" s="13"/>
      <c r="DO149" s="13"/>
      <c r="DW149" s="121"/>
      <c r="DX149" s="121"/>
      <c r="DY149" s="121"/>
      <c r="DZ149" s="121"/>
      <c r="EA149" s="121"/>
      <c r="EB149" s="121"/>
      <c r="EC149" s="121"/>
      <c r="ED149" s="121"/>
      <c r="EE149" s="121"/>
      <c r="EF149" s="121"/>
      <c r="EG149" s="123"/>
      <c r="EH149" s="127"/>
      <c r="EI149" s="125"/>
      <c r="EJ149" s="126"/>
      <c r="EK149" s="30"/>
      <c r="EL149" s="127"/>
      <c r="EM149" s="128"/>
      <c r="EN149" s="123"/>
      <c r="EO149" s="128"/>
      <c r="EP149" s="13"/>
      <c r="EQ149" s="129"/>
      <c r="ER149" s="123"/>
      <c r="ES149" s="130"/>
      <c r="ET149" s="13"/>
      <c r="EU149" s="123"/>
      <c r="EV149" s="131"/>
    </row>
    <row r="150" spans="30:152">
      <c r="AD150" s="120"/>
      <c r="AI150" s="121"/>
      <c r="AJ150" s="13"/>
      <c r="AK150" s="13"/>
      <c r="AL150" s="13"/>
      <c r="AM150" s="13"/>
      <c r="AN150" s="13"/>
      <c r="AO150" s="13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3"/>
      <c r="BH150" s="127"/>
      <c r="BI150" s="125"/>
      <c r="BJ150" s="126"/>
      <c r="BK150" s="30"/>
      <c r="BL150" s="127"/>
      <c r="BM150" s="128"/>
      <c r="BN150" s="123"/>
      <c r="BO150" s="128"/>
      <c r="BP150" s="13"/>
      <c r="BQ150" s="129"/>
      <c r="BR150" s="123"/>
      <c r="BS150" s="130"/>
      <c r="BT150" s="13"/>
      <c r="BU150" s="123"/>
      <c r="BV150" s="131"/>
      <c r="DD150" s="120"/>
      <c r="DI150" s="121"/>
      <c r="DJ150" s="13"/>
      <c r="DK150" s="13"/>
      <c r="DL150" s="13"/>
      <c r="DM150" s="13"/>
      <c r="DN150" s="13"/>
      <c r="DO150" s="13"/>
      <c r="DW150" s="121"/>
      <c r="DX150" s="121"/>
      <c r="DY150" s="121"/>
      <c r="DZ150" s="121"/>
      <c r="EA150" s="121"/>
      <c r="EB150" s="121"/>
      <c r="EC150" s="121"/>
      <c r="ED150" s="121"/>
      <c r="EE150" s="121"/>
      <c r="EF150" s="121"/>
      <c r="EG150" s="123"/>
      <c r="EH150" s="127"/>
      <c r="EI150" s="125"/>
      <c r="EJ150" s="126"/>
      <c r="EK150" s="30"/>
      <c r="EL150" s="127"/>
      <c r="EM150" s="128"/>
      <c r="EN150" s="123"/>
      <c r="EO150" s="128"/>
      <c r="EP150" s="13"/>
      <c r="EQ150" s="129"/>
      <c r="ER150" s="123"/>
      <c r="ES150" s="130"/>
      <c r="ET150" s="13"/>
      <c r="EU150" s="123"/>
      <c r="EV150" s="131"/>
    </row>
    <row r="151" spans="30:152">
      <c r="AD151" s="120"/>
      <c r="AI151" s="121"/>
      <c r="AJ151" s="13"/>
      <c r="AK151" s="13"/>
      <c r="AL151" s="13"/>
      <c r="AM151" s="13"/>
      <c r="AN151" s="13"/>
      <c r="AO151" s="13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3"/>
      <c r="BH151" s="127"/>
      <c r="BI151" s="125"/>
      <c r="BJ151" s="126"/>
      <c r="BK151" s="30"/>
      <c r="BL151" s="127"/>
      <c r="BM151" s="128"/>
      <c r="BN151" s="123"/>
      <c r="BO151" s="128"/>
      <c r="BP151" s="13"/>
      <c r="BQ151" s="129"/>
      <c r="BR151" s="123"/>
      <c r="BS151" s="130"/>
      <c r="BT151" s="13"/>
      <c r="BU151" s="123"/>
      <c r="BV151" s="131"/>
      <c r="DD151" s="120"/>
      <c r="DI151" s="121"/>
      <c r="DJ151" s="13"/>
      <c r="DK151" s="13"/>
      <c r="DL151" s="13"/>
      <c r="DM151" s="13"/>
      <c r="DN151" s="13"/>
      <c r="DO151" s="13"/>
      <c r="DW151" s="121"/>
      <c r="DX151" s="121"/>
      <c r="DY151" s="121"/>
      <c r="DZ151" s="121"/>
      <c r="EA151" s="121"/>
      <c r="EB151" s="121"/>
      <c r="EC151" s="121"/>
      <c r="ED151" s="121"/>
      <c r="EE151" s="121"/>
      <c r="EF151" s="121"/>
      <c r="EG151" s="123"/>
      <c r="EH151" s="127"/>
      <c r="EI151" s="125"/>
      <c r="EJ151" s="126"/>
      <c r="EK151" s="30"/>
      <c r="EL151" s="127"/>
      <c r="EM151" s="128"/>
      <c r="EN151" s="123"/>
      <c r="EO151" s="128"/>
      <c r="EP151" s="13"/>
      <c r="EQ151" s="129"/>
      <c r="ER151" s="123"/>
      <c r="ES151" s="130"/>
      <c r="ET151" s="13"/>
      <c r="EU151" s="123"/>
      <c r="EV151" s="131"/>
    </row>
    <row r="152" spans="30:152">
      <c r="AD152" s="120"/>
      <c r="AI152" s="121"/>
      <c r="AJ152" s="13"/>
      <c r="AK152" s="13"/>
      <c r="AL152" s="13"/>
      <c r="AM152" s="13"/>
      <c r="AN152" s="13"/>
      <c r="AO152" s="13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3"/>
      <c r="BH152" s="127"/>
      <c r="BI152" s="125"/>
      <c r="BJ152" s="126"/>
      <c r="BK152" s="30"/>
      <c r="BL152" s="127"/>
      <c r="BM152" s="128"/>
      <c r="BN152" s="123"/>
      <c r="BO152" s="128"/>
      <c r="BP152" s="13"/>
      <c r="BQ152" s="129"/>
      <c r="BR152" s="123"/>
      <c r="BS152" s="130"/>
      <c r="BT152" s="13"/>
      <c r="BU152" s="123"/>
      <c r="BV152" s="131"/>
      <c r="DD152" s="120"/>
      <c r="DI152" s="121"/>
      <c r="DJ152" s="13"/>
      <c r="DK152" s="13"/>
      <c r="DL152" s="13"/>
      <c r="DM152" s="13"/>
      <c r="DN152" s="13"/>
      <c r="DO152" s="13"/>
      <c r="DW152" s="121"/>
      <c r="DX152" s="121"/>
      <c r="DY152" s="121"/>
      <c r="DZ152" s="121"/>
      <c r="EA152" s="121"/>
      <c r="EB152" s="121"/>
      <c r="EC152" s="121"/>
      <c r="ED152" s="121"/>
      <c r="EE152" s="121"/>
      <c r="EF152" s="121"/>
      <c r="EG152" s="123"/>
      <c r="EH152" s="127"/>
      <c r="EI152" s="125"/>
      <c r="EJ152" s="126"/>
      <c r="EK152" s="30"/>
      <c r="EL152" s="127"/>
      <c r="EM152" s="128"/>
      <c r="EN152" s="123"/>
      <c r="EO152" s="128"/>
      <c r="EP152" s="13"/>
      <c r="EQ152" s="129"/>
      <c r="ER152" s="123"/>
      <c r="ES152" s="130"/>
      <c r="ET152" s="13"/>
      <c r="EU152" s="123"/>
      <c r="EV152" s="131"/>
    </row>
    <row r="153" spans="30:152">
      <c r="AD153" s="120"/>
      <c r="AI153" s="121"/>
      <c r="AJ153" s="13"/>
      <c r="AK153" s="13"/>
      <c r="AL153" s="13"/>
      <c r="AM153" s="13"/>
      <c r="AN153" s="13"/>
      <c r="AO153" s="13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3"/>
      <c r="BH153" s="127"/>
      <c r="BI153" s="125"/>
      <c r="BJ153" s="126"/>
      <c r="BK153" s="30"/>
      <c r="BL153" s="127"/>
      <c r="BM153" s="128"/>
      <c r="BN153" s="123"/>
      <c r="BO153" s="128"/>
      <c r="BP153" s="13"/>
      <c r="BQ153" s="129"/>
      <c r="BR153" s="123"/>
      <c r="BS153" s="130"/>
      <c r="BT153" s="13"/>
      <c r="BU153" s="123"/>
      <c r="BV153" s="131"/>
      <c r="DD153" s="120"/>
      <c r="DI153" s="121"/>
      <c r="DJ153" s="13"/>
      <c r="DK153" s="13"/>
      <c r="DL153" s="13"/>
      <c r="DM153" s="13"/>
      <c r="DN153" s="13"/>
      <c r="DO153" s="13"/>
      <c r="DW153" s="121"/>
      <c r="DX153" s="121"/>
      <c r="DY153" s="121"/>
      <c r="DZ153" s="121"/>
      <c r="EA153" s="121"/>
      <c r="EB153" s="121"/>
      <c r="EC153" s="121"/>
      <c r="ED153" s="121"/>
      <c r="EE153" s="121"/>
      <c r="EF153" s="121"/>
      <c r="EG153" s="123"/>
      <c r="EH153" s="127"/>
      <c r="EI153" s="125"/>
      <c r="EJ153" s="126"/>
      <c r="EK153" s="30"/>
      <c r="EL153" s="127"/>
      <c r="EM153" s="128"/>
      <c r="EN153" s="123"/>
      <c r="EO153" s="128"/>
      <c r="EP153" s="13"/>
      <c r="EQ153" s="129"/>
      <c r="ER153" s="123"/>
      <c r="ES153" s="130"/>
      <c r="ET153" s="13"/>
      <c r="EU153" s="123"/>
      <c r="EV153" s="131"/>
    </row>
    <row r="154" spans="30:152">
      <c r="AD154" s="120"/>
      <c r="AI154" s="121"/>
      <c r="AJ154" s="13"/>
      <c r="AK154" s="13"/>
      <c r="AL154" s="13"/>
      <c r="AM154" s="13"/>
      <c r="AN154" s="13"/>
      <c r="AO154" s="13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3"/>
      <c r="BH154" s="127"/>
      <c r="BI154" s="125"/>
      <c r="BJ154" s="126"/>
      <c r="BK154" s="30"/>
      <c r="BL154" s="127"/>
      <c r="BM154" s="128"/>
      <c r="BN154" s="123"/>
      <c r="BO154" s="128"/>
      <c r="BP154" s="13"/>
      <c r="BQ154" s="129"/>
      <c r="BR154" s="123"/>
      <c r="BS154" s="130"/>
      <c r="BT154" s="13"/>
      <c r="BU154" s="123"/>
      <c r="BV154" s="131"/>
      <c r="DD154" s="120"/>
      <c r="DI154" s="121"/>
      <c r="DJ154" s="13"/>
      <c r="DK154" s="13"/>
      <c r="DL154" s="13"/>
      <c r="DM154" s="13"/>
      <c r="DN154" s="13"/>
      <c r="DO154" s="13"/>
      <c r="DW154" s="121"/>
      <c r="DX154" s="121"/>
      <c r="DY154" s="121"/>
      <c r="DZ154" s="121"/>
      <c r="EA154" s="121"/>
      <c r="EB154" s="121"/>
      <c r="EC154" s="121"/>
      <c r="ED154" s="121"/>
      <c r="EE154" s="121"/>
      <c r="EF154" s="121"/>
      <c r="EG154" s="123"/>
      <c r="EH154" s="127"/>
      <c r="EI154" s="125"/>
      <c r="EJ154" s="126"/>
      <c r="EK154" s="30"/>
      <c r="EL154" s="127"/>
      <c r="EM154" s="128"/>
      <c r="EN154" s="123"/>
      <c r="EO154" s="128"/>
      <c r="EP154" s="13"/>
      <c r="EQ154" s="129"/>
      <c r="ER154" s="123"/>
      <c r="ES154" s="130"/>
      <c r="ET154" s="13"/>
      <c r="EU154" s="123"/>
      <c r="EV154" s="131"/>
    </row>
    <row r="155" spans="30:152">
      <c r="AD155" s="120"/>
      <c r="AI155" s="121"/>
      <c r="AJ155" s="13"/>
      <c r="AK155" s="13"/>
      <c r="AL155" s="13"/>
      <c r="AM155" s="13"/>
      <c r="AN155" s="13"/>
      <c r="AO155" s="13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3"/>
      <c r="BH155" s="127"/>
      <c r="BI155" s="125"/>
      <c r="BJ155" s="126"/>
      <c r="BK155" s="30"/>
      <c r="BL155" s="127"/>
      <c r="BM155" s="128"/>
      <c r="BN155" s="123"/>
      <c r="BO155" s="128"/>
      <c r="BP155" s="13"/>
      <c r="BQ155" s="129"/>
      <c r="BR155" s="123"/>
      <c r="BS155" s="130"/>
      <c r="BT155" s="13"/>
      <c r="BU155" s="123"/>
      <c r="BV155" s="131"/>
      <c r="DD155" s="120"/>
      <c r="DI155" s="121"/>
      <c r="DJ155" s="13"/>
      <c r="DK155" s="13"/>
      <c r="DL155" s="13"/>
      <c r="DM155" s="13"/>
      <c r="DN155" s="13"/>
      <c r="DO155" s="13"/>
      <c r="DW155" s="121"/>
      <c r="DX155" s="121"/>
      <c r="DY155" s="121"/>
      <c r="DZ155" s="121"/>
      <c r="EA155" s="121"/>
      <c r="EB155" s="121"/>
      <c r="EC155" s="121"/>
      <c r="ED155" s="121"/>
      <c r="EE155" s="121"/>
      <c r="EF155" s="121"/>
      <c r="EG155" s="123"/>
      <c r="EH155" s="127"/>
      <c r="EI155" s="125"/>
      <c r="EJ155" s="126"/>
      <c r="EK155" s="30"/>
      <c r="EL155" s="127"/>
      <c r="EM155" s="128"/>
      <c r="EN155" s="123"/>
      <c r="EO155" s="128"/>
      <c r="EP155" s="13"/>
      <c r="EQ155" s="129"/>
      <c r="ER155" s="123"/>
      <c r="ES155" s="130"/>
      <c r="ET155" s="13"/>
      <c r="EU155" s="123"/>
      <c r="EV155" s="131"/>
    </row>
    <row r="156" spans="30:152">
      <c r="AD156" s="120"/>
      <c r="AI156" s="121"/>
      <c r="AJ156" s="13"/>
      <c r="AK156" s="13"/>
      <c r="AL156" s="13"/>
      <c r="AM156" s="13"/>
      <c r="AN156" s="13"/>
      <c r="AO156" s="13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3"/>
      <c r="BH156" s="127"/>
      <c r="BI156" s="125"/>
      <c r="BJ156" s="126"/>
      <c r="BK156" s="30"/>
      <c r="BL156" s="127"/>
      <c r="BM156" s="128"/>
      <c r="BN156" s="123"/>
      <c r="BO156" s="128"/>
      <c r="BP156" s="13"/>
      <c r="BQ156" s="129"/>
      <c r="BR156" s="123"/>
      <c r="BS156" s="130"/>
      <c r="BT156" s="13"/>
      <c r="BU156" s="123"/>
      <c r="BV156" s="131"/>
      <c r="DD156" s="120"/>
      <c r="DI156" s="121"/>
      <c r="DJ156" s="13"/>
      <c r="DK156" s="13"/>
      <c r="DL156" s="13"/>
      <c r="DM156" s="13"/>
      <c r="DN156" s="13"/>
      <c r="DO156" s="13"/>
      <c r="DW156" s="121"/>
      <c r="DX156" s="121"/>
      <c r="DY156" s="121"/>
      <c r="DZ156" s="121"/>
      <c r="EA156" s="121"/>
      <c r="EB156" s="121"/>
      <c r="EC156" s="121"/>
      <c r="ED156" s="121"/>
      <c r="EE156" s="121"/>
      <c r="EF156" s="121"/>
      <c r="EG156" s="123"/>
      <c r="EH156" s="127"/>
      <c r="EI156" s="125"/>
      <c r="EJ156" s="126"/>
      <c r="EK156" s="30"/>
      <c r="EL156" s="127"/>
      <c r="EM156" s="128"/>
      <c r="EN156" s="123"/>
      <c r="EO156" s="128"/>
      <c r="EP156" s="13"/>
      <c r="EQ156" s="129"/>
      <c r="ER156" s="123"/>
      <c r="ES156" s="130"/>
      <c r="ET156" s="13"/>
      <c r="EU156" s="123"/>
      <c r="EV156" s="131"/>
    </row>
    <row r="157" spans="30:152">
      <c r="AD157" s="120"/>
      <c r="AI157" s="121"/>
      <c r="AJ157" s="13"/>
      <c r="AK157" s="13"/>
      <c r="AL157" s="13"/>
      <c r="AM157" s="13"/>
      <c r="AN157" s="13"/>
      <c r="AO157" s="13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3"/>
      <c r="BH157" s="127"/>
      <c r="BI157" s="125"/>
      <c r="BJ157" s="126"/>
      <c r="BK157" s="30"/>
      <c r="BL157" s="127"/>
      <c r="BM157" s="128"/>
      <c r="BN157" s="123"/>
      <c r="BO157" s="128"/>
      <c r="BP157" s="13"/>
      <c r="BQ157" s="129"/>
      <c r="BR157" s="123"/>
      <c r="BS157" s="130"/>
      <c r="BT157" s="13"/>
      <c r="BU157" s="123"/>
      <c r="BV157" s="131"/>
      <c r="DD157" s="120"/>
      <c r="DI157" s="121"/>
      <c r="DJ157" s="13"/>
      <c r="DK157" s="13"/>
      <c r="DL157" s="13"/>
      <c r="DM157" s="13"/>
      <c r="DN157" s="13"/>
      <c r="DO157" s="13"/>
      <c r="DW157" s="121"/>
      <c r="DX157" s="121"/>
      <c r="DY157" s="121"/>
      <c r="DZ157" s="121"/>
      <c r="EA157" s="121"/>
      <c r="EB157" s="121"/>
      <c r="EC157" s="121"/>
      <c r="ED157" s="121"/>
      <c r="EE157" s="121"/>
      <c r="EF157" s="121"/>
      <c r="EG157" s="123"/>
      <c r="EH157" s="127"/>
      <c r="EI157" s="125"/>
      <c r="EJ157" s="126"/>
      <c r="EK157" s="30"/>
      <c r="EL157" s="127"/>
      <c r="EM157" s="128"/>
      <c r="EN157" s="123"/>
      <c r="EO157" s="128"/>
      <c r="EP157" s="13"/>
      <c r="EQ157" s="129"/>
      <c r="ER157" s="123"/>
      <c r="ES157" s="130"/>
      <c r="ET157" s="13"/>
      <c r="EU157" s="123"/>
      <c r="EV157" s="131"/>
    </row>
    <row r="158" spans="30:152">
      <c r="AD158" s="120"/>
      <c r="AI158" s="121"/>
      <c r="AJ158" s="13"/>
      <c r="AK158" s="13"/>
      <c r="AL158" s="13"/>
      <c r="AM158" s="13"/>
      <c r="AN158" s="13"/>
      <c r="AO158" s="13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3"/>
      <c r="BH158" s="127"/>
      <c r="BI158" s="125"/>
      <c r="BJ158" s="126"/>
      <c r="BK158" s="30"/>
      <c r="BL158" s="127"/>
      <c r="BM158" s="128"/>
      <c r="BN158" s="123"/>
      <c r="BO158" s="128"/>
      <c r="BP158" s="13"/>
      <c r="BQ158" s="129"/>
      <c r="BR158" s="123"/>
      <c r="BS158" s="130"/>
      <c r="BT158" s="13"/>
      <c r="BU158" s="123"/>
      <c r="BV158" s="131"/>
      <c r="DD158" s="120"/>
      <c r="DI158" s="121"/>
      <c r="DJ158" s="13"/>
      <c r="DK158" s="13"/>
      <c r="DL158" s="13"/>
      <c r="DM158" s="13"/>
      <c r="DN158" s="13"/>
      <c r="DO158" s="13"/>
      <c r="DW158" s="121"/>
      <c r="DX158" s="121"/>
      <c r="DY158" s="121"/>
      <c r="DZ158" s="121"/>
      <c r="EA158" s="121"/>
      <c r="EB158" s="121"/>
      <c r="EC158" s="121"/>
      <c r="ED158" s="121"/>
      <c r="EE158" s="121"/>
      <c r="EF158" s="121"/>
      <c r="EG158" s="123"/>
      <c r="EH158" s="127"/>
      <c r="EI158" s="125"/>
      <c r="EJ158" s="126"/>
      <c r="EK158" s="30"/>
      <c r="EL158" s="127"/>
      <c r="EM158" s="128"/>
      <c r="EN158" s="123"/>
      <c r="EO158" s="128"/>
      <c r="EP158" s="13"/>
      <c r="EQ158" s="129"/>
      <c r="ER158" s="123"/>
      <c r="ES158" s="130"/>
      <c r="ET158" s="13"/>
      <c r="EU158" s="123"/>
      <c r="EV158" s="131"/>
    </row>
    <row r="159" spans="30:152">
      <c r="AD159" s="120"/>
      <c r="AI159" s="121"/>
      <c r="AJ159" s="13"/>
      <c r="AK159" s="13"/>
      <c r="AL159" s="13"/>
      <c r="AM159" s="13"/>
      <c r="AN159" s="13"/>
      <c r="AO159" s="13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3"/>
      <c r="BH159" s="127"/>
      <c r="BI159" s="125"/>
      <c r="BJ159" s="126"/>
      <c r="BK159" s="30"/>
      <c r="BL159" s="127"/>
      <c r="BM159" s="128"/>
      <c r="BN159" s="123"/>
      <c r="BO159" s="128"/>
      <c r="BP159" s="13"/>
      <c r="BQ159" s="129"/>
      <c r="BR159" s="123"/>
      <c r="BS159" s="130"/>
      <c r="BT159" s="13"/>
      <c r="BU159" s="123"/>
      <c r="BV159" s="131"/>
      <c r="DD159" s="120"/>
      <c r="DI159" s="121"/>
      <c r="DJ159" s="13"/>
      <c r="DK159" s="13"/>
      <c r="DL159" s="13"/>
      <c r="DM159" s="13"/>
      <c r="DN159" s="13"/>
      <c r="DO159" s="13"/>
      <c r="DW159" s="121"/>
      <c r="DX159" s="121"/>
      <c r="DY159" s="121"/>
      <c r="DZ159" s="121"/>
      <c r="EA159" s="121"/>
      <c r="EB159" s="121"/>
      <c r="EC159" s="121"/>
      <c r="ED159" s="121"/>
      <c r="EE159" s="121"/>
      <c r="EF159" s="121"/>
      <c r="EG159" s="123"/>
      <c r="EH159" s="127"/>
      <c r="EI159" s="125"/>
      <c r="EJ159" s="126"/>
      <c r="EK159" s="30"/>
      <c r="EL159" s="127"/>
      <c r="EM159" s="128"/>
      <c r="EN159" s="123"/>
      <c r="EO159" s="128"/>
      <c r="EP159" s="13"/>
      <c r="EQ159" s="129"/>
      <c r="ER159" s="123"/>
      <c r="ES159" s="130"/>
      <c r="ET159" s="13"/>
      <c r="EU159" s="123"/>
      <c r="EV159" s="131"/>
    </row>
    <row r="160" spans="30:152">
      <c r="AD160" s="120"/>
      <c r="AI160" s="121"/>
      <c r="AJ160" s="13"/>
      <c r="AK160" s="13"/>
      <c r="AL160" s="13"/>
      <c r="AM160" s="13"/>
      <c r="AN160" s="13"/>
      <c r="AO160" s="13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3"/>
      <c r="BH160" s="127"/>
      <c r="BI160" s="125"/>
      <c r="BJ160" s="126"/>
      <c r="BK160" s="30"/>
      <c r="BL160" s="127"/>
      <c r="BM160" s="128"/>
      <c r="BN160" s="123"/>
      <c r="BO160" s="128"/>
      <c r="BP160" s="13"/>
      <c r="BQ160" s="129"/>
      <c r="BR160" s="123"/>
      <c r="BS160" s="130"/>
      <c r="BT160" s="13"/>
      <c r="BU160" s="123"/>
      <c r="BV160" s="131"/>
      <c r="DD160" s="120"/>
      <c r="DI160" s="121"/>
      <c r="DJ160" s="13"/>
      <c r="DK160" s="13"/>
      <c r="DL160" s="13"/>
      <c r="DM160" s="13"/>
      <c r="DN160" s="13"/>
      <c r="DO160" s="13"/>
      <c r="DW160" s="121"/>
      <c r="DX160" s="121"/>
      <c r="DY160" s="121"/>
      <c r="DZ160" s="121"/>
      <c r="EA160" s="121"/>
      <c r="EB160" s="121"/>
      <c r="EC160" s="121"/>
      <c r="ED160" s="121"/>
      <c r="EE160" s="121"/>
      <c r="EF160" s="121"/>
      <c r="EG160" s="123"/>
      <c r="EH160" s="127"/>
      <c r="EI160" s="125"/>
      <c r="EJ160" s="126"/>
      <c r="EK160" s="30"/>
      <c r="EL160" s="127"/>
      <c r="EM160" s="128"/>
      <c r="EN160" s="123"/>
      <c r="EO160" s="128"/>
      <c r="EP160" s="13"/>
      <c r="EQ160" s="129"/>
      <c r="ER160" s="123"/>
      <c r="ES160" s="130"/>
      <c r="ET160" s="13"/>
      <c r="EU160" s="123"/>
      <c r="EV160" s="131"/>
    </row>
    <row r="161" spans="30:152">
      <c r="AD161" s="120"/>
      <c r="AI161" s="121"/>
      <c r="AJ161" s="13"/>
      <c r="AK161" s="13"/>
      <c r="AL161" s="13"/>
      <c r="AM161" s="13"/>
      <c r="AN161" s="13"/>
      <c r="AO161" s="13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3"/>
      <c r="BH161" s="127"/>
      <c r="BI161" s="125"/>
      <c r="BJ161" s="126"/>
      <c r="BK161" s="30"/>
      <c r="BL161" s="127"/>
      <c r="BM161" s="128"/>
      <c r="BN161" s="123"/>
      <c r="BO161" s="128"/>
      <c r="BP161" s="13"/>
      <c r="BQ161" s="129"/>
      <c r="BR161" s="123"/>
      <c r="BS161" s="130"/>
      <c r="BT161" s="13"/>
      <c r="BU161" s="123"/>
      <c r="BV161" s="131"/>
      <c r="DD161" s="120"/>
      <c r="DI161" s="121"/>
      <c r="DJ161" s="13"/>
      <c r="DK161" s="13"/>
      <c r="DL161" s="13"/>
      <c r="DM161" s="13"/>
      <c r="DN161" s="13"/>
      <c r="DO161" s="13"/>
      <c r="DW161" s="121"/>
      <c r="DX161" s="121"/>
      <c r="DY161" s="121"/>
      <c r="DZ161" s="121"/>
      <c r="EA161" s="121"/>
      <c r="EB161" s="121"/>
      <c r="EC161" s="121"/>
      <c r="ED161" s="121"/>
      <c r="EE161" s="121"/>
      <c r="EF161" s="121"/>
      <c r="EG161" s="123"/>
      <c r="EH161" s="127"/>
      <c r="EI161" s="125"/>
      <c r="EJ161" s="126"/>
      <c r="EK161" s="30"/>
      <c r="EL161" s="127"/>
      <c r="EM161" s="128"/>
      <c r="EN161" s="123"/>
      <c r="EO161" s="128"/>
      <c r="EP161" s="13"/>
      <c r="EQ161" s="129"/>
      <c r="ER161" s="123"/>
      <c r="ES161" s="130"/>
      <c r="ET161" s="13"/>
      <c r="EU161" s="123"/>
      <c r="EV161" s="131"/>
    </row>
    <row r="162" spans="30:152">
      <c r="AD162" s="120"/>
      <c r="AI162" s="121"/>
      <c r="AJ162" s="13"/>
      <c r="AK162" s="13"/>
      <c r="AL162" s="13"/>
      <c r="AM162" s="13"/>
      <c r="AN162" s="13"/>
      <c r="AO162" s="13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3"/>
      <c r="BH162" s="127"/>
      <c r="BI162" s="125"/>
      <c r="BJ162" s="126"/>
      <c r="BK162" s="30"/>
      <c r="BL162" s="127"/>
      <c r="BM162" s="128"/>
      <c r="BN162" s="123"/>
      <c r="BO162" s="128"/>
      <c r="BP162" s="13"/>
      <c r="BQ162" s="129"/>
      <c r="BR162" s="123"/>
      <c r="BS162" s="130"/>
      <c r="BT162" s="13"/>
      <c r="BU162" s="123"/>
      <c r="BV162" s="131"/>
      <c r="DD162" s="120"/>
      <c r="DI162" s="121"/>
      <c r="DJ162" s="13"/>
      <c r="DK162" s="13"/>
      <c r="DL162" s="13"/>
      <c r="DM162" s="13"/>
      <c r="DN162" s="13"/>
      <c r="DO162" s="13"/>
      <c r="DW162" s="121"/>
      <c r="DX162" s="121"/>
      <c r="DY162" s="121"/>
      <c r="DZ162" s="121"/>
      <c r="EA162" s="121"/>
      <c r="EB162" s="121"/>
      <c r="EC162" s="121"/>
      <c r="ED162" s="121"/>
      <c r="EE162" s="121"/>
      <c r="EF162" s="121"/>
      <c r="EG162" s="123"/>
      <c r="EH162" s="127"/>
      <c r="EI162" s="125"/>
      <c r="EJ162" s="126"/>
      <c r="EK162" s="30"/>
      <c r="EL162" s="127"/>
      <c r="EM162" s="128"/>
      <c r="EN162" s="123"/>
      <c r="EO162" s="128"/>
      <c r="EP162" s="13"/>
      <c r="EQ162" s="129"/>
      <c r="ER162" s="123"/>
      <c r="ES162" s="130"/>
      <c r="ET162" s="13"/>
      <c r="EU162" s="123"/>
      <c r="EV162" s="131"/>
    </row>
    <row r="163" spans="30:152">
      <c r="AD163" s="120"/>
      <c r="AI163" s="121"/>
      <c r="AJ163" s="13"/>
      <c r="AK163" s="13"/>
      <c r="AL163" s="13"/>
      <c r="AM163" s="13"/>
      <c r="AN163" s="13"/>
      <c r="AO163" s="13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3"/>
      <c r="BH163" s="127"/>
      <c r="BI163" s="125"/>
      <c r="BJ163" s="126"/>
      <c r="BK163" s="30"/>
      <c r="BL163" s="127"/>
      <c r="BM163" s="128"/>
      <c r="BN163" s="123"/>
      <c r="BO163" s="128"/>
      <c r="BP163" s="13"/>
      <c r="BQ163" s="129"/>
      <c r="BR163" s="123"/>
      <c r="BS163" s="130"/>
      <c r="BT163" s="13"/>
      <c r="BU163" s="123"/>
      <c r="BV163" s="131"/>
      <c r="DD163" s="120"/>
      <c r="DI163" s="121"/>
      <c r="DJ163" s="13"/>
      <c r="DK163" s="13"/>
      <c r="DL163" s="13"/>
      <c r="DM163" s="13"/>
      <c r="DN163" s="13"/>
      <c r="DO163" s="13"/>
      <c r="DW163" s="121"/>
      <c r="DX163" s="121"/>
      <c r="DY163" s="121"/>
      <c r="DZ163" s="121"/>
      <c r="EA163" s="121"/>
      <c r="EB163" s="121"/>
      <c r="EC163" s="121"/>
      <c r="ED163" s="121"/>
      <c r="EE163" s="121"/>
      <c r="EF163" s="121"/>
      <c r="EG163" s="123"/>
      <c r="EH163" s="127"/>
      <c r="EI163" s="125"/>
      <c r="EJ163" s="126"/>
      <c r="EK163" s="30"/>
      <c r="EL163" s="127"/>
      <c r="EM163" s="128"/>
      <c r="EN163" s="123"/>
      <c r="EO163" s="128"/>
      <c r="EP163" s="13"/>
      <c r="EQ163" s="129"/>
      <c r="ER163" s="123"/>
      <c r="ES163" s="130"/>
      <c r="ET163" s="13"/>
      <c r="EU163" s="123"/>
      <c r="EV163" s="131"/>
    </row>
    <row r="164" spans="30:152">
      <c r="AD164" s="120"/>
      <c r="AI164" s="121"/>
      <c r="AJ164" s="13"/>
      <c r="AK164" s="13"/>
      <c r="AL164" s="13"/>
      <c r="AM164" s="13"/>
      <c r="AN164" s="13"/>
      <c r="AO164" s="13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3"/>
      <c r="BH164" s="127"/>
      <c r="BI164" s="125"/>
      <c r="BJ164" s="126"/>
      <c r="BK164" s="30"/>
      <c r="BL164" s="127"/>
      <c r="BM164" s="128"/>
      <c r="BN164" s="123"/>
      <c r="BO164" s="128"/>
      <c r="BP164" s="13"/>
      <c r="BQ164" s="129"/>
      <c r="BR164" s="123"/>
      <c r="BS164" s="130"/>
      <c r="BT164" s="13"/>
      <c r="BU164" s="123"/>
      <c r="BV164" s="131"/>
      <c r="DD164" s="120"/>
      <c r="DI164" s="121"/>
      <c r="DJ164" s="13"/>
      <c r="DK164" s="13"/>
      <c r="DL164" s="13"/>
      <c r="DM164" s="13"/>
      <c r="DN164" s="13"/>
      <c r="DO164" s="13"/>
      <c r="DW164" s="121"/>
      <c r="DX164" s="121"/>
      <c r="DY164" s="121"/>
      <c r="DZ164" s="121"/>
      <c r="EA164" s="121"/>
      <c r="EB164" s="121"/>
      <c r="EC164" s="121"/>
      <c r="ED164" s="121"/>
      <c r="EE164" s="121"/>
      <c r="EF164" s="121"/>
      <c r="EG164" s="123"/>
      <c r="EH164" s="127"/>
      <c r="EI164" s="125"/>
      <c r="EJ164" s="126"/>
      <c r="EK164" s="30"/>
      <c r="EL164" s="127"/>
      <c r="EM164" s="128"/>
      <c r="EN164" s="123"/>
      <c r="EO164" s="128"/>
      <c r="EP164" s="13"/>
      <c r="EQ164" s="129"/>
      <c r="ER164" s="123"/>
      <c r="ES164" s="130"/>
      <c r="ET164" s="13"/>
      <c r="EU164" s="123"/>
      <c r="EV164" s="131"/>
    </row>
    <row r="165" spans="30:152">
      <c r="AD165" s="120"/>
      <c r="AI165" s="121"/>
      <c r="AJ165" s="13"/>
      <c r="AK165" s="13"/>
      <c r="AL165" s="13"/>
      <c r="AM165" s="13"/>
      <c r="AN165" s="13"/>
      <c r="AO165" s="13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3"/>
      <c r="BH165" s="127"/>
      <c r="BI165" s="125"/>
      <c r="BJ165" s="126"/>
      <c r="BK165" s="30"/>
      <c r="BL165" s="127"/>
      <c r="BM165" s="128"/>
      <c r="BN165" s="123"/>
      <c r="BO165" s="128"/>
      <c r="BP165" s="13"/>
      <c r="BQ165" s="129"/>
      <c r="BR165" s="123"/>
      <c r="BS165" s="130"/>
      <c r="BT165" s="13"/>
      <c r="BU165" s="123"/>
      <c r="BV165" s="131"/>
      <c r="DD165" s="120"/>
      <c r="DI165" s="121"/>
      <c r="DJ165" s="13"/>
      <c r="DK165" s="13"/>
      <c r="DL165" s="13"/>
      <c r="DM165" s="13"/>
      <c r="DN165" s="13"/>
      <c r="DO165" s="13"/>
      <c r="DW165" s="121"/>
      <c r="DX165" s="121"/>
      <c r="DY165" s="121"/>
      <c r="DZ165" s="121"/>
      <c r="EA165" s="121"/>
      <c r="EB165" s="121"/>
      <c r="EC165" s="121"/>
      <c r="ED165" s="121"/>
      <c r="EE165" s="121"/>
      <c r="EF165" s="121"/>
      <c r="EG165" s="123"/>
      <c r="EH165" s="127"/>
      <c r="EI165" s="125"/>
      <c r="EJ165" s="126"/>
      <c r="EK165" s="30"/>
      <c r="EL165" s="127"/>
      <c r="EM165" s="128"/>
      <c r="EN165" s="123"/>
      <c r="EO165" s="128"/>
      <c r="EP165" s="13"/>
      <c r="EQ165" s="129"/>
      <c r="ER165" s="123"/>
      <c r="ES165" s="130"/>
      <c r="ET165" s="13"/>
      <c r="EU165" s="123"/>
      <c r="EV165" s="131"/>
    </row>
    <row r="166" spans="30:152">
      <c r="AD166" s="120"/>
      <c r="AI166" s="121"/>
      <c r="AJ166" s="13"/>
      <c r="AK166" s="13"/>
      <c r="AL166" s="13"/>
      <c r="AM166" s="13"/>
      <c r="AN166" s="13"/>
      <c r="AO166" s="13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3"/>
      <c r="BH166" s="127"/>
      <c r="BI166" s="125"/>
      <c r="BJ166" s="126"/>
      <c r="BK166" s="30"/>
      <c r="BL166" s="127"/>
      <c r="BM166" s="128"/>
      <c r="BN166" s="123"/>
      <c r="BO166" s="128"/>
      <c r="BP166" s="13"/>
      <c r="BQ166" s="129"/>
      <c r="BR166" s="123"/>
      <c r="BS166" s="130"/>
      <c r="BT166" s="13"/>
      <c r="BU166" s="123"/>
      <c r="BV166" s="131"/>
      <c r="DD166" s="120"/>
      <c r="DI166" s="121"/>
      <c r="DJ166" s="13"/>
      <c r="DK166" s="13"/>
      <c r="DL166" s="13"/>
      <c r="DM166" s="13"/>
      <c r="DN166" s="13"/>
      <c r="DO166" s="13"/>
      <c r="DW166" s="121"/>
      <c r="DX166" s="121"/>
      <c r="DY166" s="121"/>
      <c r="DZ166" s="121"/>
      <c r="EA166" s="121"/>
      <c r="EB166" s="121"/>
      <c r="EC166" s="121"/>
      <c r="ED166" s="121"/>
      <c r="EE166" s="121"/>
      <c r="EF166" s="121"/>
      <c r="EG166" s="123"/>
      <c r="EH166" s="127"/>
      <c r="EI166" s="125"/>
      <c r="EJ166" s="126"/>
      <c r="EK166" s="30"/>
      <c r="EL166" s="127"/>
      <c r="EM166" s="128"/>
      <c r="EN166" s="123"/>
      <c r="EO166" s="128"/>
      <c r="EP166" s="13"/>
      <c r="EQ166" s="129"/>
      <c r="ER166" s="123"/>
      <c r="ES166" s="130"/>
      <c r="ET166" s="13"/>
      <c r="EU166" s="123"/>
      <c r="EV166" s="131"/>
    </row>
    <row r="167" spans="30:152">
      <c r="AD167" s="120"/>
      <c r="AI167" s="121"/>
      <c r="AJ167" s="13"/>
      <c r="AK167" s="13"/>
      <c r="AL167" s="13"/>
      <c r="AM167" s="13"/>
      <c r="AN167" s="13"/>
      <c r="AO167" s="13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3"/>
      <c r="BH167" s="127"/>
      <c r="BI167" s="125"/>
      <c r="BJ167" s="126"/>
      <c r="BK167" s="30"/>
      <c r="BL167" s="127"/>
      <c r="BM167" s="128"/>
      <c r="BN167" s="123"/>
      <c r="BO167" s="128"/>
      <c r="BP167" s="13"/>
      <c r="BQ167" s="129"/>
      <c r="BR167" s="123"/>
      <c r="BS167" s="130"/>
      <c r="BT167" s="13"/>
      <c r="BU167" s="123"/>
      <c r="BV167" s="131"/>
      <c r="DD167" s="120"/>
      <c r="DI167" s="121"/>
      <c r="DJ167" s="13"/>
      <c r="DK167" s="13"/>
      <c r="DL167" s="13"/>
      <c r="DM167" s="13"/>
      <c r="DN167" s="13"/>
      <c r="DO167" s="13"/>
      <c r="DW167" s="121"/>
      <c r="DX167" s="121"/>
      <c r="DY167" s="121"/>
      <c r="DZ167" s="121"/>
      <c r="EA167" s="121"/>
      <c r="EB167" s="121"/>
      <c r="EC167" s="121"/>
      <c r="ED167" s="121"/>
      <c r="EE167" s="121"/>
      <c r="EF167" s="121"/>
      <c r="EG167" s="123"/>
      <c r="EH167" s="127"/>
      <c r="EI167" s="125"/>
      <c r="EJ167" s="126"/>
      <c r="EK167" s="30"/>
      <c r="EL167" s="127"/>
      <c r="EM167" s="128"/>
      <c r="EN167" s="123"/>
      <c r="EO167" s="128"/>
      <c r="EP167" s="13"/>
      <c r="EQ167" s="129"/>
      <c r="ER167" s="123"/>
      <c r="ES167" s="130"/>
      <c r="ET167" s="13"/>
      <c r="EU167" s="123"/>
      <c r="EV167" s="131"/>
    </row>
    <row r="168" spans="30:152">
      <c r="AD168" s="120"/>
      <c r="AI168" s="121"/>
      <c r="AJ168" s="13"/>
      <c r="AK168" s="13"/>
      <c r="AL168" s="13"/>
      <c r="AM168" s="13"/>
      <c r="AN168" s="13"/>
      <c r="AO168" s="13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3"/>
      <c r="BH168" s="127"/>
      <c r="BI168" s="125"/>
      <c r="BJ168" s="126"/>
      <c r="BK168" s="30"/>
      <c r="BL168" s="127"/>
      <c r="BM168" s="128"/>
      <c r="BN168" s="123"/>
      <c r="BO168" s="128"/>
      <c r="BP168" s="13"/>
      <c r="BQ168" s="129"/>
      <c r="BR168" s="123"/>
      <c r="BS168" s="130"/>
      <c r="BT168" s="13"/>
      <c r="BU168" s="123"/>
      <c r="BV168" s="131"/>
      <c r="DD168" s="120"/>
      <c r="DI168" s="121"/>
      <c r="DJ168" s="13"/>
      <c r="DK168" s="13"/>
      <c r="DL168" s="13"/>
      <c r="DM168" s="13"/>
      <c r="DN168" s="13"/>
      <c r="DO168" s="13"/>
      <c r="DW168" s="121"/>
      <c r="DX168" s="121"/>
      <c r="DY168" s="121"/>
      <c r="DZ168" s="121"/>
      <c r="EA168" s="121"/>
      <c r="EB168" s="121"/>
      <c r="EC168" s="121"/>
      <c r="ED168" s="121"/>
      <c r="EE168" s="121"/>
      <c r="EF168" s="121"/>
      <c r="EG168" s="123"/>
      <c r="EH168" s="127"/>
      <c r="EI168" s="125"/>
      <c r="EJ168" s="126"/>
      <c r="EK168" s="30"/>
      <c r="EL168" s="127"/>
      <c r="EM168" s="128"/>
      <c r="EN168" s="123"/>
      <c r="EO168" s="128"/>
      <c r="EP168" s="13"/>
      <c r="EQ168" s="129"/>
      <c r="ER168" s="123"/>
      <c r="ES168" s="130"/>
      <c r="ET168" s="13"/>
      <c r="EU168" s="123"/>
      <c r="EV168" s="131"/>
    </row>
    <row r="169" spans="30:152">
      <c r="AD169" s="120"/>
      <c r="AI169" s="121"/>
      <c r="AJ169" s="13"/>
      <c r="AK169" s="13"/>
      <c r="AL169" s="13"/>
      <c r="AM169" s="13"/>
      <c r="AN169" s="13"/>
      <c r="AO169" s="13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3"/>
      <c r="BH169" s="127"/>
      <c r="BI169" s="125"/>
      <c r="BJ169" s="126"/>
      <c r="BK169" s="30"/>
      <c r="BL169" s="127"/>
      <c r="BM169" s="128"/>
      <c r="BN169" s="123"/>
      <c r="BO169" s="128"/>
      <c r="BP169" s="13"/>
      <c r="BQ169" s="129"/>
      <c r="BR169" s="123"/>
      <c r="BS169" s="130"/>
      <c r="BT169" s="13"/>
      <c r="BU169" s="123"/>
      <c r="BV169" s="131"/>
      <c r="DD169" s="120"/>
      <c r="DI169" s="121"/>
      <c r="DJ169" s="13"/>
      <c r="DK169" s="13"/>
      <c r="DL169" s="13"/>
      <c r="DM169" s="13"/>
      <c r="DN169" s="13"/>
      <c r="DO169" s="13"/>
      <c r="DW169" s="121"/>
      <c r="DX169" s="121"/>
      <c r="DY169" s="121"/>
      <c r="DZ169" s="121"/>
      <c r="EA169" s="121"/>
      <c r="EB169" s="121"/>
      <c r="EC169" s="121"/>
      <c r="ED169" s="121"/>
      <c r="EE169" s="121"/>
      <c r="EF169" s="121"/>
      <c r="EG169" s="123"/>
      <c r="EH169" s="127"/>
      <c r="EI169" s="125"/>
      <c r="EJ169" s="126"/>
      <c r="EK169" s="30"/>
      <c r="EL169" s="127"/>
      <c r="EM169" s="128"/>
      <c r="EN169" s="123"/>
      <c r="EO169" s="128"/>
      <c r="EP169" s="13"/>
      <c r="EQ169" s="129"/>
      <c r="ER169" s="123"/>
      <c r="ES169" s="130"/>
      <c r="ET169" s="13"/>
      <c r="EU169" s="123"/>
      <c r="EV169" s="131"/>
    </row>
    <row r="170" spans="30:152">
      <c r="AD170" s="120"/>
      <c r="AI170" s="121"/>
      <c r="AJ170" s="13"/>
      <c r="AK170" s="13"/>
      <c r="AL170" s="13"/>
      <c r="AM170" s="13"/>
      <c r="AN170" s="13"/>
      <c r="AO170" s="13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3"/>
      <c r="BH170" s="127"/>
      <c r="BI170" s="125"/>
      <c r="BJ170" s="126"/>
      <c r="BK170" s="30"/>
      <c r="BL170" s="127"/>
      <c r="BM170" s="128"/>
      <c r="BN170" s="123"/>
      <c r="BO170" s="128"/>
      <c r="BP170" s="13"/>
      <c r="BQ170" s="129"/>
      <c r="BR170" s="123"/>
      <c r="BS170" s="130"/>
      <c r="BT170" s="13"/>
      <c r="BU170" s="123"/>
      <c r="BV170" s="131"/>
      <c r="DD170" s="120"/>
      <c r="DI170" s="121"/>
      <c r="DJ170" s="13"/>
      <c r="DK170" s="13"/>
      <c r="DL170" s="13"/>
      <c r="DM170" s="13"/>
      <c r="DN170" s="13"/>
      <c r="DO170" s="13"/>
      <c r="DW170" s="121"/>
      <c r="DX170" s="121"/>
      <c r="DY170" s="121"/>
      <c r="DZ170" s="121"/>
      <c r="EA170" s="121"/>
      <c r="EB170" s="121"/>
      <c r="EC170" s="121"/>
      <c r="ED170" s="121"/>
      <c r="EE170" s="121"/>
      <c r="EF170" s="121"/>
      <c r="EG170" s="123"/>
      <c r="EH170" s="127"/>
      <c r="EI170" s="125"/>
      <c r="EJ170" s="126"/>
      <c r="EK170" s="30"/>
      <c r="EL170" s="127"/>
      <c r="EM170" s="128"/>
      <c r="EN170" s="123"/>
      <c r="EO170" s="128"/>
      <c r="EP170" s="13"/>
      <c r="EQ170" s="129"/>
      <c r="ER170" s="123"/>
      <c r="ES170" s="130"/>
      <c r="ET170" s="13"/>
      <c r="EU170" s="123"/>
      <c r="EV170" s="131"/>
    </row>
    <row r="171" spans="30:152">
      <c r="AD171" s="120"/>
      <c r="AI171" s="121"/>
      <c r="AJ171" s="13"/>
      <c r="AK171" s="13"/>
      <c r="AL171" s="13"/>
      <c r="AM171" s="13"/>
      <c r="AN171" s="13"/>
      <c r="AO171" s="13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3"/>
      <c r="BH171" s="127"/>
      <c r="BI171" s="125"/>
      <c r="BJ171" s="126"/>
      <c r="BK171" s="30"/>
      <c r="BL171" s="127"/>
      <c r="BM171" s="128"/>
      <c r="BN171" s="123"/>
      <c r="BO171" s="128"/>
      <c r="BP171" s="13"/>
      <c r="BQ171" s="129"/>
      <c r="BR171" s="123"/>
      <c r="BS171" s="130"/>
      <c r="BT171" s="13"/>
      <c r="BU171" s="123"/>
      <c r="BV171" s="131"/>
      <c r="DD171" s="120"/>
      <c r="DI171" s="121"/>
      <c r="DJ171" s="13"/>
      <c r="DK171" s="13"/>
      <c r="DL171" s="13"/>
      <c r="DM171" s="13"/>
      <c r="DN171" s="13"/>
      <c r="DO171" s="13"/>
      <c r="DW171" s="121"/>
      <c r="DX171" s="121"/>
      <c r="DY171" s="121"/>
      <c r="DZ171" s="121"/>
      <c r="EA171" s="121"/>
      <c r="EB171" s="121"/>
      <c r="EC171" s="121"/>
      <c r="ED171" s="121"/>
      <c r="EE171" s="121"/>
      <c r="EF171" s="121"/>
      <c r="EG171" s="123"/>
      <c r="EH171" s="127"/>
      <c r="EI171" s="125"/>
      <c r="EJ171" s="126"/>
      <c r="EK171" s="30"/>
      <c r="EL171" s="127"/>
      <c r="EM171" s="128"/>
      <c r="EN171" s="123"/>
      <c r="EO171" s="128"/>
      <c r="EP171" s="13"/>
      <c r="EQ171" s="129"/>
      <c r="ER171" s="123"/>
      <c r="ES171" s="130"/>
      <c r="ET171" s="13"/>
      <c r="EU171" s="123"/>
      <c r="EV171" s="131"/>
    </row>
    <row r="172" spans="30:152">
      <c r="AD172" s="120"/>
      <c r="AI172" s="121"/>
      <c r="AJ172" s="13"/>
      <c r="AK172" s="13"/>
      <c r="AL172" s="13"/>
      <c r="AM172" s="13"/>
      <c r="AN172" s="13"/>
      <c r="AO172" s="13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3"/>
      <c r="BH172" s="127"/>
      <c r="BI172" s="125"/>
      <c r="BJ172" s="126"/>
      <c r="BK172" s="30"/>
      <c r="BL172" s="127"/>
      <c r="BM172" s="128"/>
      <c r="BN172" s="123"/>
      <c r="BO172" s="128"/>
      <c r="BP172" s="13"/>
      <c r="BQ172" s="129"/>
      <c r="BR172" s="123"/>
      <c r="BS172" s="130"/>
      <c r="BT172" s="13"/>
      <c r="BU172" s="123"/>
      <c r="BV172" s="131"/>
      <c r="DD172" s="120"/>
      <c r="DI172" s="121"/>
      <c r="DJ172" s="13"/>
      <c r="DK172" s="13"/>
      <c r="DL172" s="13"/>
      <c r="DM172" s="13"/>
      <c r="DN172" s="13"/>
      <c r="DO172" s="13"/>
      <c r="DW172" s="121"/>
      <c r="DX172" s="121"/>
      <c r="DY172" s="121"/>
      <c r="DZ172" s="121"/>
      <c r="EA172" s="121"/>
      <c r="EB172" s="121"/>
      <c r="EC172" s="121"/>
      <c r="ED172" s="121"/>
      <c r="EE172" s="121"/>
      <c r="EF172" s="121"/>
      <c r="EG172" s="123"/>
      <c r="EH172" s="127"/>
      <c r="EI172" s="125"/>
      <c r="EJ172" s="126"/>
      <c r="EK172" s="30"/>
      <c r="EL172" s="127"/>
      <c r="EM172" s="128"/>
      <c r="EN172" s="123"/>
      <c r="EO172" s="128"/>
      <c r="EP172" s="13"/>
      <c r="EQ172" s="129"/>
      <c r="ER172" s="123"/>
      <c r="ES172" s="130"/>
      <c r="ET172" s="13"/>
      <c r="EU172" s="123"/>
      <c r="EV172" s="131"/>
    </row>
    <row r="173" spans="30:152">
      <c r="AD173" s="120"/>
      <c r="AI173" s="121"/>
      <c r="AJ173" s="13"/>
      <c r="AK173" s="13"/>
      <c r="AL173" s="13"/>
      <c r="AM173" s="13"/>
      <c r="AN173" s="13"/>
      <c r="AO173" s="13"/>
      <c r="AW173" s="121"/>
      <c r="AX173" s="121"/>
      <c r="AY173" s="121"/>
      <c r="AZ173" s="121"/>
      <c r="BA173" s="121"/>
      <c r="BB173" s="121"/>
      <c r="BC173" s="121"/>
      <c r="BD173" s="121"/>
      <c r="BE173" s="121"/>
      <c r="BF173" s="121"/>
      <c r="BG173" s="123"/>
      <c r="BH173" s="127"/>
      <c r="BI173" s="125"/>
      <c r="BJ173" s="126"/>
      <c r="BK173" s="30"/>
      <c r="BL173" s="127"/>
      <c r="BM173" s="128"/>
      <c r="BN173" s="123"/>
      <c r="BO173" s="128"/>
      <c r="BP173" s="13"/>
      <c r="BQ173" s="129"/>
      <c r="BR173" s="123"/>
      <c r="BS173" s="130"/>
      <c r="BT173" s="13"/>
      <c r="BU173" s="123"/>
      <c r="BV173" s="131"/>
      <c r="DD173" s="120"/>
      <c r="DI173" s="121"/>
      <c r="DJ173" s="13"/>
      <c r="DK173" s="13"/>
      <c r="DL173" s="13"/>
      <c r="DM173" s="13"/>
      <c r="DN173" s="13"/>
      <c r="DO173" s="13"/>
      <c r="DW173" s="121"/>
      <c r="DX173" s="121"/>
      <c r="DY173" s="121"/>
      <c r="DZ173" s="121"/>
      <c r="EA173" s="121"/>
      <c r="EB173" s="121"/>
      <c r="EC173" s="121"/>
      <c r="ED173" s="121"/>
      <c r="EE173" s="121"/>
      <c r="EF173" s="121"/>
      <c r="EG173" s="123"/>
      <c r="EH173" s="127"/>
      <c r="EI173" s="125"/>
      <c r="EJ173" s="126"/>
      <c r="EK173" s="30"/>
      <c r="EL173" s="127"/>
      <c r="EM173" s="128"/>
      <c r="EN173" s="123"/>
      <c r="EO173" s="128"/>
      <c r="EP173" s="13"/>
      <c r="EQ173" s="129"/>
      <c r="ER173" s="123"/>
      <c r="ES173" s="130"/>
      <c r="ET173" s="13"/>
      <c r="EU173" s="123"/>
      <c r="EV173" s="131"/>
    </row>
    <row r="174" spans="30:152">
      <c r="AD174" s="120"/>
      <c r="AI174" s="121"/>
      <c r="AJ174" s="13"/>
      <c r="AK174" s="13"/>
      <c r="AL174" s="13"/>
      <c r="AM174" s="13"/>
      <c r="AN174" s="13"/>
      <c r="AO174" s="13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3"/>
      <c r="BH174" s="127"/>
      <c r="BI174" s="125"/>
      <c r="BJ174" s="126"/>
      <c r="BK174" s="30"/>
      <c r="BL174" s="127"/>
      <c r="BM174" s="128"/>
      <c r="BN174" s="123"/>
      <c r="BO174" s="128"/>
      <c r="BP174" s="13"/>
      <c r="BQ174" s="129"/>
      <c r="BR174" s="123"/>
      <c r="BS174" s="130"/>
      <c r="BT174" s="13"/>
      <c r="BU174" s="123"/>
      <c r="BV174" s="131"/>
      <c r="DD174" s="120"/>
      <c r="DI174" s="121"/>
      <c r="DJ174" s="13"/>
      <c r="DK174" s="13"/>
      <c r="DL174" s="13"/>
      <c r="DM174" s="13"/>
      <c r="DN174" s="13"/>
      <c r="DO174" s="13"/>
      <c r="DW174" s="121"/>
      <c r="DX174" s="121"/>
      <c r="DY174" s="121"/>
      <c r="DZ174" s="121"/>
      <c r="EA174" s="121"/>
      <c r="EB174" s="121"/>
      <c r="EC174" s="121"/>
      <c r="ED174" s="121"/>
      <c r="EE174" s="121"/>
      <c r="EF174" s="121"/>
      <c r="EG174" s="123"/>
      <c r="EH174" s="127"/>
      <c r="EI174" s="125"/>
      <c r="EJ174" s="126"/>
      <c r="EK174" s="30"/>
      <c r="EL174" s="127"/>
      <c r="EM174" s="128"/>
      <c r="EN174" s="123"/>
      <c r="EO174" s="128"/>
      <c r="EP174" s="13"/>
      <c r="EQ174" s="129"/>
      <c r="ER174" s="123"/>
      <c r="ES174" s="130"/>
      <c r="ET174" s="13"/>
      <c r="EU174" s="123"/>
      <c r="EV174" s="131"/>
    </row>
    <row r="175" spans="30:152">
      <c r="AD175" s="120"/>
      <c r="AI175" s="121"/>
      <c r="AJ175" s="13"/>
      <c r="AK175" s="13"/>
      <c r="AL175" s="13"/>
      <c r="AM175" s="13"/>
      <c r="AN175" s="13"/>
      <c r="AO175" s="13"/>
      <c r="AW175" s="121"/>
      <c r="AX175" s="121"/>
      <c r="AY175" s="121"/>
      <c r="AZ175" s="121"/>
      <c r="BA175" s="121"/>
      <c r="BB175" s="121"/>
      <c r="BC175" s="121"/>
      <c r="BD175" s="121"/>
      <c r="BE175" s="121"/>
      <c r="BF175" s="121"/>
      <c r="BG175" s="123"/>
      <c r="BH175" s="127"/>
      <c r="BI175" s="125"/>
      <c r="BJ175" s="126"/>
      <c r="BK175" s="30"/>
      <c r="BL175" s="127"/>
      <c r="BM175" s="128"/>
      <c r="BN175" s="123"/>
      <c r="BO175" s="128"/>
      <c r="BP175" s="13"/>
      <c r="BQ175" s="129"/>
      <c r="BR175" s="123"/>
      <c r="BS175" s="130"/>
      <c r="BT175" s="13"/>
      <c r="BU175" s="123"/>
      <c r="BV175" s="131"/>
      <c r="DD175" s="120"/>
      <c r="DI175" s="121"/>
      <c r="DJ175" s="13"/>
      <c r="DK175" s="13"/>
      <c r="DL175" s="13"/>
      <c r="DM175" s="13"/>
      <c r="DN175" s="13"/>
      <c r="DO175" s="13"/>
      <c r="DW175" s="121"/>
      <c r="DX175" s="121"/>
      <c r="DY175" s="121"/>
      <c r="DZ175" s="121"/>
      <c r="EA175" s="121"/>
      <c r="EB175" s="121"/>
      <c r="EC175" s="121"/>
      <c r="ED175" s="121"/>
      <c r="EE175" s="121"/>
      <c r="EF175" s="121"/>
      <c r="EG175" s="123"/>
      <c r="EH175" s="127"/>
      <c r="EI175" s="125"/>
      <c r="EJ175" s="126"/>
      <c r="EK175" s="30"/>
      <c r="EL175" s="127"/>
      <c r="EM175" s="128"/>
      <c r="EN175" s="123"/>
      <c r="EO175" s="128"/>
      <c r="EP175" s="13"/>
      <c r="EQ175" s="129"/>
      <c r="ER175" s="123"/>
      <c r="ES175" s="130"/>
      <c r="ET175" s="13"/>
      <c r="EU175" s="123"/>
      <c r="EV175" s="131"/>
    </row>
    <row r="176" spans="30:152">
      <c r="AD176" s="120"/>
      <c r="AI176" s="121"/>
      <c r="AJ176" s="13"/>
      <c r="AK176" s="13"/>
      <c r="AL176" s="13"/>
      <c r="AM176" s="13"/>
      <c r="AN176" s="13"/>
      <c r="AO176" s="13"/>
      <c r="AW176" s="121"/>
      <c r="AX176" s="121"/>
      <c r="AY176" s="121"/>
      <c r="AZ176" s="121"/>
      <c r="BA176" s="121"/>
      <c r="BB176" s="121"/>
      <c r="BC176" s="121"/>
      <c r="BD176" s="121"/>
      <c r="BE176" s="121"/>
      <c r="BF176" s="121"/>
      <c r="BG176" s="123"/>
      <c r="BH176" s="127"/>
      <c r="BI176" s="125"/>
      <c r="BJ176" s="126"/>
      <c r="BK176" s="30"/>
      <c r="BL176" s="127"/>
      <c r="BM176" s="128"/>
      <c r="BN176" s="123"/>
      <c r="BO176" s="128"/>
      <c r="BP176" s="13"/>
      <c r="BQ176" s="129"/>
      <c r="BR176" s="123"/>
      <c r="BS176" s="130"/>
      <c r="BT176" s="13"/>
      <c r="BU176" s="123"/>
      <c r="BV176" s="131"/>
      <c r="DD176" s="120"/>
      <c r="DI176" s="121"/>
      <c r="DJ176" s="13"/>
      <c r="DK176" s="13"/>
      <c r="DL176" s="13"/>
      <c r="DM176" s="13"/>
      <c r="DN176" s="13"/>
      <c r="DO176" s="13"/>
      <c r="DW176" s="121"/>
      <c r="DX176" s="121"/>
      <c r="DY176" s="121"/>
      <c r="DZ176" s="121"/>
      <c r="EA176" s="121"/>
      <c r="EB176" s="121"/>
      <c r="EC176" s="121"/>
      <c r="ED176" s="121"/>
      <c r="EE176" s="121"/>
      <c r="EF176" s="121"/>
      <c r="EG176" s="123"/>
      <c r="EH176" s="127"/>
      <c r="EI176" s="125"/>
      <c r="EJ176" s="126"/>
      <c r="EK176" s="30"/>
      <c r="EL176" s="127"/>
      <c r="EM176" s="128"/>
      <c r="EN176" s="123"/>
      <c r="EO176" s="128"/>
      <c r="EP176" s="13"/>
      <c r="EQ176" s="129"/>
      <c r="ER176" s="123"/>
      <c r="ES176" s="130"/>
      <c r="ET176" s="13"/>
      <c r="EU176" s="123"/>
      <c r="EV176" s="131"/>
    </row>
    <row r="177" spans="30:152">
      <c r="AD177" s="120"/>
      <c r="AI177" s="121"/>
      <c r="AJ177" s="13"/>
      <c r="AK177" s="13"/>
      <c r="AL177" s="13"/>
      <c r="AM177" s="13"/>
      <c r="AN177" s="13"/>
      <c r="AO177" s="13"/>
      <c r="AW177" s="121"/>
      <c r="AX177" s="121"/>
      <c r="AY177" s="121"/>
      <c r="AZ177" s="121"/>
      <c r="BA177" s="121"/>
      <c r="BB177" s="121"/>
      <c r="BC177" s="121"/>
      <c r="BD177" s="121"/>
      <c r="BE177" s="121"/>
      <c r="BF177" s="121"/>
      <c r="BG177" s="123"/>
      <c r="BH177" s="127"/>
      <c r="BI177" s="125"/>
      <c r="BJ177" s="126"/>
      <c r="BK177" s="30"/>
      <c r="BL177" s="127"/>
      <c r="BM177" s="128"/>
      <c r="BN177" s="123"/>
      <c r="BO177" s="128"/>
      <c r="BP177" s="13"/>
      <c r="BQ177" s="129"/>
      <c r="BR177" s="123"/>
      <c r="BS177" s="130"/>
      <c r="BT177" s="13"/>
      <c r="BU177" s="123"/>
      <c r="BV177" s="131"/>
      <c r="DD177" s="120"/>
      <c r="DI177" s="121"/>
      <c r="DJ177" s="13"/>
      <c r="DK177" s="13"/>
      <c r="DL177" s="13"/>
      <c r="DM177" s="13"/>
      <c r="DN177" s="13"/>
      <c r="DO177" s="13"/>
      <c r="DW177" s="121"/>
      <c r="DX177" s="121"/>
      <c r="DY177" s="121"/>
      <c r="DZ177" s="121"/>
      <c r="EA177" s="121"/>
      <c r="EB177" s="121"/>
      <c r="EC177" s="121"/>
      <c r="ED177" s="121"/>
      <c r="EE177" s="121"/>
      <c r="EF177" s="121"/>
      <c r="EG177" s="123"/>
      <c r="EH177" s="127"/>
      <c r="EI177" s="125"/>
      <c r="EJ177" s="126"/>
      <c r="EK177" s="30"/>
      <c r="EL177" s="127"/>
      <c r="EM177" s="128"/>
      <c r="EN177" s="123"/>
      <c r="EO177" s="128"/>
      <c r="EP177" s="13"/>
      <c r="EQ177" s="129"/>
      <c r="ER177" s="123"/>
      <c r="ES177" s="130"/>
      <c r="ET177" s="13"/>
      <c r="EU177" s="123"/>
      <c r="EV177" s="131"/>
    </row>
    <row r="178" spans="30:152">
      <c r="AD178" s="120"/>
      <c r="AI178" s="121"/>
      <c r="AJ178" s="13"/>
      <c r="AK178" s="13"/>
      <c r="AL178" s="13"/>
      <c r="AM178" s="13"/>
      <c r="AN178" s="13"/>
      <c r="AO178" s="13"/>
      <c r="AW178" s="121"/>
      <c r="AX178" s="121"/>
      <c r="AY178" s="121"/>
      <c r="AZ178" s="121"/>
      <c r="BA178" s="121"/>
      <c r="BB178" s="121"/>
      <c r="BC178" s="121"/>
      <c r="BD178" s="121"/>
      <c r="BE178" s="121"/>
      <c r="BF178" s="121"/>
      <c r="BG178" s="123"/>
      <c r="BH178" s="127"/>
      <c r="BI178" s="125"/>
      <c r="BJ178" s="126"/>
      <c r="BK178" s="30"/>
      <c r="BL178" s="127"/>
      <c r="BM178" s="128"/>
      <c r="BN178" s="123"/>
      <c r="BO178" s="128"/>
      <c r="BP178" s="13"/>
      <c r="BQ178" s="129"/>
      <c r="BR178" s="123"/>
      <c r="BS178" s="130"/>
      <c r="BT178" s="13"/>
      <c r="BU178" s="123"/>
      <c r="BV178" s="131"/>
      <c r="DD178" s="120"/>
      <c r="DI178" s="121"/>
      <c r="DJ178" s="13"/>
      <c r="DK178" s="13"/>
      <c r="DL178" s="13"/>
      <c r="DM178" s="13"/>
      <c r="DN178" s="13"/>
      <c r="DO178" s="13"/>
      <c r="DW178" s="121"/>
      <c r="DX178" s="121"/>
      <c r="DY178" s="121"/>
      <c r="DZ178" s="121"/>
      <c r="EA178" s="121"/>
      <c r="EB178" s="121"/>
      <c r="EC178" s="121"/>
      <c r="ED178" s="121"/>
      <c r="EE178" s="121"/>
      <c r="EF178" s="121"/>
      <c r="EG178" s="123"/>
      <c r="EH178" s="127"/>
      <c r="EI178" s="125"/>
      <c r="EJ178" s="126"/>
      <c r="EK178" s="30"/>
      <c r="EL178" s="127"/>
      <c r="EM178" s="128"/>
      <c r="EN178" s="123"/>
      <c r="EO178" s="128"/>
      <c r="EP178" s="13"/>
      <c r="EQ178" s="129"/>
      <c r="ER178" s="123"/>
      <c r="ES178" s="130"/>
      <c r="ET178" s="13"/>
      <c r="EU178" s="123"/>
      <c r="EV178" s="131"/>
    </row>
    <row r="179" spans="30:152">
      <c r="AD179" s="120"/>
      <c r="AI179" s="121"/>
      <c r="AJ179" s="13"/>
      <c r="AK179" s="13"/>
      <c r="AL179" s="13"/>
      <c r="AM179" s="13"/>
      <c r="AN179" s="13"/>
      <c r="AO179" s="13"/>
      <c r="AW179" s="121"/>
      <c r="AX179" s="121"/>
      <c r="AY179" s="121"/>
      <c r="AZ179" s="121"/>
      <c r="BA179" s="121"/>
      <c r="BB179" s="121"/>
      <c r="BC179" s="121"/>
      <c r="BD179" s="121"/>
      <c r="BE179" s="121"/>
      <c r="BF179" s="121"/>
      <c r="BG179" s="123"/>
      <c r="BH179" s="127"/>
      <c r="BI179" s="125"/>
      <c r="BJ179" s="126"/>
      <c r="BK179" s="30"/>
      <c r="BL179" s="127"/>
      <c r="BM179" s="128"/>
      <c r="BN179" s="123"/>
      <c r="BO179" s="128"/>
      <c r="BP179" s="13"/>
      <c r="BQ179" s="129"/>
      <c r="BR179" s="123"/>
      <c r="BS179" s="130"/>
      <c r="BT179" s="13"/>
      <c r="BU179" s="123"/>
      <c r="BV179" s="131"/>
      <c r="DD179" s="120"/>
      <c r="DI179" s="121"/>
      <c r="DJ179" s="13"/>
      <c r="DK179" s="13"/>
      <c r="DL179" s="13"/>
      <c r="DM179" s="13"/>
      <c r="DN179" s="13"/>
      <c r="DO179" s="13"/>
      <c r="DW179" s="121"/>
      <c r="DX179" s="121"/>
      <c r="DY179" s="121"/>
      <c r="DZ179" s="121"/>
      <c r="EA179" s="121"/>
      <c r="EB179" s="121"/>
      <c r="EC179" s="121"/>
      <c r="ED179" s="121"/>
      <c r="EE179" s="121"/>
      <c r="EF179" s="121"/>
      <c r="EG179" s="123"/>
      <c r="EH179" s="127"/>
      <c r="EI179" s="125"/>
      <c r="EJ179" s="126"/>
      <c r="EK179" s="30"/>
      <c r="EL179" s="127"/>
      <c r="EM179" s="128"/>
      <c r="EN179" s="123"/>
      <c r="EO179" s="128"/>
      <c r="EP179" s="13"/>
      <c r="EQ179" s="129"/>
      <c r="ER179" s="123"/>
      <c r="ES179" s="130"/>
      <c r="ET179" s="13"/>
      <c r="EU179" s="123"/>
      <c r="EV179" s="131"/>
    </row>
    <row r="180" spans="30:152">
      <c r="AD180" s="120"/>
      <c r="AI180" s="121"/>
      <c r="AJ180" s="13"/>
      <c r="AK180" s="13"/>
      <c r="AL180" s="13"/>
      <c r="AM180" s="13"/>
      <c r="AN180" s="13"/>
      <c r="AO180" s="13"/>
      <c r="AW180" s="121"/>
      <c r="AX180" s="121"/>
      <c r="AY180" s="121"/>
      <c r="AZ180" s="121"/>
      <c r="BA180" s="121"/>
      <c r="BB180" s="121"/>
      <c r="BC180" s="121"/>
      <c r="BD180" s="121"/>
      <c r="BE180" s="121"/>
      <c r="BF180" s="121"/>
      <c r="BG180" s="123"/>
      <c r="BH180" s="127"/>
      <c r="BI180" s="125"/>
      <c r="BJ180" s="126"/>
      <c r="BK180" s="30"/>
      <c r="BL180" s="127"/>
      <c r="BM180" s="128"/>
      <c r="BN180" s="123"/>
      <c r="BO180" s="128"/>
      <c r="BP180" s="13"/>
      <c r="BQ180" s="129"/>
      <c r="BR180" s="123"/>
      <c r="BS180" s="130"/>
      <c r="BT180" s="13"/>
      <c r="BU180" s="123"/>
      <c r="BV180" s="131"/>
      <c r="DD180" s="120"/>
      <c r="DI180" s="121"/>
      <c r="DJ180" s="13"/>
      <c r="DK180" s="13"/>
      <c r="DL180" s="13"/>
      <c r="DM180" s="13"/>
      <c r="DN180" s="13"/>
      <c r="DO180" s="13"/>
      <c r="DW180" s="121"/>
      <c r="DX180" s="121"/>
      <c r="DY180" s="121"/>
      <c r="DZ180" s="121"/>
      <c r="EA180" s="121"/>
      <c r="EB180" s="121"/>
      <c r="EC180" s="121"/>
      <c r="ED180" s="121"/>
      <c r="EE180" s="121"/>
      <c r="EF180" s="121"/>
      <c r="EG180" s="123"/>
      <c r="EH180" s="127"/>
      <c r="EI180" s="125"/>
      <c r="EJ180" s="126"/>
      <c r="EK180" s="30"/>
      <c r="EL180" s="127"/>
      <c r="EM180" s="128"/>
      <c r="EN180" s="123"/>
      <c r="EO180" s="128"/>
      <c r="EP180" s="13"/>
      <c r="EQ180" s="129"/>
      <c r="ER180" s="123"/>
      <c r="ES180" s="130"/>
      <c r="ET180" s="13"/>
      <c r="EU180" s="123"/>
      <c r="EV180" s="131"/>
    </row>
    <row r="181" spans="30:152">
      <c r="AD181" s="120"/>
      <c r="AI181" s="121"/>
      <c r="AJ181" s="13"/>
      <c r="AK181" s="13"/>
      <c r="AL181" s="13"/>
      <c r="AM181" s="13"/>
      <c r="AN181" s="13"/>
      <c r="AO181" s="13"/>
      <c r="AW181" s="121"/>
      <c r="AX181" s="121"/>
      <c r="AY181" s="121"/>
      <c r="AZ181" s="121"/>
      <c r="BA181" s="121"/>
      <c r="BB181" s="121"/>
      <c r="BC181" s="121"/>
      <c r="BD181" s="121"/>
      <c r="BE181" s="121"/>
      <c r="BF181" s="121"/>
      <c r="BG181" s="123"/>
      <c r="BH181" s="127"/>
      <c r="BI181" s="125"/>
      <c r="BJ181" s="126"/>
      <c r="BK181" s="30"/>
      <c r="BL181" s="127"/>
      <c r="BM181" s="128"/>
      <c r="BN181" s="123"/>
      <c r="BO181" s="128"/>
      <c r="BP181" s="13"/>
      <c r="BQ181" s="129"/>
      <c r="BR181" s="123"/>
      <c r="BS181" s="130"/>
      <c r="BT181" s="13"/>
      <c r="BU181" s="123"/>
      <c r="BV181" s="131"/>
      <c r="DD181" s="120"/>
      <c r="DI181" s="121"/>
      <c r="DJ181" s="13"/>
      <c r="DK181" s="13"/>
      <c r="DL181" s="13"/>
      <c r="DM181" s="13"/>
      <c r="DN181" s="13"/>
      <c r="DO181" s="13"/>
      <c r="DW181" s="121"/>
      <c r="DX181" s="121"/>
      <c r="DY181" s="121"/>
      <c r="DZ181" s="121"/>
      <c r="EA181" s="121"/>
      <c r="EB181" s="121"/>
      <c r="EC181" s="121"/>
      <c r="ED181" s="121"/>
      <c r="EE181" s="121"/>
      <c r="EF181" s="121"/>
      <c r="EG181" s="123"/>
      <c r="EH181" s="127"/>
      <c r="EI181" s="125"/>
      <c r="EJ181" s="126"/>
      <c r="EK181" s="30"/>
      <c r="EL181" s="127"/>
      <c r="EM181" s="128"/>
      <c r="EN181" s="123"/>
      <c r="EO181" s="128"/>
      <c r="EP181" s="13"/>
      <c r="EQ181" s="129"/>
      <c r="ER181" s="123"/>
      <c r="ES181" s="130"/>
      <c r="ET181" s="13"/>
      <c r="EU181" s="123"/>
      <c r="EV181" s="131"/>
    </row>
    <row r="182" spans="30:152">
      <c r="AD182" s="120"/>
      <c r="AI182" s="121"/>
      <c r="AJ182" s="13"/>
      <c r="AK182" s="13"/>
      <c r="AL182" s="13"/>
      <c r="AM182" s="13"/>
      <c r="AN182" s="13"/>
      <c r="AO182" s="13"/>
      <c r="AW182" s="121"/>
      <c r="AX182" s="121"/>
      <c r="AY182" s="121"/>
      <c r="AZ182" s="121"/>
      <c r="BA182" s="121"/>
      <c r="BB182" s="121"/>
      <c r="BC182" s="121"/>
      <c r="BD182" s="121"/>
      <c r="BE182" s="121"/>
      <c r="BF182" s="121"/>
      <c r="BG182" s="123"/>
      <c r="BH182" s="127"/>
      <c r="BI182" s="125"/>
      <c r="BJ182" s="126"/>
      <c r="BK182" s="30"/>
      <c r="BL182" s="127"/>
      <c r="BM182" s="128"/>
      <c r="BN182" s="123"/>
      <c r="BO182" s="128"/>
      <c r="BP182" s="13"/>
      <c r="BQ182" s="129"/>
      <c r="BR182" s="123"/>
      <c r="BS182" s="130"/>
      <c r="BT182" s="13"/>
      <c r="BU182" s="123"/>
      <c r="BV182" s="131"/>
      <c r="DD182" s="120"/>
      <c r="DI182" s="121"/>
      <c r="DJ182" s="13"/>
      <c r="DK182" s="13"/>
      <c r="DL182" s="13"/>
      <c r="DM182" s="13"/>
      <c r="DN182" s="13"/>
      <c r="DO182" s="13"/>
      <c r="DW182" s="121"/>
      <c r="DX182" s="121"/>
      <c r="DY182" s="121"/>
      <c r="DZ182" s="121"/>
      <c r="EA182" s="121"/>
      <c r="EB182" s="121"/>
      <c r="EC182" s="121"/>
      <c r="ED182" s="121"/>
      <c r="EE182" s="121"/>
      <c r="EF182" s="121"/>
      <c r="EG182" s="123"/>
      <c r="EH182" s="127"/>
      <c r="EI182" s="125"/>
      <c r="EJ182" s="126"/>
      <c r="EK182" s="30"/>
      <c r="EL182" s="127"/>
      <c r="EM182" s="128"/>
      <c r="EN182" s="123"/>
      <c r="EO182" s="128"/>
      <c r="EP182" s="13"/>
      <c r="EQ182" s="129"/>
      <c r="ER182" s="123"/>
      <c r="ES182" s="130"/>
      <c r="ET182" s="13"/>
      <c r="EU182" s="123"/>
      <c r="EV182" s="131"/>
    </row>
    <row r="183" spans="30:152">
      <c r="AD183" s="120"/>
      <c r="AI183" s="121"/>
      <c r="AJ183" s="13"/>
      <c r="AK183" s="13"/>
      <c r="AL183" s="13"/>
      <c r="AM183" s="13"/>
      <c r="AN183" s="13"/>
      <c r="AO183" s="13"/>
      <c r="AW183" s="121"/>
      <c r="AX183" s="121"/>
      <c r="AY183" s="121"/>
      <c r="AZ183" s="121"/>
      <c r="BA183" s="121"/>
      <c r="BB183" s="121"/>
      <c r="BC183" s="121"/>
      <c r="BD183" s="121"/>
      <c r="BE183" s="121"/>
      <c r="BF183" s="121"/>
      <c r="BG183" s="123"/>
      <c r="BH183" s="127"/>
      <c r="BI183" s="125"/>
      <c r="BJ183" s="126"/>
      <c r="BK183" s="30"/>
      <c r="BL183" s="127"/>
      <c r="BM183" s="128"/>
      <c r="BN183" s="123"/>
      <c r="BO183" s="128"/>
      <c r="BP183" s="13"/>
      <c r="BQ183" s="129"/>
      <c r="BR183" s="123"/>
      <c r="BS183" s="130"/>
      <c r="BT183" s="13"/>
      <c r="BU183" s="123"/>
      <c r="BV183" s="131"/>
      <c r="DD183" s="120"/>
      <c r="DI183" s="121"/>
      <c r="DJ183" s="13"/>
      <c r="DK183" s="13"/>
      <c r="DL183" s="13"/>
      <c r="DM183" s="13"/>
      <c r="DN183" s="13"/>
      <c r="DO183" s="13"/>
      <c r="DW183" s="121"/>
      <c r="DX183" s="121"/>
      <c r="DY183" s="121"/>
      <c r="DZ183" s="121"/>
      <c r="EA183" s="121"/>
      <c r="EB183" s="121"/>
      <c r="EC183" s="121"/>
      <c r="ED183" s="121"/>
      <c r="EE183" s="121"/>
      <c r="EF183" s="121"/>
      <c r="EG183" s="123"/>
      <c r="EH183" s="127"/>
      <c r="EI183" s="125"/>
      <c r="EJ183" s="126"/>
      <c r="EK183" s="30"/>
      <c r="EL183" s="127"/>
      <c r="EM183" s="128"/>
      <c r="EN183" s="123"/>
      <c r="EO183" s="128"/>
      <c r="EP183" s="13"/>
      <c r="EQ183" s="129"/>
      <c r="ER183" s="123"/>
      <c r="ES183" s="130"/>
      <c r="ET183" s="13"/>
      <c r="EU183" s="123"/>
      <c r="EV183" s="131"/>
    </row>
    <row r="184" spans="30:152">
      <c r="AD184" s="120"/>
      <c r="AI184" s="121"/>
      <c r="AJ184" s="13"/>
      <c r="AK184" s="13"/>
      <c r="AL184" s="13"/>
      <c r="AM184" s="13"/>
      <c r="AN184" s="13"/>
      <c r="AO184" s="13"/>
      <c r="AW184" s="121"/>
      <c r="AX184" s="121"/>
      <c r="AY184" s="121"/>
      <c r="AZ184" s="121"/>
      <c r="BA184" s="121"/>
      <c r="BB184" s="121"/>
      <c r="BC184" s="121"/>
      <c r="BD184" s="121"/>
      <c r="BE184" s="121"/>
      <c r="BF184" s="121"/>
      <c r="BG184" s="123"/>
      <c r="BH184" s="127"/>
      <c r="BI184" s="125"/>
      <c r="BJ184" s="126"/>
      <c r="BK184" s="30"/>
      <c r="BL184" s="127"/>
      <c r="BM184" s="128"/>
      <c r="BN184" s="123"/>
      <c r="BO184" s="128"/>
      <c r="BP184" s="13"/>
      <c r="BQ184" s="129"/>
      <c r="BR184" s="123"/>
      <c r="BS184" s="130"/>
      <c r="BT184" s="13"/>
      <c r="BU184" s="123"/>
      <c r="BV184" s="131"/>
      <c r="DD184" s="120"/>
      <c r="DI184" s="121"/>
      <c r="DJ184" s="13"/>
      <c r="DK184" s="13"/>
      <c r="DL184" s="13"/>
      <c r="DM184" s="13"/>
      <c r="DN184" s="13"/>
      <c r="DO184" s="13"/>
      <c r="DW184" s="121"/>
      <c r="DX184" s="121"/>
      <c r="DY184" s="121"/>
      <c r="DZ184" s="121"/>
      <c r="EA184" s="121"/>
      <c r="EB184" s="121"/>
      <c r="EC184" s="121"/>
      <c r="ED184" s="121"/>
      <c r="EE184" s="121"/>
      <c r="EF184" s="121"/>
      <c r="EG184" s="123"/>
      <c r="EH184" s="127"/>
      <c r="EI184" s="125"/>
      <c r="EJ184" s="126"/>
      <c r="EK184" s="30"/>
      <c r="EL184" s="127"/>
      <c r="EM184" s="128"/>
      <c r="EN184" s="123"/>
      <c r="EO184" s="128"/>
      <c r="EP184" s="13"/>
      <c r="EQ184" s="129"/>
      <c r="ER184" s="123"/>
      <c r="ES184" s="130"/>
      <c r="ET184" s="13"/>
      <c r="EU184" s="123"/>
      <c r="EV184" s="131"/>
    </row>
    <row r="185" spans="30:152">
      <c r="AD185" s="120"/>
      <c r="AI185" s="121"/>
      <c r="AJ185" s="13"/>
      <c r="AK185" s="13"/>
      <c r="AL185" s="13"/>
      <c r="AM185" s="13"/>
      <c r="AN185" s="13"/>
      <c r="AO185" s="13"/>
      <c r="AW185" s="121"/>
      <c r="AX185" s="121"/>
      <c r="AY185" s="121"/>
      <c r="AZ185" s="121"/>
      <c r="BA185" s="121"/>
      <c r="BB185" s="121"/>
      <c r="BC185" s="121"/>
      <c r="BD185" s="121"/>
      <c r="BE185" s="121"/>
      <c r="BF185" s="121"/>
      <c r="BG185" s="123"/>
      <c r="BH185" s="127"/>
      <c r="BI185" s="125"/>
      <c r="BJ185" s="126"/>
      <c r="BK185" s="30"/>
      <c r="BL185" s="127"/>
      <c r="BM185" s="128"/>
      <c r="BN185" s="123"/>
      <c r="BO185" s="128"/>
      <c r="BP185" s="13"/>
      <c r="BQ185" s="129"/>
      <c r="BR185" s="123"/>
      <c r="BS185" s="130"/>
      <c r="BT185" s="13"/>
      <c r="BU185" s="123"/>
      <c r="BV185" s="131"/>
      <c r="DD185" s="120"/>
      <c r="DI185" s="121"/>
      <c r="DJ185" s="13"/>
      <c r="DK185" s="13"/>
      <c r="DL185" s="13"/>
      <c r="DM185" s="13"/>
      <c r="DN185" s="13"/>
      <c r="DO185" s="13"/>
      <c r="DW185" s="121"/>
      <c r="DX185" s="121"/>
      <c r="DY185" s="121"/>
      <c r="DZ185" s="121"/>
      <c r="EA185" s="121"/>
      <c r="EB185" s="121"/>
      <c r="EC185" s="121"/>
      <c r="ED185" s="121"/>
      <c r="EE185" s="121"/>
      <c r="EF185" s="121"/>
      <c r="EG185" s="123"/>
      <c r="EH185" s="127"/>
      <c r="EI185" s="125"/>
      <c r="EJ185" s="126"/>
      <c r="EK185" s="30"/>
      <c r="EL185" s="127"/>
      <c r="EM185" s="128"/>
      <c r="EN185" s="123"/>
      <c r="EO185" s="128"/>
      <c r="EP185" s="13"/>
      <c r="EQ185" s="129"/>
      <c r="ER185" s="123"/>
      <c r="ES185" s="130"/>
      <c r="ET185" s="13"/>
      <c r="EU185" s="123"/>
      <c r="EV185" s="131"/>
    </row>
    <row r="186" spans="30:152">
      <c r="AD186" s="120"/>
      <c r="AI186" s="121"/>
      <c r="AJ186" s="13"/>
      <c r="AK186" s="13"/>
      <c r="AL186" s="13"/>
      <c r="AM186" s="13"/>
      <c r="AN186" s="13"/>
      <c r="AO186" s="13"/>
      <c r="AW186" s="121"/>
      <c r="AX186" s="121"/>
      <c r="AY186" s="121"/>
      <c r="AZ186" s="121"/>
      <c r="BA186" s="121"/>
      <c r="BB186" s="121"/>
      <c r="BC186" s="121"/>
      <c r="BD186" s="121"/>
      <c r="BE186" s="121"/>
      <c r="BF186" s="121"/>
      <c r="BG186" s="123"/>
      <c r="BH186" s="127"/>
      <c r="BI186" s="125"/>
      <c r="BJ186" s="126"/>
      <c r="BK186" s="30"/>
      <c r="BL186" s="127"/>
      <c r="BM186" s="128"/>
      <c r="BN186" s="123"/>
      <c r="BO186" s="128"/>
      <c r="BP186" s="13"/>
      <c r="BQ186" s="129"/>
      <c r="BR186" s="123"/>
      <c r="BS186" s="130"/>
      <c r="BT186" s="13"/>
      <c r="BU186" s="123"/>
      <c r="BV186" s="131"/>
      <c r="DD186" s="120"/>
      <c r="DI186" s="121"/>
      <c r="DJ186" s="13"/>
      <c r="DK186" s="13"/>
      <c r="DL186" s="13"/>
      <c r="DM186" s="13"/>
      <c r="DN186" s="13"/>
      <c r="DO186" s="13"/>
      <c r="DW186" s="121"/>
      <c r="DX186" s="121"/>
      <c r="DY186" s="121"/>
      <c r="DZ186" s="121"/>
      <c r="EA186" s="121"/>
      <c r="EB186" s="121"/>
      <c r="EC186" s="121"/>
      <c r="ED186" s="121"/>
      <c r="EE186" s="121"/>
      <c r="EF186" s="121"/>
      <c r="EG186" s="123"/>
      <c r="EH186" s="127"/>
      <c r="EI186" s="125"/>
      <c r="EJ186" s="126"/>
      <c r="EK186" s="30"/>
      <c r="EL186" s="127"/>
      <c r="EM186" s="128"/>
      <c r="EN186" s="123"/>
      <c r="EO186" s="128"/>
      <c r="EP186" s="13"/>
      <c r="EQ186" s="129"/>
      <c r="ER186" s="123"/>
      <c r="ES186" s="130"/>
      <c r="ET186" s="13"/>
      <c r="EU186" s="123"/>
      <c r="EV186" s="131"/>
    </row>
    <row r="187" spans="30:152">
      <c r="AD187" s="120"/>
      <c r="AI187" s="121"/>
      <c r="AJ187" s="13"/>
      <c r="AK187" s="13"/>
      <c r="AL187" s="13"/>
      <c r="AM187" s="13"/>
      <c r="AN187" s="13"/>
      <c r="AO187" s="13"/>
      <c r="AW187" s="121"/>
      <c r="AX187" s="121"/>
      <c r="AY187" s="121"/>
      <c r="AZ187" s="121"/>
      <c r="BA187" s="121"/>
      <c r="BB187" s="121"/>
      <c r="BC187" s="121"/>
      <c r="BD187" s="121"/>
      <c r="BE187" s="121"/>
      <c r="BF187" s="121"/>
      <c r="BG187" s="123"/>
      <c r="BH187" s="127"/>
      <c r="BI187" s="125"/>
      <c r="BJ187" s="126"/>
      <c r="BK187" s="30"/>
      <c r="BL187" s="127"/>
      <c r="BM187" s="128"/>
      <c r="BN187" s="123"/>
      <c r="BO187" s="128"/>
      <c r="BP187" s="13"/>
      <c r="BQ187" s="129"/>
      <c r="BR187" s="123"/>
      <c r="BS187" s="130"/>
      <c r="BT187" s="13"/>
      <c r="BU187" s="123"/>
      <c r="BV187" s="131"/>
      <c r="DD187" s="120"/>
      <c r="DI187" s="121"/>
      <c r="DJ187" s="13"/>
      <c r="DK187" s="13"/>
      <c r="DL187" s="13"/>
      <c r="DM187" s="13"/>
      <c r="DN187" s="13"/>
      <c r="DO187" s="13"/>
      <c r="DW187" s="121"/>
      <c r="DX187" s="121"/>
      <c r="DY187" s="121"/>
      <c r="DZ187" s="121"/>
      <c r="EA187" s="121"/>
      <c r="EB187" s="121"/>
      <c r="EC187" s="121"/>
      <c r="ED187" s="121"/>
      <c r="EE187" s="121"/>
      <c r="EF187" s="121"/>
      <c r="EG187" s="123"/>
      <c r="EH187" s="127"/>
      <c r="EI187" s="125"/>
      <c r="EJ187" s="126"/>
      <c r="EK187" s="30"/>
      <c r="EL187" s="127"/>
      <c r="EM187" s="128"/>
      <c r="EN187" s="123"/>
      <c r="EO187" s="128"/>
      <c r="EP187" s="13"/>
      <c r="EQ187" s="129"/>
      <c r="ER187" s="123"/>
      <c r="ES187" s="130"/>
      <c r="ET187" s="13"/>
      <c r="EU187" s="123"/>
      <c r="EV187" s="131"/>
    </row>
    <row r="188" spans="30:152">
      <c r="AD188" s="120"/>
      <c r="AI188" s="121"/>
      <c r="AJ188" s="13"/>
      <c r="AK188" s="13"/>
      <c r="AL188" s="13"/>
      <c r="AM188" s="13"/>
      <c r="AN188" s="13"/>
      <c r="AO188" s="13"/>
      <c r="AW188" s="121"/>
      <c r="AX188" s="121"/>
      <c r="AY188" s="121"/>
      <c r="AZ188" s="121"/>
      <c r="BA188" s="121"/>
      <c r="BB188" s="121"/>
      <c r="BC188" s="121"/>
      <c r="BD188" s="121"/>
      <c r="BE188" s="121"/>
      <c r="BF188" s="121"/>
      <c r="BG188" s="123"/>
      <c r="BH188" s="127"/>
      <c r="BI188" s="125"/>
      <c r="BJ188" s="126"/>
      <c r="BK188" s="30"/>
      <c r="BL188" s="127"/>
      <c r="BM188" s="128"/>
      <c r="BN188" s="123"/>
      <c r="BO188" s="128"/>
      <c r="BP188" s="13"/>
      <c r="BQ188" s="129"/>
      <c r="BR188" s="123"/>
      <c r="BS188" s="130"/>
      <c r="BT188" s="13"/>
      <c r="BU188" s="123"/>
      <c r="BV188" s="131"/>
      <c r="DD188" s="120"/>
      <c r="DI188" s="121"/>
      <c r="DJ188" s="13"/>
      <c r="DK188" s="13"/>
      <c r="DL188" s="13"/>
      <c r="DM188" s="13"/>
      <c r="DN188" s="13"/>
      <c r="DO188" s="13"/>
      <c r="DW188" s="121"/>
      <c r="DX188" s="121"/>
      <c r="DY188" s="121"/>
      <c r="DZ188" s="121"/>
      <c r="EA188" s="121"/>
      <c r="EB188" s="121"/>
      <c r="EC188" s="121"/>
      <c r="ED188" s="121"/>
      <c r="EE188" s="121"/>
      <c r="EF188" s="121"/>
      <c r="EG188" s="123"/>
      <c r="EH188" s="127"/>
      <c r="EI188" s="125"/>
      <c r="EJ188" s="126"/>
      <c r="EK188" s="30"/>
      <c r="EL188" s="127"/>
      <c r="EM188" s="128"/>
      <c r="EN188" s="123"/>
      <c r="EO188" s="128"/>
      <c r="EP188" s="13"/>
      <c r="EQ188" s="129"/>
      <c r="ER188" s="123"/>
      <c r="ES188" s="130"/>
      <c r="ET188" s="13"/>
      <c r="EU188" s="123"/>
      <c r="EV188" s="131"/>
    </row>
    <row r="189" spans="30:152">
      <c r="AD189" s="120"/>
      <c r="AI189" s="121"/>
      <c r="AJ189" s="13"/>
      <c r="AK189" s="13"/>
      <c r="AL189" s="13"/>
      <c r="AM189" s="13"/>
      <c r="AN189" s="13"/>
      <c r="AO189" s="13"/>
      <c r="AW189" s="121"/>
      <c r="AX189" s="121"/>
      <c r="AY189" s="121"/>
      <c r="AZ189" s="121"/>
      <c r="BA189" s="121"/>
      <c r="BB189" s="121"/>
      <c r="BC189" s="121"/>
      <c r="BD189" s="121"/>
      <c r="BE189" s="121"/>
      <c r="BF189" s="121"/>
      <c r="BG189" s="123"/>
      <c r="BH189" s="127"/>
      <c r="BI189" s="125"/>
      <c r="BJ189" s="126"/>
      <c r="BK189" s="30"/>
      <c r="BL189" s="127"/>
      <c r="BM189" s="128"/>
      <c r="BN189" s="123"/>
      <c r="BO189" s="128"/>
      <c r="BP189" s="13"/>
      <c r="BQ189" s="129"/>
      <c r="BR189" s="123"/>
      <c r="BS189" s="130"/>
      <c r="BT189" s="13"/>
      <c r="BU189" s="123"/>
      <c r="BV189" s="131"/>
      <c r="DD189" s="120"/>
      <c r="DI189" s="121"/>
      <c r="DJ189" s="13"/>
      <c r="DK189" s="13"/>
      <c r="DL189" s="13"/>
      <c r="DM189" s="13"/>
      <c r="DN189" s="13"/>
      <c r="DO189" s="13"/>
      <c r="DW189" s="121"/>
      <c r="DX189" s="121"/>
      <c r="DY189" s="121"/>
      <c r="DZ189" s="121"/>
      <c r="EA189" s="121"/>
      <c r="EB189" s="121"/>
      <c r="EC189" s="121"/>
      <c r="ED189" s="121"/>
      <c r="EE189" s="121"/>
      <c r="EF189" s="121"/>
      <c r="EG189" s="123"/>
      <c r="EH189" s="127"/>
      <c r="EI189" s="125"/>
      <c r="EJ189" s="126"/>
      <c r="EK189" s="30"/>
      <c r="EL189" s="127"/>
      <c r="EM189" s="128"/>
      <c r="EN189" s="123"/>
      <c r="EO189" s="128"/>
      <c r="EP189" s="13"/>
      <c r="EQ189" s="129"/>
      <c r="ER189" s="123"/>
      <c r="ES189" s="130"/>
      <c r="ET189" s="13"/>
      <c r="EU189" s="123"/>
      <c r="EV189" s="131"/>
    </row>
    <row r="190" spans="30:152">
      <c r="AD190" s="120"/>
      <c r="AI190" s="121"/>
      <c r="AJ190" s="13"/>
      <c r="AK190" s="13"/>
      <c r="AL190" s="13"/>
      <c r="AM190" s="13"/>
      <c r="AN190" s="13"/>
      <c r="AO190" s="13"/>
      <c r="AW190" s="121"/>
      <c r="AX190" s="121"/>
      <c r="AY190" s="121"/>
      <c r="AZ190" s="121"/>
      <c r="BA190" s="121"/>
      <c r="BB190" s="121"/>
      <c r="BC190" s="121"/>
      <c r="BD190" s="121"/>
      <c r="BE190" s="121"/>
      <c r="BF190" s="121"/>
      <c r="BG190" s="123"/>
      <c r="BH190" s="127"/>
      <c r="BI190" s="125"/>
      <c r="BJ190" s="126"/>
      <c r="BK190" s="30"/>
      <c r="BL190" s="127"/>
      <c r="BM190" s="128"/>
      <c r="BN190" s="123"/>
      <c r="BO190" s="128"/>
      <c r="BP190" s="13"/>
      <c r="BQ190" s="129"/>
      <c r="BR190" s="123"/>
      <c r="BS190" s="130"/>
      <c r="BT190" s="13"/>
      <c r="BU190" s="123"/>
      <c r="BV190" s="131"/>
      <c r="DD190" s="120"/>
      <c r="DI190" s="121"/>
      <c r="DJ190" s="13"/>
      <c r="DK190" s="13"/>
      <c r="DL190" s="13"/>
      <c r="DM190" s="13"/>
      <c r="DN190" s="13"/>
      <c r="DO190" s="13"/>
      <c r="DW190" s="121"/>
      <c r="DX190" s="121"/>
      <c r="DY190" s="121"/>
      <c r="DZ190" s="121"/>
      <c r="EA190" s="121"/>
      <c r="EB190" s="121"/>
      <c r="EC190" s="121"/>
      <c r="ED190" s="121"/>
      <c r="EE190" s="121"/>
      <c r="EF190" s="121"/>
      <c r="EG190" s="123"/>
      <c r="EH190" s="127"/>
      <c r="EI190" s="125"/>
      <c r="EJ190" s="126"/>
      <c r="EK190" s="30"/>
      <c r="EL190" s="127"/>
      <c r="EM190" s="128"/>
      <c r="EN190" s="123"/>
      <c r="EO190" s="128"/>
      <c r="EP190" s="13"/>
      <c r="EQ190" s="129"/>
      <c r="ER190" s="123"/>
      <c r="ES190" s="130"/>
      <c r="ET190" s="13"/>
      <c r="EU190" s="123"/>
      <c r="EV190" s="131"/>
    </row>
    <row r="191" spans="30:152">
      <c r="AD191" s="120"/>
      <c r="AI191" s="121"/>
      <c r="AJ191" s="13"/>
      <c r="AK191" s="13"/>
      <c r="AL191" s="13"/>
      <c r="AM191" s="13"/>
      <c r="AN191" s="13"/>
      <c r="AO191" s="13"/>
      <c r="AW191" s="121"/>
      <c r="AX191" s="121"/>
      <c r="AY191" s="121"/>
      <c r="AZ191" s="121"/>
      <c r="BA191" s="121"/>
      <c r="BB191" s="121"/>
      <c r="BC191" s="121"/>
      <c r="BD191" s="121"/>
      <c r="BE191" s="121"/>
      <c r="BF191" s="121"/>
      <c r="BG191" s="123"/>
      <c r="BH191" s="127"/>
      <c r="BI191" s="125"/>
      <c r="BJ191" s="126"/>
      <c r="BK191" s="30"/>
      <c r="BL191" s="127"/>
      <c r="BM191" s="128"/>
      <c r="BN191" s="123"/>
      <c r="BO191" s="128"/>
      <c r="BP191" s="13"/>
      <c r="BQ191" s="129"/>
      <c r="BR191" s="123"/>
      <c r="BS191" s="130"/>
      <c r="BT191" s="13"/>
      <c r="BU191" s="123"/>
      <c r="BV191" s="131"/>
      <c r="DD191" s="120"/>
      <c r="DI191" s="121"/>
      <c r="DJ191" s="13"/>
      <c r="DK191" s="13"/>
      <c r="DL191" s="13"/>
      <c r="DM191" s="13"/>
      <c r="DN191" s="13"/>
      <c r="DO191" s="13"/>
      <c r="DW191" s="121"/>
      <c r="DX191" s="121"/>
      <c r="DY191" s="121"/>
      <c r="DZ191" s="121"/>
      <c r="EA191" s="121"/>
      <c r="EB191" s="121"/>
      <c r="EC191" s="121"/>
      <c r="ED191" s="121"/>
      <c r="EE191" s="121"/>
      <c r="EF191" s="121"/>
      <c r="EG191" s="123"/>
      <c r="EH191" s="127"/>
      <c r="EI191" s="125"/>
      <c r="EJ191" s="126"/>
      <c r="EK191" s="30"/>
      <c r="EL191" s="127"/>
      <c r="EM191" s="128"/>
      <c r="EN191" s="123"/>
      <c r="EO191" s="128"/>
      <c r="EP191" s="13"/>
      <c r="EQ191" s="129"/>
      <c r="ER191" s="123"/>
      <c r="ES191" s="130"/>
      <c r="ET191" s="13"/>
      <c r="EU191" s="123"/>
      <c r="EV191" s="131"/>
    </row>
    <row r="192" spans="30:152">
      <c r="AD192" s="120"/>
      <c r="AI192" s="121"/>
      <c r="AJ192" s="13"/>
      <c r="AK192" s="13"/>
      <c r="AL192" s="13"/>
      <c r="AM192" s="13"/>
      <c r="AN192" s="13"/>
      <c r="AO192" s="13"/>
      <c r="AW192" s="121"/>
      <c r="AX192" s="121"/>
      <c r="AY192" s="121"/>
      <c r="AZ192" s="121"/>
      <c r="BA192" s="121"/>
      <c r="BB192" s="121"/>
      <c r="BC192" s="121"/>
      <c r="BD192" s="121"/>
      <c r="BE192" s="121"/>
      <c r="BF192" s="121"/>
      <c r="BG192" s="123"/>
      <c r="BH192" s="127"/>
      <c r="BI192" s="125"/>
      <c r="BJ192" s="126"/>
      <c r="BK192" s="30"/>
      <c r="BL192" s="127"/>
      <c r="BM192" s="128"/>
      <c r="BN192" s="123"/>
      <c r="BO192" s="128"/>
      <c r="BP192" s="13"/>
      <c r="BQ192" s="129"/>
      <c r="BR192" s="123"/>
      <c r="BS192" s="130"/>
      <c r="BT192" s="13"/>
      <c r="BU192" s="123"/>
      <c r="BV192" s="131"/>
      <c r="DD192" s="120"/>
      <c r="DI192" s="121"/>
      <c r="DJ192" s="13"/>
      <c r="DK192" s="13"/>
      <c r="DL192" s="13"/>
      <c r="DM192" s="13"/>
      <c r="DN192" s="13"/>
      <c r="DO192" s="13"/>
      <c r="DW192" s="121"/>
      <c r="DX192" s="121"/>
      <c r="DY192" s="121"/>
      <c r="DZ192" s="121"/>
      <c r="EA192" s="121"/>
      <c r="EB192" s="121"/>
      <c r="EC192" s="121"/>
      <c r="ED192" s="121"/>
      <c r="EE192" s="121"/>
      <c r="EF192" s="121"/>
      <c r="EG192" s="123"/>
      <c r="EH192" s="127"/>
      <c r="EI192" s="125"/>
      <c r="EJ192" s="126"/>
      <c r="EK192" s="30"/>
      <c r="EL192" s="127"/>
      <c r="EM192" s="128"/>
      <c r="EN192" s="123"/>
      <c r="EO192" s="128"/>
      <c r="EP192" s="13"/>
      <c r="EQ192" s="129"/>
      <c r="ER192" s="123"/>
      <c r="ES192" s="130"/>
      <c r="ET192" s="13"/>
      <c r="EU192" s="123"/>
      <c r="EV192" s="131"/>
    </row>
    <row r="193" spans="30:152">
      <c r="AD193" s="120"/>
      <c r="AI193" s="121"/>
      <c r="AJ193" s="13"/>
      <c r="AK193" s="13"/>
      <c r="AL193" s="13"/>
      <c r="AM193" s="13"/>
      <c r="AN193" s="13"/>
      <c r="AO193" s="13"/>
      <c r="AW193" s="121"/>
      <c r="AX193" s="121"/>
      <c r="AY193" s="121"/>
      <c r="AZ193" s="121"/>
      <c r="BA193" s="121"/>
      <c r="BB193" s="121"/>
      <c r="BC193" s="121"/>
      <c r="BD193" s="121"/>
      <c r="BE193" s="121"/>
      <c r="BF193" s="121"/>
      <c r="BG193" s="123"/>
      <c r="BH193" s="127"/>
      <c r="BI193" s="125"/>
      <c r="BJ193" s="126"/>
      <c r="BK193" s="30"/>
      <c r="BL193" s="127"/>
      <c r="BM193" s="128"/>
      <c r="BN193" s="123"/>
      <c r="BO193" s="128"/>
      <c r="BP193" s="13"/>
      <c r="BQ193" s="129"/>
      <c r="BR193" s="123"/>
      <c r="BS193" s="130"/>
      <c r="BT193" s="13"/>
      <c r="BU193" s="123"/>
      <c r="BV193" s="131"/>
      <c r="DD193" s="120"/>
      <c r="DI193" s="121"/>
      <c r="DJ193" s="13"/>
      <c r="DK193" s="13"/>
      <c r="DL193" s="13"/>
      <c r="DM193" s="13"/>
      <c r="DN193" s="13"/>
      <c r="DO193" s="13"/>
      <c r="DW193" s="121"/>
      <c r="DX193" s="121"/>
      <c r="DY193" s="121"/>
      <c r="DZ193" s="121"/>
      <c r="EA193" s="121"/>
      <c r="EB193" s="121"/>
      <c r="EC193" s="121"/>
      <c r="ED193" s="121"/>
      <c r="EE193" s="121"/>
      <c r="EF193" s="121"/>
      <c r="EG193" s="123"/>
      <c r="EH193" s="127"/>
      <c r="EI193" s="125"/>
      <c r="EJ193" s="126"/>
      <c r="EK193" s="30"/>
      <c r="EL193" s="127"/>
      <c r="EM193" s="128"/>
      <c r="EN193" s="123"/>
      <c r="EO193" s="128"/>
      <c r="EP193" s="13"/>
      <c r="EQ193" s="129"/>
      <c r="ER193" s="123"/>
      <c r="ES193" s="130"/>
      <c r="ET193" s="13"/>
      <c r="EU193" s="123"/>
      <c r="EV193" s="131"/>
    </row>
    <row r="194" spans="30:152">
      <c r="AD194" s="120"/>
      <c r="AI194" s="121"/>
      <c r="AJ194" s="13"/>
      <c r="AK194" s="13"/>
      <c r="AL194" s="13"/>
      <c r="AM194" s="13"/>
      <c r="AN194" s="13"/>
      <c r="AO194" s="13"/>
      <c r="AW194" s="121"/>
      <c r="AX194" s="121"/>
      <c r="AY194" s="121"/>
      <c r="AZ194" s="121"/>
      <c r="BA194" s="121"/>
      <c r="BB194" s="121"/>
      <c r="BC194" s="121"/>
      <c r="BD194" s="121"/>
      <c r="BE194" s="121"/>
      <c r="BF194" s="121"/>
      <c r="BG194" s="123"/>
      <c r="BH194" s="127"/>
      <c r="BI194" s="125"/>
      <c r="BJ194" s="126"/>
      <c r="BK194" s="30"/>
      <c r="BL194" s="127"/>
      <c r="BM194" s="128"/>
      <c r="BN194" s="123"/>
      <c r="BO194" s="128"/>
      <c r="BP194" s="13"/>
      <c r="BQ194" s="129"/>
      <c r="BR194" s="123"/>
      <c r="BS194" s="130"/>
      <c r="BT194" s="13"/>
      <c r="BU194" s="123"/>
      <c r="BV194" s="131"/>
      <c r="DD194" s="120"/>
      <c r="DI194" s="121"/>
      <c r="DJ194" s="13"/>
      <c r="DK194" s="13"/>
      <c r="DL194" s="13"/>
      <c r="DM194" s="13"/>
      <c r="DN194" s="13"/>
      <c r="DO194" s="13"/>
      <c r="DW194" s="121"/>
      <c r="DX194" s="121"/>
      <c r="DY194" s="121"/>
      <c r="DZ194" s="121"/>
      <c r="EA194" s="121"/>
      <c r="EB194" s="121"/>
      <c r="EC194" s="121"/>
      <c r="ED194" s="121"/>
      <c r="EE194" s="121"/>
      <c r="EF194" s="121"/>
      <c r="EG194" s="123"/>
      <c r="EH194" s="127"/>
      <c r="EI194" s="125"/>
      <c r="EJ194" s="126"/>
      <c r="EK194" s="30"/>
      <c r="EL194" s="127"/>
      <c r="EM194" s="128"/>
      <c r="EN194" s="123"/>
      <c r="EO194" s="128"/>
      <c r="EP194" s="13"/>
      <c r="EQ194" s="129"/>
      <c r="ER194" s="123"/>
      <c r="ES194" s="130"/>
      <c r="ET194" s="13"/>
      <c r="EU194" s="123"/>
      <c r="EV194" s="131"/>
    </row>
    <row r="195" spans="30:152">
      <c r="AD195" s="120"/>
      <c r="AI195" s="121"/>
      <c r="AJ195" s="13"/>
      <c r="AK195" s="13"/>
      <c r="AL195" s="13"/>
      <c r="AM195" s="13"/>
      <c r="AN195" s="13"/>
      <c r="AO195" s="13"/>
      <c r="AW195" s="121"/>
      <c r="AX195" s="121"/>
      <c r="AY195" s="121"/>
      <c r="AZ195" s="121"/>
      <c r="BA195" s="121"/>
      <c r="BB195" s="121"/>
      <c r="BC195" s="121"/>
      <c r="BD195" s="121"/>
      <c r="BE195" s="121"/>
      <c r="BF195" s="121"/>
      <c r="BG195" s="123"/>
      <c r="BH195" s="127"/>
      <c r="BI195" s="125"/>
      <c r="BJ195" s="126"/>
      <c r="BK195" s="30"/>
      <c r="BL195" s="127"/>
      <c r="BM195" s="128"/>
      <c r="BN195" s="123"/>
      <c r="BO195" s="128"/>
      <c r="BP195" s="13"/>
      <c r="BQ195" s="129"/>
      <c r="BR195" s="123"/>
      <c r="BS195" s="130"/>
      <c r="BT195" s="13"/>
      <c r="BU195" s="123"/>
      <c r="BV195" s="131"/>
      <c r="DD195" s="120"/>
      <c r="DI195" s="121"/>
      <c r="DJ195" s="13"/>
      <c r="DK195" s="13"/>
      <c r="DL195" s="13"/>
      <c r="DM195" s="13"/>
      <c r="DN195" s="13"/>
      <c r="DO195" s="13"/>
      <c r="DW195" s="121"/>
      <c r="DX195" s="121"/>
      <c r="DY195" s="121"/>
      <c r="DZ195" s="121"/>
      <c r="EA195" s="121"/>
      <c r="EB195" s="121"/>
      <c r="EC195" s="121"/>
      <c r="ED195" s="121"/>
      <c r="EE195" s="121"/>
      <c r="EF195" s="121"/>
      <c r="EG195" s="123"/>
      <c r="EH195" s="127"/>
      <c r="EI195" s="125"/>
      <c r="EJ195" s="126"/>
      <c r="EK195" s="30"/>
      <c r="EL195" s="127"/>
      <c r="EM195" s="128"/>
      <c r="EN195" s="123"/>
      <c r="EO195" s="128"/>
      <c r="EP195" s="13"/>
      <c r="EQ195" s="129"/>
      <c r="ER195" s="123"/>
      <c r="ES195" s="130"/>
      <c r="ET195" s="13"/>
      <c r="EU195" s="123"/>
      <c r="EV195" s="131"/>
    </row>
    <row r="196" spans="30:152">
      <c r="AD196" s="120"/>
      <c r="AI196" s="121"/>
      <c r="AJ196" s="13"/>
      <c r="AK196" s="13"/>
      <c r="AL196" s="13"/>
      <c r="AM196" s="13"/>
      <c r="AN196" s="13"/>
      <c r="AO196" s="13"/>
      <c r="AW196" s="121"/>
      <c r="AX196" s="121"/>
      <c r="AY196" s="121"/>
      <c r="AZ196" s="121"/>
      <c r="BA196" s="121"/>
      <c r="BB196" s="121"/>
      <c r="BC196" s="121"/>
      <c r="BD196" s="121"/>
      <c r="BE196" s="121"/>
      <c r="BF196" s="121"/>
      <c r="BG196" s="123"/>
      <c r="BH196" s="127"/>
      <c r="BI196" s="125"/>
      <c r="BJ196" s="126"/>
      <c r="BK196" s="30"/>
      <c r="BL196" s="127"/>
      <c r="BM196" s="128"/>
      <c r="BN196" s="123"/>
      <c r="BO196" s="128"/>
      <c r="BP196" s="13"/>
      <c r="BQ196" s="129"/>
      <c r="BR196" s="123"/>
      <c r="BS196" s="130"/>
      <c r="BT196" s="13"/>
      <c r="BU196" s="123"/>
      <c r="BV196" s="131"/>
      <c r="DD196" s="120"/>
      <c r="DI196" s="121"/>
      <c r="DJ196" s="13"/>
      <c r="DK196" s="13"/>
      <c r="DL196" s="13"/>
      <c r="DM196" s="13"/>
      <c r="DN196" s="13"/>
      <c r="DO196" s="13"/>
      <c r="DW196" s="121"/>
      <c r="DX196" s="121"/>
      <c r="DY196" s="121"/>
      <c r="DZ196" s="121"/>
      <c r="EA196" s="121"/>
      <c r="EB196" s="121"/>
      <c r="EC196" s="121"/>
      <c r="ED196" s="121"/>
      <c r="EE196" s="121"/>
      <c r="EF196" s="121"/>
      <c r="EG196" s="123"/>
      <c r="EH196" s="127"/>
      <c r="EI196" s="125"/>
      <c r="EJ196" s="126"/>
      <c r="EK196" s="30"/>
      <c r="EL196" s="127"/>
      <c r="EM196" s="128"/>
      <c r="EN196" s="123"/>
      <c r="EO196" s="128"/>
      <c r="EP196" s="13"/>
      <c r="EQ196" s="129"/>
      <c r="ER196" s="123"/>
      <c r="ES196" s="130"/>
      <c r="ET196" s="13"/>
      <c r="EU196" s="123"/>
      <c r="EV196" s="131"/>
    </row>
    <row r="197" spans="30:152">
      <c r="AD197" s="120"/>
      <c r="AI197" s="121"/>
      <c r="AJ197" s="13"/>
      <c r="AK197" s="13"/>
      <c r="AL197" s="13"/>
      <c r="AM197" s="13"/>
      <c r="AN197" s="13"/>
      <c r="AO197" s="13"/>
      <c r="AW197" s="121"/>
      <c r="AX197" s="121"/>
      <c r="AY197" s="121"/>
      <c r="AZ197" s="121"/>
      <c r="BA197" s="121"/>
      <c r="BB197" s="121"/>
      <c r="BC197" s="121"/>
      <c r="BD197" s="121"/>
      <c r="BE197" s="121"/>
      <c r="BF197" s="121"/>
      <c r="BG197" s="123"/>
      <c r="BH197" s="127"/>
      <c r="BI197" s="125"/>
      <c r="BJ197" s="126"/>
      <c r="BK197" s="30"/>
      <c r="BL197" s="127"/>
      <c r="BM197" s="128"/>
      <c r="BN197" s="123"/>
      <c r="BO197" s="128"/>
      <c r="BP197" s="13"/>
      <c r="BQ197" s="129"/>
      <c r="BR197" s="123"/>
      <c r="BS197" s="130"/>
      <c r="BT197" s="13"/>
      <c r="BU197" s="123"/>
      <c r="BV197" s="131"/>
      <c r="DD197" s="120"/>
      <c r="DI197" s="121"/>
      <c r="DJ197" s="13"/>
      <c r="DK197" s="13"/>
      <c r="DL197" s="13"/>
      <c r="DM197" s="13"/>
      <c r="DN197" s="13"/>
      <c r="DO197" s="13"/>
      <c r="DW197" s="121"/>
      <c r="DX197" s="121"/>
      <c r="DY197" s="121"/>
      <c r="DZ197" s="121"/>
      <c r="EA197" s="121"/>
      <c r="EB197" s="121"/>
      <c r="EC197" s="121"/>
      <c r="ED197" s="121"/>
      <c r="EE197" s="121"/>
      <c r="EF197" s="121"/>
      <c r="EG197" s="123"/>
      <c r="EH197" s="127"/>
      <c r="EI197" s="125"/>
      <c r="EJ197" s="126"/>
      <c r="EK197" s="30"/>
      <c r="EL197" s="127"/>
      <c r="EM197" s="128"/>
      <c r="EN197" s="123"/>
      <c r="EO197" s="128"/>
      <c r="EP197" s="13"/>
      <c r="EQ197" s="129"/>
      <c r="ER197" s="123"/>
      <c r="ES197" s="130"/>
      <c r="ET197" s="13"/>
      <c r="EU197" s="123"/>
      <c r="EV197" s="131"/>
    </row>
    <row r="198" spans="30:152">
      <c r="AD198" s="120"/>
      <c r="AI198" s="121"/>
      <c r="AJ198" s="13"/>
      <c r="AK198" s="13"/>
      <c r="AL198" s="13"/>
      <c r="AM198" s="13"/>
      <c r="AN198" s="13"/>
      <c r="AO198" s="13"/>
      <c r="AW198" s="121"/>
      <c r="AX198" s="121"/>
      <c r="AY198" s="121"/>
      <c r="AZ198" s="121"/>
      <c r="BA198" s="121"/>
      <c r="BB198" s="121"/>
      <c r="BC198" s="121"/>
      <c r="BD198" s="121"/>
      <c r="BE198" s="121"/>
      <c r="BF198" s="121"/>
      <c r="BG198" s="123"/>
      <c r="BH198" s="127"/>
      <c r="BI198" s="125"/>
      <c r="BJ198" s="126"/>
      <c r="BK198" s="30"/>
      <c r="BL198" s="127"/>
      <c r="BM198" s="128"/>
      <c r="BN198" s="123"/>
      <c r="BO198" s="128"/>
      <c r="BP198" s="13"/>
      <c r="BQ198" s="129"/>
      <c r="BR198" s="123"/>
      <c r="BS198" s="130"/>
      <c r="BT198" s="13"/>
      <c r="BU198" s="123"/>
      <c r="BV198" s="131"/>
      <c r="DD198" s="120"/>
      <c r="DI198" s="121"/>
      <c r="DJ198" s="13"/>
      <c r="DK198" s="13"/>
      <c r="DL198" s="13"/>
      <c r="DM198" s="13"/>
      <c r="DN198" s="13"/>
      <c r="DO198" s="13"/>
      <c r="DW198" s="121"/>
      <c r="DX198" s="121"/>
      <c r="DY198" s="121"/>
      <c r="DZ198" s="121"/>
      <c r="EA198" s="121"/>
      <c r="EB198" s="121"/>
      <c r="EC198" s="121"/>
      <c r="ED198" s="121"/>
      <c r="EE198" s="121"/>
      <c r="EF198" s="121"/>
      <c r="EG198" s="123"/>
      <c r="EH198" s="127"/>
      <c r="EI198" s="125"/>
      <c r="EJ198" s="126"/>
      <c r="EK198" s="30"/>
      <c r="EL198" s="127"/>
      <c r="EM198" s="128"/>
      <c r="EN198" s="123"/>
      <c r="EO198" s="128"/>
      <c r="EP198" s="13"/>
      <c r="EQ198" s="129"/>
      <c r="ER198" s="123"/>
      <c r="ES198" s="130"/>
      <c r="ET198" s="13"/>
      <c r="EU198" s="123"/>
      <c r="EV198" s="131"/>
    </row>
    <row r="199" spans="30:152">
      <c r="AD199" s="120"/>
      <c r="AI199" s="121"/>
      <c r="AJ199" s="13"/>
      <c r="AK199" s="13"/>
      <c r="AL199" s="13"/>
      <c r="AM199" s="13"/>
      <c r="AN199" s="13"/>
      <c r="AO199" s="13"/>
      <c r="AW199" s="121"/>
      <c r="AX199" s="121"/>
      <c r="AY199" s="121"/>
      <c r="AZ199" s="121"/>
      <c r="BA199" s="121"/>
      <c r="BB199" s="121"/>
      <c r="BC199" s="121"/>
      <c r="BD199" s="121"/>
      <c r="BE199" s="121"/>
      <c r="BF199" s="121"/>
      <c r="BG199" s="123"/>
      <c r="BH199" s="127"/>
      <c r="BI199" s="125"/>
      <c r="BJ199" s="126"/>
      <c r="BK199" s="30"/>
      <c r="BL199" s="127"/>
      <c r="BM199" s="128"/>
      <c r="BN199" s="123"/>
      <c r="BO199" s="128"/>
      <c r="BP199" s="13"/>
      <c r="BQ199" s="129"/>
      <c r="BR199" s="123"/>
      <c r="BS199" s="130"/>
      <c r="BT199" s="13"/>
      <c r="BU199" s="123"/>
      <c r="BV199" s="131"/>
      <c r="DD199" s="120"/>
      <c r="DI199" s="121"/>
      <c r="DJ199" s="13"/>
      <c r="DK199" s="13"/>
      <c r="DL199" s="13"/>
      <c r="DM199" s="13"/>
      <c r="DN199" s="13"/>
      <c r="DO199" s="13"/>
      <c r="DW199" s="121"/>
      <c r="DX199" s="121"/>
      <c r="DY199" s="121"/>
      <c r="DZ199" s="121"/>
      <c r="EA199" s="121"/>
      <c r="EB199" s="121"/>
      <c r="EC199" s="121"/>
      <c r="ED199" s="121"/>
      <c r="EE199" s="121"/>
      <c r="EF199" s="121"/>
      <c r="EG199" s="123"/>
      <c r="EH199" s="127"/>
      <c r="EI199" s="125"/>
      <c r="EJ199" s="126"/>
      <c r="EK199" s="30"/>
      <c r="EL199" s="127"/>
      <c r="EM199" s="128"/>
      <c r="EN199" s="123"/>
      <c r="EO199" s="128"/>
      <c r="EP199" s="13"/>
      <c r="EQ199" s="129"/>
      <c r="ER199" s="123"/>
      <c r="ES199" s="130"/>
      <c r="ET199" s="13"/>
      <c r="EU199" s="123"/>
      <c r="EV199" s="131"/>
    </row>
    <row r="200" spans="30:152">
      <c r="AD200" s="120"/>
      <c r="AI200" s="121"/>
      <c r="AJ200" s="13"/>
      <c r="AK200" s="13"/>
      <c r="AL200" s="13"/>
      <c r="AM200" s="13"/>
      <c r="AN200" s="13"/>
      <c r="AO200" s="13"/>
      <c r="AW200" s="121"/>
      <c r="AX200" s="121"/>
      <c r="AY200" s="121"/>
      <c r="AZ200" s="121"/>
      <c r="BA200" s="121"/>
      <c r="BB200" s="121"/>
      <c r="BC200" s="121"/>
      <c r="BD200" s="121"/>
      <c r="BE200" s="121"/>
      <c r="BF200" s="121"/>
      <c r="BG200" s="123"/>
      <c r="BH200" s="127"/>
      <c r="BI200" s="125"/>
      <c r="BJ200" s="126"/>
      <c r="BK200" s="30"/>
      <c r="BL200" s="127"/>
      <c r="BM200" s="128"/>
      <c r="BN200" s="123"/>
      <c r="BO200" s="128"/>
      <c r="BP200" s="13"/>
      <c r="BQ200" s="129"/>
      <c r="BR200" s="123"/>
      <c r="BS200" s="130"/>
      <c r="BT200" s="13"/>
      <c r="BU200" s="123"/>
      <c r="BV200" s="131"/>
      <c r="DD200" s="120"/>
      <c r="DI200" s="121"/>
      <c r="DJ200" s="13"/>
      <c r="DK200" s="13"/>
      <c r="DL200" s="13"/>
      <c r="DM200" s="13"/>
      <c r="DN200" s="13"/>
      <c r="DO200" s="13"/>
      <c r="DW200" s="121"/>
      <c r="DX200" s="121"/>
      <c r="DY200" s="121"/>
      <c r="DZ200" s="121"/>
      <c r="EA200" s="121"/>
      <c r="EB200" s="121"/>
      <c r="EC200" s="121"/>
      <c r="ED200" s="121"/>
      <c r="EE200" s="121"/>
      <c r="EF200" s="121"/>
      <c r="EG200" s="123"/>
      <c r="EH200" s="127"/>
      <c r="EI200" s="125"/>
      <c r="EJ200" s="126"/>
      <c r="EK200" s="30"/>
      <c r="EL200" s="127"/>
      <c r="EM200" s="128"/>
      <c r="EN200" s="123"/>
      <c r="EO200" s="128"/>
      <c r="EP200" s="13"/>
      <c r="EQ200" s="129"/>
      <c r="ER200" s="123"/>
      <c r="ES200" s="130"/>
      <c r="ET200" s="13"/>
      <c r="EU200" s="123"/>
      <c r="EV200" s="131"/>
    </row>
    <row r="201" spans="30:152">
      <c r="AD201" s="120"/>
      <c r="AI201" s="121"/>
      <c r="AJ201" s="13"/>
      <c r="AK201" s="13"/>
      <c r="AL201" s="13"/>
      <c r="AM201" s="13"/>
      <c r="AN201" s="13"/>
      <c r="AO201" s="13"/>
      <c r="AW201" s="121"/>
      <c r="AX201" s="121"/>
      <c r="AY201" s="121"/>
      <c r="AZ201" s="121"/>
      <c r="BA201" s="121"/>
      <c r="BB201" s="121"/>
      <c r="BC201" s="121"/>
      <c r="BD201" s="121"/>
      <c r="BE201" s="121"/>
      <c r="BF201" s="121"/>
      <c r="BG201" s="123"/>
      <c r="BH201" s="127"/>
      <c r="BI201" s="125"/>
      <c r="BJ201" s="126"/>
      <c r="BK201" s="30"/>
      <c r="BL201" s="127"/>
      <c r="BM201" s="128"/>
      <c r="BN201" s="123"/>
      <c r="BO201" s="128"/>
      <c r="BP201" s="13"/>
      <c r="BQ201" s="129"/>
      <c r="BR201" s="123"/>
      <c r="BS201" s="130"/>
      <c r="BT201" s="13"/>
      <c r="BU201" s="123"/>
      <c r="BV201" s="131"/>
      <c r="DD201" s="120"/>
      <c r="DI201" s="121"/>
      <c r="DJ201" s="13"/>
      <c r="DK201" s="13"/>
      <c r="DL201" s="13"/>
      <c r="DM201" s="13"/>
      <c r="DN201" s="13"/>
      <c r="DO201" s="13"/>
      <c r="DW201" s="121"/>
      <c r="DX201" s="121"/>
      <c r="DY201" s="121"/>
      <c r="DZ201" s="121"/>
      <c r="EA201" s="121"/>
      <c r="EB201" s="121"/>
      <c r="EC201" s="121"/>
      <c r="ED201" s="121"/>
      <c r="EE201" s="121"/>
      <c r="EF201" s="121"/>
      <c r="EG201" s="123"/>
      <c r="EH201" s="127"/>
      <c r="EI201" s="125"/>
      <c r="EJ201" s="126"/>
      <c r="EK201" s="30"/>
      <c r="EL201" s="127"/>
      <c r="EM201" s="128"/>
      <c r="EN201" s="123"/>
      <c r="EO201" s="128"/>
      <c r="EP201" s="13"/>
      <c r="EQ201" s="129"/>
      <c r="ER201" s="123"/>
      <c r="ES201" s="130"/>
      <c r="ET201" s="13"/>
      <c r="EU201" s="123"/>
      <c r="EV201" s="131"/>
    </row>
    <row r="202" spans="30:152">
      <c r="AD202" s="120"/>
      <c r="AI202" s="121"/>
      <c r="AJ202" s="13"/>
      <c r="AK202" s="13"/>
      <c r="AL202" s="13"/>
      <c r="AM202" s="13"/>
      <c r="AN202" s="13"/>
      <c r="AO202" s="13"/>
      <c r="AW202" s="121"/>
      <c r="AX202" s="121"/>
      <c r="AY202" s="121"/>
      <c r="AZ202" s="121"/>
      <c r="BA202" s="121"/>
      <c r="BB202" s="121"/>
      <c r="BC202" s="121"/>
      <c r="BD202" s="121"/>
      <c r="BE202" s="121"/>
      <c r="BF202" s="121"/>
      <c r="BG202" s="123"/>
      <c r="BH202" s="127"/>
      <c r="BI202" s="125"/>
      <c r="BJ202" s="126"/>
      <c r="BK202" s="30"/>
      <c r="BL202" s="127"/>
      <c r="BM202" s="128"/>
      <c r="BN202" s="123"/>
      <c r="BO202" s="128"/>
      <c r="BP202" s="13"/>
      <c r="BQ202" s="129"/>
      <c r="BR202" s="123"/>
      <c r="BS202" s="130"/>
      <c r="BT202" s="13"/>
      <c r="BU202" s="123"/>
      <c r="BV202" s="131"/>
      <c r="DD202" s="120"/>
      <c r="DI202" s="121"/>
      <c r="DJ202" s="13"/>
      <c r="DK202" s="13"/>
      <c r="DL202" s="13"/>
      <c r="DM202" s="13"/>
      <c r="DN202" s="13"/>
      <c r="DO202" s="13"/>
      <c r="DW202" s="121"/>
      <c r="DX202" s="121"/>
      <c r="DY202" s="121"/>
      <c r="DZ202" s="121"/>
      <c r="EA202" s="121"/>
      <c r="EB202" s="121"/>
      <c r="EC202" s="121"/>
      <c r="ED202" s="121"/>
      <c r="EE202" s="121"/>
      <c r="EF202" s="121"/>
      <c r="EG202" s="123"/>
      <c r="EH202" s="127"/>
      <c r="EI202" s="125"/>
      <c r="EJ202" s="126"/>
      <c r="EK202" s="30"/>
      <c r="EL202" s="127"/>
      <c r="EM202" s="128"/>
      <c r="EN202" s="123"/>
      <c r="EO202" s="128"/>
      <c r="EP202" s="13"/>
      <c r="EQ202" s="129"/>
      <c r="ER202" s="123"/>
      <c r="ES202" s="130"/>
      <c r="ET202" s="13"/>
      <c r="EU202" s="123"/>
      <c r="EV202" s="131"/>
    </row>
    <row r="203" spans="30:152">
      <c r="AD203" s="120"/>
      <c r="AI203" s="121"/>
      <c r="AJ203" s="13"/>
      <c r="AK203" s="13"/>
      <c r="AL203" s="13"/>
      <c r="AM203" s="13"/>
      <c r="AN203" s="13"/>
      <c r="AO203" s="13"/>
      <c r="AW203" s="121"/>
      <c r="AX203" s="121"/>
      <c r="AY203" s="121"/>
      <c r="AZ203" s="121"/>
      <c r="BA203" s="121"/>
      <c r="BB203" s="121"/>
      <c r="BC203" s="121"/>
      <c r="BD203" s="121"/>
      <c r="BE203" s="121"/>
      <c r="BF203" s="121"/>
      <c r="BG203" s="123"/>
      <c r="BH203" s="127"/>
      <c r="BI203" s="125"/>
      <c r="BJ203" s="126"/>
      <c r="BK203" s="30"/>
      <c r="BL203" s="127"/>
      <c r="BM203" s="128"/>
      <c r="BN203" s="123"/>
      <c r="BO203" s="128"/>
      <c r="BP203" s="13"/>
      <c r="BQ203" s="129"/>
      <c r="BR203" s="123"/>
      <c r="BS203" s="130"/>
      <c r="BT203" s="13"/>
      <c r="BU203" s="123"/>
      <c r="BV203" s="131"/>
      <c r="DD203" s="120"/>
      <c r="DI203" s="121"/>
      <c r="DJ203" s="13"/>
      <c r="DK203" s="13"/>
      <c r="DL203" s="13"/>
      <c r="DM203" s="13"/>
      <c r="DN203" s="13"/>
      <c r="DO203" s="13"/>
      <c r="DW203" s="121"/>
      <c r="DX203" s="121"/>
      <c r="DY203" s="121"/>
      <c r="DZ203" s="121"/>
      <c r="EA203" s="121"/>
      <c r="EB203" s="121"/>
      <c r="EC203" s="121"/>
      <c r="ED203" s="121"/>
      <c r="EE203" s="121"/>
      <c r="EF203" s="121"/>
      <c r="EG203" s="123"/>
      <c r="EH203" s="127"/>
      <c r="EI203" s="125"/>
      <c r="EJ203" s="126"/>
      <c r="EK203" s="30"/>
      <c r="EL203" s="127"/>
      <c r="EM203" s="128"/>
      <c r="EN203" s="123"/>
      <c r="EO203" s="128"/>
      <c r="EP203" s="13"/>
      <c r="EQ203" s="129"/>
      <c r="ER203" s="123"/>
      <c r="ES203" s="130"/>
      <c r="ET203" s="13"/>
      <c r="EU203" s="123"/>
      <c r="EV203" s="131"/>
    </row>
    <row r="204" spans="30:152">
      <c r="AD204" s="120"/>
      <c r="AI204" s="121"/>
      <c r="AJ204" s="13"/>
      <c r="AK204" s="13"/>
      <c r="AL204" s="13"/>
      <c r="AM204" s="13"/>
      <c r="AN204" s="13"/>
      <c r="AO204" s="13"/>
      <c r="AW204" s="121"/>
      <c r="AX204" s="121"/>
      <c r="AY204" s="121"/>
      <c r="AZ204" s="121"/>
      <c r="BA204" s="121"/>
      <c r="BB204" s="121"/>
      <c r="BC204" s="121"/>
      <c r="BD204" s="121"/>
      <c r="BE204" s="121"/>
      <c r="BF204" s="121"/>
      <c r="BG204" s="123"/>
      <c r="BH204" s="127"/>
      <c r="BI204" s="125"/>
      <c r="BJ204" s="126"/>
      <c r="BK204" s="30"/>
      <c r="BL204" s="127"/>
      <c r="BM204" s="128"/>
      <c r="BN204" s="123"/>
      <c r="BO204" s="128"/>
      <c r="BP204" s="13"/>
      <c r="BQ204" s="129"/>
      <c r="BR204" s="123"/>
      <c r="BS204" s="130"/>
      <c r="BT204" s="13"/>
      <c r="BU204" s="123"/>
      <c r="BV204" s="131"/>
      <c r="DD204" s="120"/>
      <c r="DI204" s="121"/>
      <c r="DJ204" s="13"/>
      <c r="DK204" s="13"/>
      <c r="DL204" s="13"/>
      <c r="DM204" s="13"/>
      <c r="DN204" s="13"/>
      <c r="DO204" s="13"/>
      <c r="DW204" s="121"/>
      <c r="DX204" s="121"/>
      <c r="DY204" s="121"/>
      <c r="DZ204" s="121"/>
      <c r="EA204" s="121"/>
      <c r="EB204" s="121"/>
      <c r="EC204" s="121"/>
      <c r="ED204" s="121"/>
      <c r="EE204" s="121"/>
      <c r="EF204" s="121"/>
      <c r="EG204" s="123"/>
      <c r="EH204" s="127"/>
      <c r="EI204" s="125"/>
      <c r="EJ204" s="126"/>
      <c r="EK204" s="30"/>
      <c r="EL204" s="127"/>
      <c r="EM204" s="128"/>
      <c r="EN204" s="123"/>
      <c r="EO204" s="128"/>
      <c r="EP204" s="13"/>
      <c r="EQ204" s="129"/>
      <c r="ER204" s="123"/>
      <c r="ES204" s="130"/>
      <c r="ET204" s="13"/>
      <c r="EU204" s="123"/>
      <c r="EV204" s="131"/>
    </row>
    <row r="205" spans="30:152">
      <c r="AD205" s="120"/>
      <c r="AI205" s="121"/>
      <c r="AJ205" s="13"/>
      <c r="AK205" s="13"/>
      <c r="AL205" s="13"/>
      <c r="AM205" s="13"/>
      <c r="AN205" s="13"/>
      <c r="AO205" s="13"/>
      <c r="AW205" s="121"/>
      <c r="AX205" s="121"/>
      <c r="AY205" s="121"/>
      <c r="AZ205" s="121"/>
      <c r="BA205" s="121"/>
      <c r="BB205" s="121"/>
      <c r="BC205" s="121"/>
      <c r="BD205" s="121"/>
      <c r="BE205" s="121"/>
      <c r="BF205" s="121"/>
      <c r="BG205" s="123"/>
      <c r="BH205" s="127"/>
      <c r="BI205" s="125"/>
      <c r="BJ205" s="126"/>
      <c r="BK205" s="30"/>
      <c r="BL205" s="127"/>
      <c r="BM205" s="128"/>
      <c r="BN205" s="123"/>
      <c r="BO205" s="128"/>
      <c r="BP205" s="13"/>
      <c r="BQ205" s="129"/>
      <c r="BR205" s="123"/>
      <c r="BS205" s="130"/>
      <c r="BT205" s="13"/>
      <c r="BU205" s="123"/>
      <c r="BV205" s="131"/>
      <c r="DD205" s="120"/>
      <c r="DI205" s="121"/>
      <c r="DJ205" s="13"/>
      <c r="DK205" s="13"/>
      <c r="DL205" s="13"/>
      <c r="DM205" s="13"/>
      <c r="DN205" s="13"/>
      <c r="DO205" s="13"/>
      <c r="DW205" s="121"/>
      <c r="DX205" s="121"/>
      <c r="DY205" s="121"/>
      <c r="DZ205" s="121"/>
      <c r="EA205" s="121"/>
      <c r="EB205" s="121"/>
      <c r="EC205" s="121"/>
      <c r="ED205" s="121"/>
      <c r="EE205" s="121"/>
      <c r="EF205" s="121"/>
      <c r="EG205" s="123"/>
      <c r="EH205" s="127"/>
      <c r="EI205" s="125"/>
      <c r="EJ205" s="126"/>
      <c r="EK205" s="30"/>
      <c r="EL205" s="127"/>
      <c r="EM205" s="128"/>
      <c r="EN205" s="123"/>
      <c r="EO205" s="128"/>
      <c r="EP205" s="13"/>
      <c r="EQ205" s="129"/>
      <c r="ER205" s="123"/>
      <c r="ES205" s="130"/>
      <c r="ET205" s="13"/>
      <c r="EU205" s="123"/>
      <c r="EV205" s="131"/>
    </row>
    <row r="206" spans="30:152">
      <c r="AD206" s="120"/>
      <c r="AI206" s="121"/>
      <c r="AJ206" s="13"/>
      <c r="AK206" s="13"/>
      <c r="AL206" s="13"/>
      <c r="AM206" s="13"/>
      <c r="AN206" s="13"/>
      <c r="AO206" s="13"/>
      <c r="AW206" s="121"/>
      <c r="AX206" s="121"/>
      <c r="AY206" s="121"/>
      <c r="AZ206" s="121"/>
      <c r="BA206" s="121"/>
      <c r="BB206" s="121"/>
      <c r="BC206" s="121"/>
      <c r="BD206" s="121"/>
      <c r="BE206" s="121"/>
      <c r="BF206" s="121"/>
      <c r="BG206" s="123"/>
      <c r="BH206" s="127"/>
      <c r="BI206" s="125"/>
      <c r="BJ206" s="126"/>
      <c r="BK206" s="30"/>
      <c r="BL206" s="127"/>
      <c r="BM206" s="128"/>
      <c r="BN206" s="123"/>
      <c r="BO206" s="128"/>
      <c r="BP206" s="13"/>
      <c r="BQ206" s="129"/>
      <c r="BR206" s="123"/>
      <c r="BS206" s="130"/>
      <c r="BT206" s="13"/>
      <c r="BU206" s="123"/>
      <c r="BV206" s="131"/>
      <c r="DD206" s="120"/>
      <c r="DI206" s="121"/>
      <c r="DJ206" s="13"/>
      <c r="DK206" s="13"/>
      <c r="DL206" s="13"/>
      <c r="DM206" s="13"/>
      <c r="DN206" s="13"/>
      <c r="DO206" s="13"/>
      <c r="DW206" s="121"/>
      <c r="DX206" s="121"/>
      <c r="DY206" s="121"/>
      <c r="DZ206" s="121"/>
      <c r="EA206" s="121"/>
      <c r="EB206" s="121"/>
      <c r="EC206" s="121"/>
      <c r="ED206" s="121"/>
      <c r="EE206" s="121"/>
      <c r="EF206" s="121"/>
      <c r="EG206" s="123"/>
      <c r="EH206" s="127"/>
      <c r="EI206" s="125"/>
      <c r="EJ206" s="126"/>
      <c r="EK206" s="30"/>
      <c r="EL206" s="127"/>
      <c r="EM206" s="128"/>
      <c r="EN206" s="123"/>
      <c r="EO206" s="128"/>
      <c r="EP206" s="13"/>
      <c r="EQ206" s="129"/>
      <c r="ER206" s="123"/>
      <c r="ES206" s="130"/>
      <c r="ET206" s="13"/>
      <c r="EU206" s="123"/>
      <c r="EV206" s="131"/>
    </row>
    <row r="207" spans="30:152">
      <c r="AD207" s="120"/>
      <c r="AI207" s="121"/>
      <c r="AJ207" s="13"/>
      <c r="AK207" s="13"/>
      <c r="AL207" s="13"/>
      <c r="AM207" s="13"/>
      <c r="AN207" s="13"/>
      <c r="AO207" s="13"/>
      <c r="AW207" s="121"/>
      <c r="AX207" s="121"/>
      <c r="AY207" s="121"/>
      <c r="AZ207" s="121"/>
      <c r="BA207" s="121"/>
      <c r="BB207" s="121"/>
      <c r="BC207" s="121"/>
      <c r="BD207" s="121"/>
      <c r="BE207" s="121"/>
      <c r="BF207" s="121"/>
      <c r="BG207" s="123"/>
      <c r="BH207" s="127"/>
      <c r="BI207" s="125"/>
      <c r="BJ207" s="126"/>
      <c r="BK207" s="30"/>
      <c r="BL207" s="127"/>
      <c r="BM207" s="128"/>
      <c r="BN207" s="123"/>
      <c r="BO207" s="128"/>
      <c r="BP207" s="13"/>
      <c r="BQ207" s="129"/>
      <c r="BR207" s="123"/>
      <c r="BS207" s="130"/>
      <c r="BT207" s="13"/>
      <c r="BU207" s="123"/>
      <c r="BV207" s="131"/>
      <c r="DD207" s="120"/>
      <c r="DI207" s="121"/>
      <c r="DJ207" s="13"/>
      <c r="DK207" s="13"/>
      <c r="DL207" s="13"/>
      <c r="DM207" s="13"/>
      <c r="DN207" s="13"/>
      <c r="DO207" s="13"/>
      <c r="DW207" s="121"/>
      <c r="DX207" s="121"/>
      <c r="DY207" s="121"/>
      <c r="DZ207" s="121"/>
      <c r="EA207" s="121"/>
      <c r="EB207" s="121"/>
      <c r="EC207" s="121"/>
      <c r="ED207" s="121"/>
      <c r="EE207" s="121"/>
      <c r="EF207" s="121"/>
      <c r="EG207" s="123"/>
      <c r="EH207" s="127"/>
      <c r="EI207" s="125"/>
      <c r="EJ207" s="126"/>
      <c r="EK207" s="30"/>
      <c r="EL207" s="127"/>
      <c r="EM207" s="128"/>
      <c r="EN207" s="123"/>
      <c r="EO207" s="128"/>
      <c r="EP207" s="13"/>
      <c r="EQ207" s="129"/>
      <c r="ER207" s="123"/>
      <c r="ES207" s="130"/>
      <c r="ET207" s="13"/>
      <c r="EU207" s="123"/>
      <c r="EV207" s="131"/>
    </row>
    <row r="208" spans="30:152">
      <c r="AD208" s="120"/>
      <c r="AI208" s="121"/>
      <c r="AJ208" s="13"/>
      <c r="AK208" s="13"/>
      <c r="AL208" s="13"/>
      <c r="AM208" s="13"/>
      <c r="AN208" s="13"/>
      <c r="AO208" s="13"/>
      <c r="AW208" s="121"/>
      <c r="AX208" s="121"/>
      <c r="AY208" s="121"/>
      <c r="AZ208" s="121"/>
      <c r="BA208" s="121"/>
      <c r="BB208" s="121"/>
      <c r="BC208" s="121"/>
      <c r="BD208" s="121"/>
      <c r="BE208" s="121"/>
      <c r="BF208" s="121"/>
      <c r="BG208" s="123"/>
      <c r="BH208" s="127"/>
      <c r="BI208" s="125"/>
      <c r="BJ208" s="126"/>
      <c r="BK208" s="30"/>
      <c r="BL208" s="127"/>
      <c r="BM208" s="128"/>
      <c r="BN208" s="123"/>
      <c r="BO208" s="128"/>
      <c r="BP208" s="13"/>
      <c r="BQ208" s="129"/>
      <c r="BR208" s="123"/>
      <c r="BS208" s="130"/>
      <c r="BT208" s="13"/>
      <c r="BU208" s="123"/>
      <c r="BV208" s="131"/>
      <c r="DD208" s="120"/>
      <c r="DI208" s="121"/>
      <c r="DJ208" s="13"/>
      <c r="DK208" s="13"/>
      <c r="DL208" s="13"/>
      <c r="DM208" s="13"/>
      <c r="DN208" s="13"/>
      <c r="DO208" s="13"/>
      <c r="DW208" s="121"/>
      <c r="DX208" s="121"/>
      <c r="DY208" s="121"/>
      <c r="DZ208" s="121"/>
      <c r="EA208" s="121"/>
      <c r="EB208" s="121"/>
      <c r="EC208" s="121"/>
      <c r="ED208" s="121"/>
      <c r="EE208" s="121"/>
      <c r="EF208" s="121"/>
      <c r="EG208" s="123"/>
      <c r="EH208" s="127"/>
      <c r="EI208" s="125"/>
      <c r="EJ208" s="126"/>
      <c r="EK208" s="30"/>
      <c r="EL208" s="127"/>
      <c r="EM208" s="128"/>
      <c r="EN208" s="123"/>
      <c r="EO208" s="128"/>
      <c r="EP208" s="13"/>
      <c r="EQ208" s="129"/>
      <c r="ER208" s="123"/>
      <c r="ES208" s="130"/>
      <c r="ET208" s="13"/>
      <c r="EU208" s="123"/>
      <c r="EV208" s="131"/>
    </row>
    <row r="209" spans="30:152">
      <c r="AD209" s="120"/>
      <c r="AI209" s="121"/>
      <c r="AJ209" s="13"/>
      <c r="AK209" s="13"/>
      <c r="AL209" s="13"/>
      <c r="AM209" s="13"/>
      <c r="AN209" s="13"/>
      <c r="AO209" s="13"/>
      <c r="AW209" s="121"/>
      <c r="AX209" s="121"/>
      <c r="AY209" s="121"/>
      <c r="AZ209" s="121"/>
      <c r="BA209" s="121"/>
      <c r="BB209" s="121"/>
      <c r="BC209" s="121"/>
      <c r="BD209" s="121"/>
      <c r="BE209" s="121"/>
      <c r="BF209" s="121"/>
      <c r="BG209" s="123"/>
      <c r="BH209" s="127"/>
      <c r="BI209" s="125"/>
      <c r="BJ209" s="126"/>
      <c r="BK209" s="30"/>
      <c r="BL209" s="127"/>
      <c r="BM209" s="128"/>
      <c r="BN209" s="123"/>
      <c r="BO209" s="128"/>
      <c r="BP209" s="13"/>
      <c r="BQ209" s="129"/>
      <c r="BR209" s="123"/>
      <c r="BS209" s="130"/>
      <c r="BT209" s="13"/>
      <c r="BU209" s="123"/>
      <c r="BV209" s="131"/>
      <c r="DD209" s="120"/>
      <c r="DI209" s="121"/>
      <c r="DJ209" s="13"/>
      <c r="DK209" s="13"/>
      <c r="DL209" s="13"/>
      <c r="DM209" s="13"/>
      <c r="DN209" s="13"/>
      <c r="DO209" s="13"/>
      <c r="DW209" s="121"/>
      <c r="DX209" s="121"/>
      <c r="DY209" s="121"/>
      <c r="DZ209" s="121"/>
      <c r="EA209" s="121"/>
      <c r="EB209" s="121"/>
      <c r="EC209" s="121"/>
      <c r="ED209" s="121"/>
      <c r="EE209" s="121"/>
      <c r="EF209" s="121"/>
      <c r="EG209" s="123"/>
      <c r="EH209" s="127"/>
      <c r="EI209" s="125"/>
      <c r="EJ209" s="126"/>
      <c r="EK209" s="30"/>
      <c r="EL209" s="127"/>
      <c r="EM209" s="128"/>
      <c r="EN209" s="123"/>
      <c r="EO209" s="128"/>
      <c r="EP209" s="13"/>
      <c r="EQ209" s="129"/>
      <c r="ER209" s="123"/>
      <c r="ES209" s="130"/>
      <c r="ET209" s="13"/>
      <c r="EU209" s="123"/>
      <c r="EV209" s="131"/>
    </row>
    <row r="210" spans="30:152">
      <c r="AD210" s="120"/>
      <c r="AI210" s="121"/>
      <c r="AJ210" s="13"/>
      <c r="AK210" s="13"/>
      <c r="AL210" s="13"/>
      <c r="AM210" s="13"/>
      <c r="AN210" s="13"/>
      <c r="AO210" s="13"/>
      <c r="AW210" s="121"/>
      <c r="AX210" s="121"/>
      <c r="AY210" s="121"/>
      <c r="AZ210" s="121"/>
      <c r="BA210" s="121"/>
      <c r="BB210" s="121"/>
      <c r="BC210" s="121"/>
      <c r="BD210" s="121"/>
      <c r="BE210" s="121"/>
      <c r="BF210" s="121"/>
      <c r="BG210" s="123"/>
      <c r="BH210" s="127"/>
      <c r="BI210" s="125"/>
      <c r="BJ210" s="126"/>
      <c r="BK210" s="30"/>
      <c r="BL210" s="127"/>
      <c r="BM210" s="128"/>
      <c r="BN210" s="123"/>
      <c r="BO210" s="128"/>
      <c r="BP210" s="13"/>
      <c r="BQ210" s="129"/>
      <c r="BR210" s="123"/>
      <c r="BS210" s="130"/>
      <c r="BT210" s="13"/>
      <c r="BU210" s="123"/>
      <c r="BV210" s="131"/>
      <c r="DD210" s="120"/>
      <c r="DI210" s="121"/>
      <c r="DJ210" s="13"/>
      <c r="DK210" s="13"/>
      <c r="DL210" s="13"/>
      <c r="DM210" s="13"/>
      <c r="DN210" s="13"/>
      <c r="DO210" s="13"/>
      <c r="DW210" s="121"/>
      <c r="DX210" s="121"/>
      <c r="DY210" s="121"/>
      <c r="DZ210" s="121"/>
      <c r="EA210" s="121"/>
      <c r="EB210" s="121"/>
      <c r="EC210" s="121"/>
      <c r="ED210" s="121"/>
      <c r="EE210" s="121"/>
      <c r="EF210" s="121"/>
      <c r="EG210" s="123"/>
      <c r="EH210" s="127"/>
      <c r="EI210" s="125"/>
      <c r="EJ210" s="126"/>
      <c r="EK210" s="30"/>
      <c r="EL210" s="127"/>
      <c r="EM210" s="128"/>
      <c r="EN210" s="123"/>
      <c r="EO210" s="128"/>
      <c r="EP210" s="13"/>
      <c r="EQ210" s="129"/>
      <c r="ER210" s="123"/>
      <c r="ES210" s="130"/>
      <c r="ET210" s="13"/>
      <c r="EU210" s="123"/>
      <c r="EV210" s="131"/>
    </row>
    <row r="211" spans="30:152">
      <c r="AD211" s="120"/>
      <c r="AI211" s="121"/>
      <c r="AJ211" s="13"/>
      <c r="AK211" s="13"/>
      <c r="AL211" s="13"/>
      <c r="AM211" s="13"/>
      <c r="AN211" s="13"/>
      <c r="AO211" s="13"/>
      <c r="AW211" s="121"/>
      <c r="AX211" s="121"/>
      <c r="AY211" s="121"/>
      <c r="AZ211" s="121"/>
      <c r="BA211" s="121"/>
      <c r="BB211" s="121"/>
      <c r="BC211" s="121"/>
      <c r="BD211" s="121"/>
      <c r="BE211" s="121"/>
      <c r="BF211" s="121"/>
      <c r="BG211" s="123"/>
      <c r="BH211" s="127"/>
      <c r="BI211" s="125"/>
      <c r="BJ211" s="126"/>
      <c r="BK211" s="30"/>
      <c r="BL211" s="127"/>
      <c r="BM211" s="128"/>
      <c r="BN211" s="123"/>
      <c r="BO211" s="128"/>
      <c r="BP211" s="13"/>
      <c r="BQ211" s="129"/>
      <c r="BR211" s="123"/>
      <c r="BS211" s="130"/>
      <c r="BT211" s="13"/>
      <c r="BU211" s="123"/>
      <c r="BV211" s="131"/>
      <c r="DD211" s="120"/>
      <c r="DI211" s="121"/>
      <c r="DJ211" s="13"/>
      <c r="DK211" s="13"/>
      <c r="DL211" s="13"/>
      <c r="DM211" s="13"/>
      <c r="DN211" s="13"/>
      <c r="DO211" s="13"/>
      <c r="DW211" s="121"/>
      <c r="DX211" s="121"/>
      <c r="DY211" s="121"/>
      <c r="DZ211" s="121"/>
      <c r="EA211" s="121"/>
      <c r="EB211" s="121"/>
      <c r="EC211" s="121"/>
      <c r="ED211" s="121"/>
      <c r="EE211" s="121"/>
      <c r="EF211" s="121"/>
      <c r="EG211" s="123"/>
      <c r="EH211" s="127"/>
      <c r="EI211" s="125"/>
      <c r="EJ211" s="126"/>
      <c r="EK211" s="30"/>
      <c r="EL211" s="127"/>
      <c r="EM211" s="128"/>
      <c r="EN211" s="123"/>
      <c r="EO211" s="128"/>
      <c r="EP211" s="13"/>
      <c r="EQ211" s="129"/>
      <c r="ER211" s="123"/>
      <c r="ES211" s="130"/>
      <c r="ET211" s="13"/>
      <c r="EU211" s="123"/>
      <c r="EV211" s="131"/>
    </row>
    <row r="212" spans="30:152">
      <c r="AD212" s="120"/>
      <c r="AI212" s="121"/>
      <c r="AJ212" s="13"/>
      <c r="AK212" s="13"/>
      <c r="AL212" s="13"/>
      <c r="AM212" s="13"/>
      <c r="AN212" s="13"/>
      <c r="AO212" s="13"/>
      <c r="AW212" s="121"/>
      <c r="AX212" s="121"/>
      <c r="AY212" s="121"/>
      <c r="AZ212" s="121"/>
      <c r="BA212" s="121"/>
      <c r="BB212" s="121"/>
      <c r="BC212" s="121"/>
      <c r="BD212" s="121"/>
      <c r="BE212" s="121"/>
      <c r="BF212" s="121"/>
      <c r="BG212" s="123"/>
      <c r="BH212" s="127"/>
      <c r="BI212" s="125"/>
      <c r="BJ212" s="126"/>
      <c r="BK212" s="30"/>
      <c r="BL212" s="127"/>
      <c r="BM212" s="128"/>
      <c r="BN212" s="123"/>
      <c r="BO212" s="128"/>
      <c r="BP212" s="13"/>
      <c r="BQ212" s="129"/>
      <c r="BR212" s="123"/>
      <c r="BS212" s="130"/>
      <c r="BT212" s="13"/>
      <c r="BU212" s="123"/>
      <c r="BV212" s="131"/>
      <c r="DD212" s="120"/>
      <c r="DI212" s="121"/>
      <c r="DJ212" s="13"/>
      <c r="DK212" s="13"/>
      <c r="DL212" s="13"/>
      <c r="DM212" s="13"/>
      <c r="DN212" s="13"/>
      <c r="DO212" s="13"/>
      <c r="DW212" s="121"/>
      <c r="DX212" s="121"/>
      <c r="DY212" s="121"/>
      <c r="DZ212" s="121"/>
      <c r="EA212" s="121"/>
      <c r="EB212" s="121"/>
      <c r="EC212" s="121"/>
      <c r="ED212" s="121"/>
      <c r="EE212" s="121"/>
      <c r="EF212" s="121"/>
      <c r="EG212" s="123"/>
      <c r="EH212" s="127"/>
      <c r="EI212" s="125"/>
      <c r="EJ212" s="126"/>
      <c r="EK212" s="30"/>
      <c r="EL212" s="127"/>
      <c r="EM212" s="128"/>
      <c r="EN212" s="123"/>
      <c r="EO212" s="128"/>
      <c r="EP212" s="13"/>
      <c r="EQ212" s="129"/>
      <c r="ER212" s="123"/>
      <c r="ES212" s="130"/>
      <c r="ET212" s="13"/>
      <c r="EU212" s="123"/>
      <c r="EV212" s="131"/>
    </row>
    <row r="213" spans="30:152">
      <c r="AD213" s="120"/>
      <c r="AI213" s="121"/>
      <c r="AJ213" s="13"/>
      <c r="AK213" s="13"/>
      <c r="AL213" s="13"/>
      <c r="AM213" s="13"/>
      <c r="AN213" s="13"/>
      <c r="AO213" s="13"/>
      <c r="AW213" s="121"/>
      <c r="AX213" s="121"/>
      <c r="AY213" s="121"/>
      <c r="AZ213" s="121"/>
      <c r="BA213" s="121"/>
      <c r="BB213" s="121"/>
      <c r="BC213" s="121"/>
      <c r="BD213" s="121"/>
      <c r="BE213" s="121"/>
      <c r="BF213" s="121"/>
      <c r="BG213" s="123"/>
      <c r="BH213" s="127"/>
      <c r="BI213" s="125"/>
      <c r="BJ213" s="126"/>
      <c r="BK213" s="30"/>
      <c r="BL213" s="127"/>
      <c r="BM213" s="128"/>
      <c r="BN213" s="123"/>
      <c r="BO213" s="128"/>
      <c r="BP213" s="13"/>
      <c r="BQ213" s="129"/>
      <c r="BR213" s="123"/>
      <c r="BS213" s="130"/>
      <c r="BT213" s="13"/>
      <c r="BU213" s="123"/>
      <c r="BV213" s="131"/>
      <c r="DD213" s="120"/>
      <c r="DI213" s="121"/>
      <c r="DJ213" s="13"/>
      <c r="DK213" s="13"/>
      <c r="DL213" s="13"/>
      <c r="DM213" s="13"/>
      <c r="DN213" s="13"/>
      <c r="DO213" s="13"/>
      <c r="DW213" s="121"/>
      <c r="DX213" s="121"/>
      <c r="DY213" s="121"/>
      <c r="DZ213" s="121"/>
      <c r="EA213" s="121"/>
      <c r="EB213" s="121"/>
      <c r="EC213" s="121"/>
      <c r="ED213" s="121"/>
      <c r="EE213" s="121"/>
      <c r="EF213" s="121"/>
      <c r="EG213" s="123"/>
      <c r="EH213" s="127"/>
      <c r="EI213" s="125"/>
      <c r="EJ213" s="126"/>
      <c r="EK213" s="30"/>
      <c r="EL213" s="127"/>
      <c r="EM213" s="128"/>
      <c r="EN213" s="123"/>
      <c r="EO213" s="128"/>
      <c r="EP213" s="13"/>
      <c r="EQ213" s="129"/>
      <c r="ER213" s="123"/>
      <c r="ES213" s="130"/>
      <c r="ET213" s="13"/>
      <c r="EU213" s="123"/>
      <c r="EV213" s="131"/>
    </row>
    <row r="214" spans="30:152">
      <c r="AD214" s="120"/>
      <c r="AI214" s="121"/>
      <c r="AJ214" s="13"/>
      <c r="AK214" s="13"/>
      <c r="AL214" s="13"/>
      <c r="AM214" s="13"/>
      <c r="AN214" s="13"/>
      <c r="AO214" s="13"/>
      <c r="AW214" s="121"/>
      <c r="AX214" s="121"/>
      <c r="AY214" s="121"/>
      <c r="AZ214" s="121"/>
      <c r="BA214" s="121"/>
      <c r="BB214" s="121"/>
      <c r="BC214" s="121"/>
      <c r="BD214" s="121"/>
      <c r="BE214" s="121"/>
      <c r="BF214" s="121"/>
      <c r="BG214" s="123"/>
      <c r="BH214" s="127"/>
      <c r="BI214" s="125"/>
      <c r="BJ214" s="126"/>
      <c r="BK214" s="30"/>
      <c r="BL214" s="127"/>
      <c r="BM214" s="128"/>
      <c r="BN214" s="123"/>
      <c r="BO214" s="128"/>
      <c r="BP214" s="13"/>
      <c r="BQ214" s="129"/>
      <c r="BR214" s="123"/>
      <c r="BS214" s="130"/>
      <c r="BT214" s="13"/>
      <c r="BU214" s="123"/>
      <c r="BV214" s="131"/>
      <c r="DD214" s="120"/>
      <c r="DI214" s="121"/>
      <c r="DJ214" s="13"/>
      <c r="DK214" s="13"/>
      <c r="DL214" s="13"/>
      <c r="DM214" s="13"/>
      <c r="DN214" s="13"/>
      <c r="DO214" s="13"/>
      <c r="DW214" s="121"/>
      <c r="DX214" s="121"/>
      <c r="DY214" s="121"/>
      <c r="DZ214" s="121"/>
      <c r="EA214" s="121"/>
      <c r="EB214" s="121"/>
      <c r="EC214" s="121"/>
      <c r="ED214" s="121"/>
      <c r="EE214" s="121"/>
      <c r="EF214" s="121"/>
      <c r="EG214" s="123"/>
      <c r="EH214" s="127"/>
      <c r="EI214" s="125"/>
      <c r="EJ214" s="126"/>
      <c r="EK214" s="30"/>
      <c r="EL214" s="127"/>
      <c r="EM214" s="128"/>
      <c r="EN214" s="123"/>
      <c r="EO214" s="128"/>
      <c r="EP214" s="13"/>
      <c r="EQ214" s="129"/>
      <c r="ER214" s="123"/>
      <c r="ES214" s="130"/>
      <c r="ET214" s="13"/>
      <c r="EU214" s="123"/>
      <c r="EV214" s="131"/>
    </row>
    <row r="215" spans="30:152">
      <c r="AD215" s="120"/>
      <c r="AI215" s="121"/>
      <c r="AJ215" s="13"/>
      <c r="AK215" s="13"/>
      <c r="AL215" s="13"/>
      <c r="AM215" s="13"/>
      <c r="AN215" s="13"/>
      <c r="AO215" s="13"/>
      <c r="AW215" s="121"/>
      <c r="AX215" s="121"/>
      <c r="AY215" s="121"/>
      <c r="AZ215" s="121"/>
      <c r="BA215" s="121"/>
      <c r="BB215" s="121"/>
      <c r="BC215" s="121"/>
      <c r="BD215" s="121"/>
      <c r="BE215" s="121"/>
      <c r="BF215" s="121"/>
      <c r="BG215" s="123"/>
      <c r="BH215" s="127"/>
      <c r="BI215" s="125"/>
      <c r="BJ215" s="126"/>
      <c r="BK215" s="30"/>
      <c r="BL215" s="127"/>
      <c r="BM215" s="128"/>
      <c r="BN215" s="123"/>
      <c r="BO215" s="128"/>
      <c r="BP215" s="13"/>
      <c r="BQ215" s="129"/>
      <c r="BR215" s="123"/>
      <c r="BS215" s="130"/>
      <c r="BT215" s="13"/>
      <c r="BU215" s="123"/>
      <c r="BV215" s="131"/>
      <c r="DD215" s="120"/>
      <c r="DI215" s="121"/>
      <c r="DJ215" s="13"/>
      <c r="DK215" s="13"/>
      <c r="DL215" s="13"/>
      <c r="DM215" s="13"/>
      <c r="DN215" s="13"/>
      <c r="DO215" s="13"/>
      <c r="DW215" s="121"/>
      <c r="DX215" s="121"/>
      <c r="DY215" s="121"/>
      <c r="DZ215" s="121"/>
      <c r="EA215" s="121"/>
      <c r="EB215" s="121"/>
      <c r="EC215" s="121"/>
      <c r="ED215" s="121"/>
      <c r="EE215" s="121"/>
      <c r="EF215" s="121"/>
      <c r="EG215" s="123"/>
      <c r="EH215" s="127"/>
      <c r="EI215" s="125"/>
      <c r="EJ215" s="126"/>
      <c r="EK215" s="30"/>
      <c r="EL215" s="127"/>
      <c r="EM215" s="128"/>
      <c r="EN215" s="123"/>
      <c r="EO215" s="128"/>
      <c r="EP215" s="13"/>
      <c r="EQ215" s="129"/>
      <c r="ER215" s="123"/>
      <c r="ES215" s="130"/>
      <c r="ET215" s="13"/>
      <c r="EU215" s="123"/>
      <c r="EV215" s="131"/>
    </row>
    <row r="216" spans="30:152">
      <c r="AD216" s="120"/>
      <c r="AI216" s="121"/>
      <c r="AJ216" s="13"/>
      <c r="AK216" s="13"/>
      <c r="AL216" s="13"/>
      <c r="AM216" s="13"/>
      <c r="AN216" s="13"/>
      <c r="AO216" s="13"/>
      <c r="AW216" s="121"/>
      <c r="AX216" s="121"/>
      <c r="AY216" s="121"/>
      <c r="AZ216" s="121"/>
      <c r="BA216" s="121"/>
      <c r="BB216" s="121"/>
      <c r="BC216" s="121"/>
      <c r="BD216" s="121"/>
      <c r="BE216" s="121"/>
      <c r="BF216" s="121"/>
      <c r="BG216" s="123"/>
      <c r="BH216" s="127"/>
      <c r="BI216" s="125"/>
      <c r="BJ216" s="126"/>
      <c r="BK216" s="30"/>
      <c r="BL216" s="127"/>
      <c r="BM216" s="128"/>
      <c r="BN216" s="123"/>
      <c r="BO216" s="128"/>
      <c r="BP216" s="13"/>
      <c r="BQ216" s="129"/>
      <c r="BR216" s="123"/>
      <c r="BS216" s="130"/>
      <c r="BT216" s="13"/>
      <c r="BU216" s="123"/>
      <c r="BV216" s="131"/>
      <c r="DD216" s="120"/>
      <c r="DI216" s="121"/>
      <c r="DJ216" s="13"/>
      <c r="DK216" s="13"/>
      <c r="DL216" s="13"/>
      <c r="DM216" s="13"/>
      <c r="DN216" s="13"/>
      <c r="DO216" s="13"/>
      <c r="DW216" s="121"/>
      <c r="DX216" s="121"/>
      <c r="DY216" s="121"/>
      <c r="DZ216" s="121"/>
      <c r="EA216" s="121"/>
      <c r="EB216" s="121"/>
      <c r="EC216" s="121"/>
      <c r="ED216" s="121"/>
      <c r="EE216" s="121"/>
      <c r="EF216" s="121"/>
      <c r="EG216" s="123"/>
      <c r="EH216" s="127"/>
      <c r="EI216" s="125"/>
      <c r="EJ216" s="126"/>
      <c r="EK216" s="30"/>
      <c r="EL216" s="127"/>
      <c r="EM216" s="128"/>
      <c r="EN216" s="123"/>
      <c r="EO216" s="128"/>
      <c r="EP216" s="13"/>
      <c r="EQ216" s="129"/>
      <c r="ER216" s="123"/>
      <c r="ES216" s="130"/>
      <c r="ET216" s="13"/>
      <c r="EU216" s="123"/>
      <c r="EV216" s="131"/>
    </row>
    <row r="217" spans="30:152">
      <c r="AD217" s="120"/>
      <c r="AI217" s="121"/>
      <c r="AJ217" s="13"/>
      <c r="AK217" s="13"/>
      <c r="AL217" s="13"/>
      <c r="AM217" s="13"/>
      <c r="AN217" s="13"/>
      <c r="AO217" s="13"/>
      <c r="AW217" s="121"/>
      <c r="AX217" s="121"/>
      <c r="AY217" s="121"/>
      <c r="AZ217" s="121"/>
      <c r="BA217" s="121"/>
      <c r="BB217" s="121"/>
      <c r="BC217" s="121"/>
      <c r="BD217" s="121"/>
      <c r="BE217" s="121"/>
      <c r="BF217" s="121"/>
      <c r="BG217" s="123"/>
      <c r="BH217" s="127"/>
      <c r="BI217" s="125"/>
      <c r="BJ217" s="126"/>
      <c r="BK217" s="30"/>
      <c r="BL217" s="127"/>
      <c r="BM217" s="128"/>
      <c r="BN217" s="123"/>
      <c r="BO217" s="128"/>
      <c r="BP217" s="13"/>
      <c r="BQ217" s="129"/>
      <c r="BR217" s="123"/>
      <c r="BS217" s="130"/>
      <c r="BT217" s="13"/>
      <c r="BU217" s="123"/>
      <c r="BV217" s="131"/>
      <c r="DD217" s="120"/>
      <c r="DI217" s="121"/>
      <c r="DJ217" s="13"/>
      <c r="DK217" s="13"/>
      <c r="DL217" s="13"/>
      <c r="DM217" s="13"/>
      <c r="DN217" s="13"/>
      <c r="DO217" s="13"/>
      <c r="DW217" s="121"/>
      <c r="DX217" s="121"/>
      <c r="DY217" s="121"/>
      <c r="DZ217" s="121"/>
      <c r="EA217" s="121"/>
      <c r="EB217" s="121"/>
      <c r="EC217" s="121"/>
      <c r="ED217" s="121"/>
      <c r="EE217" s="121"/>
      <c r="EF217" s="121"/>
      <c r="EG217" s="123"/>
      <c r="EH217" s="127"/>
      <c r="EI217" s="125"/>
      <c r="EJ217" s="126"/>
      <c r="EK217" s="30"/>
      <c r="EL217" s="127"/>
      <c r="EM217" s="128"/>
      <c r="EN217" s="123"/>
      <c r="EO217" s="128"/>
      <c r="EP217" s="13"/>
      <c r="EQ217" s="129"/>
      <c r="ER217" s="123"/>
      <c r="ES217" s="130"/>
      <c r="ET217" s="13"/>
      <c r="EU217" s="123"/>
      <c r="EV217" s="131"/>
    </row>
    <row r="218" spans="30:152">
      <c r="AD218" s="120"/>
      <c r="AI218" s="121"/>
      <c r="AJ218" s="13"/>
      <c r="AK218" s="13"/>
      <c r="AL218" s="13"/>
      <c r="AM218" s="13"/>
      <c r="AN218" s="13"/>
      <c r="AO218" s="13"/>
      <c r="AW218" s="121"/>
      <c r="AX218" s="121"/>
      <c r="AY218" s="121"/>
      <c r="AZ218" s="121"/>
      <c r="BA218" s="121"/>
      <c r="BB218" s="121"/>
      <c r="BC218" s="121"/>
      <c r="BD218" s="121"/>
      <c r="BE218" s="121"/>
      <c r="BF218" s="121"/>
      <c r="BG218" s="123"/>
      <c r="BH218" s="127"/>
      <c r="BI218" s="125"/>
      <c r="BJ218" s="126"/>
      <c r="BK218" s="30"/>
      <c r="BL218" s="127"/>
      <c r="BM218" s="128"/>
      <c r="BN218" s="123"/>
      <c r="BO218" s="128"/>
      <c r="BP218" s="13"/>
      <c r="BQ218" s="129"/>
      <c r="BR218" s="123"/>
      <c r="BS218" s="130"/>
      <c r="BT218" s="13"/>
      <c r="BU218" s="123"/>
      <c r="BV218" s="131"/>
      <c r="DD218" s="120"/>
      <c r="DI218" s="121"/>
      <c r="DJ218" s="13"/>
      <c r="DK218" s="13"/>
      <c r="DL218" s="13"/>
      <c r="DM218" s="13"/>
      <c r="DN218" s="13"/>
      <c r="DO218" s="13"/>
      <c r="DW218" s="121"/>
      <c r="DX218" s="121"/>
      <c r="DY218" s="121"/>
      <c r="DZ218" s="121"/>
      <c r="EA218" s="121"/>
      <c r="EB218" s="121"/>
      <c r="EC218" s="121"/>
      <c r="ED218" s="121"/>
      <c r="EE218" s="121"/>
      <c r="EF218" s="121"/>
      <c r="EG218" s="123"/>
      <c r="EH218" s="127"/>
      <c r="EI218" s="125"/>
      <c r="EJ218" s="126"/>
      <c r="EK218" s="30"/>
      <c r="EL218" s="127"/>
      <c r="EM218" s="128"/>
      <c r="EN218" s="123"/>
      <c r="EO218" s="128"/>
      <c r="EP218" s="13"/>
      <c r="EQ218" s="129"/>
      <c r="ER218" s="123"/>
      <c r="ES218" s="130"/>
      <c r="ET218" s="13"/>
      <c r="EU218" s="123"/>
      <c r="EV218" s="131"/>
    </row>
    <row r="219" spans="30:152">
      <c r="AD219" s="120"/>
      <c r="AI219" s="121"/>
      <c r="AJ219" s="13"/>
      <c r="AK219" s="13"/>
      <c r="AL219" s="13"/>
      <c r="AM219" s="13"/>
      <c r="AN219" s="13"/>
      <c r="AO219" s="13"/>
      <c r="AW219" s="121"/>
      <c r="AX219" s="121"/>
      <c r="AY219" s="121"/>
      <c r="AZ219" s="121"/>
      <c r="BA219" s="121"/>
      <c r="BB219" s="121"/>
      <c r="BC219" s="121"/>
      <c r="BD219" s="121"/>
      <c r="BE219" s="121"/>
      <c r="BF219" s="121"/>
      <c r="BG219" s="123"/>
      <c r="BH219" s="127"/>
      <c r="BI219" s="125"/>
      <c r="BJ219" s="126"/>
      <c r="BK219" s="30"/>
      <c r="BL219" s="127"/>
      <c r="BM219" s="128"/>
      <c r="BN219" s="123"/>
      <c r="BO219" s="128"/>
      <c r="BP219" s="13"/>
      <c r="BQ219" s="129"/>
      <c r="BR219" s="123"/>
      <c r="BS219" s="130"/>
      <c r="BT219" s="13"/>
      <c r="BU219" s="123"/>
      <c r="BV219" s="131"/>
      <c r="DD219" s="120"/>
      <c r="DI219" s="121"/>
      <c r="DJ219" s="13"/>
      <c r="DK219" s="13"/>
      <c r="DL219" s="13"/>
      <c r="DM219" s="13"/>
      <c r="DN219" s="13"/>
      <c r="DO219" s="13"/>
      <c r="DW219" s="121"/>
      <c r="DX219" s="121"/>
      <c r="DY219" s="121"/>
      <c r="DZ219" s="121"/>
      <c r="EA219" s="121"/>
      <c r="EB219" s="121"/>
      <c r="EC219" s="121"/>
      <c r="ED219" s="121"/>
      <c r="EE219" s="121"/>
      <c r="EF219" s="121"/>
      <c r="EG219" s="123"/>
      <c r="EH219" s="127"/>
      <c r="EI219" s="125"/>
      <c r="EJ219" s="126"/>
      <c r="EK219" s="30"/>
      <c r="EL219" s="127"/>
      <c r="EM219" s="128"/>
      <c r="EN219" s="123"/>
      <c r="EO219" s="128"/>
      <c r="EP219" s="13"/>
      <c r="EQ219" s="129"/>
      <c r="ER219" s="123"/>
      <c r="ES219" s="130"/>
      <c r="ET219" s="13"/>
      <c r="EU219" s="123"/>
      <c r="EV219" s="131"/>
    </row>
    <row r="220" spans="30:152">
      <c r="AD220" s="120"/>
      <c r="AI220" s="121"/>
      <c r="AJ220" s="13"/>
      <c r="AK220" s="13"/>
      <c r="AL220" s="13"/>
      <c r="AM220" s="13"/>
      <c r="AN220" s="13"/>
      <c r="AO220" s="13"/>
      <c r="AW220" s="121"/>
      <c r="AX220" s="121"/>
      <c r="AY220" s="121"/>
      <c r="AZ220" s="121"/>
      <c r="BA220" s="121"/>
      <c r="BB220" s="121"/>
      <c r="BC220" s="121"/>
      <c r="BD220" s="121"/>
      <c r="BE220" s="121"/>
      <c r="BF220" s="121"/>
      <c r="BG220" s="123"/>
      <c r="BH220" s="127"/>
      <c r="BI220" s="125"/>
      <c r="BJ220" s="126"/>
      <c r="BK220" s="30"/>
      <c r="BL220" s="127"/>
      <c r="BM220" s="128"/>
      <c r="BN220" s="123"/>
      <c r="BO220" s="128"/>
      <c r="BP220" s="13"/>
      <c r="BQ220" s="129"/>
      <c r="BR220" s="123"/>
      <c r="BS220" s="130"/>
      <c r="BT220" s="13"/>
      <c r="BU220" s="123"/>
      <c r="BV220" s="131"/>
      <c r="DD220" s="120"/>
      <c r="DI220" s="121"/>
      <c r="DJ220" s="13"/>
      <c r="DK220" s="13"/>
      <c r="DL220" s="13"/>
      <c r="DM220" s="13"/>
      <c r="DN220" s="13"/>
      <c r="DO220" s="13"/>
      <c r="DW220" s="121"/>
      <c r="DX220" s="121"/>
      <c r="DY220" s="121"/>
      <c r="DZ220" s="121"/>
      <c r="EA220" s="121"/>
      <c r="EB220" s="121"/>
      <c r="EC220" s="121"/>
      <c r="ED220" s="121"/>
      <c r="EE220" s="121"/>
      <c r="EF220" s="121"/>
      <c r="EG220" s="123"/>
      <c r="EH220" s="127"/>
      <c r="EI220" s="125"/>
      <c r="EJ220" s="126"/>
      <c r="EK220" s="30"/>
      <c r="EL220" s="127"/>
      <c r="EM220" s="128"/>
      <c r="EN220" s="123"/>
      <c r="EO220" s="128"/>
      <c r="EP220" s="13"/>
      <c r="EQ220" s="129"/>
      <c r="ER220" s="123"/>
      <c r="ES220" s="130"/>
      <c r="ET220" s="13"/>
      <c r="EU220" s="123"/>
      <c r="EV220" s="131"/>
    </row>
    <row r="221" spans="30:152">
      <c r="AD221" s="120"/>
      <c r="AI221" s="121"/>
      <c r="AJ221" s="13"/>
      <c r="AK221" s="13"/>
      <c r="AL221" s="13"/>
      <c r="AM221" s="13"/>
      <c r="AN221" s="13"/>
      <c r="AO221" s="13"/>
      <c r="AW221" s="121"/>
      <c r="AX221" s="121"/>
      <c r="AY221" s="121"/>
      <c r="AZ221" s="121"/>
      <c r="BA221" s="121"/>
      <c r="BB221" s="121"/>
      <c r="BC221" s="121"/>
      <c r="BD221" s="121"/>
      <c r="BE221" s="121"/>
      <c r="BF221" s="121"/>
      <c r="BG221" s="123"/>
      <c r="BH221" s="127"/>
      <c r="BI221" s="125"/>
      <c r="BJ221" s="126"/>
      <c r="BK221" s="30"/>
      <c r="BL221" s="127"/>
      <c r="BM221" s="128"/>
      <c r="BN221" s="123"/>
      <c r="BO221" s="128"/>
      <c r="BP221" s="13"/>
      <c r="BQ221" s="129"/>
      <c r="BR221" s="123"/>
      <c r="BS221" s="130"/>
      <c r="BT221" s="13"/>
      <c r="BU221" s="123"/>
      <c r="BV221" s="131"/>
      <c r="DD221" s="120"/>
      <c r="DI221" s="121"/>
      <c r="DJ221" s="13"/>
      <c r="DK221" s="13"/>
      <c r="DL221" s="13"/>
      <c r="DM221" s="13"/>
      <c r="DN221" s="13"/>
      <c r="DO221" s="13"/>
      <c r="DW221" s="121"/>
      <c r="DX221" s="121"/>
      <c r="DY221" s="121"/>
      <c r="DZ221" s="121"/>
      <c r="EA221" s="121"/>
      <c r="EB221" s="121"/>
      <c r="EC221" s="121"/>
      <c r="ED221" s="121"/>
      <c r="EE221" s="121"/>
      <c r="EF221" s="121"/>
      <c r="EG221" s="123"/>
      <c r="EH221" s="127"/>
      <c r="EI221" s="125"/>
      <c r="EJ221" s="126"/>
      <c r="EK221" s="30"/>
      <c r="EL221" s="127"/>
      <c r="EM221" s="128"/>
      <c r="EN221" s="123"/>
      <c r="EO221" s="128"/>
      <c r="EP221" s="13"/>
      <c r="EQ221" s="129"/>
      <c r="ER221" s="123"/>
      <c r="ES221" s="130"/>
      <c r="ET221" s="13"/>
      <c r="EU221" s="123"/>
      <c r="EV221" s="131"/>
    </row>
    <row r="222" spans="30:152">
      <c r="AD222" s="120"/>
      <c r="AI222" s="121"/>
      <c r="AJ222" s="13"/>
      <c r="AK222" s="13"/>
      <c r="AL222" s="13"/>
      <c r="AM222" s="13"/>
      <c r="AN222" s="13"/>
      <c r="AO222" s="13"/>
      <c r="AW222" s="121"/>
      <c r="AX222" s="121"/>
      <c r="AY222" s="121"/>
      <c r="AZ222" s="121"/>
      <c r="BA222" s="121"/>
      <c r="BB222" s="121"/>
      <c r="BC222" s="121"/>
      <c r="BD222" s="121"/>
      <c r="BE222" s="121"/>
      <c r="BF222" s="121"/>
      <c r="BG222" s="123"/>
      <c r="BH222" s="127"/>
      <c r="BI222" s="125"/>
      <c r="BJ222" s="126"/>
      <c r="BK222" s="30"/>
      <c r="BL222" s="127"/>
      <c r="BM222" s="128"/>
      <c r="BN222" s="123"/>
      <c r="BO222" s="128"/>
      <c r="BP222" s="13"/>
      <c r="BQ222" s="129"/>
      <c r="BR222" s="123"/>
      <c r="BS222" s="130"/>
      <c r="BT222" s="13"/>
      <c r="BU222" s="123"/>
      <c r="BV222" s="131"/>
      <c r="DD222" s="120"/>
      <c r="DI222" s="121"/>
      <c r="DJ222" s="13"/>
      <c r="DK222" s="13"/>
      <c r="DL222" s="13"/>
      <c r="DM222" s="13"/>
      <c r="DN222" s="13"/>
      <c r="DO222" s="13"/>
      <c r="DW222" s="121"/>
      <c r="DX222" s="121"/>
      <c r="DY222" s="121"/>
      <c r="DZ222" s="121"/>
      <c r="EA222" s="121"/>
      <c r="EB222" s="121"/>
      <c r="EC222" s="121"/>
      <c r="ED222" s="121"/>
      <c r="EE222" s="121"/>
      <c r="EF222" s="121"/>
      <c r="EG222" s="123"/>
      <c r="EH222" s="127"/>
      <c r="EI222" s="125"/>
      <c r="EJ222" s="126"/>
      <c r="EK222" s="30"/>
      <c r="EL222" s="127"/>
      <c r="EM222" s="128"/>
      <c r="EN222" s="123"/>
      <c r="EO222" s="128"/>
      <c r="EP222" s="13"/>
      <c r="EQ222" s="129"/>
      <c r="ER222" s="123"/>
      <c r="ES222" s="130"/>
      <c r="ET222" s="13"/>
      <c r="EU222" s="123"/>
      <c r="EV222" s="131"/>
    </row>
    <row r="223" spans="30:152">
      <c r="AD223" s="120"/>
      <c r="AI223" s="121"/>
      <c r="AJ223" s="13"/>
      <c r="AK223" s="13"/>
      <c r="AL223" s="13"/>
      <c r="AM223" s="13"/>
      <c r="AN223" s="13"/>
      <c r="AO223" s="13"/>
      <c r="AW223" s="121"/>
      <c r="AX223" s="121"/>
      <c r="AY223" s="121"/>
      <c r="AZ223" s="121"/>
      <c r="BA223" s="121"/>
      <c r="BB223" s="121"/>
      <c r="BC223" s="121"/>
      <c r="BD223" s="121"/>
      <c r="BE223" s="121"/>
      <c r="BF223" s="121"/>
      <c r="BG223" s="123"/>
      <c r="BH223" s="127"/>
      <c r="BI223" s="125"/>
      <c r="BJ223" s="126"/>
      <c r="BK223" s="30"/>
      <c r="BL223" s="127"/>
      <c r="BM223" s="128"/>
      <c r="BN223" s="123"/>
      <c r="BO223" s="128"/>
      <c r="BP223" s="13"/>
      <c r="BQ223" s="129"/>
      <c r="BR223" s="123"/>
      <c r="BS223" s="130"/>
      <c r="BT223" s="13"/>
      <c r="BU223" s="123"/>
      <c r="BV223" s="131"/>
      <c r="DD223" s="120"/>
      <c r="DI223" s="121"/>
      <c r="DJ223" s="13"/>
      <c r="DK223" s="13"/>
      <c r="DL223" s="13"/>
      <c r="DM223" s="13"/>
      <c r="DN223" s="13"/>
      <c r="DO223" s="13"/>
      <c r="DW223" s="121"/>
      <c r="DX223" s="121"/>
      <c r="DY223" s="121"/>
      <c r="DZ223" s="121"/>
      <c r="EA223" s="121"/>
      <c r="EB223" s="121"/>
      <c r="EC223" s="121"/>
      <c r="ED223" s="121"/>
      <c r="EE223" s="121"/>
      <c r="EF223" s="121"/>
      <c r="EG223" s="123"/>
      <c r="EH223" s="127"/>
      <c r="EI223" s="125"/>
      <c r="EJ223" s="126"/>
      <c r="EK223" s="30"/>
      <c r="EL223" s="127"/>
      <c r="EM223" s="128"/>
      <c r="EN223" s="123"/>
      <c r="EO223" s="128"/>
      <c r="EP223" s="13"/>
      <c r="EQ223" s="129"/>
      <c r="ER223" s="123"/>
      <c r="ES223" s="130"/>
      <c r="ET223" s="13"/>
      <c r="EU223" s="123"/>
      <c r="EV223" s="131"/>
    </row>
    <row r="224" spans="30:152">
      <c r="AD224" s="120"/>
      <c r="AI224" s="121"/>
      <c r="AJ224" s="13"/>
      <c r="AK224" s="13"/>
      <c r="AL224" s="13"/>
      <c r="AM224" s="13"/>
      <c r="AN224" s="13"/>
      <c r="AO224" s="13"/>
      <c r="AW224" s="121"/>
      <c r="AX224" s="121"/>
      <c r="AY224" s="121"/>
      <c r="AZ224" s="121"/>
      <c r="BA224" s="121"/>
      <c r="BB224" s="121"/>
      <c r="BC224" s="121"/>
      <c r="BD224" s="121"/>
      <c r="BE224" s="121"/>
      <c r="BF224" s="121"/>
      <c r="BG224" s="123"/>
      <c r="BH224" s="127"/>
      <c r="BI224" s="125"/>
      <c r="BJ224" s="126"/>
      <c r="BK224" s="30"/>
      <c r="BL224" s="127"/>
      <c r="BM224" s="128"/>
      <c r="BN224" s="123"/>
      <c r="BO224" s="128"/>
      <c r="BP224" s="13"/>
      <c r="BQ224" s="129"/>
      <c r="BR224" s="123"/>
      <c r="BS224" s="130"/>
      <c r="BT224" s="13"/>
      <c r="BU224" s="123"/>
      <c r="BV224" s="131"/>
      <c r="DD224" s="120"/>
      <c r="DI224" s="121"/>
      <c r="DJ224" s="13"/>
      <c r="DK224" s="13"/>
      <c r="DL224" s="13"/>
      <c r="DM224" s="13"/>
      <c r="DN224" s="13"/>
      <c r="DO224" s="13"/>
      <c r="DW224" s="121"/>
      <c r="DX224" s="121"/>
      <c r="DY224" s="121"/>
      <c r="DZ224" s="121"/>
      <c r="EA224" s="121"/>
      <c r="EB224" s="121"/>
      <c r="EC224" s="121"/>
      <c r="ED224" s="121"/>
      <c r="EE224" s="121"/>
      <c r="EF224" s="121"/>
      <c r="EG224" s="123"/>
      <c r="EH224" s="127"/>
      <c r="EI224" s="125"/>
      <c r="EJ224" s="126"/>
      <c r="EK224" s="30"/>
      <c r="EL224" s="127"/>
      <c r="EM224" s="128"/>
      <c r="EN224" s="123"/>
      <c r="EO224" s="128"/>
      <c r="EP224" s="13"/>
      <c r="EQ224" s="129"/>
      <c r="ER224" s="123"/>
      <c r="ES224" s="130"/>
      <c r="ET224" s="13"/>
      <c r="EU224" s="123"/>
      <c r="EV224" s="131"/>
    </row>
    <row r="225" spans="30:152">
      <c r="AD225" s="120"/>
      <c r="AI225" s="121"/>
      <c r="AJ225" s="13"/>
      <c r="AK225" s="13"/>
      <c r="AL225" s="13"/>
      <c r="AM225" s="13"/>
      <c r="AN225" s="13"/>
      <c r="AO225" s="13"/>
      <c r="AW225" s="121"/>
      <c r="AX225" s="121"/>
      <c r="AY225" s="121"/>
      <c r="AZ225" s="121"/>
      <c r="BA225" s="121"/>
      <c r="BB225" s="121"/>
      <c r="BC225" s="121"/>
      <c r="BD225" s="121"/>
      <c r="BE225" s="121"/>
      <c r="BF225" s="121"/>
      <c r="BG225" s="123"/>
      <c r="BH225" s="127"/>
      <c r="BI225" s="125"/>
      <c r="BJ225" s="126"/>
      <c r="BK225" s="30"/>
      <c r="BL225" s="127"/>
      <c r="BM225" s="128"/>
      <c r="BN225" s="123"/>
      <c r="BO225" s="128"/>
      <c r="BP225" s="13"/>
      <c r="BQ225" s="129"/>
      <c r="BR225" s="123"/>
      <c r="BS225" s="130"/>
      <c r="BT225" s="13"/>
      <c r="BU225" s="123"/>
      <c r="BV225" s="131"/>
      <c r="DD225" s="120"/>
      <c r="DI225" s="121"/>
      <c r="DJ225" s="13"/>
      <c r="DK225" s="13"/>
      <c r="DL225" s="13"/>
      <c r="DM225" s="13"/>
      <c r="DN225" s="13"/>
      <c r="DO225" s="13"/>
      <c r="DW225" s="121"/>
      <c r="DX225" s="121"/>
      <c r="DY225" s="121"/>
      <c r="DZ225" s="121"/>
      <c r="EA225" s="121"/>
      <c r="EB225" s="121"/>
      <c r="EC225" s="121"/>
      <c r="ED225" s="121"/>
      <c r="EE225" s="121"/>
      <c r="EF225" s="121"/>
      <c r="EG225" s="123"/>
      <c r="EH225" s="127"/>
      <c r="EI225" s="125"/>
      <c r="EJ225" s="126"/>
      <c r="EK225" s="30"/>
      <c r="EL225" s="127"/>
      <c r="EM225" s="128"/>
      <c r="EN225" s="123"/>
      <c r="EO225" s="128"/>
      <c r="EP225" s="13"/>
      <c r="EQ225" s="129"/>
      <c r="ER225" s="123"/>
      <c r="ES225" s="130"/>
      <c r="ET225" s="13"/>
      <c r="EU225" s="123"/>
      <c r="EV225" s="131"/>
    </row>
    <row r="226" spans="30:152">
      <c r="AD226" s="120"/>
      <c r="AI226" s="121"/>
      <c r="AJ226" s="13"/>
      <c r="AK226" s="13"/>
      <c r="AL226" s="13"/>
      <c r="AM226" s="13"/>
      <c r="AN226" s="13"/>
      <c r="AO226" s="13"/>
      <c r="AW226" s="121"/>
      <c r="AX226" s="121"/>
      <c r="AY226" s="121"/>
      <c r="AZ226" s="121"/>
      <c r="BA226" s="121"/>
      <c r="BB226" s="121"/>
      <c r="BC226" s="121"/>
      <c r="BD226" s="121"/>
      <c r="BE226" s="121"/>
      <c r="BF226" s="121"/>
      <c r="BG226" s="123"/>
      <c r="BH226" s="127"/>
      <c r="BI226" s="125"/>
      <c r="BJ226" s="126"/>
      <c r="BK226" s="30"/>
      <c r="BL226" s="127"/>
      <c r="BM226" s="128"/>
      <c r="BN226" s="123"/>
      <c r="BO226" s="128"/>
      <c r="BP226" s="13"/>
      <c r="BQ226" s="129"/>
      <c r="BR226" s="123"/>
      <c r="BS226" s="130"/>
      <c r="BT226" s="13"/>
      <c r="BU226" s="123"/>
      <c r="BV226" s="131"/>
      <c r="DD226" s="120"/>
      <c r="DI226" s="121"/>
      <c r="DJ226" s="13"/>
      <c r="DK226" s="13"/>
      <c r="DL226" s="13"/>
      <c r="DM226" s="13"/>
      <c r="DN226" s="13"/>
      <c r="DO226" s="13"/>
      <c r="DW226" s="121"/>
      <c r="DX226" s="121"/>
      <c r="DY226" s="121"/>
      <c r="DZ226" s="121"/>
      <c r="EA226" s="121"/>
      <c r="EB226" s="121"/>
      <c r="EC226" s="121"/>
      <c r="ED226" s="121"/>
      <c r="EE226" s="121"/>
      <c r="EF226" s="121"/>
      <c r="EG226" s="123"/>
      <c r="EH226" s="127"/>
      <c r="EI226" s="125"/>
      <c r="EJ226" s="126"/>
      <c r="EK226" s="30"/>
      <c r="EL226" s="127"/>
      <c r="EM226" s="128"/>
      <c r="EN226" s="123"/>
      <c r="EO226" s="128"/>
      <c r="EP226" s="13"/>
      <c r="EQ226" s="129"/>
      <c r="ER226" s="123"/>
      <c r="ES226" s="130"/>
      <c r="ET226" s="13"/>
      <c r="EU226" s="123"/>
      <c r="EV226" s="131"/>
    </row>
    <row r="227" spans="30:152">
      <c r="AD227" s="120"/>
      <c r="AI227" s="121"/>
      <c r="AJ227" s="13"/>
      <c r="AK227" s="13"/>
      <c r="AL227" s="13"/>
      <c r="AM227" s="13"/>
      <c r="AN227" s="13"/>
      <c r="AO227" s="13"/>
      <c r="AW227" s="121"/>
      <c r="AX227" s="121"/>
      <c r="AY227" s="121"/>
      <c r="AZ227" s="121"/>
      <c r="BA227" s="121"/>
      <c r="BB227" s="121"/>
      <c r="BC227" s="121"/>
      <c r="BD227" s="121"/>
      <c r="BE227" s="121"/>
      <c r="BF227" s="121"/>
      <c r="BG227" s="123"/>
      <c r="BH227" s="127"/>
      <c r="BI227" s="125"/>
      <c r="BJ227" s="126"/>
      <c r="BK227" s="30"/>
      <c r="BL227" s="127"/>
      <c r="BM227" s="128"/>
      <c r="BN227" s="123"/>
      <c r="BO227" s="128"/>
      <c r="BP227" s="13"/>
      <c r="BQ227" s="129"/>
      <c r="BR227" s="123"/>
      <c r="BS227" s="130"/>
      <c r="BT227" s="13"/>
      <c r="BU227" s="123"/>
      <c r="BV227" s="131"/>
      <c r="DD227" s="120"/>
      <c r="DI227" s="121"/>
      <c r="DJ227" s="13"/>
      <c r="DK227" s="13"/>
      <c r="DL227" s="13"/>
      <c r="DM227" s="13"/>
      <c r="DN227" s="13"/>
      <c r="DO227" s="13"/>
      <c r="DW227" s="121"/>
      <c r="DX227" s="121"/>
      <c r="DY227" s="121"/>
      <c r="DZ227" s="121"/>
      <c r="EA227" s="121"/>
      <c r="EB227" s="121"/>
      <c r="EC227" s="121"/>
      <c r="ED227" s="121"/>
      <c r="EE227" s="121"/>
      <c r="EF227" s="121"/>
      <c r="EG227" s="123"/>
      <c r="EH227" s="127"/>
      <c r="EI227" s="125"/>
      <c r="EJ227" s="126"/>
      <c r="EK227" s="30"/>
      <c r="EL227" s="127"/>
      <c r="EM227" s="128"/>
      <c r="EN227" s="123"/>
      <c r="EO227" s="128"/>
      <c r="EP227" s="13"/>
      <c r="EQ227" s="129"/>
      <c r="ER227" s="123"/>
      <c r="ES227" s="130"/>
      <c r="ET227" s="13"/>
      <c r="EU227" s="123"/>
      <c r="EV227" s="131"/>
    </row>
    <row r="228" spans="30:152">
      <c r="AD228" s="120"/>
      <c r="AI228" s="121"/>
      <c r="AJ228" s="13"/>
      <c r="AK228" s="13"/>
      <c r="AL228" s="13"/>
      <c r="AM228" s="13"/>
      <c r="AN228" s="13"/>
      <c r="AO228" s="13"/>
      <c r="AW228" s="121"/>
      <c r="AX228" s="121"/>
      <c r="AY228" s="121"/>
      <c r="AZ228" s="121"/>
      <c r="BA228" s="121"/>
      <c r="BB228" s="121"/>
      <c r="BC228" s="121"/>
      <c r="BD228" s="121"/>
      <c r="BE228" s="121"/>
      <c r="BF228" s="121"/>
      <c r="BG228" s="123"/>
      <c r="BH228" s="127"/>
      <c r="BI228" s="125"/>
      <c r="BJ228" s="126"/>
      <c r="BK228" s="30"/>
      <c r="BL228" s="127"/>
      <c r="BM228" s="128"/>
      <c r="BN228" s="123"/>
      <c r="BO228" s="128"/>
      <c r="BP228" s="13"/>
      <c r="BQ228" s="129"/>
      <c r="BR228" s="123"/>
      <c r="BS228" s="130"/>
      <c r="BT228" s="13"/>
      <c r="BU228" s="123"/>
      <c r="BV228" s="131"/>
      <c r="DD228" s="120"/>
      <c r="DI228" s="121"/>
      <c r="DJ228" s="13"/>
      <c r="DK228" s="13"/>
      <c r="DL228" s="13"/>
      <c r="DM228" s="13"/>
      <c r="DN228" s="13"/>
      <c r="DO228" s="13"/>
      <c r="DW228" s="121"/>
      <c r="DX228" s="121"/>
      <c r="DY228" s="121"/>
      <c r="DZ228" s="121"/>
      <c r="EA228" s="121"/>
      <c r="EB228" s="121"/>
      <c r="EC228" s="121"/>
      <c r="ED228" s="121"/>
      <c r="EE228" s="121"/>
      <c r="EF228" s="121"/>
      <c r="EG228" s="123"/>
      <c r="EH228" s="127"/>
      <c r="EI228" s="125"/>
      <c r="EJ228" s="126"/>
      <c r="EK228" s="30"/>
      <c r="EL228" s="127"/>
      <c r="EM228" s="128"/>
      <c r="EN228" s="123"/>
      <c r="EO228" s="128"/>
      <c r="EP228" s="13"/>
      <c r="EQ228" s="129"/>
      <c r="ER228" s="123"/>
      <c r="ES228" s="130"/>
      <c r="ET228" s="13"/>
      <c r="EU228" s="123"/>
      <c r="EV228" s="131"/>
    </row>
    <row r="229" spans="30:152">
      <c r="AD229" s="120"/>
      <c r="AI229" s="121"/>
      <c r="AJ229" s="13"/>
      <c r="AK229" s="13"/>
      <c r="AL229" s="13"/>
      <c r="AM229" s="13"/>
      <c r="AN229" s="13"/>
      <c r="AO229" s="13"/>
      <c r="AW229" s="121"/>
      <c r="AX229" s="121"/>
      <c r="AY229" s="121"/>
      <c r="AZ229" s="121"/>
      <c r="BA229" s="121"/>
      <c r="BB229" s="121"/>
      <c r="BC229" s="121"/>
      <c r="BD229" s="121"/>
      <c r="BE229" s="121"/>
      <c r="BF229" s="121"/>
      <c r="BG229" s="123"/>
      <c r="BH229" s="127"/>
      <c r="BI229" s="125"/>
      <c r="BJ229" s="126"/>
      <c r="BK229" s="30"/>
      <c r="BL229" s="127"/>
      <c r="BM229" s="128"/>
      <c r="BN229" s="123"/>
      <c r="BO229" s="128"/>
      <c r="BP229" s="13"/>
      <c r="BQ229" s="129"/>
      <c r="BR229" s="123"/>
      <c r="BS229" s="130"/>
      <c r="BT229" s="13"/>
      <c r="BU229" s="123"/>
      <c r="BV229" s="131"/>
      <c r="DD229" s="120"/>
      <c r="DI229" s="121"/>
      <c r="DJ229" s="13"/>
      <c r="DK229" s="13"/>
      <c r="DL229" s="13"/>
      <c r="DM229" s="13"/>
      <c r="DN229" s="13"/>
      <c r="DO229" s="13"/>
      <c r="DW229" s="121"/>
      <c r="DX229" s="121"/>
      <c r="DY229" s="121"/>
      <c r="DZ229" s="121"/>
      <c r="EA229" s="121"/>
      <c r="EB229" s="121"/>
      <c r="EC229" s="121"/>
      <c r="ED229" s="121"/>
      <c r="EE229" s="121"/>
      <c r="EF229" s="121"/>
      <c r="EG229" s="123"/>
      <c r="EH229" s="127"/>
      <c r="EI229" s="125"/>
      <c r="EJ229" s="126"/>
      <c r="EK229" s="30"/>
      <c r="EL229" s="127"/>
      <c r="EM229" s="128"/>
      <c r="EN229" s="123"/>
      <c r="EO229" s="128"/>
      <c r="EP229" s="13"/>
      <c r="EQ229" s="129"/>
      <c r="ER229" s="123"/>
      <c r="ES229" s="130"/>
      <c r="ET229" s="13"/>
      <c r="EU229" s="123"/>
      <c r="EV229" s="131"/>
    </row>
    <row r="230" spans="30:152">
      <c r="AD230" s="120"/>
      <c r="AI230" s="121"/>
      <c r="AJ230" s="13"/>
      <c r="AK230" s="13"/>
      <c r="AL230" s="13"/>
      <c r="AM230" s="13"/>
      <c r="AN230" s="13"/>
      <c r="AO230" s="13"/>
      <c r="AW230" s="121"/>
      <c r="AX230" s="121"/>
      <c r="AY230" s="121"/>
      <c r="AZ230" s="121"/>
      <c r="BA230" s="121"/>
      <c r="BB230" s="121"/>
      <c r="BC230" s="121"/>
      <c r="BD230" s="121"/>
      <c r="BE230" s="121"/>
      <c r="BF230" s="121"/>
      <c r="BG230" s="123"/>
      <c r="BH230" s="127"/>
      <c r="BI230" s="125"/>
      <c r="BJ230" s="126"/>
      <c r="BK230" s="30"/>
      <c r="BL230" s="127"/>
      <c r="BM230" s="128"/>
      <c r="BN230" s="123"/>
      <c r="BO230" s="128"/>
      <c r="BP230" s="13"/>
      <c r="BQ230" s="129"/>
      <c r="BR230" s="123"/>
      <c r="BS230" s="130"/>
      <c r="BT230" s="13"/>
      <c r="BU230" s="123"/>
      <c r="BV230" s="131"/>
      <c r="DD230" s="120"/>
      <c r="DI230" s="121"/>
      <c r="DJ230" s="13"/>
      <c r="DK230" s="13"/>
      <c r="DL230" s="13"/>
      <c r="DM230" s="13"/>
      <c r="DN230" s="13"/>
      <c r="DO230" s="13"/>
      <c r="DW230" s="121"/>
      <c r="DX230" s="121"/>
      <c r="DY230" s="121"/>
      <c r="DZ230" s="121"/>
      <c r="EA230" s="121"/>
      <c r="EB230" s="121"/>
      <c r="EC230" s="121"/>
      <c r="ED230" s="121"/>
      <c r="EE230" s="121"/>
      <c r="EF230" s="121"/>
      <c r="EG230" s="123"/>
      <c r="EH230" s="127"/>
      <c r="EI230" s="125"/>
      <c r="EJ230" s="126"/>
      <c r="EK230" s="30"/>
      <c r="EL230" s="127"/>
      <c r="EM230" s="128"/>
      <c r="EN230" s="123"/>
      <c r="EO230" s="128"/>
      <c r="EP230" s="13"/>
      <c r="EQ230" s="129"/>
      <c r="ER230" s="123"/>
      <c r="ES230" s="130"/>
      <c r="ET230" s="13"/>
      <c r="EU230" s="123"/>
      <c r="EV230" s="131"/>
    </row>
    <row r="231" spans="30:152">
      <c r="AD231" s="120"/>
      <c r="AI231" s="121"/>
      <c r="AJ231" s="13"/>
      <c r="AK231" s="13"/>
      <c r="AL231" s="13"/>
      <c r="AM231" s="13"/>
      <c r="AN231" s="13"/>
      <c r="AO231" s="13"/>
      <c r="AW231" s="121"/>
      <c r="AX231" s="121"/>
      <c r="AY231" s="121"/>
      <c r="AZ231" s="121"/>
      <c r="BA231" s="121"/>
      <c r="BB231" s="121"/>
      <c r="BC231" s="121"/>
      <c r="BD231" s="121"/>
      <c r="BE231" s="121"/>
      <c r="BF231" s="121"/>
      <c r="BG231" s="123"/>
      <c r="BH231" s="127"/>
      <c r="BI231" s="125"/>
      <c r="BJ231" s="126"/>
      <c r="BK231" s="30"/>
      <c r="BL231" s="127"/>
      <c r="BM231" s="128"/>
      <c r="BN231" s="123"/>
      <c r="BO231" s="128"/>
      <c r="BP231" s="13"/>
      <c r="BQ231" s="129"/>
      <c r="BR231" s="123"/>
      <c r="BS231" s="130"/>
      <c r="BT231" s="13"/>
      <c r="BU231" s="123"/>
      <c r="BV231" s="131"/>
      <c r="DD231" s="120"/>
      <c r="DI231" s="121"/>
      <c r="DJ231" s="13"/>
      <c r="DK231" s="13"/>
      <c r="DL231" s="13"/>
      <c r="DM231" s="13"/>
      <c r="DN231" s="13"/>
      <c r="DO231" s="13"/>
      <c r="DW231" s="121"/>
      <c r="DX231" s="121"/>
      <c r="DY231" s="121"/>
      <c r="DZ231" s="121"/>
      <c r="EA231" s="121"/>
      <c r="EB231" s="121"/>
      <c r="EC231" s="121"/>
      <c r="ED231" s="121"/>
      <c r="EE231" s="121"/>
      <c r="EF231" s="121"/>
      <c r="EG231" s="123"/>
      <c r="EH231" s="127"/>
      <c r="EI231" s="125"/>
      <c r="EJ231" s="126"/>
      <c r="EK231" s="30"/>
      <c r="EL231" s="127"/>
      <c r="EM231" s="128"/>
      <c r="EN231" s="123"/>
      <c r="EO231" s="128"/>
      <c r="EP231" s="13"/>
      <c r="EQ231" s="129"/>
      <c r="ER231" s="123"/>
      <c r="ES231" s="130"/>
      <c r="ET231" s="13"/>
      <c r="EU231" s="123"/>
      <c r="EV231" s="131"/>
    </row>
    <row r="232" spans="30:152">
      <c r="AD232" s="120"/>
      <c r="AI232" s="121"/>
      <c r="AJ232" s="13"/>
      <c r="AK232" s="13"/>
      <c r="AL232" s="13"/>
      <c r="AM232" s="13"/>
      <c r="AN232" s="13"/>
      <c r="AO232" s="13"/>
      <c r="AW232" s="121"/>
      <c r="AX232" s="121"/>
      <c r="AY232" s="121"/>
      <c r="AZ232" s="121"/>
      <c r="BA232" s="121"/>
      <c r="BB232" s="121"/>
      <c r="BC232" s="121"/>
      <c r="BD232" s="121"/>
      <c r="BE232" s="121"/>
      <c r="BF232" s="121"/>
      <c r="BG232" s="123"/>
      <c r="BH232" s="127"/>
      <c r="BI232" s="125"/>
      <c r="BJ232" s="126"/>
      <c r="BK232" s="30"/>
      <c r="BL232" s="127"/>
      <c r="BM232" s="128"/>
      <c r="BN232" s="123"/>
      <c r="BO232" s="128"/>
      <c r="BP232" s="13"/>
      <c r="BQ232" s="129"/>
      <c r="BR232" s="123"/>
      <c r="BS232" s="130"/>
      <c r="BT232" s="13"/>
      <c r="BU232" s="123"/>
      <c r="BV232" s="131"/>
      <c r="DD232" s="120"/>
      <c r="DI232" s="121"/>
      <c r="DJ232" s="13"/>
      <c r="DK232" s="13"/>
      <c r="DL232" s="13"/>
      <c r="DM232" s="13"/>
      <c r="DN232" s="13"/>
      <c r="DO232" s="13"/>
      <c r="DW232" s="121"/>
      <c r="DX232" s="121"/>
      <c r="DY232" s="121"/>
      <c r="DZ232" s="121"/>
      <c r="EA232" s="121"/>
      <c r="EB232" s="121"/>
      <c r="EC232" s="121"/>
      <c r="ED232" s="121"/>
      <c r="EE232" s="121"/>
      <c r="EF232" s="121"/>
      <c r="EG232" s="123"/>
      <c r="EH232" s="127"/>
      <c r="EI232" s="125"/>
      <c r="EJ232" s="126"/>
      <c r="EK232" s="30"/>
      <c r="EL232" s="127"/>
      <c r="EM232" s="128"/>
      <c r="EN232" s="123"/>
      <c r="EO232" s="128"/>
      <c r="EP232" s="13"/>
      <c r="EQ232" s="129"/>
      <c r="ER232" s="123"/>
      <c r="ES232" s="130"/>
      <c r="ET232" s="13"/>
      <c r="EU232" s="123"/>
      <c r="EV232" s="131"/>
    </row>
    <row r="233" spans="30:152">
      <c r="AD233" s="120"/>
      <c r="AI233" s="121"/>
      <c r="AJ233" s="13"/>
      <c r="AK233" s="13"/>
      <c r="AL233" s="13"/>
      <c r="AM233" s="13"/>
      <c r="AN233" s="13"/>
      <c r="AO233" s="13"/>
      <c r="AW233" s="121"/>
      <c r="AX233" s="121"/>
      <c r="AY233" s="121"/>
      <c r="AZ233" s="121"/>
      <c r="BA233" s="121"/>
      <c r="BB233" s="121"/>
      <c r="BC233" s="121"/>
      <c r="BD233" s="121"/>
      <c r="BE233" s="121"/>
      <c r="BF233" s="121"/>
      <c r="BG233" s="123"/>
      <c r="BH233" s="127"/>
      <c r="BI233" s="125"/>
      <c r="BJ233" s="126"/>
      <c r="BK233" s="30"/>
      <c r="BL233" s="127"/>
      <c r="BM233" s="128"/>
      <c r="BN233" s="123"/>
      <c r="BO233" s="128"/>
      <c r="BP233" s="13"/>
      <c r="BQ233" s="129"/>
      <c r="BR233" s="123"/>
      <c r="BS233" s="130"/>
      <c r="BT233" s="13"/>
      <c r="BU233" s="123"/>
      <c r="BV233" s="131"/>
      <c r="DD233" s="120"/>
      <c r="DI233" s="121"/>
      <c r="DJ233" s="13"/>
      <c r="DK233" s="13"/>
      <c r="DL233" s="13"/>
      <c r="DM233" s="13"/>
      <c r="DN233" s="13"/>
      <c r="DO233" s="13"/>
      <c r="DW233" s="121"/>
      <c r="DX233" s="121"/>
      <c r="DY233" s="121"/>
      <c r="DZ233" s="121"/>
      <c r="EA233" s="121"/>
      <c r="EB233" s="121"/>
      <c r="EC233" s="121"/>
      <c r="ED233" s="121"/>
      <c r="EE233" s="121"/>
      <c r="EF233" s="121"/>
      <c r="EG233" s="123"/>
      <c r="EH233" s="127"/>
      <c r="EI233" s="125"/>
      <c r="EJ233" s="126"/>
      <c r="EK233" s="30"/>
      <c r="EL233" s="127"/>
      <c r="EM233" s="128"/>
      <c r="EN233" s="123"/>
      <c r="EO233" s="128"/>
      <c r="EP233" s="13"/>
      <c r="EQ233" s="129"/>
      <c r="ER233" s="123"/>
      <c r="ES233" s="130"/>
      <c r="ET233" s="13"/>
      <c r="EU233" s="123"/>
      <c r="EV233" s="131"/>
    </row>
    <row r="234" spans="30:152">
      <c r="AD234" s="120"/>
      <c r="AI234" s="121"/>
      <c r="AJ234" s="13"/>
      <c r="AK234" s="13"/>
      <c r="AL234" s="13"/>
      <c r="AM234" s="13"/>
      <c r="AN234" s="13"/>
      <c r="AO234" s="13"/>
      <c r="AW234" s="121"/>
      <c r="AX234" s="121"/>
      <c r="AY234" s="121"/>
      <c r="AZ234" s="121"/>
      <c r="BA234" s="121"/>
      <c r="BB234" s="121"/>
      <c r="BC234" s="121"/>
      <c r="BD234" s="121"/>
      <c r="BE234" s="121"/>
      <c r="BF234" s="121"/>
      <c r="BG234" s="123"/>
      <c r="BH234" s="127"/>
      <c r="BI234" s="125"/>
      <c r="BJ234" s="126"/>
      <c r="BK234" s="30"/>
      <c r="BL234" s="127"/>
      <c r="BM234" s="128"/>
      <c r="BN234" s="123"/>
      <c r="BO234" s="128"/>
      <c r="BP234" s="13"/>
      <c r="BQ234" s="129"/>
      <c r="BR234" s="123"/>
      <c r="BS234" s="130"/>
      <c r="BT234" s="13"/>
      <c r="BU234" s="123"/>
      <c r="BV234" s="131"/>
      <c r="DD234" s="120"/>
      <c r="DI234" s="121"/>
      <c r="DJ234" s="13"/>
      <c r="DK234" s="13"/>
      <c r="DL234" s="13"/>
      <c r="DM234" s="13"/>
      <c r="DN234" s="13"/>
      <c r="DO234" s="13"/>
      <c r="DW234" s="121"/>
      <c r="DX234" s="121"/>
      <c r="DY234" s="121"/>
      <c r="DZ234" s="121"/>
      <c r="EA234" s="121"/>
      <c r="EB234" s="121"/>
      <c r="EC234" s="121"/>
      <c r="ED234" s="121"/>
      <c r="EE234" s="121"/>
      <c r="EF234" s="121"/>
      <c r="EG234" s="123"/>
      <c r="EH234" s="127"/>
      <c r="EI234" s="125"/>
      <c r="EJ234" s="126"/>
      <c r="EK234" s="30"/>
      <c r="EL234" s="127"/>
      <c r="EM234" s="128"/>
      <c r="EN234" s="123"/>
      <c r="EO234" s="128"/>
      <c r="EP234" s="13"/>
      <c r="EQ234" s="129"/>
      <c r="ER234" s="123"/>
      <c r="ES234" s="130"/>
      <c r="ET234" s="13"/>
      <c r="EU234" s="123"/>
      <c r="EV234" s="131"/>
    </row>
    <row r="235" spans="30:152">
      <c r="AD235" s="120"/>
      <c r="AI235" s="121"/>
      <c r="AJ235" s="13"/>
      <c r="AK235" s="13"/>
      <c r="AL235" s="13"/>
      <c r="AM235" s="13"/>
      <c r="AN235" s="13"/>
      <c r="AO235" s="13"/>
      <c r="AW235" s="121"/>
      <c r="AX235" s="121"/>
      <c r="AY235" s="121"/>
      <c r="AZ235" s="121"/>
      <c r="BA235" s="121"/>
      <c r="BB235" s="121"/>
      <c r="BC235" s="121"/>
      <c r="BD235" s="121"/>
      <c r="BE235" s="121"/>
      <c r="BF235" s="121"/>
      <c r="BG235" s="123"/>
      <c r="BH235" s="127"/>
      <c r="BI235" s="125"/>
      <c r="BJ235" s="126"/>
      <c r="BK235" s="30"/>
      <c r="BL235" s="127"/>
      <c r="BM235" s="128"/>
      <c r="BN235" s="123"/>
      <c r="BO235" s="128"/>
      <c r="BP235" s="13"/>
      <c r="BQ235" s="129"/>
      <c r="BR235" s="123"/>
      <c r="BS235" s="130"/>
      <c r="BT235" s="13"/>
      <c r="BU235" s="123"/>
      <c r="BV235" s="131"/>
      <c r="DD235" s="120"/>
      <c r="DI235" s="121"/>
      <c r="DJ235" s="13"/>
      <c r="DK235" s="13"/>
      <c r="DL235" s="13"/>
      <c r="DM235" s="13"/>
      <c r="DN235" s="13"/>
      <c r="DO235" s="13"/>
      <c r="DW235" s="121"/>
      <c r="DX235" s="121"/>
      <c r="DY235" s="121"/>
      <c r="DZ235" s="121"/>
      <c r="EA235" s="121"/>
      <c r="EB235" s="121"/>
      <c r="EC235" s="121"/>
      <c r="ED235" s="121"/>
      <c r="EE235" s="121"/>
      <c r="EF235" s="121"/>
      <c r="EG235" s="123"/>
      <c r="EH235" s="127"/>
      <c r="EI235" s="125"/>
      <c r="EJ235" s="126"/>
      <c r="EK235" s="30"/>
      <c r="EL235" s="127"/>
      <c r="EM235" s="128"/>
      <c r="EN235" s="123"/>
      <c r="EO235" s="128"/>
      <c r="EP235" s="13"/>
      <c r="EQ235" s="129"/>
      <c r="ER235" s="123"/>
      <c r="ES235" s="130"/>
      <c r="ET235" s="13"/>
      <c r="EU235" s="123"/>
      <c r="EV235" s="131"/>
    </row>
    <row r="236" spans="30:152">
      <c r="AD236" s="120"/>
      <c r="AI236" s="121"/>
      <c r="AJ236" s="13"/>
      <c r="AK236" s="13"/>
      <c r="AL236" s="13"/>
      <c r="AM236" s="13"/>
      <c r="AN236" s="13"/>
      <c r="AO236" s="13"/>
      <c r="AW236" s="121"/>
      <c r="AX236" s="121"/>
      <c r="AY236" s="121"/>
      <c r="AZ236" s="121"/>
      <c r="BA236" s="121"/>
      <c r="BB236" s="121"/>
      <c r="BC236" s="121"/>
      <c r="BD236" s="121"/>
      <c r="BE236" s="121"/>
      <c r="BF236" s="121"/>
      <c r="BG236" s="123"/>
      <c r="BH236" s="127"/>
      <c r="BI236" s="125"/>
      <c r="BJ236" s="126"/>
      <c r="BK236" s="30"/>
      <c r="BL236" s="127"/>
      <c r="BM236" s="128"/>
      <c r="BN236" s="123"/>
      <c r="BO236" s="128"/>
      <c r="BP236" s="13"/>
      <c r="BQ236" s="129"/>
      <c r="BR236" s="123"/>
      <c r="BS236" s="130"/>
      <c r="BT236" s="13"/>
      <c r="BU236" s="123"/>
      <c r="BV236" s="131"/>
      <c r="DD236" s="120"/>
      <c r="DI236" s="121"/>
      <c r="DJ236" s="13"/>
      <c r="DK236" s="13"/>
      <c r="DL236" s="13"/>
      <c r="DM236" s="13"/>
      <c r="DN236" s="13"/>
      <c r="DO236" s="13"/>
      <c r="DW236" s="121"/>
      <c r="DX236" s="121"/>
      <c r="DY236" s="121"/>
      <c r="DZ236" s="121"/>
      <c r="EA236" s="121"/>
      <c r="EB236" s="121"/>
      <c r="EC236" s="121"/>
      <c r="ED236" s="121"/>
      <c r="EE236" s="121"/>
      <c r="EF236" s="121"/>
      <c r="EG236" s="123"/>
      <c r="EH236" s="127"/>
      <c r="EI236" s="125"/>
      <c r="EJ236" s="126"/>
      <c r="EK236" s="30"/>
      <c r="EL236" s="127"/>
      <c r="EM236" s="128"/>
      <c r="EN236" s="123"/>
      <c r="EO236" s="128"/>
      <c r="EP236" s="13"/>
      <c r="EQ236" s="129"/>
      <c r="ER236" s="123"/>
      <c r="ES236" s="130"/>
      <c r="ET236" s="13"/>
      <c r="EU236" s="123"/>
      <c r="EV236" s="131"/>
    </row>
    <row r="237" spans="30:152">
      <c r="AD237" s="120"/>
      <c r="AI237" s="121"/>
      <c r="AJ237" s="13"/>
      <c r="AK237" s="13"/>
      <c r="AL237" s="13"/>
      <c r="AM237" s="13"/>
      <c r="AN237" s="13"/>
      <c r="AO237" s="13"/>
      <c r="AW237" s="121"/>
      <c r="AX237" s="121"/>
      <c r="AY237" s="121"/>
      <c r="AZ237" s="121"/>
      <c r="BA237" s="121"/>
      <c r="BB237" s="121"/>
      <c r="BC237" s="121"/>
      <c r="BD237" s="121"/>
      <c r="BE237" s="121"/>
      <c r="BF237" s="121"/>
      <c r="BG237" s="123"/>
      <c r="BH237" s="127"/>
      <c r="BI237" s="125"/>
      <c r="BJ237" s="126"/>
      <c r="BK237" s="30"/>
      <c r="BL237" s="127"/>
      <c r="BM237" s="128"/>
      <c r="BN237" s="123"/>
      <c r="BO237" s="128"/>
      <c r="BP237" s="13"/>
      <c r="BQ237" s="129"/>
      <c r="BR237" s="123"/>
      <c r="BS237" s="130"/>
      <c r="BT237" s="13"/>
      <c r="BU237" s="123"/>
      <c r="BV237" s="131"/>
      <c r="DD237" s="120"/>
      <c r="DI237" s="121"/>
      <c r="DJ237" s="13"/>
      <c r="DK237" s="13"/>
      <c r="DL237" s="13"/>
      <c r="DM237" s="13"/>
      <c r="DN237" s="13"/>
      <c r="DO237" s="13"/>
      <c r="DW237" s="121"/>
      <c r="DX237" s="121"/>
      <c r="DY237" s="121"/>
      <c r="DZ237" s="121"/>
      <c r="EA237" s="121"/>
      <c r="EB237" s="121"/>
      <c r="EC237" s="121"/>
      <c r="ED237" s="121"/>
      <c r="EE237" s="121"/>
      <c r="EF237" s="121"/>
      <c r="EG237" s="123"/>
      <c r="EH237" s="127"/>
      <c r="EI237" s="125"/>
      <c r="EJ237" s="126"/>
      <c r="EK237" s="30"/>
      <c r="EL237" s="127"/>
      <c r="EM237" s="128"/>
      <c r="EN237" s="123"/>
      <c r="EO237" s="128"/>
      <c r="EP237" s="13"/>
      <c r="EQ237" s="129"/>
      <c r="ER237" s="123"/>
      <c r="ES237" s="130"/>
      <c r="ET237" s="13"/>
      <c r="EU237" s="123"/>
      <c r="EV237" s="131"/>
    </row>
    <row r="238" spans="30:152">
      <c r="AD238" s="120"/>
      <c r="AI238" s="121"/>
      <c r="AJ238" s="13"/>
      <c r="AK238" s="13"/>
      <c r="AL238" s="13"/>
      <c r="AM238" s="13"/>
      <c r="AN238" s="13"/>
      <c r="AO238" s="13"/>
      <c r="AW238" s="121"/>
      <c r="AX238" s="121"/>
      <c r="AY238" s="121"/>
      <c r="AZ238" s="121"/>
      <c r="BA238" s="121"/>
      <c r="BB238" s="121"/>
      <c r="BC238" s="121"/>
      <c r="BD238" s="121"/>
      <c r="BE238" s="121"/>
      <c r="BF238" s="121"/>
      <c r="BG238" s="123"/>
      <c r="BH238" s="127"/>
      <c r="BI238" s="125"/>
      <c r="BJ238" s="126"/>
      <c r="BK238" s="30"/>
      <c r="BL238" s="127"/>
      <c r="BM238" s="128"/>
      <c r="BN238" s="123"/>
      <c r="BO238" s="128"/>
      <c r="BP238" s="13"/>
      <c r="BQ238" s="129"/>
      <c r="BR238" s="123"/>
      <c r="BS238" s="130"/>
      <c r="BT238" s="13"/>
      <c r="BU238" s="123"/>
      <c r="BV238" s="131"/>
      <c r="DD238" s="120"/>
      <c r="DI238" s="121"/>
      <c r="DJ238" s="13"/>
      <c r="DK238" s="13"/>
      <c r="DL238" s="13"/>
      <c r="DM238" s="13"/>
      <c r="DN238" s="13"/>
      <c r="DO238" s="13"/>
      <c r="DW238" s="121"/>
      <c r="DX238" s="121"/>
      <c r="DY238" s="121"/>
      <c r="DZ238" s="121"/>
      <c r="EA238" s="121"/>
      <c r="EB238" s="121"/>
      <c r="EC238" s="121"/>
      <c r="ED238" s="121"/>
      <c r="EE238" s="121"/>
      <c r="EF238" s="121"/>
      <c r="EG238" s="123"/>
      <c r="EH238" s="127"/>
      <c r="EI238" s="125"/>
      <c r="EJ238" s="126"/>
      <c r="EK238" s="30"/>
      <c r="EL238" s="127"/>
      <c r="EM238" s="128"/>
      <c r="EN238" s="123"/>
      <c r="EO238" s="128"/>
      <c r="EP238" s="13"/>
      <c r="EQ238" s="129"/>
      <c r="ER238" s="123"/>
      <c r="ES238" s="130"/>
      <c r="ET238" s="13"/>
      <c r="EU238" s="123"/>
      <c r="EV238" s="131"/>
    </row>
    <row r="239" spans="30:152">
      <c r="AD239" s="120"/>
      <c r="AI239" s="121"/>
      <c r="AJ239" s="13"/>
      <c r="AK239" s="13"/>
      <c r="AL239" s="13"/>
      <c r="AM239" s="13"/>
      <c r="AN239" s="13"/>
      <c r="AO239" s="13"/>
      <c r="AW239" s="121"/>
      <c r="AX239" s="121"/>
      <c r="AY239" s="121"/>
      <c r="AZ239" s="121"/>
      <c r="BA239" s="121"/>
      <c r="BB239" s="121"/>
      <c r="BC239" s="121"/>
      <c r="BD239" s="121"/>
      <c r="BE239" s="121"/>
      <c r="BF239" s="121"/>
      <c r="BG239" s="123"/>
      <c r="BH239" s="127"/>
      <c r="BI239" s="125"/>
      <c r="BJ239" s="126"/>
      <c r="BK239" s="30"/>
      <c r="BL239" s="127"/>
      <c r="BM239" s="128"/>
      <c r="BN239" s="123"/>
      <c r="BO239" s="128"/>
      <c r="BP239" s="13"/>
      <c r="BQ239" s="129"/>
      <c r="BR239" s="123"/>
      <c r="BS239" s="130"/>
      <c r="BT239" s="13"/>
      <c r="BU239" s="123"/>
      <c r="BV239" s="131"/>
      <c r="DD239" s="120"/>
      <c r="DI239" s="121"/>
      <c r="DJ239" s="13"/>
      <c r="DK239" s="13"/>
      <c r="DL239" s="13"/>
      <c r="DM239" s="13"/>
      <c r="DN239" s="13"/>
      <c r="DO239" s="13"/>
      <c r="DW239" s="121"/>
      <c r="DX239" s="121"/>
      <c r="DY239" s="121"/>
      <c r="DZ239" s="121"/>
      <c r="EA239" s="121"/>
      <c r="EB239" s="121"/>
      <c r="EC239" s="121"/>
      <c r="ED239" s="121"/>
      <c r="EE239" s="121"/>
      <c r="EF239" s="121"/>
      <c r="EG239" s="123"/>
      <c r="EH239" s="127"/>
      <c r="EI239" s="125"/>
      <c r="EJ239" s="126"/>
      <c r="EK239" s="30"/>
      <c r="EL239" s="127"/>
      <c r="EM239" s="128"/>
      <c r="EN239" s="123"/>
      <c r="EO239" s="128"/>
      <c r="EP239" s="13"/>
      <c r="EQ239" s="129"/>
      <c r="ER239" s="123"/>
      <c r="ES239" s="130"/>
      <c r="ET239" s="13"/>
      <c r="EU239" s="123"/>
      <c r="EV239" s="131"/>
    </row>
    <row r="240" spans="30:152">
      <c r="AD240" s="120"/>
      <c r="AI240" s="121"/>
      <c r="AJ240" s="13"/>
      <c r="AK240" s="13"/>
      <c r="AL240" s="13"/>
      <c r="AM240" s="13"/>
      <c r="AN240" s="13"/>
      <c r="AO240" s="13"/>
      <c r="AW240" s="121"/>
      <c r="AX240" s="121"/>
      <c r="AY240" s="121"/>
      <c r="AZ240" s="121"/>
      <c r="BA240" s="121"/>
      <c r="BB240" s="121"/>
      <c r="BC240" s="121"/>
      <c r="BD240" s="121"/>
      <c r="BE240" s="121"/>
      <c r="BF240" s="121"/>
      <c r="BG240" s="123"/>
      <c r="BH240" s="127"/>
      <c r="BI240" s="125"/>
      <c r="BJ240" s="126"/>
      <c r="BK240" s="30"/>
      <c r="BL240" s="127"/>
      <c r="BM240" s="128"/>
      <c r="BN240" s="123"/>
      <c r="BO240" s="128"/>
      <c r="BP240" s="13"/>
      <c r="BQ240" s="129"/>
      <c r="BR240" s="123"/>
      <c r="BS240" s="130"/>
      <c r="BT240" s="13"/>
      <c r="BU240" s="123"/>
      <c r="BV240" s="131"/>
      <c r="DD240" s="120"/>
      <c r="DI240" s="121"/>
      <c r="DJ240" s="13"/>
      <c r="DK240" s="13"/>
      <c r="DL240" s="13"/>
      <c r="DM240" s="13"/>
      <c r="DN240" s="13"/>
      <c r="DO240" s="13"/>
      <c r="DW240" s="121"/>
      <c r="DX240" s="121"/>
      <c r="DY240" s="121"/>
      <c r="DZ240" s="121"/>
      <c r="EA240" s="121"/>
      <c r="EB240" s="121"/>
      <c r="EC240" s="121"/>
      <c r="ED240" s="121"/>
      <c r="EE240" s="121"/>
      <c r="EF240" s="121"/>
      <c r="EG240" s="123"/>
      <c r="EH240" s="127"/>
      <c r="EI240" s="125"/>
      <c r="EJ240" s="126"/>
      <c r="EK240" s="30"/>
      <c r="EL240" s="127"/>
      <c r="EM240" s="128"/>
      <c r="EN240" s="123"/>
      <c r="EO240" s="128"/>
      <c r="EP240" s="13"/>
      <c r="EQ240" s="129"/>
      <c r="ER240" s="123"/>
      <c r="ES240" s="130"/>
      <c r="ET240" s="13"/>
      <c r="EU240" s="123"/>
      <c r="EV240" s="131"/>
    </row>
    <row r="241" spans="30:152">
      <c r="AD241" s="120"/>
      <c r="AI241" s="121"/>
      <c r="AJ241" s="13"/>
      <c r="AK241" s="13"/>
      <c r="AL241" s="13"/>
      <c r="AM241" s="13"/>
      <c r="AN241" s="13"/>
      <c r="AO241" s="13"/>
      <c r="AW241" s="121"/>
      <c r="AX241" s="121"/>
      <c r="AY241" s="121"/>
      <c r="AZ241" s="121"/>
      <c r="BA241" s="121"/>
      <c r="BB241" s="121"/>
      <c r="BC241" s="121"/>
      <c r="BD241" s="121"/>
      <c r="BE241" s="121"/>
      <c r="BF241" s="121"/>
      <c r="BG241" s="123"/>
      <c r="BH241" s="127"/>
      <c r="BI241" s="125"/>
      <c r="BJ241" s="126"/>
      <c r="BK241" s="30"/>
      <c r="BL241" s="127"/>
      <c r="BM241" s="128"/>
      <c r="BN241" s="123"/>
      <c r="BO241" s="128"/>
      <c r="BP241" s="13"/>
      <c r="BQ241" s="129"/>
      <c r="BR241" s="123"/>
      <c r="BS241" s="130"/>
      <c r="BT241" s="13"/>
      <c r="BU241" s="123"/>
      <c r="BV241" s="131"/>
      <c r="DD241" s="120"/>
      <c r="DI241" s="121"/>
      <c r="DJ241" s="13"/>
      <c r="DK241" s="13"/>
      <c r="DL241" s="13"/>
      <c r="DM241" s="13"/>
      <c r="DN241" s="13"/>
      <c r="DO241" s="13"/>
      <c r="DW241" s="121"/>
      <c r="DX241" s="121"/>
      <c r="DY241" s="121"/>
      <c r="DZ241" s="121"/>
      <c r="EA241" s="121"/>
      <c r="EB241" s="121"/>
      <c r="EC241" s="121"/>
      <c r="ED241" s="121"/>
      <c r="EE241" s="121"/>
      <c r="EF241" s="121"/>
      <c r="EG241" s="123"/>
      <c r="EH241" s="127"/>
      <c r="EI241" s="125"/>
      <c r="EJ241" s="126"/>
      <c r="EK241" s="30"/>
      <c r="EL241" s="127"/>
      <c r="EM241" s="128"/>
      <c r="EN241" s="123"/>
      <c r="EO241" s="128"/>
      <c r="EP241" s="13"/>
      <c r="EQ241" s="129"/>
      <c r="ER241" s="123"/>
      <c r="ES241" s="130"/>
      <c r="ET241" s="13"/>
      <c r="EU241" s="123"/>
      <c r="EV241" s="131"/>
    </row>
    <row r="242" spans="30:152">
      <c r="AD242" s="120"/>
      <c r="AI242" s="121"/>
      <c r="AJ242" s="13"/>
      <c r="AK242" s="13"/>
      <c r="AL242" s="13"/>
      <c r="AM242" s="13"/>
      <c r="AN242" s="13"/>
      <c r="AO242" s="13"/>
      <c r="AW242" s="121"/>
      <c r="AX242" s="121"/>
      <c r="AY242" s="121"/>
      <c r="AZ242" s="121"/>
      <c r="BA242" s="121"/>
      <c r="BB242" s="121"/>
      <c r="BC242" s="121"/>
      <c r="BD242" s="121"/>
      <c r="BE242" s="121"/>
      <c r="BF242" s="121"/>
      <c r="BG242" s="123"/>
      <c r="BH242" s="127"/>
      <c r="BI242" s="125"/>
      <c r="BJ242" s="126"/>
      <c r="BK242" s="30"/>
      <c r="BL242" s="127"/>
      <c r="BM242" s="128"/>
      <c r="BN242" s="123"/>
      <c r="BO242" s="128"/>
      <c r="BP242" s="13"/>
      <c r="BQ242" s="129"/>
      <c r="BR242" s="123"/>
      <c r="BS242" s="130"/>
      <c r="BT242" s="13"/>
      <c r="BU242" s="123"/>
      <c r="BV242" s="131"/>
      <c r="DD242" s="120"/>
      <c r="DI242" s="121"/>
      <c r="DJ242" s="13"/>
      <c r="DK242" s="13"/>
      <c r="DL242" s="13"/>
      <c r="DM242" s="13"/>
      <c r="DN242" s="13"/>
      <c r="DO242" s="13"/>
      <c r="DW242" s="121"/>
      <c r="DX242" s="121"/>
      <c r="DY242" s="121"/>
      <c r="DZ242" s="121"/>
      <c r="EA242" s="121"/>
      <c r="EB242" s="121"/>
      <c r="EC242" s="121"/>
      <c r="ED242" s="121"/>
      <c r="EE242" s="121"/>
      <c r="EF242" s="121"/>
      <c r="EG242" s="123"/>
      <c r="EH242" s="127"/>
      <c r="EI242" s="125"/>
      <c r="EJ242" s="126"/>
      <c r="EK242" s="30"/>
      <c r="EL242" s="127"/>
      <c r="EM242" s="128"/>
      <c r="EN242" s="123"/>
      <c r="EO242" s="128"/>
      <c r="EP242" s="13"/>
      <c r="EQ242" s="129"/>
      <c r="ER242" s="123"/>
      <c r="ES242" s="130"/>
      <c r="ET242" s="13"/>
      <c r="EU242" s="123"/>
      <c r="EV242" s="131"/>
    </row>
    <row r="243" spans="30:152">
      <c r="AD243" s="120"/>
      <c r="AI243" s="121"/>
      <c r="AJ243" s="13"/>
      <c r="AK243" s="13"/>
      <c r="AL243" s="13"/>
      <c r="AM243" s="13"/>
      <c r="AN243" s="13"/>
      <c r="AO243" s="13"/>
      <c r="AW243" s="121"/>
      <c r="AX243" s="121"/>
      <c r="AY243" s="121"/>
      <c r="AZ243" s="121"/>
      <c r="BA243" s="121"/>
      <c r="BB243" s="121"/>
      <c r="BC243" s="121"/>
      <c r="BD243" s="121"/>
      <c r="BE243" s="121"/>
      <c r="BF243" s="121"/>
      <c r="BG243" s="123"/>
      <c r="BH243" s="127"/>
      <c r="BI243" s="125"/>
      <c r="BJ243" s="126"/>
      <c r="BK243" s="30"/>
      <c r="BL243" s="127"/>
      <c r="BM243" s="128"/>
      <c r="BN243" s="123"/>
      <c r="BO243" s="128"/>
      <c r="BP243" s="13"/>
      <c r="BQ243" s="129"/>
      <c r="BR243" s="123"/>
      <c r="BS243" s="130"/>
      <c r="BT243" s="13"/>
      <c r="BU243" s="123"/>
      <c r="BV243" s="131"/>
      <c r="DD243" s="120"/>
      <c r="DI243" s="121"/>
      <c r="DJ243" s="13"/>
      <c r="DK243" s="13"/>
      <c r="DL243" s="13"/>
      <c r="DM243" s="13"/>
      <c r="DN243" s="13"/>
      <c r="DO243" s="13"/>
      <c r="DW243" s="121"/>
      <c r="DX243" s="121"/>
      <c r="DY243" s="121"/>
      <c r="DZ243" s="121"/>
      <c r="EA243" s="121"/>
      <c r="EB243" s="121"/>
      <c r="EC243" s="121"/>
      <c r="ED243" s="121"/>
      <c r="EE243" s="121"/>
      <c r="EF243" s="121"/>
      <c r="EG243" s="123"/>
      <c r="EH243" s="127"/>
      <c r="EI243" s="125"/>
      <c r="EJ243" s="126"/>
      <c r="EK243" s="30"/>
      <c r="EL243" s="127"/>
      <c r="EM243" s="128"/>
      <c r="EN243" s="123"/>
      <c r="EO243" s="128"/>
      <c r="EP243" s="13"/>
      <c r="EQ243" s="129"/>
      <c r="ER243" s="123"/>
      <c r="ES243" s="130"/>
      <c r="ET243" s="13"/>
      <c r="EU243" s="123"/>
      <c r="EV243" s="131"/>
    </row>
    <row r="244" spans="30:152">
      <c r="AD244" s="120"/>
      <c r="AI244" s="121"/>
      <c r="AJ244" s="13"/>
      <c r="AK244" s="13"/>
      <c r="AL244" s="13"/>
      <c r="AM244" s="13"/>
      <c r="AN244" s="13"/>
      <c r="AO244" s="13"/>
      <c r="AW244" s="121"/>
      <c r="AX244" s="121"/>
      <c r="AY244" s="121"/>
      <c r="AZ244" s="121"/>
      <c r="BA244" s="121"/>
      <c r="BB244" s="121"/>
      <c r="BC244" s="121"/>
      <c r="BD244" s="121"/>
      <c r="BE244" s="121"/>
      <c r="BF244" s="121"/>
      <c r="BG244" s="123"/>
      <c r="BH244" s="127"/>
      <c r="BI244" s="125"/>
      <c r="BJ244" s="126"/>
      <c r="BK244" s="30"/>
      <c r="BL244" s="127"/>
      <c r="BM244" s="128"/>
      <c r="BN244" s="123"/>
      <c r="BO244" s="128"/>
      <c r="BP244" s="13"/>
      <c r="BQ244" s="129"/>
      <c r="BR244" s="123"/>
      <c r="BS244" s="130"/>
      <c r="BT244" s="13"/>
      <c r="BU244" s="123"/>
      <c r="BV244" s="131"/>
      <c r="DD244" s="120"/>
      <c r="DI244" s="121"/>
      <c r="DJ244" s="13"/>
      <c r="DK244" s="13"/>
      <c r="DL244" s="13"/>
      <c r="DM244" s="13"/>
      <c r="DN244" s="13"/>
      <c r="DO244" s="13"/>
      <c r="DW244" s="121"/>
      <c r="DX244" s="121"/>
      <c r="DY244" s="121"/>
      <c r="DZ244" s="121"/>
      <c r="EA244" s="121"/>
      <c r="EB244" s="121"/>
      <c r="EC244" s="121"/>
      <c r="ED244" s="121"/>
      <c r="EE244" s="121"/>
      <c r="EF244" s="121"/>
      <c r="EG244" s="123"/>
      <c r="EH244" s="127"/>
      <c r="EI244" s="125"/>
      <c r="EJ244" s="126"/>
      <c r="EK244" s="30"/>
      <c r="EL244" s="127"/>
      <c r="EM244" s="128"/>
      <c r="EN244" s="123"/>
      <c r="EO244" s="128"/>
      <c r="EP244" s="13"/>
      <c r="EQ244" s="129"/>
      <c r="ER244" s="123"/>
      <c r="ES244" s="130"/>
      <c r="ET244" s="13"/>
      <c r="EU244" s="123"/>
      <c r="EV244" s="131"/>
    </row>
    <row r="245" spans="30:152">
      <c r="AD245" s="120"/>
      <c r="AI245" s="121"/>
      <c r="AJ245" s="13"/>
      <c r="AK245" s="13"/>
      <c r="AL245" s="13"/>
      <c r="AM245" s="13"/>
      <c r="AN245" s="13"/>
      <c r="AO245" s="13"/>
      <c r="AW245" s="121"/>
      <c r="AX245" s="121"/>
      <c r="AY245" s="121"/>
      <c r="AZ245" s="121"/>
      <c r="BA245" s="121"/>
      <c r="BB245" s="121"/>
      <c r="BC245" s="121"/>
      <c r="BD245" s="121"/>
      <c r="BE245" s="121"/>
      <c r="BF245" s="121"/>
      <c r="BG245" s="123"/>
      <c r="BH245" s="127"/>
      <c r="BI245" s="125"/>
      <c r="BJ245" s="126"/>
      <c r="BK245" s="30"/>
      <c r="BL245" s="127"/>
      <c r="BM245" s="128"/>
      <c r="BN245" s="123"/>
      <c r="BO245" s="128"/>
      <c r="BP245" s="13"/>
      <c r="BQ245" s="129"/>
      <c r="BR245" s="123"/>
      <c r="BS245" s="130"/>
      <c r="BT245" s="13"/>
      <c r="BU245" s="123"/>
      <c r="BV245" s="131"/>
      <c r="DD245" s="120"/>
      <c r="DI245" s="121"/>
      <c r="DJ245" s="13"/>
      <c r="DK245" s="13"/>
      <c r="DL245" s="13"/>
      <c r="DM245" s="13"/>
      <c r="DN245" s="13"/>
      <c r="DO245" s="13"/>
      <c r="DW245" s="121"/>
      <c r="DX245" s="121"/>
      <c r="DY245" s="121"/>
      <c r="DZ245" s="121"/>
      <c r="EA245" s="121"/>
      <c r="EB245" s="121"/>
      <c r="EC245" s="121"/>
      <c r="ED245" s="121"/>
      <c r="EE245" s="121"/>
      <c r="EF245" s="121"/>
      <c r="EG245" s="123"/>
      <c r="EH245" s="127"/>
      <c r="EI245" s="125"/>
      <c r="EJ245" s="126"/>
      <c r="EK245" s="30"/>
      <c r="EL245" s="127"/>
      <c r="EM245" s="128"/>
      <c r="EN245" s="123"/>
      <c r="EO245" s="128"/>
      <c r="EP245" s="13"/>
      <c r="EQ245" s="129"/>
      <c r="ER245" s="123"/>
      <c r="ES245" s="130"/>
      <c r="ET245" s="13"/>
      <c r="EU245" s="123"/>
      <c r="EV245" s="131"/>
    </row>
    <row r="246" spans="30:152">
      <c r="AD246" s="120"/>
      <c r="AI246" s="121"/>
      <c r="AJ246" s="13"/>
      <c r="AK246" s="13"/>
      <c r="AL246" s="13"/>
      <c r="AM246" s="13"/>
      <c r="AN246" s="13"/>
      <c r="AO246" s="13"/>
      <c r="AW246" s="121"/>
      <c r="AX246" s="121"/>
      <c r="AY246" s="121"/>
      <c r="AZ246" s="121"/>
      <c r="BA246" s="121"/>
      <c r="BB246" s="121"/>
      <c r="BC246" s="121"/>
      <c r="BD246" s="121"/>
      <c r="BE246" s="121"/>
      <c r="BF246" s="121"/>
      <c r="BG246" s="123"/>
      <c r="BH246" s="127"/>
      <c r="BI246" s="125"/>
      <c r="BJ246" s="126"/>
      <c r="BK246" s="30"/>
      <c r="BL246" s="127"/>
      <c r="BM246" s="128"/>
      <c r="BN246" s="123"/>
      <c r="BO246" s="128"/>
      <c r="BP246" s="13"/>
      <c r="BQ246" s="129"/>
      <c r="BR246" s="123"/>
      <c r="BS246" s="130"/>
      <c r="BT246" s="13"/>
      <c r="BU246" s="123"/>
      <c r="BV246" s="131"/>
      <c r="DD246" s="120"/>
      <c r="DI246" s="121"/>
      <c r="DJ246" s="13"/>
      <c r="DK246" s="13"/>
      <c r="DL246" s="13"/>
      <c r="DM246" s="13"/>
      <c r="DN246" s="13"/>
      <c r="DO246" s="13"/>
      <c r="DW246" s="121"/>
      <c r="DX246" s="121"/>
      <c r="DY246" s="121"/>
      <c r="DZ246" s="121"/>
      <c r="EA246" s="121"/>
      <c r="EB246" s="121"/>
      <c r="EC246" s="121"/>
      <c r="ED246" s="121"/>
      <c r="EE246" s="121"/>
      <c r="EF246" s="121"/>
      <c r="EG246" s="123"/>
      <c r="EH246" s="127"/>
      <c r="EI246" s="125"/>
      <c r="EJ246" s="126"/>
      <c r="EK246" s="30"/>
      <c r="EL246" s="127"/>
      <c r="EM246" s="128"/>
      <c r="EN246" s="123"/>
      <c r="EO246" s="128"/>
      <c r="EP246" s="13"/>
      <c r="EQ246" s="129"/>
      <c r="ER246" s="123"/>
      <c r="ES246" s="130"/>
      <c r="ET246" s="13"/>
      <c r="EU246" s="123"/>
      <c r="EV246" s="131"/>
    </row>
    <row r="247" spans="30:152">
      <c r="AD247" s="120"/>
      <c r="AI247" s="121"/>
      <c r="AJ247" s="13"/>
      <c r="AK247" s="13"/>
      <c r="AL247" s="13"/>
      <c r="AM247" s="13"/>
      <c r="AN247" s="13"/>
      <c r="AO247" s="13"/>
      <c r="AW247" s="121"/>
      <c r="AX247" s="121"/>
      <c r="AY247" s="121"/>
      <c r="AZ247" s="121"/>
      <c r="BA247" s="121"/>
      <c r="BB247" s="121"/>
      <c r="BC247" s="121"/>
      <c r="BD247" s="121"/>
      <c r="BE247" s="121"/>
      <c r="BF247" s="121"/>
      <c r="BG247" s="123"/>
      <c r="BH247" s="127"/>
      <c r="BI247" s="125"/>
      <c r="BJ247" s="126"/>
      <c r="BK247" s="30"/>
      <c r="BL247" s="127"/>
      <c r="BM247" s="128"/>
      <c r="BN247" s="123"/>
      <c r="BO247" s="128"/>
      <c r="BP247" s="13"/>
      <c r="BQ247" s="129"/>
      <c r="BR247" s="123"/>
      <c r="BS247" s="130"/>
      <c r="BT247" s="13"/>
      <c r="BU247" s="123"/>
      <c r="BV247" s="131"/>
      <c r="DD247" s="120"/>
      <c r="DI247" s="121"/>
      <c r="DJ247" s="13"/>
      <c r="DK247" s="13"/>
      <c r="DL247" s="13"/>
      <c r="DM247" s="13"/>
      <c r="DN247" s="13"/>
      <c r="DO247" s="13"/>
      <c r="DW247" s="121"/>
      <c r="DX247" s="121"/>
      <c r="DY247" s="121"/>
      <c r="DZ247" s="121"/>
      <c r="EA247" s="121"/>
      <c r="EB247" s="121"/>
      <c r="EC247" s="121"/>
      <c r="ED247" s="121"/>
      <c r="EE247" s="121"/>
      <c r="EF247" s="121"/>
      <c r="EG247" s="123"/>
      <c r="EH247" s="127"/>
      <c r="EI247" s="125"/>
      <c r="EJ247" s="126"/>
      <c r="EK247" s="30"/>
      <c r="EL247" s="127"/>
      <c r="EM247" s="128"/>
      <c r="EN247" s="123"/>
      <c r="EO247" s="128"/>
      <c r="EP247" s="13"/>
      <c r="EQ247" s="129"/>
      <c r="ER247" s="123"/>
      <c r="ES247" s="130"/>
      <c r="ET247" s="13"/>
      <c r="EU247" s="123"/>
      <c r="EV247" s="131"/>
    </row>
    <row r="248" spans="30:152">
      <c r="AD248" s="120"/>
      <c r="AI248" s="121"/>
      <c r="AJ248" s="13"/>
      <c r="AK248" s="13"/>
      <c r="AL248" s="13"/>
      <c r="AM248" s="13"/>
      <c r="AN248" s="13"/>
      <c r="AO248" s="13"/>
      <c r="AW248" s="121"/>
      <c r="AX248" s="121"/>
      <c r="AY248" s="121"/>
      <c r="AZ248" s="121"/>
      <c r="BA248" s="121"/>
      <c r="BB248" s="121"/>
      <c r="BC248" s="121"/>
      <c r="BD248" s="121"/>
      <c r="BE248" s="121"/>
      <c r="BF248" s="121"/>
      <c r="BG248" s="123"/>
      <c r="BH248" s="127"/>
      <c r="BI248" s="125"/>
      <c r="BJ248" s="126"/>
      <c r="BK248" s="30"/>
      <c r="BL248" s="127"/>
      <c r="BM248" s="128"/>
      <c r="BN248" s="123"/>
      <c r="BO248" s="128"/>
      <c r="BP248" s="13"/>
      <c r="BQ248" s="129"/>
      <c r="BR248" s="123"/>
      <c r="BS248" s="130"/>
      <c r="BT248" s="13"/>
      <c r="BU248" s="123"/>
      <c r="BV248" s="131"/>
      <c r="DD248" s="120"/>
      <c r="DI248" s="121"/>
      <c r="DJ248" s="13"/>
      <c r="DK248" s="13"/>
      <c r="DL248" s="13"/>
      <c r="DM248" s="13"/>
      <c r="DN248" s="13"/>
      <c r="DO248" s="13"/>
      <c r="DW248" s="121"/>
      <c r="DX248" s="121"/>
      <c r="DY248" s="121"/>
      <c r="DZ248" s="121"/>
      <c r="EA248" s="121"/>
      <c r="EB248" s="121"/>
      <c r="EC248" s="121"/>
      <c r="ED248" s="121"/>
      <c r="EE248" s="121"/>
      <c r="EF248" s="121"/>
      <c r="EG248" s="123"/>
      <c r="EH248" s="127"/>
      <c r="EI248" s="125"/>
      <c r="EJ248" s="126"/>
      <c r="EK248" s="30"/>
      <c r="EL248" s="127"/>
      <c r="EM248" s="128"/>
      <c r="EN248" s="123"/>
      <c r="EO248" s="128"/>
      <c r="EP248" s="13"/>
      <c r="EQ248" s="129"/>
      <c r="ER248" s="123"/>
      <c r="ES248" s="130"/>
      <c r="ET248" s="13"/>
      <c r="EU248" s="123"/>
      <c r="EV248" s="131"/>
    </row>
    <row r="249" spans="30:152">
      <c r="AD249" s="120"/>
      <c r="AI249" s="121"/>
      <c r="AJ249" s="13"/>
      <c r="AK249" s="13"/>
      <c r="AL249" s="13"/>
      <c r="AM249" s="13"/>
      <c r="AN249" s="13"/>
      <c r="AO249" s="13"/>
      <c r="AW249" s="121"/>
      <c r="AX249" s="121"/>
      <c r="AY249" s="121"/>
      <c r="AZ249" s="121"/>
      <c r="BA249" s="121"/>
      <c r="BB249" s="121"/>
      <c r="BC249" s="121"/>
      <c r="BD249" s="121"/>
      <c r="BE249" s="121"/>
      <c r="BF249" s="121"/>
      <c r="BG249" s="123"/>
      <c r="BH249" s="127"/>
      <c r="BI249" s="125"/>
      <c r="BJ249" s="126"/>
      <c r="BK249" s="30"/>
      <c r="BL249" s="127"/>
      <c r="BM249" s="128"/>
      <c r="BN249" s="123"/>
      <c r="BO249" s="128"/>
      <c r="BP249" s="13"/>
      <c r="BQ249" s="129"/>
      <c r="BR249" s="123"/>
      <c r="BS249" s="130"/>
      <c r="BT249" s="13"/>
      <c r="BU249" s="123"/>
      <c r="BV249" s="131"/>
      <c r="DD249" s="120"/>
      <c r="DI249" s="121"/>
      <c r="DJ249" s="13"/>
      <c r="DK249" s="13"/>
      <c r="DL249" s="13"/>
      <c r="DM249" s="13"/>
      <c r="DN249" s="13"/>
      <c r="DO249" s="13"/>
      <c r="DW249" s="121"/>
      <c r="DX249" s="121"/>
      <c r="DY249" s="121"/>
      <c r="DZ249" s="121"/>
      <c r="EA249" s="121"/>
      <c r="EB249" s="121"/>
      <c r="EC249" s="121"/>
      <c r="ED249" s="121"/>
      <c r="EE249" s="121"/>
      <c r="EF249" s="121"/>
      <c r="EG249" s="123"/>
      <c r="EH249" s="127"/>
      <c r="EI249" s="125"/>
      <c r="EJ249" s="126"/>
      <c r="EK249" s="30"/>
      <c r="EL249" s="127"/>
      <c r="EM249" s="128"/>
      <c r="EN249" s="123"/>
      <c r="EO249" s="128"/>
      <c r="EP249" s="13"/>
      <c r="EQ249" s="129"/>
      <c r="ER249" s="123"/>
      <c r="ES249" s="130"/>
      <c r="ET249" s="13"/>
      <c r="EU249" s="123"/>
      <c r="EV249" s="131"/>
    </row>
    <row r="250" spans="30:152">
      <c r="AD250" s="120"/>
      <c r="AI250" s="121"/>
      <c r="AJ250" s="13"/>
      <c r="AK250" s="13"/>
      <c r="AL250" s="13"/>
      <c r="AM250" s="13"/>
      <c r="AN250" s="13"/>
      <c r="AO250" s="13"/>
      <c r="AW250" s="121"/>
      <c r="AX250" s="121"/>
      <c r="AY250" s="121"/>
      <c r="AZ250" s="121"/>
      <c r="BA250" s="121"/>
      <c r="BB250" s="121"/>
      <c r="BC250" s="121"/>
      <c r="BD250" s="121"/>
      <c r="BE250" s="121"/>
      <c r="BF250" s="121"/>
      <c r="BG250" s="123"/>
      <c r="BH250" s="127"/>
      <c r="BI250" s="125"/>
      <c r="BJ250" s="126"/>
      <c r="BK250" s="30"/>
      <c r="BL250" s="127"/>
      <c r="BM250" s="128"/>
      <c r="BN250" s="123"/>
      <c r="BO250" s="128"/>
      <c r="BP250" s="13"/>
      <c r="BQ250" s="129"/>
      <c r="BR250" s="123"/>
      <c r="BS250" s="130"/>
      <c r="BT250" s="13"/>
      <c r="BU250" s="123"/>
      <c r="BV250" s="131"/>
      <c r="DD250" s="120"/>
      <c r="DI250" s="121"/>
      <c r="DJ250" s="13"/>
      <c r="DK250" s="13"/>
      <c r="DL250" s="13"/>
      <c r="DM250" s="13"/>
      <c r="DN250" s="13"/>
      <c r="DO250" s="13"/>
      <c r="DW250" s="121"/>
      <c r="DX250" s="121"/>
      <c r="DY250" s="121"/>
      <c r="DZ250" s="121"/>
      <c r="EA250" s="121"/>
      <c r="EB250" s="121"/>
      <c r="EC250" s="121"/>
      <c r="ED250" s="121"/>
      <c r="EE250" s="121"/>
      <c r="EF250" s="121"/>
      <c r="EG250" s="123"/>
      <c r="EH250" s="127"/>
      <c r="EI250" s="125"/>
      <c r="EJ250" s="126"/>
      <c r="EK250" s="30"/>
      <c r="EL250" s="127"/>
      <c r="EM250" s="128"/>
      <c r="EN250" s="123"/>
      <c r="EO250" s="128"/>
      <c r="EP250" s="13"/>
      <c r="EQ250" s="129"/>
      <c r="ER250" s="123"/>
      <c r="ES250" s="130"/>
      <c r="ET250" s="13"/>
      <c r="EU250" s="123"/>
      <c r="EV250" s="131"/>
    </row>
    <row r="251" spans="30:152">
      <c r="AD251" s="120"/>
      <c r="AI251" s="121"/>
      <c r="AJ251" s="13"/>
      <c r="AK251" s="13"/>
      <c r="AL251" s="13"/>
      <c r="AM251" s="13"/>
      <c r="AN251" s="13"/>
      <c r="AO251" s="13"/>
      <c r="AW251" s="121"/>
      <c r="AX251" s="121"/>
      <c r="AY251" s="121"/>
      <c r="AZ251" s="121"/>
      <c r="BA251" s="121"/>
      <c r="BB251" s="121"/>
      <c r="BC251" s="121"/>
      <c r="BD251" s="121"/>
      <c r="BE251" s="121"/>
      <c r="BF251" s="121"/>
      <c r="BG251" s="123"/>
      <c r="BH251" s="127"/>
      <c r="BI251" s="125"/>
      <c r="BJ251" s="126"/>
      <c r="BK251" s="30"/>
      <c r="BL251" s="127"/>
      <c r="BM251" s="128"/>
      <c r="BN251" s="123"/>
      <c r="BO251" s="128"/>
      <c r="BP251" s="13"/>
      <c r="BQ251" s="129"/>
      <c r="BR251" s="123"/>
      <c r="BS251" s="130"/>
      <c r="BT251" s="13"/>
      <c r="BU251" s="123"/>
      <c r="BV251" s="131"/>
      <c r="DD251" s="120"/>
      <c r="DI251" s="121"/>
      <c r="DJ251" s="13"/>
      <c r="DK251" s="13"/>
      <c r="DL251" s="13"/>
      <c r="DM251" s="13"/>
      <c r="DN251" s="13"/>
      <c r="DO251" s="13"/>
      <c r="DW251" s="121"/>
      <c r="DX251" s="121"/>
      <c r="DY251" s="121"/>
      <c r="DZ251" s="121"/>
      <c r="EA251" s="121"/>
      <c r="EB251" s="121"/>
      <c r="EC251" s="121"/>
      <c r="ED251" s="121"/>
      <c r="EE251" s="121"/>
      <c r="EF251" s="121"/>
      <c r="EG251" s="123"/>
      <c r="EH251" s="127"/>
      <c r="EI251" s="125"/>
      <c r="EJ251" s="126"/>
      <c r="EK251" s="30"/>
      <c r="EL251" s="127"/>
      <c r="EM251" s="128"/>
      <c r="EN251" s="123"/>
      <c r="EO251" s="128"/>
      <c r="EP251" s="13"/>
      <c r="EQ251" s="129"/>
      <c r="ER251" s="123"/>
      <c r="ES251" s="130"/>
      <c r="ET251" s="13"/>
      <c r="EU251" s="123"/>
      <c r="EV251" s="131"/>
    </row>
    <row r="252" spans="30:152">
      <c r="AD252" s="120"/>
      <c r="AI252" s="121"/>
      <c r="AJ252" s="13"/>
      <c r="AK252" s="13"/>
      <c r="AL252" s="13"/>
      <c r="AM252" s="13"/>
      <c r="AN252" s="13"/>
      <c r="AO252" s="13"/>
      <c r="AW252" s="121"/>
      <c r="AX252" s="121"/>
      <c r="AY252" s="121"/>
      <c r="AZ252" s="121"/>
      <c r="BA252" s="121"/>
      <c r="BB252" s="121"/>
      <c r="BC252" s="121"/>
      <c r="BD252" s="121"/>
      <c r="BE252" s="121"/>
      <c r="BF252" s="121"/>
      <c r="BG252" s="123"/>
      <c r="BH252" s="127"/>
      <c r="BI252" s="125"/>
      <c r="BJ252" s="126"/>
      <c r="BK252" s="30"/>
      <c r="BL252" s="127"/>
      <c r="BM252" s="128"/>
      <c r="BN252" s="123"/>
      <c r="BO252" s="128"/>
      <c r="BP252" s="13"/>
      <c r="BQ252" s="129"/>
      <c r="BR252" s="123"/>
      <c r="BS252" s="130"/>
      <c r="BT252" s="13"/>
      <c r="BU252" s="123"/>
      <c r="BV252" s="131"/>
      <c r="DD252" s="120"/>
      <c r="DI252" s="121"/>
      <c r="DJ252" s="13"/>
      <c r="DK252" s="13"/>
      <c r="DL252" s="13"/>
      <c r="DM252" s="13"/>
      <c r="DN252" s="13"/>
      <c r="DO252" s="13"/>
      <c r="DW252" s="121"/>
      <c r="DX252" s="121"/>
      <c r="DY252" s="121"/>
      <c r="DZ252" s="121"/>
      <c r="EA252" s="121"/>
      <c r="EB252" s="121"/>
      <c r="EC252" s="121"/>
      <c r="ED252" s="121"/>
      <c r="EE252" s="121"/>
      <c r="EF252" s="121"/>
      <c r="EG252" s="123"/>
      <c r="EH252" s="127"/>
      <c r="EI252" s="125"/>
      <c r="EJ252" s="126"/>
      <c r="EK252" s="30"/>
      <c r="EL252" s="127"/>
      <c r="EM252" s="128"/>
      <c r="EN252" s="123"/>
      <c r="EO252" s="128"/>
      <c r="EP252" s="13"/>
      <c r="EQ252" s="129"/>
      <c r="ER252" s="123"/>
      <c r="ES252" s="130"/>
      <c r="ET252" s="13"/>
      <c r="EU252" s="123"/>
      <c r="EV252" s="131"/>
    </row>
    <row r="253" spans="30:152">
      <c r="AD253" s="120"/>
      <c r="AI253" s="121"/>
      <c r="AJ253" s="13"/>
      <c r="AK253" s="13"/>
      <c r="AL253" s="13"/>
      <c r="AM253" s="13"/>
      <c r="AN253" s="13"/>
      <c r="AO253" s="13"/>
      <c r="AW253" s="121"/>
      <c r="AX253" s="121"/>
      <c r="AY253" s="121"/>
      <c r="AZ253" s="121"/>
      <c r="BA253" s="121"/>
      <c r="BB253" s="121"/>
      <c r="BC253" s="121"/>
      <c r="BD253" s="121"/>
      <c r="BE253" s="121"/>
      <c r="BF253" s="121"/>
      <c r="BG253" s="123"/>
      <c r="BH253" s="127"/>
      <c r="BI253" s="125"/>
      <c r="BJ253" s="126"/>
      <c r="BK253" s="30"/>
      <c r="BL253" s="127"/>
      <c r="BM253" s="128"/>
      <c r="BN253" s="123"/>
      <c r="BO253" s="128"/>
      <c r="BP253" s="13"/>
      <c r="BQ253" s="129"/>
      <c r="BR253" s="123"/>
      <c r="BS253" s="130"/>
      <c r="BT253" s="13"/>
      <c r="BU253" s="123"/>
      <c r="BV253" s="131"/>
      <c r="DD253" s="120"/>
      <c r="DI253" s="121"/>
      <c r="DJ253" s="13"/>
      <c r="DK253" s="13"/>
      <c r="DL253" s="13"/>
      <c r="DM253" s="13"/>
      <c r="DN253" s="13"/>
      <c r="DO253" s="13"/>
      <c r="DW253" s="121"/>
      <c r="DX253" s="121"/>
      <c r="DY253" s="121"/>
      <c r="DZ253" s="121"/>
      <c r="EA253" s="121"/>
      <c r="EB253" s="121"/>
      <c r="EC253" s="121"/>
      <c r="ED253" s="121"/>
      <c r="EE253" s="121"/>
      <c r="EF253" s="121"/>
      <c r="EG253" s="123"/>
      <c r="EH253" s="127"/>
      <c r="EI253" s="125"/>
      <c r="EJ253" s="126"/>
      <c r="EK253" s="30"/>
      <c r="EL253" s="127"/>
      <c r="EM253" s="128"/>
      <c r="EN253" s="123"/>
      <c r="EO253" s="128"/>
      <c r="EP253" s="13"/>
      <c r="EQ253" s="129"/>
      <c r="ER253" s="123"/>
      <c r="ES253" s="130"/>
      <c r="ET253" s="13"/>
      <c r="EU253" s="123"/>
      <c r="EV253" s="131"/>
    </row>
    <row r="254" spans="30:152">
      <c r="AD254" s="120"/>
      <c r="AI254" s="121"/>
      <c r="AJ254" s="13"/>
      <c r="AK254" s="13"/>
      <c r="AL254" s="13"/>
      <c r="AM254" s="13"/>
      <c r="AN254" s="13"/>
      <c r="AO254" s="13"/>
      <c r="AW254" s="121"/>
      <c r="AX254" s="121"/>
      <c r="AY254" s="121"/>
      <c r="AZ254" s="121"/>
      <c r="BA254" s="121"/>
      <c r="BB254" s="121"/>
      <c r="BC254" s="121"/>
      <c r="BD254" s="121"/>
      <c r="BE254" s="121"/>
      <c r="BF254" s="121"/>
      <c r="BG254" s="123"/>
      <c r="BH254" s="127"/>
      <c r="BI254" s="125"/>
      <c r="BJ254" s="126"/>
      <c r="BK254" s="30"/>
      <c r="BL254" s="127"/>
      <c r="BM254" s="128"/>
      <c r="BN254" s="123"/>
      <c r="BO254" s="128"/>
      <c r="BP254" s="13"/>
      <c r="BQ254" s="129"/>
      <c r="BR254" s="123"/>
      <c r="BS254" s="130"/>
      <c r="BT254" s="13"/>
      <c r="BU254" s="123"/>
      <c r="BV254" s="131"/>
      <c r="DD254" s="120"/>
      <c r="DI254" s="121"/>
      <c r="DJ254" s="13"/>
      <c r="DK254" s="13"/>
      <c r="DL254" s="13"/>
      <c r="DM254" s="13"/>
      <c r="DN254" s="13"/>
      <c r="DO254" s="13"/>
      <c r="DW254" s="121"/>
      <c r="DX254" s="121"/>
      <c r="DY254" s="121"/>
      <c r="DZ254" s="121"/>
      <c r="EA254" s="121"/>
      <c r="EB254" s="121"/>
      <c r="EC254" s="121"/>
      <c r="ED254" s="121"/>
      <c r="EE254" s="121"/>
      <c r="EF254" s="121"/>
      <c r="EG254" s="123"/>
      <c r="EH254" s="127"/>
      <c r="EI254" s="125"/>
      <c r="EJ254" s="126"/>
      <c r="EK254" s="30"/>
      <c r="EL254" s="127"/>
      <c r="EM254" s="128"/>
      <c r="EN254" s="123"/>
      <c r="EO254" s="128"/>
      <c r="EP254" s="13"/>
      <c r="EQ254" s="129"/>
      <c r="ER254" s="123"/>
      <c r="ES254" s="130"/>
      <c r="ET254" s="13"/>
      <c r="EU254" s="123"/>
      <c r="EV254" s="131"/>
    </row>
    <row r="255" spans="30:152">
      <c r="AD255" s="120"/>
      <c r="AI255" s="121"/>
      <c r="AJ255" s="13"/>
      <c r="AK255" s="13"/>
      <c r="AL255" s="13"/>
      <c r="AM255" s="13"/>
      <c r="AN255" s="13"/>
      <c r="AO255" s="13"/>
      <c r="AW255" s="121"/>
      <c r="AX255" s="121"/>
      <c r="AY255" s="121"/>
      <c r="AZ255" s="121"/>
      <c r="BA255" s="121"/>
      <c r="BB255" s="121"/>
      <c r="BC255" s="121"/>
      <c r="BD255" s="121"/>
      <c r="BE255" s="121"/>
      <c r="BF255" s="121"/>
      <c r="BG255" s="123"/>
      <c r="BH255" s="127"/>
      <c r="BI255" s="125"/>
      <c r="BJ255" s="126"/>
      <c r="BK255" s="30"/>
      <c r="BL255" s="127"/>
      <c r="BM255" s="128"/>
      <c r="BN255" s="123"/>
      <c r="BO255" s="128"/>
      <c r="BP255" s="13"/>
      <c r="BQ255" s="129"/>
      <c r="BR255" s="123"/>
      <c r="BS255" s="130"/>
      <c r="BT255" s="13"/>
      <c r="BU255" s="123"/>
      <c r="BV255" s="131"/>
      <c r="DD255" s="120"/>
      <c r="DI255" s="121"/>
      <c r="DJ255" s="13"/>
      <c r="DK255" s="13"/>
      <c r="DL255" s="13"/>
      <c r="DM255" s="13"/>
      <c r="DN255" s="13"/>
      <c r="DO255" s="13"/>
      <c r="DW255" s="121"/>
      <c r="DX255" s="121"/>
      <c r="DY255" s="121"/>
      <c r="DZ255" s="121"/>
      <c r="EA255" s="121"/>
      <c r="EB255" s="121"/>
      <c r="EC255" s="121"/>
      <c r="ED255" s="121"/>
      <c r="EE255" s="121"/>
      <c r="EF255" s="121"/>
      <c r="EG255" s="123"/>
      <c r="EH255" s="127"/>
      <c r="EI255" s="125"/>
      <c r="EJ255" s="126"/>
      <c r="EK255" s="30"/>
      <c r="EL255" s="127"/>
      <c r="EM255" s="128"/>
      <c r="EN255" s="123"/>
      <c r="EO255" s="128"/>
      <c r="EP255" s="13"/>
      <c r="EQ255" s="129"/>
      <c r="ER255" s="123"/>
      <c r="ES255" s="130"/>
      <c r="ET255" s="13"/>
      <c r="EU255" s="123"/>
      <c r="EV255" s="131"/>
    </row>
    <row r="256" spans="30:152">
      <c r="AD256" s="120"/>
      <c r="AI256" s="121"/>
      <c r="AJ256" s="13"/>
      <c r="AK256" s="13"/>
      <c r="AL256" s="13"/>
      <c r="AM256" s="13"/>
      <c r="AN256" s="13"/>
      <c r="AO256" s="13"/>
      <c r="AW256" s="121"/>
      <c r="AX256" s="121"/>
      <c r="AY256" s="121"/>
      <c r="AZ256" s="121"/>
      <c r="BA256" s="121"/>
      <c r="BB256" s="121"/>
      <c r="BC256" s="121"/>
      <c r="BD256" s="121"/>
      <c r="BE256" s="121"/>
      <c r="BF256" s="121"/>
      <c r="BG256" s="123"/>
      <c r="BH256" s="127"/>
      <c r="BI256" s="125"/>
      <c r="BJ256" s="126"/>
      <c r="BK256" s="30"/>
      <c r="BL256" s="127"/>
      <c r="BM256" s="128"/>
      <c r="BN256" s="123"/>
      <c r="BO256" s="128"/>
      <c r="BP256" s="13"/>
      <c r="BQ256" s="129"/>
      <c r="BR256" s="123"/>
      <c r="BS256" s="130"/>
      <c r="BT256" s="13"/>
      <c r="BU256" s="123"/>
      <c r="BV256" s="131"/>
      <c r="DD256" s="120"/>
      <c r="DI256" s="121"/>
      <c r="DJ256" s="13"/>
      <c r="DK256" s="13"/>
      <c r="DL256" s="13"/>
      <c r="DM256" s="13"/>
      <c r="DN256" s="13"/>
      <c r="DO256" s="13"/>
      <c r="DW256" s="121"/>
      <c r="DX256" s="121"/>
      <c r="DY256" s="121"/>
      <c r="DZ256" s="121"/>
      <c r="EA256" s="121"/>
      <c r="EB256" s="121"/>
      <c r="EC256" s="121"/>
      <c r="ED256" s="121"/>
      <c r="EE256" s="121"/>
      <c r="EF256" s="121"/>
      <c r="EG256" s="123"/>
      <c r="EH256" s="127"/>
      <c r="EI256" s="125"/>
      <c r="EJ256" s="126"/>
      <c r="EK256" s="30"/>
      <c r="EL256" s="127"/>
      <c r="EM256" s="128"/>
      <c r="EN256" s="123"/>
      <c r="EO256" s="128"/>
      <c r="EP256" s="13"/>
      <c r="EQ256" s="129"/>
      <c r="ER256" s="123"/>
      <c r="ES256" s="130"/>
      <c r="ET256" s="13"/>
      <c r="EU256" s="123"/>
      <c r="EV256" s="131"/>
    </row>
    <row r="257" spans="30:152">
      <c r="AD257" s="120"/>
      <c r="AI257" s="121"/>
      <c r="AJ257" s="13"/>
      <c r="AK257" s="13"/>
      <c r="AL257" s="13"/>
      <c r="AM257" s="13"/>
      <c r="AN257" s="13"/>
      <c r="AO257" s="13"/>
      <c r="AW257" s="121"/>
      <c r="AX257" s="121"/>
      <c r="AY257" s="121"/>
      <c r="AZ257" s="121"/>
      <c r="BA257" s="121"/>
      <c r="BB257" s="121"/>
      <c r="BC257" s="121"/>
      <c r="BD257" s="121"/>
      <c r="BE257" s="121"/>
      <c r="BF257" s="121"/>
      <c r="BG257" s="123"/>
      <c r="BH257" s="127"/>
      <c r="BI257" s="125"/>
      <c r="BJ257" s="126"/>
      <c r="BK257" s="30"/>
      <c r="BL257" s="127"/>
      <c r="BM257" s="128"/>
      <c r="BN257" s="123"/>
      <c r="BO257" s="128"/>
      <c r="BP257" s="13"/>
      <c r="BQ257" s="129"/>
      <c r="BR257" s="123"/>
      <c r="BS257" s="130"/>
      <c r="BT257" s="13"/>
      <c r="BU257" s="123"/>
      <c r="BV257" s="131"/>
      <c r="DD257" s="120"/>
      <c r="DI257" s="121"/>
      <c r="DJ257" s="13"/>
      <c r="DK257" s="13"/>
      <c r="DL257" s="13"/>
      <c r="DM257" s="13"/>
      <c r="DN257" s="13"/>
      <c r="DO257" s="13"/>
      <c r="DW257" s="121"/>
      <c r="DX257" s="121"/>
      <c r="DY257" s="121"/>
      <c r="DZ257" s="121"/>
      <c r="EA257" s="121"/>
      <c r="EB257" s="121"/>
      <c r="EC257" s="121"/>
      <c r="ED257" s="121"/>
      <c r="EE257" s="121"/>
      <c r="EF257" s="121"/>
      <c r="EG257" s="123"/>
      <c r="EH257" s="127"/>
      <c r="EI257" s="125"/>
      <c r="EJ257" s="126"/>
      <c r="EK257" s="30"/>
      <c r="EL257" s="127"/>
      <c r="EM257" s="128"/>
      <c r="EN257" s="123"/>
      <c r="EO257" s="128"/>
      <c r="EP257" s="13"/>
      <c r="EQ257" s="129"/>
      <c r="ER257" s="123"/>
      <c r="ES257" s="130"/>
      <c r="ET257" s="13"/>
      <c r="EU257" s="123"/>
      <c r="EV257" s="131"/>
    </row>
    <row r="258" spans="30:152">
      <c r="AD258" s="120"/>
      <c r="AI258" s="121"/>
      <c r="AJ258" s="13"/>
      <c r="AK258" s="13"/>
      <c r="AL258" s="13"/>
      <c r="AM258" s="13"/>
      <c r="AN258" s="13"/>
      <c r="AO258" s="13"/>
      <c r="AW258" s="121"/>
      <c r="AX258" s="121"/>
      <c r="AY258" s="121"/>
      <c r="AZ258" s="121"/>
      <c r="BA258" s="121"/>
      <c r="BB258" s="121"/>
      <c r="BC258" s="121"/>
      <c r="BD258" s="121"/>
      <c r="BE258" s="121"/>
      <c r="BF258" s="121"/>
      <c r="BG258" s="123"/>
      <c r="BH258" s="127"/>
      <c r="BI258" s="125"/>
      <c r="BJ258" s="126"/>
      <c r="BK258" s="30"/>
      <c r="BL258" s="127"/>
      <c r="BM258" s="128"/>
      <c r="BN258" s="123"/>
      <c r="BO258" s="128"/>
      <c r="BP258" s="13"/>
      <c r="BQ258" s="129"/>
      <c r="BR258" s="123"/>
      <c r="BS258" s="130"/>
      <c r="BT258" s="13"/>
      <c r="BU258" s="123"/>
      <c r="BV258" s="131"/>
      <c r="DD258" s="120"/>
      <c r="DI258" s="121"/>
      <c r="DJ258" s="13"/>
      <c r="DK258" s="13"/>
      <c r="DL258" s="13"/>
      <c r="DM258" s="13"/>
      <c r="DN258" s="13"/>
      <c r="DO258" s="13"/>
      <c r="DW258" s="121"/>
      <c r="DX258" s="121"/>
      <c r="DY258" s="121"/>
      <c r="DZ258" s="121"/>
      <c r="EA258" s="121"/>
      <c r="EB258" s="121"/>
      <c r="EC258" s="121"/>
      <c r="ED258" s="121"/>
      <c r="EE258" s="121"/>
      <c r="EF258" s="121"/>
      <c r="EG258" s="123"/>
      <c r="EH258" s="127"/>
      <c r="EI258" s="125"/>
      <c r="EJ258" s="126"/>
      <c r="EK258" s="30"/>
      <c r="EL258" s="127"/>
      <c r="EM258" s="128"/>
      <c r="EN258" s="123"/>
      <c r="EO258" s="128"/>
      <c r="EP258" s="13"/>
      <c r="EQ258" s="129"/>
      <c r="ER258" s="123"/>
      <c r="ES258" s="130"/>
      <c r="ET258" s="13"/>
      <c r="EU258" s="123"/>
      <c r="EV258" s="131"/>
    </row>
    <row r="259" spans="30:152">
      <c r="AD259" s="120"/>
      <c r="AI259" s="121"/>
      <c r="AJ259" s="13"/>
      <c r="AK259" s="13"/>
      <c r="AL259" s="13"/>
      <c r="AM259" s="13"/>
      <c r="AN259" s="13"/>
      <c r="AO259" s="13"/>
      <c r="AW259" s="121"/>
      <c r="AX259" s="121"/>
      <c r="AY259" s="121"/>
      <c r="AZ259" s="121"/>
      <c r="BA259" s="121"/>
      <c r="BB259" s="121"/>
      <c r="BC259" s="121"/>
      <c r="BD259" s="121"/>
      <c r="BE259" s="121"/>
      <c r="BF259" s="121"/>
      <c r="BG259" s="123"/>
      <c r="BH259" s="127"/>
      <c r="BI259" s="125"/>
      <c r="BJ259" s="126"/>
      <c r="BK259" s="30"/>
      <c r="BL259" s="127"/>
      <c r="BM259" s="128"/>
      <c r="BN259" s="123"/>
      <c r="BO259" s="128"/>
      <c r="BP259" s="13"/>
      <c r="BQ259" s="129"/>
      <c r="BR259" s="123"/>
      <c r="BS259" s="130"/>
      <c r="BT259" s="13"/>
      <c r="BU259" s="123"/>
      <c r="BV259" s="131"/>
      <c r="DD259" s="120"/>
      <c r="DI259" s="121"/>
      <c r="DJ259" s="13"/>
      <c r="DK259" s="13"/>
      <c r="DL259" s="13"/>
      <c r="DM259" s="13"/>
      <c r="DN259" s="13"/>
      <c r="DO259" s="13"/>
      <c r="DW259" s="121"/>
      <c r="DX259" s="121"/>
      <c r="DY259" s="121"/>
      <c r="DZ259" s="121"/>
      <c r="EA259" s="121"/>
      <c r="EB259" s="121"/>
      <c r="EC259" s="121"/>
      <c r="ED259" s="121"/>
      <c r="EE259" s="121"/>
      <c r="EF259" s="121"/>
      <c r="EG259" s="123"/>
      <c r="EH259" s="127"/>
      <c r="EI259" s="125"/>
      <c r="EJ259" s="126"/>
      <c r="EK259" s="30"/>
      <c r="EL259" s="127"/>
      <c r="EM259" s="128"/>
      <c r="EN259" s="123"/>
      <c r="EO259" s="128"/>
      <c r="EP259" s="13"/>
      <c r="EQ259" s="129"/>
      <c r="ER259" s="123"/>
      <c r="ES259" s="130"/>
      <c r="ET259" s="13"/>
      <c r="EU259" s="123"/>
      <c r="EV259" s="131"/>
    </row>
    <row r="260" spans="30:152">
      <c r="AD260" s="120"/>
      <c r="AI260" s="121"/>
      <c r="AJ260" s="13"/>
      <c r="AK260" s="13"/>
      <c r="AL260" s="13"/>
      <c r="AM260" s="13"/>
      <c r="AN260" s="13"/>
      <c r="AO260" s="13"/>
      <c r="AW260" s="121"/>
      <c r="AX260" s="121"/>
      <c r="AY260" s="121"/>
      <c r="AZ260" s="121"/>
      <c r="BA260" s="121"/>
      <c r="BB260" s="121"/>
      <c r="BC260" s="121"/>
      <c r="BD260" s="121"/>
      <c r="BE260" s="121"/>
      <c r="BF260" s="121"/>
      <c r="BG260" s="123"/>
      <c r="BH260" s="127"/>
      <c r="BI260" s="125"/>
      <c r="BJ260" s="126"/>
      <c r="BK260" s="30"/>
      <c r="BL260" s="127"/>
      <c r="BM260" s="128"/>
      <c r="BN260" s="123"/>
      <c r="BO260" s="128"/>
      <c r="BP260" s="13"/>
      <c r="BQ260" s="129"/>
      <c r="BR260" s="123"/>
      <c r="BS260" s="130"/>
      <c r="BT260" s="13"/>
      <c r="BU260" s="123"/>
      <c r="BV260" s="131"/>
      <c r="DD260" s="120"/>
      <c r="DI260" s="121"/>
      <c r="DJ260" s="13"/>
      <c r="DK260" s="13"/>
      <c r="DL260" s="13"/>
      <c r="DM260" s="13"/>
      <c r="DN260" s="13"/>
      <c r="DO260" s="13"/>
      <c r="DW260" s="121"/>
      <c r="DX260" s="121"/>
      <c r="DY260" s="121"/>
      <c r="DZ260" s="121"/>
      <c r="EA260" s="121"/>
      <c r="EB260" s="121"/>
      <c r="EC260" s="121"/>
      <c r="ED260" s="121"/>
      <c r="EE260" s="121"/>
      <c r="EF260" s="121"/>
      <c r="EG260" s="123"/>
      <c r="EH260" s="127"/>
      <c r="EI260" s="125"/>
      <c r="EJ260" s="126"/>
      <c r="EK260" s="30"/>
      <c r="EL260" s="127"/>
      <c r="EM260" s="128"/>
      <c r="EN260" s="123"/>
      <c r="EO260" s="128"/>
      <c r="EP260" s="13"/>
      <c r="EQ260" s="129"/>
      <c r="ER260" s="123"/>
      <c r="ES260" s="130"/>
      <c r="ET260" s="13"/>
      <c r="EU260" s="123"/>
      <c r="EV260" s="131"/>
    </row>
    <row r="261" spans="30:152">
      <c r="AD261" s="120"/>
      <c r="AI261" s="121"/>
      <c r="AJ261" s="13"/>
      <c r="AK261" s="13"/>
      <c r="AL261" s="13"/>
      <c r="AM261" s="13"/>
      <c r="AN261" s="13"/>
      <c r="AO261" s="13"/>
      <c r="AW261" s="121"/>
      <c r="AX261" s="121"/>
      <c r="AY261" s="121"/>
      <c r="AZ261" s="121"/>
      <c r="BA261" s="121"/>
      <c r="BB261" s="121"/>
      <c r="BC261" s="121"/>
      <c r="BD261" s="121"/>
      <c r="BE261" s="121"/>
      <c r="BF261" s="121"/>
      <c r="BG261" s="123"/>
      <c r="BH261" s="127"/>
      <c r="BI261" s="125"/>
      <c r="BJ261" s="126"/>
      <c r="BK261" s="30"/>
      <c r="BL261" s="127"/>
      <c r="BM261" s="128"/>
      <c r="BN261" s="123"/>
      <c r="BO261" s="128"/>
      <c r="BP261" s="13"/>
      <c r="BQ261" s="129"/>
      <c r="BR261" s="123"/>
      <c r="BS261" s="130"/>
      <c r="BT261" s="13"/>
      <c r="BU261" s="123"/>
      <c r="BV261" s="131"/>
      <c r="DD261" s="120"/>
      <c r="DI261" s="121"/>
      <c r="DJ261" s="13"/>
      <c r="DK261" s="13"/>
      <c r="DL261" s="13"/>
      <c r="DM261" s="13"/>
      <c r="DN261" s="13"/>
      <c r="DO261" s="13"/>
      <c r="DW261" s="121"/>
      <c r="DX261" s="121"/>
      <c r="DY261" s="121"/>
      <c r="DZ261" s="121"/>
      <c r="EA261" s="121"/>
      <c r="EB261" s="121"/>
      <c r="EC261" s="121"/>
      <c r="ED261" s="121"/>
      <c r="EE261" s="121"/>
      <c r="EF261" s="121"/>
      <c r="EG261" s="123"/>
      <c r="EH261" s="127"/>
      <c r="EI261" s="125"/>
      <c r="EJ261" s="126"/>
      <c r="EK261" s="30"/>
      <c r="EL261" s="127"/>
      <c r="EM261" s="128"/>
      <c r="EN261" s="123"/>
      <c r="EO261" s="128"/>
      <c r="EP261" s="13"/>
      <c r="EQ261" s="129"/>
      <c r="ER261" s="123"/>
      <c r="ES261" s="130"/>
      <c r="ET261" s="13"/>
      <c r="EU261" s="123"/>
      <c r="EV261" s="131"/>
    </row>
    <row r="262" spans="30:152">
      <c r="AD262" s="120"/>
      <c r="AI262" s="121"/>
      <c r="AJ262" s="13"/>
      <c r="AK262" s="13"/>
      <c r="AL262" s="13"/>
      <c r="AM262" s="13"/>
      <c r="AN262" s="13"/>
      <c r="AO262" s="13"/>
      <c r="AW262" s="121"/>
      <c r="AX262" s="121"/>
      <c r="AY262" s="121"/>
      <c r="AZ262" s="121"/>
      <c r="BA262" s="121"/>
      <c r="BB262" s="121"/>
      <c r="BC262" s="121"/>
      <c r="BD262" s="121"/>
      <c r="BE262" s="121"/>
      <c r="BF262" s="121"/>
      <c r="BG262" s="123"/>
      <c r="BH262" s="127"/>
      <c r="BI262" s="125"/>
      <c r="BJ262" s="126"/>
      <c r="BK262" s="30"/>
      <c r="BL262" s="127"/>
      <c r="BM262" s="128"/>
      <c r="BN262" s="123"/>
      <c r="BO262" s="128"/>
      <c r="BP262" s="13"/>
      <c r="BQ262" s="129"/>
      <c r="BR262" s="123"/>
      <c r="BS262" s="130"/>
      <c r="BT262" s="13"/>
      <c r="BU262" s="123"/>
      <c r="BV262" s="131"/>
      <c r="DD262" s="120"/>
      <c r="DI262" s="121"/>
      <c r="DJ262" s="13"/>
      <c r="DK262" s="13"/>
      <c r="DL262" s="13"/>
      <c r="DM262" s="13"/>
      <c r="DN262" s="13"/>
      <c r="DO262" s="13"/>
      <c r="DW262" s="121"/>
      <c r="DX262" s="121"/>
      <c r="DY262" s="121"/>
      <c r="DZ262" s="121"/>
      <c r="EA262" s="121"/>
      <c r="EB262" s="121"/>
      <c r="EC262" s="121"/>
      <c r="ED262" s="121"/>
      <c r="EE262" s="121"/>
      <c r="EF262" s="121"/>
      <c r="EG262" s="123"/>
      <c r="EH262" s="127"/>
      <c r="EI262" s="125"/>
      <c r="EJ262" s="126"/>
      <c r="EK262" s="30"/>
      <c r="EL262" s="127"/>
      <c r="EM262" s="128"/>
      <c r="EN262" s="123"/>
      <c r="EO262" s="128"/>
      <c r="EP262" s="13"/>
      <c r="EQ262" s="129"/>
      <c r="ER262" s="123"/>
      <c r="ES262" s="130"/>
      <c r="ET262" s="13"/>
      <c r="EU262" s="123"/>
      <c r="EV262" s="131"/>
    </row>
    <row r="263" spans="30:152">
      <c r="AI263" s="121"/>
      <c r="AJ263" s="13"/>
      <c r="AK263" s="13"/>
      <c r="AL263" s="13"/>
      <c r="AM263" s="13"/>
      <c r="AN263" s="13"/>
      <c r="AO263" s="13"/>
      <c r="AW263" s="121"/>
      <c r="AX263" s="121"/>
      <c r="AY263" s="121"/>
      <c r="AZ263" s="121"/>
      <c r="BA263" s="121"/>
      <c r="BB263" s="121"/>
      <c r="BC263" s="121"/>
      <c r="BD263" s="121"/>
      <c r="BE263" s="121"/>
      <c r="BF263" s="121"/>
      <c r="BG263" s="123"/>
      <c r="BH263" s="127"/>
      <c r="BI263" s="125"/>
      <c r="BJ263" s="126"/>
      <c r="BK263" s="30"/>
      <c r="BL263" s="127"/>
      <c r="BM263" s="128"/>
      <c r="BN263" s="123"/>
      <c r="BO263" s="128"/>
      <c r="BP263" s="13"/>
      <c r="BQ263" s="129"/>
      <c r="BR263" s="123"/>
      <c r="BS263" s="130"/>
      <c r="BT263" s="13"/>
      <c r="BU263" s="123"/>
      <c r="BV263" s="131"/>
      <c r="DI263" s="121"/>
      <c r="DJ263" s="13"/>
      <c r="DK263" s="13"/>
      <c r="DL263" s="13"/>
      <c r="DM263" s="13"/>
      <c r="DN263" s="13"/>
      <c r="DO263" s="13"/>
      <c r="DW263" s="121"/>
      <c r="DX263" s="121"/>
      <c r="DY263" s="121"/>
      <c r="DZ263" s="121"/>
      <c r="EA263" s="121"/>
      <c r="EB263" s="121"/>
      <c r="EC263" s="121"/>
      <c r="ED263" s="121"/>
      <c r="EE263" s="121"/>
      <c r="EF263" s="121"/>
      <c r="EG263" s="123"/>
      <c r="EH263" s="127"/>
      <c r="EI263" s="125"/>
      <c r="EJ263" s="126"/>
      <c r="EK263" s="30"/>
      <c r="EL263" s="127"/>
      <c r="EM263" s="128"/>
      <c r="EN263" s="123"/>
      <c r="EO263" s="128"/>
      <c r="EP263" s="13"/>
      <c r="EQ263" s="129"/>
      <c r="ER263" s="123"/>
      <c r="ES263" s="130"/>
      <c r="ET263" s="13"/>
      <c r="EU263" s="123"/>
      <c r="EV263" s="131"/>
    </row>
    <row r="264" spans="30:152">
      <c r="AI264" s="121"/>
      <c r="AJ264" s="13"/>
      <c r="AK264" s="13"/>
      <c r="AL264" s="13"/>
      <c r="AM264" s="13"/>
      <c r="AN264" s="13"/>
      <c r="AO264" s="13"/>
      <c r="AW264" s="121"/>
      <c r="AX264" s="121"/>
      <c r="AY264" s="121"/>
      <c r="AZ264" s="121"/>
      <c r="BA264" s="121"/>
      <c r="BB264" s="121"/>
      <c r="BC264" s="121"/>
      <c r="BD264" s="121"/>
      <c r="BE264" s="121"/>
      <c r="BF264" s="121"/>
      <c r="BG264" s="123"/>
      <c r="BH264" s="127"/>
      <c r="BI264" s="125"/>
      <c r="BJ264" s="126"/>
      <c r="BK264" s="30"/>
      <c r="BL264" s="127"/>
      <c r="BM264" s="128"/>
      <c r="BN264" s="123"/>
      <c r="BO264" s="128"/>
      <c r="BP264" s="13"/>
      <c r="BQ264" s="129"/>
      <c r="BR264" s="123"/>
      <c r="BS264" s="130"/>
      <c r="BT264" s="13"/>
      <c r="BU264" s="123"/>
      <c r="BV264" s="131"/>
      <c r="DI264" s="121"/>
      <c r="DJ264" s="13"/>
      <c r="DK264" s="13"/>
      <c r="DL264" s="13"/>
      <c r="DM264" s="13"/>
      <c r="DN264" s="13"/>
      <c r="DO264" s="13"/>
      <c r="DW264" s="121"/>
      <c r="DX264" s="121"/>
      <c r="DY264" s="121"/>
      <c r="DZ264" s="121"/>
      <c r="EA264" s="121"/>
      <c r="EB264" s="121"/>
      <c r="EC264" s="121"/>
      <c r="ED264" s="121"/>
      <c r="EE264" s="121"/>
      <c r="EF264" s="121"/>
      <c r="EG264" s="123"/>
      <c r="EH264" s="127"/>
      <c r="EI264" s="125"/>
      <c r="EJ264" s="126"/>
      <c r="EK264" s="30"/>
      <c r="EL264" s="127"/>
      <c r="EM264" s="128"/>
      <c r="EN264" s="123"/>
      <c r="EO264" s="128"/>
      <c r="EP264" s="13"/>
      <c r="EQ264" s="129"/>
      <c r="ER264" s="123"/>
      <c r="ES264" s="130"/>
      <c r="ET264" s="13"/>
      <c r="EU264" s="123"/>
      <c r="EV264" s="131"/>
    </row>
    <row r="265" spans="30:152">
      <c r="AI265" s="121"/>
      <c r="AJ265" s="13"/>
      <c r="AK265" s="13"/>
      <c r="AL265" s="13"/>
      <c r="AM265" s="13"/>
      <c r="AN265" s="13"/>
      <c r="AO265" s="13"/>
      <c r="AW265" s="121"/>
      <c r="AX265" s="121"/>
      <c r="AY265" s="121"/>
      <c r="AZ265" s="121"/>
      <c r="BA265" s="121"/>
      <c r="BB265" s="121"/>
      <c r="BC265" s="121"/>
      <c r="BD265" s="121"/>
      <c r="BE265" s="121"/>
      <c r="BF265" s="121"/>
      <c r="BG265" s="123"/>
      <c r="BH265" s="127"/>
      <c r="BI265" s="125"/>
      <c r="BJ265" s="126"/>
      <c r="BK265" s="30"/>
      <c r="BL265" s="127"/>
      <c r="BM265" s="128"/>
      <c r="BN265" s="123"/>
      <c r="BO265" s="128"/>
      <c r="BP265" s="13"/>
      <c r="BQ265" s="129"/>
      <c r="BR265" s="123"/>
      <c r="BS265" s="130"/>
      <c r="BT265" s="13"/>
      <c r="BU265" s="123"/>
      <c r="BV265" s="131"/>
      <c r="DI265" s="121"/>
      <c r="DJ265" s="13"/>
      <c r="DK265" s="13"/>
      <c r="DL265" s="13"/>
      <c r="DM265" s="13"/>
      <c r="DN265" s="13"/>
      <c r="DO265" s="13"/>
      <c r="DW265" s="121"/>
      <c r="DX265" s="121"/>
      <c r="DY265" s="121"/>
      <c r="DZ265" s="121"/>
      <c r="EA265" s="121"/>
      <c r="EB265" s="121"/>
      <c r="EC265" s="121"/>
      <c r="ED265" s="121"/>
      <c r="EE265" s="121"/>
      <c r="EF265" s="121"/>
      <c r="EG265" s="123"/>
      <c r="EH265" s="127"/>
      <c r="EI265" s="125"/>
      <c r="EJ265" s="126"/>
      <c r="EK265" s="30"/>
      <c r="EL265" s="127"/>
      <c r="EM265" s="128"/>
      <c r="EN265" s="123"/>
      <c r="EO265" s="128"/>
      <c r="EP265" s="13"/>
      <c r="EQ265" s="129"/>
      <c r="ER265" s="123"/>
      <c r="ES265" s="130"/>
      <c r="ET265" s="13"/>
      <c r="EU265" s="123"/>
      <c r="EV265" s="131"/>
    </row>
    <row r="266" spans="30:152">
      <c r="AI266" s="121"/>
      <c r="AJ266" s="13"/>
      <c r="AK266" s="13"/>
      <c r="AL266" s="13"/>
      <c r="AM266" s="13"/>
      <c r="AN266" s="13"/>
      <c r="AO266" s="13"/>
      <c r="AW266" s="121"/>
      <c r="AX266" s="121"/>
      <c r="AY266" s="121"/>
      <c r="AZ266" s="121"/>
      <c r="BA266" s="121"/>
      <c r="BB266" s="121"/>
      <c r="BC266" s="121"/>
      <c r="BD266" s="121"/>
      <c r="BE266" s="121"/>
      <c r="BF266" s="121"/>
      <c r="BG266" s="123"/>
      <c r="BH266" s="127"/>
      <c r="BI266" s="125"/>
      <c r="BJ266" s="126"/>
      <c r="BK266" s="30"/>
      <c r="BL266" s="127"/>
      <c r="BM266" s="128"/>
      <c r="BN266" s="123"/>
      <c r="BO266" s="128"/>
      <c r="BP266" s="13"/>
      <c r="BQ266" s="129"/>
      <c r="BR266" s="123"/>
      <c r="BS266" s="130"/>
      <c r="BT266" s="13"/>
      <c r="BU266" s="123"/>
      <c r="BV266" s="131"/>
      <c r="DI266" s="121"/>
      <c r="DJ266" s="13"/>
      <c r="DK266" s="13"/>
      <c r="DL266" s="13"/>
      <c r="DM266" s="13"/>
      <c r="DN266" s="13"/>
      <c r="DO266" s="13"/>
      <c r="DW266" s="121"/>
      <c r="DX266" s="121"/>
      <c r="DY266" s="121"/>
      <c r="DZ266" s="121"/>
      <c r="EA266" s="121"/>
      <c r="EB266" s="121"/>
      <c r="EC266" s="121"/>
      <c r="ED266" s="121"/>
      <c r="EE266" s="121"/>
      <c r="EF266" s="121"/>
      <c r="EG266" s="123"/>
      <c r="EH266" s="127"/>
      <c r="EI266" s="125"/>
      <c r="EJ266" s="126"/>
      <c r="EK266" s="30"/>
      <c r="EL266" s="127"/>
      <c r="EM266" s="128"/>
      <c r="EN266" s="123"/>
      <c r="EO266" s="128"/>
      <c r="EP266" s="13"/>
      <c r="EQ266" s="129"/>
      <c r="ER266" s="123"/>
      <c r="ES266" s="130"/>
      <c r="ET266" s="13"/>
      <c r="EU266" s="123"/>
      <c r="EV266" s="131"/>
    </row>
    <row r="267" spans="30:152">
      <c r="AI267" s="121"/>
      <c r="AJ267" s="13"/>
      <c r="AK267" s="13"/>
      <c r="AL267" s="13"/>
      <c r="AM267" s="13"/>
      <c r="AN267" s="13"/>
      <c r="AO267" s="13"/>
      <c r="AW267" s="121"/>
      <c r="AX267" s="121"/>
      <c r="AY267" s="121"/>
      <c r="AZ267" s="121"/>
      <c r="BA267" s="121"/>
      <c r="BB267" s="121"/>
      <c r="BC267" s="121"/>
      <c r="BD267" s="121"/>
      <c r="BE267" s="121"/>
      <c r="BF267" s="121"/>
      <c r="BG267" s="123"/>
      <c r="BH267" s="127"/>
      <c r="BI267" s="125"/>
      <c r="BJ267" s="126"/>
      <c r="BK267" s="30"/>
      <c r="BL267" s="127"/>
      <c r="BM267" s="128"/>
      <c r="BN267" s="123"/>
      <c r="BO267" s="128"/>
      <c r="BP267" s="13"/>
      <c r="BQ267" s="129"/>
      <c r="BR267" s="123"/>
      <c r="BS267" s="130"/>
      <c r="BT267" s="13"/>
      <c r="BU267" s="123"/>
      <c r="BV267" s="131"/>
      <c r="DI267" s="121"/>
      <c r="DJ267" s="13"/>
      <c r="DK267" s="13"/>
      <c r="DL267" s="13"/>
      <c r="DM267" s="13"/>
      <c r="DN267" s="13"/>
      <c r="DO267" s="13"/>
      <c r="DW267" s="121"/>
      <c r="DX267" s="121"/>
      <c r="DY267" s="121"/>
      <c r="DZ267" s="121"/>
      <c r="EA267" s="121"/>
      <c r="EB267" s="121"/>
      <c r="EC267" s="121"/>
      <c r="ED267" s="121"/>
      <c r="EE267" s="121"/>
      <c r="EF267" s="121"/>
      <c r="EG267" s="123"/>
      <c r="EH267" s="127"/>
      <c r="EI267" s="125"/>
      <c r="EJ267" s="126"/>
      <c r="EK267" s="30"/>
      <c r="EL267" s="127"/>
      <c r="EM267" s="128"/>
      <c r="EN267" s="123"/>
      <c r="EO267" s="128"/>
      <c r="EP267" s="13"/>
      <c r="EQ267" s="129"/>
      <c r="ER267" s="123"/>
      <c r="ES267" s="130"/>
      <c r="ET267" s="13"/>
      <c r="EU267" s="123"/>
      <c r="EV267" s="131"/>
    </row>
    <row r="268" spans="30:152">
      <c r="AI268" s="121"/>
      <c r="AJ268" s="13"/>
      <c r="AK268" s="13"/>
      <c r="AL268" s="13"/>
      <c r="AM268" s="13"/>
      <c r="AN268" s="13"/>
      <c r="AO268" s="13"/>
      <c r="AW268" s="121"/>
      <c r="AX268" s="121"/>
      <c r="AY268" s="121"/>
      <c r="AZ268" s="121"/>
      <c r="BA268" s="121"/>
      <c r="BB268" s="121"/>
      <c r="BC268" s="121"/>
      <c r="BD268" s="121"/>
      <c r="BE268" s="121"/>
      <c r="BF268" s="121"/>
      <c r="BG268" s="123"/>
      <c r="BH268" s="127"/>
      <c r="BI268" s="125"/>
      <c r="BJ268" s="126"/>
      <c r="BK268" s="30"/>
      <c r="BL268" s="127"/>
      <c r="BM268" s="128"/>
      <c r="BN268" s="123"/>
      <c r="BO268" s="128"/>
      <c r="BP268" s="13"/>
      <c r="BQ268" s="129"/>
      <c r="BR268" s="123"/>
      <c r="BS268" s="130"/>
      <c r="BT268" s="13"/>
      <c r="BU268" s="123"/>
      <c r="BV268" s="131"/>
      <c r="DI268" s="121"/>
      <c r="DJ268" s="13"/>
      <c r="DK268" s="13"/>
      <c r="DL268" s="13"/>
      <c r="DM268" s="13"/>
      <c r="DN268" s="13"/>
      <c r="DO268" s="13"/>
      <c r="DW268" s="121"/>
      <c r="DX268" s="121"/>
      <c r="DY268" s="121"/>
      <c r="DZ268" s="121"/>
      <c r="EA268" s="121"/>
      <c r="EB268" s="121"/>
      <c r="EC268" s="121"/>
      <c r="ED268" s="121"/>
      <c r="EE268" s="121"/>
      <c r="EF268" s="121"/>
      <c r="EG268" s="123"/>
      <c r="EH268" s="127"/>
      <c r="EI268" s="125"/>
      <c r="EJ268" s="126"/>
      <c r="EK268" s="30"/>
      <c r="EL268" s="127"/>
      <c r="EM268" s="128"/>
      <c r="EN268" s="123"/>
      <c r="EO268" s="128"/>
      <c r="EP268" s="13"/>
      <c r="EQ268" s="129"/>
      <c r="ER268" s="123"/>
      <c r="ES268" s="130"/>
      <c r="ET268" s="13"/>
      <c r="EU268" s="123"/>
      <c r="EV268" s="131"/>
    </row>
    <row r="269" spans="30:152">
      <c r="AI269" s="121"/>
      <c r="AJ269" s="13"/>
      <c r="AK269" s="13"/>
      <c r="AL269" s="13"/>
      <c r="AM269" s="13"/>
      <c r="AN269" s="13"/>
      <c r="AO269" s="13"/>
      <c r="AW269" s="121"/>
      <c r="AX269" s="121"/>
      <c r="AY269" s="121"/>
      <c r="AZ269" s="121"/>
      <c r="BA269" s="121"/>
      <c r="BB269" s="121"/>
      <c r="BC269" s="121"/>
      <c r="BD269" s="121"/>
      <c r="BE269" s="121"/>
      <c r="BF269" s="121"/>
      <c r="BG269" s="123"/>
      <c r="BH269" s="127"/>
      <c r="BI269" s="125"/>
      <c r="BJ269" s="126"/>
      <c r="BK269" s="30"/>
      <c r="BL269" s="127"/>
      <c r="BM269" s="128"/>
      <c r="BN269" s="123"/>
      <c r="BO269" s="128"/>
      <c r="BP269" s="13"/>
      <c r="BQ269" s="129"/>
      <c r="BR269" s="123"/>
      <c r="BS269" s="130"/>
      <c r="BT269" s="13"/>
      <c r="BU269" s="123"/>
      <c r="BV269" s="131"/>
      <c r="DI269" s="121"/>
      <c r="DJ269" s="13"/>
      <c r="DK269" s="13"/>
      <c r="DL269" s="13"/>
      <c r="DM269" s="13"/>
      <c r="DN269" s="13"/>
      <c r="DO269" s="13"/>
      <c r="DW269" s="121"/>
      <c r="DX269" s="121"/>
      <c r="DY269" s="121"/>
      <c r="DZ269" s="121"/>
      <c r="EA269" s="121"/>
      <c r="EB269" s="121"/>
      <c r="EC269" s="121"/>
      <c r="ED269" s="121"/>
      <c r="EE269" s="121"/>
      <c r="EF269" s="121"/>
      <c r="EG269" s="123"/>
      <c r="EH269" s="127"/>
      <c r="EI269" s="125"/>
      <c r="EJ269" s="126"/>
      <c r="EK269" s="30"/>
      <c r="EL269" s="127"/>
      <c r="EM269" s="128"/>
      <c r="EN269" s="123"/>
      <c r="EO269" s="128"/>
      <c r="EP269" s="13"/>
      <c r="EQ269" s="129"/>
      <c r="ER269" s="123"/>
      <c r="ES269" s="130"/>
      <c r="ET269" s="13"/>
      <c r="EU269" s="123"/>
      <c r="EV269" s="131"/>
    </row>
    <row r="270" spans="30:152">
      <c r="AI270" s="121"/>
      <c r="AJ270" s="13"/>
      <c r="AK270" s="13"/>
      <c r="AL270" s="13"/>
      <c r="AM270" s="13"/>
      <c r="AN270" s="13"/>
      <c r="AO270" s="13"/>
      <c r="AW270" s="121"/>
      <c r="AX270" s="121"/>
      <c r="AY270" s="121"/>
      <c r="AZ270" s="121"/>
      <c r="BA270" s="121"/>
      <c r="BB270" s="121"/>
      <c r="BC270" s="121"/>
      <c r="BD270" s="121"/>
      <c r="BE270" s="121"/>
      <c r="BF270" s="121"/>
      <c r="BG270" s="123"/>
      <c r="BH270" s="127"/>
      <c r="BI270" s="125"/>
      <c r="BJ270" s="126"/>
      <c r="BK270" s="30"/>
      <c r="BL270" s="127"/>
      <c r="BM270" s="128"/>
      <c r="BN270" s="123"/>
      <c r="BO270" s="128"/>
      <c r="BP270" s="13"/>
      <c r="BQ270" s="129"/>
      <c r="BR270" s="123"/>
      <c r="BS270" s="130"/>
      <c r="BT270" s="13"/>
      <c r="BU270" s="123"/>
      <c r="BV270" s="131"/>
      <c r="DI270" s="121"/>
      <c r="DJ270" s="13"/>
      <c r="DK270" s="13"/>
      <c r="DL270" s="13"/>
      <c r="DM270" s="13"/>
      <c r="DN270" s="13"/>
      <c r="DO270" s="13"/>
      <c r="DW270" s="121"/>
      <c r="DX270" s="121"/>
      <c r="DY270" s="121"/>
      <c r="DZ270" s="121"/>
      <c r="EA270" s="121"/>
      <c r="EB270" s="121"/>
      <c r="EC270" s="121"/>
      <c r="ED270" s="121"/>
      <c r="EE270" s="121"/>
      <c r="EF270" s="121"/>
      <c r="EG270" s="123"/>
      <c r="EH270" s="127"/>
      <c r="EI270" s="125"/>
      <c r="EJ270" s="126"/>
      <c r="EK270" s="30"/>
      <c r="EL270" s="127"/>
      <c r="EM270" s="128"/>
      <c r="EN270" s="123"/>
      <c r="EO270" s="128"/>
      <c r="EP270" s="13"/>
      <c r="EQ270" s="129"/>
      <c r="ER270" s="123"/>
      <c r="ES270" s="130"/>
      <c r="ET270" s="13"/>
      <c r="EU270" s="123"/>
      <c r="EV270" s="131"/>
    </row>
    <row r="271" spans="30:152">
      <c r="AI271" s="121"/>
      <c r="AJ271" s="13"/>
      <c r="AK271" s="13"/>
      <c r="AL271" s="13"/>
      <c r="AM271" s="13"/>
      <c r="AN271" s="13"/>
      <c r="AO271" s="13"/>
      <c r="AW271" s="121"/>
      <c r="AX271" s="121"/>
      <c r="AY271" s="121"/>
      <c r="AZ271" s="121"/>
      <c r="BA271" s="121"/>
      <c r="BB271" s="121"/>
      <c r="BC271" s="121"/>
      <c r="BD271" s="121"/>
      <c r="BE271" s="121"/>
      <c r="BF271" s="121"/>
      <c r="BG271" s="123"/>
      <c r="BH271" s="127"/>
      <c r="BI271" s="125"/>
      <c r="BJ271" s="126"/>
      <c r="BK271" s="30"/>
      <c r="BL271" s="127"/>
      <c r="BM271" s="128"/>
      <c r="BN271" s="123"/>
      <c r="BO271" s="128"/>
      <c r="BP271" s="13"/>
      <c r="BQ271" s="129"/>
      <c r="BR271" s="123"/>
      <c r="BS271" s="130"/>
      <c r="BT271" s="13"/>
      <c r="BU271" s="123"/>
      <c r="BV271" s="131"/>
      <c r="DI271" s="121"/>
      <c r="DJ271" s="13"/>
      <c r="DK271" s="13"/>
      <c r="DL271" s="13"/>
      <c r="DM271" s="13"/>
      <c r="DN271" s="13"/>
      <c r="DO271" s="13"/>
      <c r="DW271" s="121"/>
      <c r="DX271" s="121"/>
      <c r="DY271" s="121"/>
      <c r="DZ271" s="121"/>
      <c r="EA271" s="121"/>
      <c r="EB271" s="121"/>
      <c r="EC271" s="121"/>
      <c r="ED271" s="121"/>
      <c r="EE271" s="121"/>
      <c r="EF271" s="121"/>
      <c r="EG271" s="123"/>
      <c r="EH271" s="127"/>
      <c r="EI271" s="125"/>
      <c r="EJ271" s="126"/>
      <c r="EK271" s="30"/>
      <c r="EL271" s="127"/>
      <c r="EM271" s="128"/>
      <c r="EN271" s="123"/>
      <c r="EO271" s="128"/>
      <c r="EP271" s="13"/>
      <c r="EQ271" s="129"/>
      <c r="ER271" s="123"/>
      <c r="ES271" s="130"/>
      <c r="ET271" s="13"/>
      <c r="EU271" s="123"/>
      <c r="EV271" s="131"/>
    </row>
    <row r="272" spans="30:152">
      <c r="AI272" s="121"/>
      <c r="AJ272" s="13"/>
      <c r="AK272" s="13"/>
      <c r="AL272" s="13"/>
      <c r="AM272" s="13"/>
      <c r="AN272" s="13"/>
      <c r="AO272" s="13"/>
      <c r="AW272" s="121"/>
      <c r="AX272" s="121"/>
      <c r="AY272" s="121"/>
      <c r="AZ272" s="121"/>
      <c r="BA272" s="121"/>
      <c r="BB272" s="121"/>
      <c r="BC272" s="121"/>
      <c r="BD272" s="121"/>
      <c r="BE272" s="121"/>
      <c r="BF272" s="121"/>
      <c r="BG272" s="123"/>
      <c r="BH272" s="127"/>
      <c r="BI272" s="125"/>
      <c r="BJ272" s="126"/>
      <c r="BK272" s="30"/>
      <c r="BL272" s="127"/>
      <c r="BM272" s="128"/>
      <c r="BN272" s="123"/>
      <c r="BO272" s="128"/>
      <c r="BP272" s="13"/>
      <c r="BQ272" s="129"/>
      <c r="BR272" s="123"/>
      <c r="BS272" s="130"/>
      <c r="BT272" s="13"/>
      <c r="BU272" s="123"/>
      <c r="BV272" s="131"/>
      <c r="DI272" s="121"/>
      <c r="DJ272" s="13"/>
      <c r="DK272" s="13"/>
      <c r="DL272" s="13"/>
      <c r="DM272" s="13"/>
      <c r="DN272" s="13"/>
      <c r="DO272" s="13"/>
      <c r="DW272" s="121"/>
      <c r="DX272" s="121"/>
      <c r="DY272" s="121"/>
      <c r="DZ272" s="121"/>
      <c r="EA272" s="121"/>
      <c r="EB272" s="121"/>
      <c r="EC272" s="121"/>
      <c r="ED272" s="121"/>
      <c r="EE272" s="121"/>
      <c r="EF272" s="121"/>
      <c r="EG272" s="123"/>
      <c r="EH272" s="127"/>
      <c r="EI272" s="125"/>
      <c r="EJ272" s="126"/>
      <c r="EK272" s="30"/>
      <c r="EL272" s="127"/>
      <c r="EM272" s="128"/>
      <c r="EN272" s="123"/>
      <c r="EO272" s="128"/>
      <c r="EP272" s="13"/>
      <c r="EQ272" s="129"/>
      <c r="ER272" s="123"/>
      <c r="ES272" s="130"/>
      <c r="ET272" s="13"/>
      <c r="EU272" s="123"/>
      <c r="EV272" s="131"/>
    </row>
    <row r="273" spans="35:152">
      <c r="AI273" s="121"/>
      <c r="AJ273" s="13"/>
      <c r="AK273" s="13"/>
      <c r="AL273" s="13"/>
      <c r="AM273" s="13"/>
      <c r="AN273" s="13"/>
      <c r="AO273" s="13"/>
      <c r="AW273" s="121"/>
      <c r="AX273" s="121"/>
      <c r="AY273" s="121"/>
      <c r="AZ273" s="121"/>
      <c r="BA273" s="121"/>
      <c r="BB273" s="121"/>
      <c r="BC273" s="121"/>
      <c r="BD273" s="121"/>
      <c r="BE273" s="121"/>
      <c r="BF273" s="121"/>
      <c r="BG273" s="123"/>
      <c r="BH273" s="127"/>
      <c r="BI273" s="125"/>
      <c r="BJ273" s="126"/>
      <c r="BK273" s="30"/>
      <c r="BL273" s="127"/>
      <c r="BM273" s="128"/>
      <c r="BN273" s="123"/>
      <c r="BO273" s="128"/>
      <c r="BP273" s="13"/>
      <c r="BQ273" s="129"/>
      <c r="BR273" s="123"/>
      <c r="BS273" s="130"/>
      <c r="BT273" s="13"/>
      <c r="BU273" s="123"/>
      <c r="BV273" s="131"/>
      <c r="DI273" s="121"/>
      <c r="DJ273" s="13"/>
      <c r="DK273" s="13"/>
      <c r="DL273" s="13"/>
      <c r="DM273" s="13"/>
      <c r="DN273" s="13"/>
      <c r="DO273" s="13"/>
      <c r="DW273" s="121"/>
      <c r="DX273" s="121"/>
      <c r="DY273" s="121"/>
      <c r="DZ273" s="121"/>
      <c r="EA273" s="121"/>
      <c r="EB273" s="121"/>
      <c r="EC273" s="121"/>
      <c r="ED273" s="121"/>
      <c r="EE273" s="121"/>
      <c r="EF273" s="121"/>
      <c r="EG273" s="123"/>
      <c r="EH273" s="127"/>
      <c r="EI273" s="125"/>
      <c r="EJ273" s="126"/>
      <c r="EK273" s="30"/>
      <c r="EL273" s="127"/>
      <c r="EM273" s="128"/>
      <c r="EN273" s="123"/>
      <c r="EO273" s="128"/>
      <c r="EP273" s="13"/>
      <c r="EQ273" s="129"/>
      <c r="ER273" s="123"/>
      <c r="ES273" s="130"/>
      <c r="ET273" s="13"/>
      <c r="EU273" s="123"/>
      <c r="EV273" s="131"/>
    </row>
    <row r="274" spans="35:152">
      <c r="AI274" s="121"/>
      <c r="AJ274" s="13"/>
      <c r="AK274" s="13"/>
      <c r="AL274" s="13"/>
      <c r="AM274" s="13"/>
      <c r="AN274" s="13"/>
      <c r="AO274" s="13"/>
      <c r="AW274" s="121"/>
      <c r="AX274" s="121"/>
      <c r="AY274" s="121"/>
      <c r="AZ274" s="121"/>
      <c r="BA274" s="121"/>
      <c r="BB274" s="121"/>
      <c r="BC274" s="121"/>
      <c r="BD274" s="121"/>
      <c r="BE274" s="121"/>
      <c r="BF274" s="121"/>
      <c r="BG274" s="123"/>
      <c r="BH274" s="127"/>
      <c r="BI274" s="125"/>
      <c r="BJ274" s="126"/>
      <c r="BK274" s="30"/>
      <c r="BL274" s="127"/>
      <c r="BM274" s="128"/>
      <c r="BN274" s="123"/>
      <c r="BO274" s="128"/>
      <c r="BP274" s="13"/>
      <c r="BQ274" s="129"/>
      <c r="BR274" s="123"/>
      <c r="BS274" s="130"/>
      <c r="BT274" s="13"/>
      <c r="BU274" s="123"/>
      <c r="BV274" s="131"/>
      <c r="DI274" s="121"/>
      <c r="DJ274" s="13"/>
      <c r="DK274" s="13"/>
      <c r="DL274" s="13"/>
      <c r="DM274" s="13"/>
      <c r="DN274" s="13"/>
      <c r="DO274" s="13"/>
      <c r="DW274" s="121"/>
      <c r="DX274" s="121"/>
      <c r="DY274" s="121"/>
      <c r="DZ274" s="121"/>
      <c r="EA274" s="121"/>
      <c r="EB274" s="121"/>
      <c r="EC274" s="121"/>
      <c r="ED274" s="121"/>
      <c r="EE274" s="121"/>
      <c r="EF274" s="121"/>
      <c r="EG274" s="123"/>
      <c r="EH274" s="127"/>
      <c r="EI274" s="125"/>
      <c r="EJ274" s="126"/>
      <c r="EK274" s="30"/>
      <c r="EL274" s="127"/>
      <c r="EM274" s="128"/>
      <c r="EN274" s="123"/>
      <c r="EO274" s="128"/>
      <c r="EP274" s="13"/>
      <c r="EQ274" s="129"/>
      <c r="ER274" s="123"/>
      <c r="ES274" s="130"/>
      <c r="ET274" s="13"/>
      <c r="EU274" s="123"/>
      <c r="EV274" s="131"/>
    </row>
    <row r="275" spans="35:152">
      <c r="AI275" s="121"/>
      <c r="AJ275" s="13"/>
      <c r="AK275" s="13"/>
      <c r="AL275" s="13"/>
      <c r="AM275" s="13"/>
      <c r="AN275" s="13"/>
      <c r="AO275" s="13"/>
      <c r="AW275" s="121"/>
      <c r="AX275" s="121"/>
      <c r="AY275" s="121"/>
      <c r="AZ275" s="121"/>
      <c r="BA275" s="121"/>
      <c r="BB275" s="121"/>
      <c r="BC275" s="121"/>
      <c r="BD275" s="121"/>
      <c r="BE275" s="121"/>
      <c r="BF275" s="121"/>
      <c r="BG275" s="123"/>
      <c r="BH275" s="127"/>
      <c r="BI275" s="125"/>
      <c r="BJ275" s="126"/>
      <c r="BK275" s="30"/>
      <c r="BL275" s="127"/>
      <c r="BM275" s="128"/>
      <c r="BN275" s="123"/>
      <c r="BO275" s="128"/>
      <c r="BP275" s="13"/>
      <c r="BQ275" s="129"/>
      <c r="BR275" s="123"/>
      <c r="BS275" s="130"/>
      <c r="BT275" s="13"/>
      <c r="BU275" s="123"/>
      <c r="BV275" s="131"/>
      <c r="DI275" s="121"/>
      <c r="DJ275" s="13"/>
      <c r="DK275" s="13"/>
      <c r="DL275" s="13"/>
      <c r="DM275" s="13"/>
      <c r="DN275" s="13"/>
      <c r="DO275" s="13"/>
      <c r="DW275" s="121"/>
      <c r="DX275" s="121"/>
      <c r="DY275" s="121"/>
      <c r="DZ275" s="121"/>
      <c r="EA275" s="121"/>
      <c r="EB275" s="121"/>
      <c r="EC275" s="121"/>
      <c r="ED275" s="121"/>
      <c r="EE275" s="121"/>
      <c r="EF275" s="121"/>
      <c r="EG275" s="123"/>
      <c r="EH275" s="127"/>
      <c r="EI275" s="125"/>
      <c r="EJ275" s="126"/>
      <c r="EK275" s="30"/>
      <c r="EL275" s="127"/>
      <c r="EM275" s="128"/>
      <c r="EN275" s="123"/>
      <c r="EO275" s="128"/>
      <c r="EP275" s="13"/>
      <c r="EQ275" s="129"/>
      <c r="ER275" s="123"/>
      <c r="ES275" s="130"/>
      <c r="ET275" s="13"/>
      <c r="EU275" s="123"/>
      <c r="EV275" s="131"/>
    </row>
    <row r="276" spans="35:152">
      <c r="AI276" s="121"/>
      <c r="AJ276" s="13"/>
      <c r="AK276" s="13"/>
      <c r="AL276" s="13"/>
      <c r="AM276" s="13"/>
      <c r="AN276" s="13"/>
      <c r="AO276" s="13"/>
      <c r="AW276" s="121"/>
      <c r="AX276" s="121"/>
      <c r="AY276" s="121"/>
      <c r="AZ276" s="121"/>
      <c r="BA276" s="121"/>
      <c r="BB276" s="121"/>
      <c r="BC276" s="121"/>
      <c r="BD276" s="121"/>
      <c r="BE276" s="121"/>
      <c r="BF276" s="121"/>
      <c r="BG276" s="123"/>
      <c r="BH276" s="127"/>
      <c r="BI276" s="125"/>
      <c r="BJ276" s="126"/>
      <c r="BK276" s="30"/>
      <c r="BL276" s="127"/>
      <c r="BM276" s="128"/>
      <c r="BN276" s="123"/>
      <c r="BO276" s="128"/>
      <c r="BP276" s="13"/>
      <c r="BQ276" s="129"/>
      <c r="BR276" s="123"/>
      <c r="BS276" s="130"/>
      <c r="BT276" s="13"/>
      <c r="BU276" s="123"/>
      <c r="BV276" s="131"/>
      <c r="DI276" s="121"/>
      <c r="DJ276" s="13"/>
      <c r="DK276" s="13"/>
      <c r="DL276" s="13"/>
      <c r="DM276" s="13"/>
      <c r="DN276" s="13"/>
      <c r="DO276" s="13"/>
      <c r="DW276" s="121"/>
      <c r="DX276" s="121"/>
      <c r="DY276" s="121"/>
      <c r="DZ276" s="121"/>
      <c r="EA276" s="121"/>
      <c r="EB276" s="121"/>
      <c r="EC276" s="121"/>
      <c r="ED276" s="121"/>
      <c r="EE276" s="121"/>
      <c r="EF276" s="121"/>
      <c r="EG276" s="123"/>
      <c r="EH276" s="127"/>
      <c r="EI276" s="125"/>
      <c r="EJ276" s="126"/>
      <c r="EK276" s="30"/>
      <c r="EL276" s="127"/>
      <c r="EM276" s="128"/>
      <c r="EN276" s="123"/>
      <c r="EO276" s="128"/>
      <c r="EP276" s="13"/>
      <c r="EQ276" s="129"/>
      <c r="ER276" s="123"/>
      <c r="ES276" s="130"/>
      <c r="ET276" s="13"/>
      <c r="EU276" s="123"/>
      <c r="EV276" s="131"/>
    </row>
    <row r="277" spans="35:152">
      <c r="AI277" s="121"/>
      <c r="AJ277" s="13"/>
      <c r="AK277" s="13"/>
      <c r="AL277" s="13"/>
      <c r="AM277" s="13"/>
      <c r="AN277" s="13"/>
      <c r="AO277" s="13"/>
      <c r="AW277" s="121"/>
      <c r="AX277" s="121"/>
      <c r="AY277" s="121"/>
      <c r="AZ277" s="121"/>
      <c r="BA277" s="121"/>
      <c r="BB277" s="121"/>
      <c r="BC277" s="121"/>
      <c r="BD277" s="121"/>
      <c r="BE277" s="121"/>
      <c r="BF277" s="121"/>
      <c r="BG277" s="123"/>
      <c r="BH277" s="127"/>
      <c r="BI277" s="125"/>
      <c r="BJ277" s="126"/>
      <c r="BK277" s="30"/>
      <c r="BL277" s="127"/>
      <c r="BM277" s="128"/>
      <c r="BN277" s="123"/>
      <c r="BO277" s="128"/>
      <c r="BP277" s="13"/>
      <c r="BQ277" s="129"/>
      <c r="BR277" s="123"/>
      <c r="BS277" s="130"/>
      <c r="BT277" s="13"/>
      <c r="BU277" s="123"/>
      <c r="BV277" s="131"/>
      <c r="DI277" s="121"/>
      <c r="DJ277" s="13"/>
      <c r="DK277" s="13"/>
      <c r="DL277" s="13"/>
      <c r="DM277" s="13"/>
      <c r="DN277" s="13"/>
      <c r="DO277" s="13"/>
      <c r="DW277" s="121"/>
      <c r="DX277" s="121"/>
      <c r="DY277" s="121"/>
      <c r="DZ277" s="121"/>
      <c r="EA277" s="121"/>
      <c r="EB277" s="121"/>
      <c r="EC277" s="121"/>
      <c r="ED277" s="121"/>
      <c r="EE277" s="121"/>
      <c r="EF277" s="121"/>
      <c r="EG277" s="123"/>
      <c r="EH277" s="127"/>
      <c r="EI277" s="125"/>
      <c r="EJ277" s="126"/>
      <c r="EK277" s="30"/>
      <c r="EL277" s="127"/>
      <c r="EM277" s="128"/>
      <c r="EN277" s="123"/>
      <c r="EO277" s="128"/>
      <c r="EP277" s="13"/>
      <c r="EQ277" s="129"/>
      <c r="ER277" s="123"/>
      <c r="ES277" s="130"/>
      <c r="ET277" s="13"/>
      <c r="EU277" s="123"/>
      <c r="EV277" s="131"/>
    </row>
    <row r="278" spans="35:152">
      <c r="AI278" s="121"/>
      <c r="AJ278" s="13"/>
      <c r="AK278" s="13"/>
      <c r="AL278" s="13"/>
      <c r="AM278" s="13"/>
      <c r="AN278" s="13"/>
      <c r="AO278" s="13"/>
      <c r="AW278" s="121"/>
      <c r="AX278" s="121"/>
      <c r="AY278" s="121"/>
      <c r="AZ278" s="121"/>
      <c r="BA278" s="121"/>
      <c r="BB278" s="121"/>
      <c r="BC278" s="121"/>
      <c r="BD278" s="121"/>
      <c r="BE278" s="121"/>
      <c r="BF278" s="121"/>
      <c r="BG278" s="123"/>
      <c r="BH278" s="127"/>
      <c r="BI278" s="125"/>
      <c r="BJ278" s="126"/>
      <c r="BK278" s="30"/>
      <c r="BL278" s="127"/>
      <c r="BM278" s="128"/>
      <c r="BN278" s="123"/>
      <c r="BO278" s="128"/>
      <c r="BP278" s="13"/>
      <c r="BQ278" s="129"/>
      <c r="BR278" s="123"/>
      <c r="BS278" s="130"/>
      <c r="BT278" s="13"/>
      <c r="BU278" s="123"/>
      <c r="BV278" s="131"/>
      <c r="DI278" s="121"/>
      <c r="DJ278" s="13"/>
      <c r="DK278" s="13"/>
      <c r="DL278" s="13"/>
      <c r="DM278" s="13"/>
      <c r="DN278" s="13"/>
      <c r="DO278" s="13"/>
      <c r="DW278" s="121"/>
      <c r="DX278" s="121"/>
      <c r="DY278" s="121"/>
      <c r="DZ278" s="121"/>
      <c r="EA278" s="121"/>
      <c r="EB278" s="121"/>
      <c r="EC278" s="121"/>
      <c r="ED278" s="121"/>
      <c r="EE278" s="121"/>
      <c r="EF278" s="121"/>
      <c r="EG278" s="123"/>
      <c r="EH278" s="127"/>
      <c r="EI278" s="125"/>
      <c r="EJ278" s="126"/>
      <c r="EK278" s="30"/>
      <c r="EL278" s="127"/>
      <c r="EM278" s="128"/>
      <c r="EN278" s="123"/>
      <c r="EO278" s="128"/>
      <c r="EP278" s="13"/>
      <c r="EQ278" s="129"/>
      <c r="ER278" s="123"/>
      <c r="ES278" s="130"/>
      <c r="ET278" s="13"/>
      <c r="EU278" s="123"/>
      <c r="EV278" s="131"/>
    </row>
    <row r="279" spans="35:152">
      <c r="AI279" s="121"/>
      <c r="AJ279" s="13"/>
      <c r="AK279" s="13"/>
      <c r="AL279" s="13"/>
      <c r="AM279" s="13"/>
      <c r="AN279" s="13"/>
      <c r="AO279" s="13"/>
      <c r="AW279" s="121"/>
      <c r="AX279" s="121"/>
      <c r="AY279" s="121"/>
      <c r="AZ279" s="121"/>
      <c r="BA279" s="121"/>
      <c r="BB279" s="121"/>
      <c r="BC279" s="121"/>
      <c r="BD279" s="121"/>
      <c r="BE279" s="121"/>
      <c r="BF279" s="121"/>
      <c r="BG279" s="123"/>
      <c r="BH279" s="127"/>
      <c r="BI279" s="125"/>
      <c r="BJ279" s="126"/>
      <c r="BK279" s="30"/>
      <c r="BL279" s="127"/>
      <c r="BM279" s="128"/>
      <c r="BN279" s="123"/>
      <c r="BO279" s="128"/>
      <c r="BP279" s="13"/>
      <c r="BQ279" s="129"/>
      <c r="BR279" s="123"/>
      <c r="BS279" s="130"/>
      <c r="BT279" s="13"/>
      <c r="BU279" s="123"/>
      <c r="BV279" s="131"/>
      <c r="DI279" s="121"/>
      <c r="DJ279" s="13"/>
      <c r="DK279" s="13"/>
      <c r="DL279" s="13"/>
      <c r="DM279" s="13"/>
      <c r="DN279" s="13"/>
      <c r="DO279" s="13"/>
      <c r="DW279" s="121"/>
      <c r="DX279" s="121"/>
      <c r="DY279" s="121"/>
      <c r="DZ279" s="121"/>
      <c r="EA279" s="121"/>
      <c r="EB279" s="121"/>
      <c r="EC279" s="121"/>
      <c r="ED279" s="121"/>
      <c r="EE279" s="121"/>
      <c r="EF279" s="121"/>
      <c r="EG279" s="123"/>
      <c r="EH279" s="127"/>
      <c r="EI279" s="125"/>
      <c r="EJ279" s="126"/>
      <c r="EK279" s="30"/>
      <c r="EL279" s="127"/>
      <c r="EM279" s="128"/>
      <c r="EN279" s="123"/>
      <c r="EO279" s="128"/>
      <c r="EP279" s="13"/>
      <c r="EQ279" s="129"/>
      <c r="ER279" s="123"/>
      <c r="ES279" s="130"/>
      <c r="ET279" s="13"/>
      <c r="EU279" s="123"/>
      <c r="EV279" s="131"/>
    </row>
    <row r="280" spans="35:152">
      <c r="AI280" s="121"/>
      <c r="AJ280" s="13"/>
      <c r="AK280" s="13"/>
      <c r="AL280" s="13"/>
      <c r="AM280" s="13"/>
      <c r="AN280" s="13"/>
      <c r="AO280" s="13"/>
      <c r="AW280" s="121"/>
      <c r="AX280" s="121"/>
      <c r="AY280" s="121"/>
      <c r="AZ280" s="121"/>
      <c r="BA280" s="121"/>
      <c r="BB280" s="121"/>
      <c r="BC280" s="121"/>
      <c r="BD280" s="121"/>
      <c r="BE280" s="121"/>
      <c r="BF280" s="121"/>
      <c r="BG280" s="123"/>
      <c r="BH280" s="127"/>
      <c r="BI280" s="125"/>
      <c r="BJ280" s="126"/>
      <c r="BK280" s="30"/>
      <c r="BL280" s="127"/>
      <c r="BM280" s="128"/>
      <c r="BN280" s="123"/>
      <c r="BO280" s="128"/>
      <c r="BP280" s="13"/>
      <c r="BQ280" s="129"/>
      <c r="BR280" s="123"/>
      <c r="BS280" s="130"/>
      <c r="BT280" s="13"/>
      <c r="BU280" s="123"/>
      <c r="BV280" s="131"/>
      <c r="DI280" s="121"/>
      <c r="DJ280" s="13"/>
      <c r="DK280" s="13"/>
      <c r="DL280" s="13"/>
      <c r="DM280" s="13"/>
      <c r="DN280" s="13"/>
      <c r="DO280" s="13"/>
      <c r="DW280" s="121"/>
      <c r="DX280" s="121"/>
      <c r="DY280" s="121"/>
      <c r="DZ280" s="121"/>
      <c r="EA280" s="121"/>
      <c r="EB280" s="121"/>
      <c r="EC280" s="121"/>
      <c r="ED280" s="121"/>
      <c r="EE280" s="121"/>
      <c r="EF280" s="121"/>
      <c r="EG280" s="123"/>
      <c r="EH280" s="127"/>
      <c r="EI280" s="125"/>
      <c r="EJ280" s="126"/>
      <c r="EK280" s="30"/>
      <c r="EL280" s="127"/>
      <c r="EM280" s="128"/>
      <c r="EN280" s="123"/>
      <c r="EO280" s="128"/>
      <c r="EP280" s="13"/>
      <c r="EQ280" s="129"/>
      <c r="ER280" s="123"/>
      <c r="ES280" s="130"/>
      <c r="ET280" s="13"/>
      <c r="EU280" s="123"/>
      <c r="EV280" s="131"/>
    </row>
    <row r="281" spans="35:152">
      <c r="AI281" s="121"/>
      <c r="AJ281" s="13"/>
      <c r="AK281" s="13"/>
      <c r="AL281" s="13"/>
      <c r="AM281" s="13"/>
      <c r="AN281" s="13"/>
      <c r="AO281" s="13"/>
      <c r="AW281" s="121"/>
      <c r="AX281" s="121"/>
      <c r="AY281" s="121"/>
      <c r="AZ281" s="121"/>
      <c r="BA281" s="121"/>
      <c r="BB281" s="121"/>
      <c r="BC281" s="121"/>
      <c r="BD281" s="121"/>
      <c r="BE281" s="121"/>
      <c r="BF281" s="121"/>
      <c r="BG281" s="123"/>
      <c r="BH281" s="127"/>
      <c r="BI281" s="125"/>
      <c r="BJ281" s="126"/>
      <c r="BK281" s="30"/>
      <c r="BL281" s="127"/>
      <c r="BM281" s="128"/>
      <c r="BN281" s="123"/>
      <c r="BO281" s="128"/>
      <c r="BP281" s="13"/>
      <c r="BQ281" s="129"/>
      <c r="BR281" s="123"/>
      <c r="BS281" s="130"/>
      <c r="BT281" s="13"/>
      <c r="BU281" s="123"/>
      <c r="BV281" s="131"/>
      <c r="DI281" s="121"/>
      <c r="DJ281" s="13"/>
      <c r="DK281" s="13"/>
      <c r="DL281" s="13"/>
      <c r="DM281" s="13"/>
      <c r="DN281" s="13"/>
      <c r="DO281" s="13"/>
      <c r="DW281" s="121"/>
      <c r="DX281" s="121"/>
      <c r="DY281" s="121"/>
      <c r="DZ281" s="121"/>
      <c r="EA281" s="121"/>
      <c r="EB281" s="121"/>
      <c r="EC281" s="121"/>
      <c r="ED281" s="121"/>
      <c r="EE281" s="121"/>
      <c r="EF281" s="121"/>
      <c r="EG281" s="123"/>
      <c r="EH281" s="127"/>
      <c r="EI281" s="125"/>
      <c r="EJ281" s="126"/>
      <c r="EK281" s="30"/>
      <c r="EL281" s="127"/>
      <c r="EM281" s="128"/>
      <c r="EN281" s="123"/>
      <c r="EO281" s="128"/>
      <c r="EP281" s="13"/>
      <c r="EQ281" s="129"/>
      <c r="ER281" s="123"/>
      <c r="ES281" s="130"/>
      <c r="ET281" s="13"/>
      <c r="EU281" s="123"/>
      <c r="EV281" s="131"/>
    </row>
    <row r="282" spans="35:152">
      <c r="AI282" s="121"/>
      <c r="AJ282" s="13"/>
      <c r="AK282" s="13"/>
      <c r="AL282" s="13"/>
      <c r="AM282" s="13"/>
      <c r="AN282" s="13"/>
      <c r="AO282" s="13"/>
      <c r="AW282" s="121"/>
      <c r="AX282" s="121"/>
      <c r="AY282" s="121"/>
      <c r="AZ282" s="121"/>
      <c r="BA282" s="121"/>
      <c r="BB282" s="121"/>
      <c r="BC282" s="121"/>
      <c r="BD282" s="121"/>
      <c r="BE282" s="121"/>
      <c r="BF282" s="121"/>
      <c r="BG282" s="123"/>
      <c r="BH282" s="127"/>
      <c r="BI282" s="125"/>
      <c r="BJ282" s="126"/>
      <c r="BK282" s="30"/>
      <c r="BL282" s="127"/>
      <c r="BM282" s="128"/>
      <c r="BN282" s="123"/>
      <c r="BO282" s="128"/>
      <c r="BP282" s="13"/>
      <c r="BQ282" s="129"/>
      <c r="BR282" s="123"/>
      <c r="BS282" s="130"/>
      <c r="BT282" s="13"/>
      <c r="BU282" s="123"/>
      <c r="BV282" s="131"/>
      <c r="DI282" s="121"/>
      <c r="DJ282" s="13"/>
      <c r="DK282" s="13"/>
      <c r="DL282" s="13"/>
      <c r="DM282" s="13"/>
      <c r="DN282" s="13"/>
      <c r="DO282" s="13"/>
      <c r="DW282" s="121"/>
      <c r="DX282" s="121"/>
      <c r="DY282" s="121"/>
      <c r="DZ282" s="121"/>
      <c r="EA282" s="121"/>
      <c r="EB282" s="121"/>
      <c r="EC282" s="121"/>
      <c r="ED282" s="121"/>
      <c r="EE282" s="121"/>
      <c r="EF282" s="121"/>
      <c r="EG282" s="123"/>
      <c r="EH282" s="127"/>
      <c r="EI282" s="125"/>
      <c r="EJ282" s="126"/>
      <c r="EK282" s="30"/>
      <c r="EL282" s="127"/>
      <c r="EM282" s="128"/>
      <c r="EN282" s="123"/>
      <c r="EO282" s="128"/>
      <c r="EP282" s="13"/>
      <c r="EQ282" s="129"/>
      <c r="ER282" s="123"/>
      <c r="ES282" s="130"/>
      <c r="ET282" s="13"/>
      <c r="EU282" s="123"/>
      <c r="EV282" s="131"/>
    </row>
    <row r="283" spans="35:152">
      <c r="AI283" s="121"/>
      <c r="AJ283" s="13"/>
      <c r="AK283" s="13"/>
      <c r="AL283" s="13"/>
      <c r="AM283" s="13"/>
      <c r="AN283" s="13"/>
      <c r="AO283" s="13"/>
      <c r="AW283" s="121"/>
      <c r="AX283" s="121"/>
      <c r="AY283" s="121"/>
      <c r="AZ283" s="121"/>
      <c r="BA283" s="121"/>
      <c r="BB283" s="121"/>
      <c r="BC283" s="121"/>
      <c r="BD283" s="121"/>
      <c r="BE283" s="121"/>
      <c r="BF283" s="121"/>
      <c r="BG283" s="123"/>
      <c r="BH283" s="127"/>
      <c r="BI283" s="125"/>
      <c r="BJ283" s="126"/>
      <c r="BK283" s="30"/>
      <c r="BL283" s="127"/>
      <c r="BM283" s="128"/>
      <c r="BN283" s="123"/>
      <c r="BO283" s="128"/>
      <c r="BP283" s="13"/>
      <c r="BQ283" s="129"/>
      <c r="BR283" s="123"/>
      <c r="BS283" s="130"/>
      <c r="BT283" s="13"/>
      <c r="BU283" s="123"/>
      <c r="BV283" s="131"/>
      <c r="DI283" s="121"/>
      <c r="DJ283" s="13"/>
      <c r="DK283" s="13"/>
      <c r="DL283" s="13"/>
      <c r="DM283" s="13"/>
      <c r="DN283" s="13"/>
      <c r="DO283" s="13"/>
      <c r="DW283" s="121"/>
      <c r="DX283" s="121"/>
      <c r="DY283" s="121"/>
      <c r="DZ283" s="121"/>
      <c r="EA283" s="121"/>
      <c r="EB283" s="121"/>
      <c r="EC283" s="121"/>
      <c r="ED283" s="121"/>
      <c r="EE283" s="121"/>
      <c r="EF283" s="121"/>
      <c r="EG283" s="123"/>
      <c r="EH283" s="127"/>
      <c r="EI283" s="125"/>
      <c r="EJ283" s="126"/>
      <c r="EK283" s="30"/>
      <c r="EL283" s="127"/>
      <c r="EM283" s="128"/>
      <c r="EN283" s="123"/>
      <c r="EO283" s="128"/>
      <c r="EP283" s="13"/>
      <c r="EQ283" s="129"/>
      <c r="ER283" s="123"/>
      <c r="ES283" s="130"/>
      <c r="ET283" s="13"/>
      <c r="EU283" s="123"/>
      <c r="EV283" s="131"/>
    </row>
    <row r="284" spans="35:152">
      <c r="AI284" s="121"/>
      <c r="AJ284" s="13"/>
      <c r="AK284" s="13"/>
      <c r="AL284" s="13"/>
      <c r="AM284" s="13"/>
      <c r="AN284" s="13"/>
      <c r="AO284" s="13"/>
      <c r="AW284" s="121"/>
      <c r="AX284" s="121"/>
      <c r="AY284" s="121"/>
      <c r="AZ284" s="121"/>
      <c r="BA284" s="121"/>
      <c r="BB284" s="121"/>
      <c r="BC284" s="121"/>
      <c r="BD284" s="121"/>
      <c r="BE284" s="121"/>
      <c r="BF284" s="121"/>
      <c r="BG284" s="123"/>
      <c r="BH284" s="127"/>
      <c r="BI284" s="125"/>
      <c r="BJ284" s="126"/>
      <c r="BK284" s="30"/>
      <c r="BL284" s="127"/>
      <c r="BM284" s="128"/>
      <c r="BN284" s="123"/>
      <c r="BO284" s="128"/>
      <c r="BP284" s="13"/>
      <c r="BQ284" s="129"/>
      <c r="BR284" s="123"/>
      <c r="BS284" s="130"/>
      <c r="BT284" s="13"/>
      <c r="BU284" s="123"/>
      <c r="BV284" s="131"/>
      <c r="DI284" s="121"/>
      <c r="DJ284" s="13"/>
      <c r="DK284" s="13"/>
      <c r="DL284" s="13"/>
      <c r="DM284" s="13"/>
      <c r="DN284" s="13"/>
      <c r="DO284" s="13"/>
      <c r="DW284" s="121"/>
      <c r="DX284" s="121"/>
      <c r="DY284" s="121"/>
      <c r="DZ284" s="121"/>
      <c r="EA284" s="121"/>
      <c r="EB284" s="121"/>
      <c r="EC284" s="121"/>
      <c r="ED284" s="121"/>
      <c r="EE284" s="121"/>
      <c r="EF284" s="121"/>
      <c r="EG284" s="123"/>
      <c r="EH284" s="127"/>
      <c r="EI284" s="125"/>
      <c r="EJ284" s="126"/>
      <c r="EK284" s="30"/>
      <c r="EL284" s="127"/>
      <c r="EM284" s="128"/>
      <c r="EN284" s="123"/>
      <c r="EO284" s="128"/>
      <c r="EP284" s="13"/>
      <c r="EQ284" s="129"/>
      <c r="ER284" s="123"/>
      <c r="ES284" s="130"/>
      <c r="ET284" s="13"/>
      <c r="EU284" s="123"/>
      <c r="EV284" s="131"/>
    </row>
    <row r="285" spans="35:152">
      <c r="AI285" s="121"/>
      <c r="AJ285" s="13"/>
      <c r="AK285" s="13"/>
      <c r="AL285" s="13"/>
      <c r="AM285" s="13"/>
      <c r="AN285" s="13"/>
      <c r="AO285" s="13"/>
      <c r="AW285" s="121"/>
      <c r="AX285" s="121"/>
      <c r="AY285" s="121"/>
      <c r="AZ285" s="121"/>
      <c r="BA285" s="121"/>
      <c r="BB285" s="121"/>
      <c r="BC285" s="121"/>
      <c r="BD285" s="121"/>
      <c r="BE285" s="121"/>
      <c r="BF285" s="121"/>
      <c r="BG285" s="123"/>
      <c r="BH285" s="127"/>
      <c r="BI285" s="125"/>
      <c r="BJ285" s="126"/>
      <c r="BK285" s="30"/>
      <c r="BL285" s="127"/>
      <c r="BM285" s="128"/>
      <c r="BN285" s="123"/>
      <c r="BO285" s="128"/>
      <c r="BP285" s="13"/>
      <c r="BQ285" s="129"/>
      <c r="BR285" s="123"/>
      <c r="BS285" s="130"/>
      <c r="BT285" s="13"/>
      <c r="BU285" s="123"/>
      <c r="BV285" s="131"/>
      <c r="DI285" s="121"/>
      <c r="DJ285" s="13"/>
      <c r="DK285" s="13"/>
      <c r="DL285" s="13"/>
      <c r="DM285" s="13"/>
      <c r="DN285" s="13"/>
      <c r="DO285" s="13"/>
      <c r="DW285" s="121"/>
      <c r="DX285" s="121"/>
      <c r="DY285" s="121"/>
      <c r="DZ285" s="121"/>
      <c r="EA285" s="121"/>
      <c r="EB285" s="121"/>
      <c r="EC285" s="121"/>
      <c r="ED285" s="121"/>
      <c r="EE285" s="121"/>
      <c r="EF285" s="121"/>
      <c r="EG285" s="123"/>
      <c r="EH285" s="127"/>
      <c r="EI285" s="125"/>
      <c r="EJ285" s="126"/>
      <c r="EK285" s="30"/>
      <c r="EL285" s="127"/>
      <c r="EM285" s="128"/>
      <c r="EN285" s="123"/>
      <c r="EO285" s="128"/>
      <c r="EP285" s="13"/>
      <c r="EQ285" s="129"/>
      <c r="ER285" s="123"/>
      <c r="ES285" s="130"/>
      <c r="ET285" s="13"/>
      <c r="EU285" s="123"/>
      <c r="EV285" s="131"/>
    </row>
    <row r="286" spans="35:152">
      <c r="AI286" s="121"/>
      <c r="AJ286" s="13"/>
      <c r="AK286" s="13"/>
      <c r="AL286" s="13"/>
      <c r="AM286" s="13"/>
      <c r="AN286" s="13"/>
      <c r="AO286" s="13"/>
      <c r="AW286" s="121"/>
      <c r="AX286" s="121"/>
      <c r="AY286" s="121"/>
      <c r="AZ286" s="121"/>
      <c r="BA286" s="121"/>
      <c r="BB286" s="121"/>
      <c r="BC286" s="121"/>
      <c r="BD286" s="121"/>
      <c r="BE286" s="121"/>
      <c r="BF286" s="121"/>
      <c r="BG286" s="123"/>
      <c r="BH286" s="127"/>
      <c r="BI286" s="125"/>
      <c r="BJ286" s="126"/>
      <c r="BK286" s="30"/>
      <c r="BL286" s="127"/>
      <c r="BM286" s="128"/>
      <c r="BN286" s="123"/>
      <c r="BO286" s="128"/>
      <c r="BP286" s="13"/>
      <c r="BQ286" s="129"/>
      <c r="BR286" s="123"/>
      <c r="BS286" s="130"/>
      <c r="BT286" s="13"/>
      <c r="BU286" s="123"/>
      <c r="BV286" s="131"/>
      <c r="DI286" s="121"/>
      <c r="DJ286" s="13"/>
      <c r="DK286" s="13"/>
      <c r="DL286" s="13"/>
      <c r="DM286" s="13"/>
      <c r="DN286" s="13"/>
      <c r="DO286" s="13"/>
      <c r="DW286" s="121"/>
      <c r="DX286" s="121"/>
      <c r="DY286" s="121"/>
      <c r="DZ286" s="121"/>
      <c r="EA286" s="121"/>
      <c r="EB286" s="121"/>
      <c r="EC286" s="121"/>
      <c r="ED286" s="121"/>
      <c r="EE286" s="121"/>
      <c r="EF286" s="121"/>
      <c r="EG286" s="123"/>
      <c r="EH286" s="127"/>
      <c r="EI286" s="125"/>
      <c r="EJ286" s="126"/>
      <c r="EK286" s="30"/>
      <c r="EL286" s="127"/>
      <c r="EM286" s="128"/>
      <c r="EN286" s="123"/>
      <c r="EO286" s="128"/>
      <c r="EP286" s="13"/>
      <c r="EQ286" s="129"/>
      <c r="ER286" s="123"/>
      <c r="ES286" s="130"/>
      <c r="ET286" s="13"/>
      <c r="EU286" s="123"/>
      <c r="EV286" s="131"/>
    </row>
    <row r="287" spans="35:152">
      <c r="AI287" s="121"/>
      <c r="AJ287" s="13"/>
      <c r="AK287" s="13"/>
      <c r="AL287" s="13"/>
      <c r="AM287" s="13"/>
      <c r="AN287" s="13"/>
      <c r="AO287" s="13"/>
      <c r="AW287" s="121"/>
      <c r="AX287" s="121"/>
      <c r="AY287" s="121"/>
      <c r="AZ287" s="121"/>
      <c r="BA287" s="121"/>
      <c r="BB287" s="121"/>
      <c r="BC287" s="121"/>
      <c r="BD287" s="121"/>
      <c r="BE287" s="121"/>
      <c r="BF287" s="121"/>
      <c r="BG287" s="123"/>
      <c r="BH287" s="127"/>
      <c r="BI287" s="125"/>
      <c r="BJ287" s="126"/>
      <c r="BK287" s="30"/>
      <c r="BL287" s="127"/>
      <c r="BM287" s="128"/>
      <c r="BN287" s="123"/>
      <c r="BO287" s="128"/>
      <c r="BP287" s="13"/>
      <c r="BQ287" s="129"/>
      <c r="BR287" s="123"/>
      <c r="BS287" s="130"/>
      <c r="BT287" s="13"/>
      <c r="BU287" s="123"/>
      <c r="BV287" s="131"/>
      <c r="DI287" s="121"/>
      <c r="DJ287" s="13"/>
      <c r="DK287" s="13"/>
      <c r="DL287" s="13"/>
      <c r="DM287" s="13"/>
      <c r="DN287" s="13"/>
      <c r="DO287" s="13"/>
      <c r="DW287" s="121"/>
      <c r="DX287" s="121"/>
      <c r="DY287" s="121"/>
      <c r="DZ287" s="121"/>
      <c r="EA287" s="121"/>
      <c r="EB287" s="121"/>
      <c r="EC287" s="121"/>
      <c r="ED287" s="121"/>
      <c r="EE287" s="121"/>
      <c r="EF287" s="121"/>
      <c r="EG287" s="123"/>
      <c r="EH287" s="127"/>
      <c r="EI287" s="125"/>
      <c r="EJ287" s="126"/>
      <c r="EK287" s="30"/>
      <c r="EL287" s="127"/>
      <c r="EM287" s="128"/>
      <c r="EN287" s="123"/>
      <c r="EO287" s="128"/>
      <c r="EP287" s="13"/>
      <c r="EQ287" s="129"/>
      <c r="ER287" s="123"/>
      <c r="ES287" s="130"/>
      <c r="ET287" s="13"/>
      <c r="EU287" s="123"/>
      <c r="EV287" s="131"/>
    </row>
    <row r="288" spans="35:152">
      <c r="AI288" s="121"/>
      <c r="AJ288" s="13"/>
      <c r="AK288" s="13"/>
      <c r="AL288" s="13"/>
      <c r="AM288" s="13"/>
      <c r="AN288" s="13"/>
      <c r="AO288" s="13"/>
      <c r="AW288" s="121"/>
      <c r="AX288" s="121"/>
      <c r="AY288" s="121"/>
      <c r="AZ288" s="121"/>
      <c r="BA288" s="121"/>
      <c r="BB288" s="121"/>
      <c r="BC288" s="121"/>
      <c r="BD288" s="121"/>
      <c r="BE288" s="121"/>
      <c r="BF288" s="121"/>
      <c r="BG288" s="123"/>
      <c r="BH288" s="127"/>
      <c r="BI288" s="125"/>
      <c r="BJ288" s="126"/>
      <c r="BK288" s="30"/>
      <c r="BL288" s="127"/>
      <c r="BM288" s="128"/>
      <c r="BN288" s="123"/>
      <c r="BO288" s="128"/>
      <c r="BP288" s="13"/>
      <c r="BQ288" s="129"/>
      <c r="BR288" s="123"/>
      <c r="BS288" s="130"/>
      <c r="BT288" s="13"/>
      <c r="BU288" s="123"/>
      <c r="BV288" s="131"/>
      <c r="DI288" s="121"/>
      <c r="DJ288" s="13"/>
      <c r="DK288" s="13"/>
      <c r="DL288" s="13"/>
      <c r="DM288" s="13"/>
      <c r="DN288" s="13"/>
      <c r="DO288" s="13"/>
      <c r="DW288" s="121"/>
      <c r="DX288" s="121"/>
      <c r="DY288" s="121"/>
      <c r="DZ288" s="121"/>
      <c r="EA288" s="121"/>
      <c r="EB288" s="121"/>
      <c r="EC288" s="121"/>
      <c r="ED288" s="121"/>
      <c r="EE288" s="121"/>
      <c r="EF288" s="121"/>
      <c r="EG288" s="123"/>
      <c r="EH288" s="127"/>
      <c r="EI288" s="125"/>
      <c r="EJ288" s="126"/>
      <c r="EK288" s="30"/>
      <c r="EL288" s="127"/>
      <c r="EM288" s="128"/>
      <c r="EN288" s="123"/>
      <c r="EO288" s="128"/>
      <c r="EP288" s="13"/>
      <c r="EQ288" s="129"/>
      <c r="ER288" s="123"/>
      <c r="ES288" s="130"/>
      <c r="ET288" s="13"/>
      <c r="EU288" s="123"/>
      <c r="EV288" s="131"/>
    </row>
    <row r="289" spans="35:152">
      <c r="AI289" s="121"/>
      <c r="AJ289" s="13"/>
      <c r="AK289" s="13"/>
      <c r="AL289" s="13"/>
      <c r="AM289" s="13"/>
      <c r="AN289" s="13"/>
      <c r="AO289" s="13"/>
      <c r="AW289" s="121"/>
      <c r="AX289" s="121"/>
      <c r="AY289" s="121"/>
      <c r="AZ289" s="121"/>
      <c r="BA289" s="121"/>
      <c r="BB289" s="121"/>
      <c r="BC289" s="121"/>
      <c r="BD289" s="121"/>
      <c r="BE289" s="121"/>
      <c r="BF289" s="121"/>
      <c r="BG289" s="123"/>
      <c r="BH289" s="127"/>
      <c r="BI289" s="125"/>
      <c r="BJ289" s="126"/>
      <c r="BK289" s="30"/>
      <c r="BL289" s="127"/>
      <c r="BM289" s="128"/>
      <c r="BN289" s="123"/>
      <c r="BO289" s="128"/>
      <c r="BP289" s="13"/>
      <c r="BQ289" s="129"/>
      <c r="BR289" s="123"/>
      <c r="BS289" s="130"/>
      <c r="BT289" s="13"/>
      <c r="BU289" s="123"/>
      <c r="BV289" s="131"/>
      <c r="DI289" s="121"/>
      <c r="DJ289" s="13"/>
      <c r="DK289" s="13"/>
      <c r="DL289" s="13"/>
      <c r="DM289" s="13"/>
      <c r="DN289" s="13"/>
      <c r="DO289" s="13"/>
      <c r="DW289" s="121"/>
      <c r="DX289" s="121"/>
      <c r="DY289" s="121"/>
      <c r="DZ289" s="121"/>
      <c r="EA289" s="121"/>
      <c r="EB289" s="121"/>
      <c r="EC289" s="121"/>
      <c r="ED289" s="121"/>
      <c r="EE289" s="121"/>
      <c r="EF289" s="121"/>
      <c r="EG289" s="123"/>
      <c r="EH289" s="127"/>
      <c r="EI289" s="125"/>
      <c r="EJ289" s="126"/>
      <c r="EK289" s="30"/>
      <c r="EL289" s="127"/>
      <c r="EM289" s="128"/>
      <c r="EN289" s="123"/>
      <c r="EO289" s="128"/>
      <c r="EP289" s="13"/>
      <c r="EQ289" s="129"/>
      <c r="ER289" s="123"/>
      <c r="ES289" s="130"/>
      <c r="ET289" s="13"/>
      <c r="EU289" s="123"/>
      <c r="EV289" s="131"/>
    </row>
    <row r="290" spans="35:152">
      <c r="AI290" s="121"/>
      <c r="AJ290" s="13"/>
      <c r="AK290" s="13"/>
      <c r="AL290" s="13"/>
      <c r="AM290" s="13"/>
      <c r="AN290" s="13"/>
      <c r="AO290" s="13"/>
      <c r="AW290" s="121"/>
      <c r="AX290" s="121"/>
      <c r="AY290" s="121"/>
      <c r="AZ290" s="121"/>
      <c r="BA290" s="121"/>
      <c r="BB290" s="121"/>
      <c r="BC290" s="121"/>
      <c r="BD290" s="121"/>
      <c r="BE290" s="121"/>
      <c r="BF290" s="121"/>
      <c r="BG290" s="123"/>
      <c r="BH290" s="127"/>
      <c r="BI290" s="125"/>
      <c r="BJ290" s="126"/>
      <c r="BK290" s="30"/>
      <c r="BL290" s="127"/>
      <c r="BM290" s="128"/>
      <c r="BN290" s="123"/>
      <c r="BO290" s="128"/>
      <c r="BP290" s="13"/>
      <c r="BQ290" s="129"/>
      <c r="BR290" s="123"/>
      <c r="BS290" s="130"/>
      <c r="BT290" s="13"/>
      <c r="BU290" s="123"/>
      <c r="BV290" s="131"/>
      <c r="DI290" s="121"/>
      <c r="DJ290" s="13"/>
      <c r="DK290" s="13"/>
      <c r="DL290" s="13"/>
      <c r="DM290" s="13"/>
      <c r="DN290" s="13"/>
      <c r="DO290" s="13"/>
      <c r="DW290" s="121"/>
      <c r="DX290" s="121"/>
      <c r="DY290" s="121"/>
      <c r="DZ290" s="121"/>
      <c r="EA290" s="121"/>
      <c r="EB290" s="121"/>
      <c r="EC290" s="121"/>
      <c r="ED290" s="121"/>
      <c r="EE290" s="121"/>
      <c r="EF290" s="121"/>
      <c r="EG290" s="123"/>
      <c r="EH290" s="127"/>
      <c r="EI290" s="125"/>
      <c r="EJ290" s="126"/>
      <c r="EK290" s="30"/>
      <c r="EL290" s="127"/>
      <c r="EM290" s="128"/>
      <c r="EN290" s="123"/>
      <c r="EO290" s="128"/>
      <c r="EP290" s="13"/>
      <c r="EQ290" s="129"/>
      <c r="ER290" s="123"/>
      <c r="ES290" s="130"/>
      <c r="ET290" s="13"/>
      <c r="EU290" s="123"/>
      <c r="EV290" s="131"/>
    </row>
    <row r="291" spans="35:152">
      <c r="AI291" s="121"/>
      <c r="AJ291" s="13"/>
      <c r="AK291" s="13"/>
      <c r="AL291" s="13"/>
      <c r="AM291" s="13"/>
      <c r="AN291" s="13"/>
      <c r="AO291" s="13"/>
      <c r="AW291" s="121"/>
      <c r="AX291" s="121"/>
      <c r="AY291" s="121"/>
      <c r="AZ291" s="121"/>
      <c r="BA291" s="121"/>
      <c r="BB291" s="121"/>
      <c r="BC291" s="121"/>
      <c r="BD291" s="121"/>
      <c r="BE291" s="121"/>
      <c r="BF291" s="121"/>
      <c r="BG291" s="123"/>
      <c r="BH291" s="127"/>
      <c r="BI291" s="125"/>
      <c r="BJ291" s="126"/>
      <c r="BK291" s="30"/>
      <c r="BL291" s="127"/>
      <c r="BM291" s="128"/>
      <c r="BN291" s="123"/>
      <c r="BO291" s="128"/>
      <c r="BP291" s="13"/>
      <c r="BQ291" s="129"/>
      <c r="BR291" s="123"/>
      <c r="BS291" s="130"/>
      <c r="BT291" s="13"/>
      <c r="BU291" s="123"/>
      <c r="BV291" s="131"/>
      <c r="DI291" s="121"/>
      <c r="DJ291" s="13"/>
      <c r="DK291" s="13"/>
      <c r="DL291" s="13"/>
      <c r="DM291" s="13"/>
      <c r="DN291" s="13"/>
      <c r="DO291" s="13"/>
      <c r="DW291" s="121"/>
      <c r="DX291" s="121"/>
      <c r="DY291" s="121"/>
      <c r="DZ291" s="121"/>
      <c r="EA291" s="121"/>
      <c r="EB291" s="121"/>
      <c r="EC291" s="121"/>
      <c r="ED291" s="121"/>
      <c r="EE291" s="121"/>
      <c r="EF291" s="121"/>
      <c r="EG291" s="123"/>
      <c r="EH291" s="127"/>
      <c r="EI291" s="125"/>
      <c r="EJ291" s="126"/>
      <c r="EK291" s="30"/>
      <c r="EL291" s="127"/>
      <c r="EM291" s="128"/>
      <c r="EN291" s="123"/>
      <c r="EO291" s="128"/>
      <c r="EP291" s="13"/>
      <c r="EQ291" s="129"/>
      <c r="ER291" s="123"/>
      <c r="ES291" s="130"/>
      <c r="ET291" s="13"/>
      <c r="EU291" s="123"/>
      <c r="EV291" s="131"/>
    </row>
    <row r="292" spans="35:152">
      <c r="AI292" s="121"/>
      <c r="AJ292" s="13"/>
      <c r="AK292" s="13"/>
      <c r="AL292" s="13"/>
      <c r="AM292" s="13"/>
      <c r="AN292" s="13"/>
      <c r="AO292" s="13"/>
      <c r="AW292" s="121"/>
      <c r="AX292" s="121"/>
      <c r="AY292" s="121"/>
      <c r="AZ292" s="121"/>
      <c r="BA292" s="121"/>
      <c r="BB292" s="121"/>
      <c r="BC292" s="121"/>
      <c r="BD292" s="121"/>
      <c r="BE292" s="121"/>
      <c r="BF292" s="121"/>
      <c r="BG292" s="123"/>
      <c r="BH292" s="127"/>
      <c r="BI292" s="125"/>
      <c r="BJ292" s="126"/>
      <c r="BK292" s="30"/>
      <c r="BL292" s="127"/>
      <c r="BM292" s="128"/>
      <c r="BN292" s="123"/>
      <c r="BO292" s="128"/>
      <c r="BP292" s="13"/>
      <c r="BQ292" s="129"/>
      <c r="BR292" s="123"/>
      <c r="BS292" s="130"/>
      <c r="BT292" s="13"/>
      <c r="BU292" s="123"/>
      <c r="BV292" s="131"/>
      <c r="DI292" s="121"/>
      <c r="DJ292" s="13"/>
      <c r="DK292" s="13"/>
      <c r="DL292" s="13"/>
      <c r="DM292" s="13"/>
      <c r="DN292" s="13"/>
      <c r="DO292" s="13"/>
      <c r="DW292" s="121"/>
      <c r="DX292" s="121"/>
      <c r="DY292" s="121"/>
      <c r="DZ292" s="121"/>
      <c r="EA292" s="121"/>
      <c r="EB292" s="121"/>
      <c r="EC292" s="121"/>
      <c r="ED292" s="121"/>
      <c r="EE292" s="121"/>
      <c r="EF292" s="121"/>
      <c r="EG292" s="123"/>
      <c r="EH292" s="127"/>
      <c r="EI292" s="125"/>
      <c r="EJ292" s="126"/>
      <c r="EK292" s="30"/>
      <c r="EL292" s="127"/>
      <c r="EM292" s="128"/>
      <c r="EN292" s="123"/>
      <c r="EO292" s="128"/>
      <c r="EP292" s="13"/>
      <c r="EQ292" s="129"/>
      <c r="ER292" s="123"/>
      <c r="ES292" s="130"/>
      <c r="ET292" s="13"/>
      <c r="EU292" s="123"/>
      <c r="EV292" s="131"/>
    </row>
    <row r="293" spans="35:152">
      <c r="AI293" s="121"/>
      <c r="AJ293" s="13"/>
      <c r="AK293" s="13"/>
      <c r="AL293" s="13"/>
      <c r="AM293" s="13"/>
      <c r="AN293" s="13"/>
      <c r="AO293" s="13"/>
      <c r="AW293" s="121"/>
      <c r="AX293" s="121"/>
      <c r="AY293" s="121"/>
      <c r="AZ293" s="121"/>
      <c r="BA293" s="121"/>
      <c r="BB293" s="121"/>
      <c r="BC293" s="121"/>
      <c r="BD293" s="121"/>
      <c r="BE293" s="121"/>
      <c r="BF293" s="121"/>
      <c r="BG293" s="123"/>
      <c r="BH293" s="127"/>
      <c r="BI293" s="125"/>
      <c r="BJ293" s="126"/>
      <c r="BK293" s="30"/>
      <c r="BL293" s="127"/>
      <c r="BM293" s="128"/>
      <c r="BN293" s="123"/>
      <c r="BO293" s="128"/>
      <c r="BP293" s="13"/>
      <c r="BQ293" s="129"/>
      <c r="BR293" s="123"/>
      <c r="BS293" s="130"/>
      <c r="BT293" s="13"/>
      <c r="BU293" s="123"/>
      <c r="BV293" s="131"/>
      <c r="DI293" s="121"/>
      <c r="DJ293" s="13"/>
      <c r="DK293" s="13"/>
      <c r="DL293" s="13"/>
      <c r="DM293" s="13"/>
      <c r="DN293" s="13"/>
      <c r="DO293" s="13"/>
      <c r="DW293" s="121"/>
      <c r="DX293" s="121"/>
      <c r="DY293" s="121"/>
      <c r="DZ293" s="121"/>
      <c r="EA293" s="121"/>
      <c r="EB293" s="121"/>
      <c r="EC293" s="121"/>
      <c r="ED293" s="121"/>
      <c r="EE293" s="121"/>
      <c r="EF293" s="121"/>
      <c r="EG293" s="123"/>
      <c r="EH293" s="127"/>
      <c r="EI293" s="125"/>
      <c r="EJ293" s="126"/>
      <c r="EK293" s="30"/>
      <c r="EL293" s="127"/>
      <c r="EM293" s="128"/>
      <c r="EN293" s="123"/>
      <c r="EO293" s="128"/>
      <c r="EP293" s="13"/>
      <c r="EQ293" s="129"/>
      <c r="ER293" s="123"/>
      <c r="ES293" s="130"/>
      <c r="ET293" s="13"/>
      <c r="EU293" s="123"/>
      <c r="EV293" s="131"/>
    </row>
    <row r="294" spans="35:152">
      <c r="AI294" s="121"/>
      <c r="AJ294" s="13"/>
      <c r="AK294" s="13"/>
      <c r="AL294" s="13"/>
      <c r="AM294" s="13"/>
      <c r="AN294" s="13"/>
      <c r="AO294" s="13"/>
      <c r="AW294" s="121"/>
      <c r="AX294" s="121"/>
      <c r="AY294" s="121"/>
      <c r="AZ294" s="121"/>
      <c r="BA294" s="121"/>
      <c r="BB294" s="121"/>
      <c r="BC294" s="121"/>
      <c r="BD294" s="121"/>
      <c r="BE294" s="121"/>
      <c r="BF294" s="121"/>
      <c r="BG294" s="123"/>
      <c r="BH294" s="127"/>
      <c r="BI294" s="125"/>
      <c r="BJ294" s="126"/>
      <c r="BK294" s="30"/>
      <c r="BL294" s="127"/>
      <c r="BM294" s="128"/>
      <c r="BN294" s="123"/>
      <c r="BO294" s="128"/>
      <c r="BP294" s="13"/>
      <c r="BQ294" s="129"/>
      <c r="BR294" s="123"/>
      <c r="BS294" s="130"/>
      <c r="BT294" s="13"/>
      <c r="BU294" s="123"/>
      <c r="BV294" s="131"/>
      <c r="DI294" s="121"/>
      <c r="DJ294" s="13"/>
      <c r="DK294" s="13"/>
      <c r="DL294" s="13"/>
      <c r="DM294" s="13"/>
      <c r="DN294" s="13"/>
      <c r="DO294" s="13"/>
      <c r="DW294" s="121"/>
      <c r="DX294" s="121"/>
      <c r="DY294" s="121"/>
      <c r="DZ294" s="121"/>
      <c r="EA294" s="121"/>
      <c r="EB294" s="121"/>
      <c r="EC294" s="121"/>
      <c r="ED294" s="121"/>
      <c r="EE294" s="121"/>
      <c r="EF294" s="121"/>
      <c r="EG294" s="123"/>
      <c r="EH294" s="127"/>
      <c r="EI294" s="125"/>
      <c r="EJ294" s="126"/>
      <c r="EK294" s="30"/>
      <c r="EL294" s="127"/>
      <c r="EM294" s="128"/>
      <c r="EN294" s="123"/>
      <c r="EO294" s="128"/>
      <c r="EP294" s="13"/>
      <c r="EQ294" s="129"/>
      <c r="ER294" s="123"/>
      <c r="ES294" s="130"/>
      <c r="ET294" s="13"/>
      <c r="EU294" s="123"/>
      <c r="EV294" s="131"/>
    </row>
    <row r="295" spans="35:152">
      <c r="AI295" s="121"/>
      <c r="AJ295" s="13"/>
      <c r="AK295" s="13"/>
      <c r="AL295" s="13"/>
      <c r="AM295" s="13"/>
      <c r="AN295" s="13"/>
      <c r="AO295" s="13"/>
      <c r="AW295" s="121"/>
      <c r="AX295" s="121"/>
      <c r="AY295" s="121"/>
      <c r="AZ295" s="121"/>
      <c r="BA295" s="121"/>
      <c r="BB295" s="121"/>
      <c r="BC295" s="121"/>
      <c r="BD295" s="121"/>
      <c r="BE295" s="121"/>
      <c r="BF295" s="121"/>
      <c r="BG295" s="123"/>
      <c r="BH295" s="127"/>
      <c r="BI295" s="125"/>
      <c r="BJ295" s="126"/>
      <c r="BK295" s="30"/>
      <c r="BL295" s="127"/>
      <c r="BM295" s="128"/>
      <c r="BN295" s="123"/>
      <c r="BO295" s="128"/>
      <c r="BP295" s="13"/>
      <c r="BQ295" s="129"/>
      <c r="BR295" s="123"/>
      <c r="BS295" s="130"/>
      <c r="BT295" s="13"/>
      <c r="BU295" s="123"/>
      <c r="BV295" s="131"/>
      <c r="DI295" s="121"/>
      <c r="DJ295" s="13"/>
      <c r="DK295" s="13"/>
      <c r="DL295" s="13"/>
      <c r="DM295" s="13"/>
      <c r="DN295" s="13"/>
      <c r="DO295" s="13"/>
      <c r="DW295" s="121"/>
      <c r="DX295" s="121"/>
      <c r="DY295" s="121"/>
      <c r="DZ295" s="121"/>
      <c r="EA295" s="121"/>
      <c r="EB295" s="121"/>
      <c r="EC295" s="121"/>
      <c r="ED295" s="121"/>
      <c r="EE295" s="121"/>
      <c r="EF295" s="121"/>
      <c r="EG295" s="123"/>
      <c r="EH295" s="127"/>
      <c r="EI295" s="125"/>
      <c r="EJ295" s="126"/>
      <c r="EK295" s="30"/>
      <c r="EL295" s="127"/>
      <c r="EM295" s="128"/>
      <c r="EN295" s="123"/>
      <c r="EO295" s="128"/>
      <c r="EP295" s="13"/>
      <c r="EQ295" s="129"/>
      <c r="ER295" s="123"/>
      <c r="ES295" s="130"/>
      <c r="ET295" s="13"/>
      <c r="EU295" s="123"/>
      <c r="EV295" s="131"/>
    </row>
    <row r="296" spans="35:152">
      <c r="AI296" s="121"/>
      <c r="AJ296" s="13"/>
      <c r="AK296" s="13"/>
      <c r="AL296" s="13"/>
      <c r="AM296" s="13"/>
      <c r="AN296" s="13"/>
      <c r="AO296" s="13"/>
      <c r="AW296" s="121"/>
      <c r="AX296" s="121"/>
      <c r="AY296" s="121"/>
      <c r="AZ296" s="121"/>
      <c r="BA296" s="121"/>
      <c r="BB296" s="121"/>
      <c r="BC296" s="121"/>
      <c r="BD296" s="121"/>
      <c r="BE296" s="121"/>
      <c r="BF296" s="121"/>
      <c r="BG296" s="123"/>
      <c r="BH296" s="127"/>
      <c r="BI296" s="125"/>
      <c r="BJ296" s="126"/>
      <c r="BK296" s="30"/>
      <c r="BL296" s="127"/>
      <c r="BM296" s="128"/>
      <c r="BN296" s="123"/>
      <c r="BO296" s="128"/>
      <c r="BP296" s="13"/>
      <c r="BQ296" s="129"/>
      <c r="BR296" s="123"/>
      <c r="BS296" s="130"/>
      <c r="BT296" s="13"/>
      <c r="BU296" s="123"/>
      <c r="BV296" s="131"/>
      <c r="DI296" s="121"/>
      <c r="DJ296" s="13"/>
      <c r="DK296" s="13"/>
      <c r="DL296" s="13"/>
      <c r="DM296" s="13"/>
      <c r="DN296" s="13"/>
      <c r="DO296" s="13"/>
      <c r="DW296" s="121"/>
      <c r="DX296" s="121"/>
      <c r="DY296" s="121"/>
      <c r="DZ296" s="121"/>
      <c r="EA296" s="121"/>
      <c r="EB296" s="121"/>
      <c r="EC296" s="121"/>
      <c r="ED296" s="121"/>
      <c r="EE296" s="121"/>
      <c r="EF296" s="121"/>
      <c r="EG296" s="123"/>
      <c r="EH296" s="127"/>
      <c r="EI296" s="125"/>
      <c r="EJ296" s="126"/>
      <c r="EK296" s="30"/>
      <c r="EL296" s="127"/>
      <c r="EM296" s="128"/>
      <c r="EN296" s="123"/>
      <c r="EO296" s="128"/>
      <c r="EP296" s="13"/>
      <c r="EQ296" s="129"/>
      <c r="ER296" s="123"/>
      <c r="ES296" s="130"/>
      <c r="ET296" s="13"/>
      <c r="EU296" s="123"/>
      <c r="EV296" s="131"/>
    </row>
    <row r="297" spans="35:152">
      <c r="AI297" s="121"/>
      <c r="AJ297" s="13"/>
      <c r="AK297" s="13"/>
      <c r="AL297" s="13"/>
      <c r="AM297" s="13"/>
      <c r="AN297" s="13"/>
      <c r="AO297" s="13"/>
      <c r="AW297" s="121"/>
      <c r="AX297" s="121"/>
      <c r="AY297" s="121"/>
      <c r="AZ297" s="121"/>
      <c r="BA297" s="121"/>
      <c r="BB297" s="121"/>
      <c r="BC297" s="121"/>
      <c r="BD297" s="121"/>
      <c r="BE297" s="121"/>
      <c r="BF297" s="121"/>
      <c r="BG297" s="123"/>
      <c r="BH297" s="127"/>
      <c r="BI297" s="125"/>
      <c r="BJ297" s="126"/>
      <c r="BK297" s="30"/>
      <c r="BL297" s="127"/>
      <c r="BM297" s="128"/>
      <c r="BN297" s="123"/>
      <c r="BO297" s="128"/>
      <c r="BP297" s="13"/>
      <c r="BQ297" s="129"/>
      <c r="BR297" s="123"/>
      <c r="BS297" s="130"/>
      <c r="BT297" s="13"/>
      <c r="BU297" s="123"/>
      <c r="BV297" s="131"/>
      <c r="DI297" s="121"/>
      <c r="DJ297" s="13"/>
      <c r="DK297" s="13"/>
      <c r="DL297" s="13"/>
      <c r="DM297" s="13"/>
      <c r="DN297" s="13"/>
      <c r="DO297" s="13"/>
      <c r="DW297" s="121"/>
      <c r="DX297" s="121"/>
      <c r="DY297" s="121"/>
      <c r="DZ297" s="121"/>
      <c r="EA297" s="121"/>
      <c r="EB297" s="121"/>
      <c r="EC297" s="121"/>
      <c r="ED297" s="121"/>
      <c r="EE297" s="121"/>
      <c r="EF297" s="121"/>
      <c r="EG297" s="123"/>
      <c r="EH297" s="127"/>
      <c r="EI297" s="125"/>
      <c r="EJ297" s="126"/>
      <c r="EK297" s="30"/>
      <c r="EL297" s="127"/>
      <c r="EM297" s="128"/>
      <c r="EN297" s="123"/>
      <c r="EO297" s="128"/>
      <c r="EP297" s="13"/>
      <c r="EQ297" s="129"/>
      <c r="ER297" s="123"/>
      <c r="ES297" s="130"/>
      <c r="ET297" s="13"/>
      <c r="EU297" s="123"/>
      <c r="EV297" s="131"/>
    </row>
    <row r="298" spans="35:152">
      <c r="AI298" s="121"/>
      <c r="AJ298" s="13"/>
      <c r="AK298" s="13"/>
      <c r="AL298" s="13"/>
      <c r="AM298" s="13"/>
      <c r="AN298" s="13"/>
      <c r="AO298" s="13"/>
      <c r="AW298" s="121"/>
      <c r="AX298" s="121"/>
      <c r="AY298" s="121"/>
      <c r="AZ298" s="121"/>
      <c r="BA298" s="121"/>
      <c r="BB298" s="121"/>
      <c r="BC298" s="121"/>
      <c r="BD298" s="121"/>
      <c r="BE298" s="121"/>
      <c r="BF298" s="121"/>
      <c r="BG298" s="123"/>
      <c r="BH298" s="127"/>
      <c r="BI298" s="125"/>
      <c r="BJ298" s="126"/>
      <c r="BK298" s="30"/>
      <c r="BL298" s="127"/>
      <c r="BM298" s="128"/>
      <c r="BN298" s="123"/>
      <c r="BO298" s="128"/>
      <c r="BP298" s="13"/>
      <c r="BQ298" s="129"/>
      <c r="BR298" s="123"/>
      <c r="BS298" s="130"/>
      <c r="BT298" s="13"/>
      <c r="BU298" s="123"/>
      <c r="BV298" s="131"/>
      <c r="DI298" s="121"/>
      <c r="DJ298" s="13"/>
      <c r="DK298" s="13"/>
      <c r="DL298" s="13"/>
      <c r="DM298" s="13"/>
      <c r="DN298" s="13"/>
      <c r="DO298" s="13"/>
      <c r="DW298" s="121"/>
      <c r="DX298" s="121"/>
      <c r="DY298" s="121"/>
      <c r="DZ298" s="121"/>
      <c r="EA298" s="121"/>
      <c r="EB298" s="121"/>
      <c r="EC298" s="121"/>
      <c r="ED298" s="121"/>
      <c r="EE298" s="121"/>
      <c r="EF298" s="121"/>
      <c r="EG298" s="123"/>
      <c r="EH298" s="127"/>
      <c r="EI298" s="125"/>
      <c r="EJ298" s="126"/>
      <c r="EK298" s="30"/>
      <c r="EL298" s="127"/>
      <c r="EM298" s="128"/>
      <c r="EN298" s="123"/>
      <c r="EO298" s="128"/>
      <c r="EP298" s="13"/>
      <c r="EQ298" s="129"/>
      <c r="ER298" s="123"/>
      <c r="ES298" s="130"/>
      <c r="ET298" s="13"/>
      <c r="EU298" s="123"/>
      <c r="EV298" s="131"/>
    </row>
    <row r="299" spans="35:152">
      <c r="AI299" s="121"/>
      <c r="AJ299" s="13"/>
      <c r="AK299" s="13"/>
      <c r="AL299" s="13"/>
      <c r="AM299" s="13"/>
      <c r="AN299" s="13"/>
      <c r="AO299" s="13"/>
      <c r="AW299" s="121"/>
      <c r="AX299" s="121"/>
      <c r="AY299" s="121"/>
      <c r="AZ299" s="121"/>
      <c r="BA299" s="121"/>
      <c r="BB299" s="121"/>
      <c r="BC299" s="121"/>
      <c r="BD299" s="121"/>
      <c r="BE299" s="121"/>
      <c r="BF299" s="121"/>
      <c r="BG299" s="123"/>
      <c r="BH299" s="127"/>
      <c r="BI299" s="125"/>
      <c r="BJ299" s="126"/>
      <c r="BK299" s="30"/>
      <c r="BL299" s="127"/>
      <c r="BM299" s="128"/>
      <c r="BN299" s="123"/>
      <c r="BO299" s="128"/>
      <c r="BP299" s="13"/>
      <c r="BQ299" s="129"/>
      <c r="BR299" s="123"/>
      <c r="BS299" s="130"/>
      <c r="BT299" s="13"/>
      <c r="BU299" s="123"/>
      <c r="BV299" s="131"/>
      <c r="DI299" s="121"/>
      <c r="DJ299" s="13"/>
      <c r="DK299" s="13"/>
      <c r="DL299" s="13"/>
      <c r="DM299" s="13"/>
      <c r="DN299" s="13"/>
      <c r="DO299" s="13"/>
      <c r="DW299" s="121"/>
      <c r="DX299" s="121"/>
      <c r="DY299" s="121"/>
      <c r="DZ299" s="121"/>
      <c r="EA299" s="121"/>
      <c r="EB299" s="121"/>
      <c r="EC299" s="121"/>
      <c r="ED299" s="121"/>
      <c r="EE299" s="121"/>
      <c r="EF299" s="121"/>
      <c r="EG299" s="123"/>
      <c r="EH299" s="127"/>
      <c r="EI299" s="125"/>
      <c r="EJ299" s="126"/>
      <c r="EK299" s="30"/>
      <c r="EL299" s="127"/>
      <c r="EM299" s="128"/>
      <c r="EN299" s="123"/>
      <c r="EO299" s="128"/>
      <c r="EP299" s="13"/>
      <c r="EQ299" s="129"/>
      <c r="ER299" s="123"/>
      <c r="ES299" s="130"/>
      <c r="ET299" s="13"/>
      <c r="EU299" s="123"/>
      <c r="EV299" s="131"/>
    </row>
    <row r="300" spans="35:152">
      <c r="AI300" s="121"/>
      <c r="AJ300" s="13"/>
      <c r="AK300" s="13"/>
      <c r="AL300" s="13"/>
      <c r="AM300" s="13"/>
      <c r="AN300" s="13"/>
      <c r="AO300" s="13"/>
      <c r="AW300" s="121"/>
      <c r="AX300" s="121"/>
      <c r="AY300" s="121"/>
      <c r="AZ300" s="121"/>
      <c r="BA300" s="121"/>
      <c r="BB300" s="121"/>
      <c r="BC300" s="121"/>
      <c r="BD300" s="121"/>
      <c r="BE300" s="121"/>
      <c r="BF300" s="121"/>
      <c r="BG300" s="123"/>
      <c r="BH300" s="127"/>
      <c r="BI300" s="125"/>
      <c r="BJ300" s="126"/>
      <c r="BK300" s="30"/>
      <c r="BL300" s="127"/>
      <c r="BM300" s="128"/>
      <c r="BN300" s="123"/>
      <c r="BO300" s="128"/>
      <c r="BP300" s="13"/>
      <c r="BQ300" s="129"/>
      <c r="BR300" s="123"/>
      <c r="BS300" s="130"/>
      <c r="BT300" s="13"/>
      <c r="BU300" s="123"/>
      <c r="BV300" s="131"/>
      <c r="DI300" s="121"/>
      <c r="DJ300" s="13"/>
      <c r="DK300" s="13"/>
      <c r="DL300" s="13"/>
      <c r="DM300" s="13"/>
      <c r="DN300" s="13"/>
      <c r="DO300" s="13"/>
      <c r="DW300" s="121"/>
      <c r="DX300" s="121"/>
      <c r="DY300" s="121"/>
      <c r="DZ300" s="121"/>
      <c r="EA300" s="121"/>
      <c r="EB300" s="121"/>
      <c r="EC300" s="121"/>
      <c r="ED300" s="121"/>
      <c r="EE300" s="121"/>
      <c r="EF300" s="121"/>
      <c r="EG300" s="123"/>
      <c r="EH300" s="127"/>
      <c r="EI300" s="125"/>
      <c r="EJ300" s="126"/>
      <c r="EK300" s="30"/>
      <c r="EL300" s="127"/>
      <c r="EM300" s="128"/>
      <c r="EN300" s="123"/>
      <c r="EO300" s="128"/>
      <c r="EP300" s="13"/>
      <c r="EQ300" s="129"/>
      <c r="ER300" s="123"/>
      <c r="ES300" s="130"/>
      <c r="ET300" s="13"/>
      <c r="EU300" s="123"/>
      <c r="EV300" s="131"/>
    </row>
    <row r="301" spans="35:152">
      <c r="AI301" s="121"/>
      <c r="AJ301" s="13"/>
      <c r="AK301" s="13"/>
      <c r="AL301" s="13"/>
      <c r="AM301" s="13"/>
      <c r="AN301" s="13"/>
      <c r="AO301" s="13"/>
      <c r="AW301" s="121"/>
      <c r="AX301" s="121"/>
      <c r="AY301" s="121"/>
      <c r="AZ301" s="121"/>
      <c r="BA301" s="121"/>
      <c r="BB301" s="121"/>
      <c r="BC301" s="121"/>
      <c r="BD301" s="121"/>
      <c r="BE301" s="121"/>
      <c r="BF301" s="121"/>
      <c r="BG301" s="123"/>
      <c r="BH301" s="127"/>
      <c r="BI301" s="125"/>
      <c r="BJ301" s="126"/>
      <c r="BK301" s="30"/>
      <c r="BL301" s="127"/>
      <c r="BM301" s="128"/>
      <c r="BN301" s="123"/>
      <c r="BO301" s="128"/>
      <c r="BP301" s="13"/>
      <c r="BQ301" s="129"/>
      <c r="BR301" s="123"/>
      <c r="BS301" s="130"/>
      <c r="BT301" s="13"/>
      <c r="BU301" s="123"/>
      <c r="BV301" s="131"/>
      <c r="DI301" s="121"/>
      <c r="DJ301" s="13"/>
      <c r="DK301" s="13"/>
      <c r="DL301" s="13"/>
      <c r="DM301" s="13"/>
      <c r="DN301" s="13"/>
      <c r="DO301" s="13"/>
      <c r="DW301" s="121"/>
      <c r="DX301" s="121"/>
      <c r="DY301" s="121"/>
      <c r="DZ301" s="121"/>
      <c r="EA301" s="121"/>
      <c r="EB301" s="121"/>
      <c r="EC301" s="121"/>
      <c r="ED301" s="121"/>
      <c r="EE301" s="121"/>
      <c r="EF301" s="121"/>
      <c r="EG301" s="123"/>
      <c r="EH301" s="127"/>
      <c r="EI301" s="125"/>
      <c r="EJ301" s="126"/>
      <c r="EK301" s="30"/>
      <c r="EL301" s="127"/>
      <c r="EM301" s="128"/>
      <c r="EN301" s="123"/>
      <c r="EO301" s="128"/>
      <c r="EP301" s="13"/>
      <c r="EQ301" s="129"/>
      <c r="ER301" s="123"/>
      <c r="ES301" s="130"/>
      <c r="ET301" s="13"/>
      <c r="EU301" s="123"/>
      <c r="EV301" s="131"/>
    </row>
    <row r="302" spans="35:152">
      <c r="AI302" s="121"/>
      <c r="AJ302" s="13"/>
      <c r="AK302" s="13"/>
      <c r="AL302" s="13"/>
      <c r="AM302" s="13"/>
      <c r="AN302" s="13"/>
      <c r="AO302" s="13"/>
      <c r="AW302" s="121"/>
      <c r="AX302" s="121"/>
      <c r="AY302" s="121"/>
      <c r="AZ302" s="121"/>
      <c r="BA302" s="121"/>
      <c r="BB302" s="121"/>
      <c r="BC302" s="121"/>
      <c r="BD302" s="121"/>
      <c r="BE302" s="121"/>
      <c r="BF302" s="121"/>
      <c r="BG302" s="123"/>
      <c r="BH302" s="127"/>
      <c r="BI302" s="125"/>
      <c r="BJ302" s="126"/>
      <c r="BK302" s="30"/>
      <c r="BL302" s="127"/>
      <c r="BM302" s="128"/>
      <c r="BN302" s="123"/>
      <c r="BO302" s="128"/>
      <c r="BP302" s="13"/>
      <c r="BQ302" s="129"/>
      <c r="BR302" s="123"/>
      <c r="BS302" s="130"/>
      <c r="BT302" s="13"/>
      <c r="BU302" s="123"/>
      <c r="BV302" s="131"/>
      <c r="DI302" s="121"/>
      <c r="DJ302" s="13"/>
      <c r="DK302" s="13"/>
      <c r="DL302" s="13"/>
      <c r="DM302" s="13"/>
      <c r="DN302" s="13"/>
      <c r="DO302" s="13"/>
      <c r="DW302" s="121"/>
      <c r="DX302" s="121"/>
      <c r="DY302" s="121"/>
      <c r="DZ302" s="121"/>
      <c r="EA302" s="121"/>
      <c r="EB302" s="121"/>
      <c r="EC302" s="121"/>
      <c r="ED302" s="121"/>
      <c r="EE302" s="121"/>
      <c r="EF302" s="121"/>
      <c r="EG302" s="123"/>
      <c r="EH302" s="127"/>
      <c r="EI302" s="125"/>
      <c r="EJ302" s="126"/>
      <c r="EK302" s="30"/>
      <c r="EL302" s="127"/>
      <c r="EM302" s="128"/>
      <c r="EN302" s="123"/>
      <c r="EO302" s="128"/>
      <c r="EP302" s="13"/>
      <c r="EQ302" s="129"/>
      <c r="ER302" s="123"/>
      <c r="ES302" s="130"/>
      <c r="ET302" s="13"/>
      <c r="EU302" s="123"/>
      <c r="EV302" s="131"/>
    </row>
    <row r="303" spans="35:152">
      <c r="AI303" s="121"/>
      <c r="AJ303" s="13"/>
      <c r="AK303" s="13"/>
      <c r="AL303" s="13"/>
      <c r="AM303" s="13"/>
      <c r="AN303" s="13"/>
      <c r="AO303" s="13"/>
      <c r="AW303" s="121"/>
      <c r="AX303" s="121"/>
      <c r="AY303" s="121"/>
      <c r="AZ303" s="121"/>
      <c r="BA303" s="121"/>
      <c r="BB303" s="121"/>
      <c r="BC303" s="121"/>
      <c r="BD303" s="121"/>
      <c r="BE303" s="121"/>
      <c r="BF303" s="121"/>
      <c r="BG303" s="123"/>
      <c r="BH303" s="127"/>
      <c r="BI303" s="125"/>
      <c r="BJ303" s="126"/>
      <c r="BK303" s="30"/>
      <c r="BL303" s="127"/>
      <c r="BM303" s="128"/>
      <c r="BN303" s="123"/>
      <c r="BO303" s="128"/>
      <c r="BP303" s="13"/>
      <c r="BQ303" s="129"/>
      <c r="BR303" s="123"/>
      <c r="BS303" s="130"/>
      <c r="BT303" s="13"/>
      <c r="BU303" s="123"/>
      <c r="BV303" s="131"/>
      <c r="DI303" s="121"/>
      <c r="DJ303" s="13"/>
      <c r="DK303" s="13"/>
      <c r="DL303" s="13"/>
      <c r="DM303" s="13"/>
      <c r="DN303" s="13"/>
      <c r="DO303" s="13"/>
      <c r="DW303" s="121"/>
      <c r="DX303" s="121"/>
      <c r="DY303" s="121"/>
      <c r="DZ303" s="121"/>
      <c r="EA303" s="121"/>
      <c r="EB303" s="121"/>
      <c r="EC303" s="121"/>
      <c r="ED303" s="121"/>
      <c r="EE303" s="121"/>
      <c r="EF303" s="121"/>
      <c r="EG303" s="123"/>
      <c r="EH303" s="127"/>
      <c r="EI303" s="125"/>
      <c r="EJ303" s="126"/>
      <c r="EK303" s="30"/>
      <c r="EL303" s="127"/>
      <c r="EM303" s="128"/>
      <c r="EN303" s="123"/>
      <c r="EO303" s="128"/>
      <c r="EP303" s="13"/>
      <c r="EQ303" s="129"/>
      <c r="ER303" s="123"/>
      <c r="ES303" s="130"/>
      <c r="ET303" s="13"/>
      <c r="EU303" s="123"/>
      <c r="EV303" s="131"/>
    </row>
    <row r="304" spans="35:152">
      <c r="AI304" s="121"/>
      <c r="AJ304" s="13"/>
      <c r="AK304" s="13"/>
      <c r="AL304" s="13"/>
      <c r="AM304" s="13"/>
      <c r="AN304" s="13"/>
      <c r="AO304" s="13"/>
      <c r="AW304" s="121"/>
      <c r="AX304" s="121"/>
      <c r="AY304" s="121"/>
      <c r="AZ304" s="121"/>
      <c r="BA304" s="121"/>
      <c r="BB304" s="121"/>
      <c r="BC304" s="121"/>
      <c r="BD304" s="121"/>
      <c r="BE304" s="121"/>
      <c r="BF304" s="121"/>
      <c r="BG304" s="123"/>
      <c r="BH304" s="127"/>
      <c r="BI304" s="125"/>
      <c r="BJ304" s="126"/>
      <c r="BK304" s="30"/>
      <c r="BL304" s="127"/>
      <c r="BM304" s="128"/>
      <c r="BN304" s="123"/>
      <c r="BO304" s="128"/>
      <c r="BP304" s="13"/>
      <c r="BQ304" s="129"/>
      <c r="BR304" s="123"/>
      <c r="BS304" s="130"/>
      <c r="BT304" s="13"/>
      <c r="BU304" s="123"/>
      <c r="BV304" s="131"/>
      <c r="DI304" s="121"/>
      <c r="DJ304" s="13"/>
      <c r="DK304" s="13"/>
      <c r="DL304" s="13"/>
      <c r="DM304" s="13"/>
      <c r="DN304" s="13"/>
      <c r="DO304" s="13"/>
      <c r="DW304" s="121"/>
      <c r="DX304" s="121"/>
      <c r="DY304" s="121"/>
      <c r="DZ304" s="121"/>
      <c r="EA304" s="121"/>
      <c r="EB304" s="121"/>
      <c r="EC304" s="121"/>
      <c r="ED304" s="121"/>
      <c r="EE304" s="121"/>
      <c r="EF304" s="121"/>
      <c r="EG304" s="123"/>
      <c r="EH304" s="127"/>
      <c r="EI304" s="125"/>
      <c r="EJ304" s="126"/>
      <c r="EK304" s="30"/>
      <c r="EL304" s="127"/>
      <c r="EM304" s="128"/>
      <c r="EN304" s="123"/>
      <c r="EO304" s="128"/>
      <c r="EP304" s="13"/>
      <c r="EQ304" s="129"/>
      <c r="ER304" s="123"/>
      <c r="ES304" s="130"/>
      <c r="ET304" s="13"/>
      <c r="EU304" s="123"/>
      <c r="EV304" s="131"/>
    </row>
    <row r="305" spans="35:152">
      <c r="AI305" s="121"/>
      <c r="AJ305" s="13"/>
      <c r="AK305" s="13"/>
      <c r="AL305" s="13"/>
      <c r="AM305" s="13"/>
      <c r="AN305" s="13"/>
      <c r="AO305" s="13"/>
      <c r="AW305" s="121"/>
      <c r="AX305" s="121"/>
      <c r="AY305" s="121"/>
      <c r="AZ305" s="121"/>
      <c r="BA305" s="121"/>
      <c r="BB305" s="121"/>
      <c r="BC305" s="121"/>
      <c r="BD305" s="121"/>
      <c r="BE305" s="121"/>
      <c r="BF305" s="121"/>
      <c r="BG305" s="123"/>
      <c r="BH305" s="127"/>
      <c r="BI305" s="125"/>
      <c r="BJ305" s="126"/>
      <c r="BK305" s="30"/>
      <c r="BL305" s="127"/>
      <c r="BM305" s="128"/>
      <c r="BN305" s="123"/>
      <c r="BO305" s="128"/>
      <c r="BP305" s="13"/>
      <c r="BQ305" s="129"/>
      <c r="BR305" s="123"/>
      <c r="BS305" s="130"/>
      <c r="BT305" s="13"/>
      <c r="BU305" s="123"/>
      <c r="BV305" s="131"/>
      <c r="DI305" s="121"/>
      <c r="DJ305" s="13"/>
      <c r="DK305" s="13"/>
      <c r="DL305" s="13"/>
      <c r="DM305" s="13"/>
      <c r="DN305" s="13"/>
      <c r="DO305" s="13"/>
      <c r="DW305" s="121"/>
      <c r="DX305" s="121"/>
      <c r="DY305" s="121"/>
      <c r="DZ305" s="121"/>
      <c r="EA305" s="121"/>
      <c r="EB305" s="121"/>
      <c r="EC305" s="121"/>
      <c r="ED305" s="121"/>
      <c r="EE305" s="121"/>
      <c r="EF305" s="121"/>
      <c r="EG305" s="123"/>
      <c r="EH305" s="127"/>
      <c r="EI305" s="125"/>
      <c r="EJ305" s="126"/>
      <c r="EK305" s="30"/>
      <c r="EL305" s="127"/>
      <c r="EM305" s="128"/>
      <c r="EN305" s="123"/>
      <c r="EO305" s="128"/>
      <c r="EP305" s="13"/>
      <c r="EQ305" s="129"/>
      <c r="ER305" s="123"/>
      <c r="ES305" s="130"/>
      <c r="ET305" s="13"/>
      <c r="EU305" s="123"/>
      <c r="EV305" s="131"/>
    </row>
    <row r="306" spans="35:152">
      <c r="AI306" s="121"/>
      <c r="AJ306" s="13"/>
      <c r="AK306" s="13"/>
      <c r="AL306" s="13"/>
      <c r="AM306" s="13"/>
      <c r="AN306" s="13"/>
      <c r="AO306" s="13"/>
      <c r="AW306" s="121"/>
      <c r="AX306" s="121"/>
      <c r="AY306" s="121"/>
      <c r="AZ306" s="121"/>
      <c r="BA306" s="121"/>
      <c r="BB306" s="121"/>
      <c r="BC306" s="121"/>
      <c r="BD306" s="121"/>
      <c r="BE306" s="121"/>
      <c r="BF306" s="121"/>
      <c r="BG306" s="123"/>
      <c r="BH306" s="127"/>
      <c r="BI306" s="125"/>
      <c r="BJ306" s="126"/>
      <c r="BK306" s="30"/>
      <c r="BL306" s="127"/>
      <c r="BM306" s="128"/>
      <c r="BN306" s="123"/>
      <c r="BO306" s="128"/>
      <c r="BP306" s="13"/>
      <c r="BQ306" s="129"/>
      <c r="BR306" s="123"/>
      <c r="BS306" s="130"/>
      <c r="BT306" s="13"/>
      <c r="BU306" s="123"/>
      <c r="BV306" s="131"/>
      <c r="DI306" s="121"/>
      <c r="DJ306" s="13"/>
      <c r="DK306" s="13"/>
      <c r="DL306" s="13"/>
      <c r="DM306" s="13"/>
      <c r="DN306" s="13"/>
      <c r="DO306" s="13"/>
      <c r="DW306" s="121"/>
      <c r="DX306" s="121"/>
      <c r="DY306" s="121"/>
      <c r="DZ306" s="121"/>
      <c r="EA306" s="121"/>
      <c r="EB306" s="121"/>
      <c r="EC306" s="121"/>
      <c r="ED306" s="121"/>
      <c r="EE306" s="121"/>
      <c r="EF306" s="121"/>
      <c r="EG306" s="123"/>
      <c r="EH306" s="127"/>
      <c r="EI306" s="125"/>
      <c r="EJ306" s="126"/>
      <c r="EK306" s="30"/>
      <c r="EL306" s="127"/>
      <c r="EM306" s="128"/>
      <c r="EN306" s="123"/>
      <c r="EO306" s="128"/>
      <c r="EP306" s="13"/>
      <c r="EQ306" s="129"/>
      <c r="ER306" s="123"/>
      <c r="ES306" s="130"/>
      <c r="ET306" s="13"/>
      <c r="EU306" s="123"/>
      <c r="EV306" s="131"/>
    </row>
    <row r="307" spans="35:152">
      <c r="AI307" s="121"/>
      <c r="AJ307" s="13"/>
      <c r="AK307" s="13"/>
      <c r="AL307" s="13"/>
      <c r="AM307" s="13"/>
      <c r="AN307" s="13"/>
      <c r="AO307" s="13"/>
      <c r="AW307" s="121"/>
      <c r="AX307" s="121"/>
      <c r="AY307" s="121"/>
      <c r="AZ307" s="121"/>
      <c r="BA307" s="121"/>
      <c r="BB307" s="121"/>
      <c r="BC307" s="121"/>
      <c r="BD307" s="121"/>
      <c r="BE307" s="121"/>
      <c r="BF307" s="121"/>
      <c r="BG307" s="123"/>
      <c r="BH307" s="127"/>
      <c r="BI307" s="125"/>
      <c r="BJ307" s="126"/>
      <c r="BK307" s="30"/>
      <c r="BL307" s="127"/>
      <c r="BM307" s="128"/>
      <c r="BN307" s="123"/>
      <c r="BO307" s="128"/>
      <c r="BP307" s="13"/>
      <c r="BQ307" s="129"/>
      <c r="BR307" s="123"/>
      <c r="BS307" s="130"/>
      <c r="BT307" s="13"/>
      <c r="BU307" s="123"/>
      <c r="BV307" s="131"/>
      <c r="DI307" s="121"/>
      <c r="DJ307" s="13"/>
      <c r="DK307" s="13"/>
      <c r="DL307" s="13"/>
      <c r="DM307" s="13"/>
      <c r="DN307" s="13"/>
      <c r="DO307" s="13"/>
      <c r="DW307" s="121"/>
      <c r="DX307" s="121"/>
      <c r="DY307" s="121"/>
      <c r="DZ307" s="121"/>
      <c r="EA307" s="121"/>
      <c r="EB307" s="121"/>
      <c r="EC307" s="121"/>
      <c r="ED307" s="121"/>
      <c r="EE307" s="121"/>
      <c r="EF307" s="121"/>
      <c r="EG307" s="123"/>
      <c r="EH307" s="127"/>
      <c r="EI307" s="125"/>
      <c r="EJ307" s="126"/>
      <c r="EK307" s="30"/>
      <c r="EL307" s="127"/>
      <c r="EM307" s="128"/>
      <c r="EN307" s="123"/>
      <c r="EO307" s="128"/>
      <c r="EP307" s="13"/>
      <c r="EQ307" s="129"/>
      <c r="ER307" s="123"/>
      <c r="ES307" s="130"/>
      <c r="ET307" s="13"/>
      <c r="EU307" s="123"/>
      <c r="EV307" s="131"/>
    </row>
    <row r="308" spans="35:152">
      <c r="AI308" s="121"/>
      <c r="AJ308" s="13"/>
      <c r="AK308" s="13"/>
      <c r="AL308" s="13"/>
      <c r="AM308" s="13"/>
      <c r="AN308" s="13"/>
      <c r="AO308" s="13"/>
      <c r="AW308" s="121"/>
      <c r="AX308" s="121"/>
      <c r="AY308" s="121"/>
      <c r="AZ308" s="121"/>
      <c r="BA308" s="121"/>
      <c r="BB308" s="121"/>
      <c r="BC308" s="121"/>
      <c r="BD308" s="121"/>
      <c r="BE308" s="121"/>
      <c r="BF308" s="121"/>
      <c r="BG308" s="123"/>
      <c r="BH308" s="127"/>
      <c r="BI308" s="125"/>
      <c r="BJ308" s="126"/>
      <c r="BK308" s="30"/>
      <c r="BL308" s="127"/>
      <c r="BM308" s="128"/>
      <c r="BN308" s="123"/>
      <c r="BO308" s="128"/>
      <c r="BP308" s="13"/>
      <c r="BQ308" s="129"/>
      <c r="BR308" s="123"/>
      <c r="BS308" s="130"/>
      <c r="BT308" s="13"/>
      <c r="BU308" s="123"/>
      <c r="BV308" s="131"/>
      <c r="DI308" s="121"/>
      <c r="DJ308" s="13"/>
      <c r="DK308" s="13"/>
      <c r="DL308" s="13"/>
      <c r="DM308" s="13"/>
      <c r="DN308" s="13"/>
      <c r="DO308" s="13"/>
      <c r="DW308" s="121"/>
      <c r="DX308" s="121"/>
      <c r="DY308" s="121"/>
      <c r="DZ308" s="121"/>
      <c r="EA308" s="121"/>
      <c r="EB308" s="121"/>
      <c r="EC308" s="121"/>
      <c r="ED308" s="121"/>
      <c r="EE308" s="121"/>
      <c r="EF308" s="121"/>
      <c r="EG308" s="123"/>
      <c r="EH308" s="127"/>
      <c r="EI308" s="125"/>
      <c r="EJ308" s="126"/>
      <c r="EK308" s="30"/>
      <c r="EL308" s="127"/>
      <c r="EM308" s="128"/>
      <c r="EN308" s="123"/>
      <c r="EO308" s="128"/>
      <c r="EP308" s="13"/>
      <c r="EQ308" s="129"/>
      <c r="ER308" s="123"/>
      <c r="ES308" s="130"/>
      <c r="ET308" s="13"/>
      <c r="EU308" s="123"/>
      <c r="EV308" s="131"/>
    </row>
    <row r="309" spans="35:152">
      <c r="AI309" s="121"/>
      <c r="AJ309" s="13"/>
      <c r="AK309" s="13"/>
      <c r="AL309" s="13"/>
      <c r="AM309" s="13"/>
      <c r="AN309" s="13"/>
      <c r="AO309" s="13"/>
      <c r="AW309" s="121"/>
      <c r="AX309" s="121"/>
      <c r="AY309" s="121"/>
      <c r="AZ309" s="121"/>
      <c r="BA309" s="121"/>
      <c r="BB309" s="121"/>
      <c r="BC309" s="121"/>
      <c r="BD309" s="121"/>
      <c r="BE309" s="121"/>
      <c r="BF309" s="121"/>
      <c r="BG309" s="123"/>
      <c r="BH309" s="127"/>
      <c r="BI309" s="125"/>
      <c r="BJ309" s="126"/>
      <c r="BK309" s="30"/>
      <c r="BL309" s="127"/>
      <c r="BM309" s="128"/>
      <c r="BN309" s="123"/>
      <c r="BO309" s="128"/>
      <c r="BP309" s="13"/>
      <c r="BQ309" s="129"/>
      <c r="BR309" s="123"/>
      <c r="BS309" s="130"/>
      <c r="BT309" s="13"/>
      <c r="BU309" s="123"/>
      <c r="BV309" s="131"/>
      <c r="DI309" s="121"/>
      <c r="DJ309" s="13"/>
      <c r="DK309" s="13"/>
      <c r="DL309" s="13"/>
      <c r="DM309" s="13"/>
      <c r="DN309" s="13"/>
      <c r="DO309" s="13"/>
      <c r="DW309" s="121"/>
      <c r="DX309" s="121"/>
      <c r="DY309" s="121"/>
      <c r="DZ309" s="121"/>
      <c r="EA309" s="121"/>
      <c r="EB309" s="121"/>
      <c r="EC309" s="121"/>
      <c r="ED309" s="121"/>
      <c r="EE309" s="121"/>
      <c r="EF309" s="121"/>
      <c r="EG309" s="123"/>
      <c r="EH309" s="127"/>
      <c r="EI309" s="125"/>
      <c r="EJ309" s="126"/>
      <c r="EK309" s="30"/>
      <c r="EL309" s="127"/>
      <c r="EM309" s="128"/>
      <c r="EN309" s="123"/>
      <c r="EO309" s="128"/>
      <c r="EP309" s="13"/>
      <c r="EQ309" s="129"/>
      <c r="ER309" s="123"/>
      <c r="ES309" s="130"/>
      <c r="ET309" s="13"/>
      <c r="EU309" s="123"/>
      <c r="EV309" s="131"/>
    </row>
    <row r="310" spans="35:152">
      <c r="AI310" s="121"/>
      <c r="AJ310" s="13"/>
      <c r="AK310" s="13"/>
      <c r="AL310" s="13"/>
      <c r="AM310" s="13"/>
      <c r="AN310" s="13"/>
      <c r="AO310" s="13"/>
      <c r="AW310" s="121"/>
      <c r="AX310" s="121"/>
      <c r="AY310" s="121"/>
      <c r="AZ310" s="121"/>
      <c r="BA310" s="121"/>
      <c r="BB310" s="121"/>
      <c r="BC310" s="121"/>
      <c r="BD310" s="121"/>
      <c r="BE310" s="121"/>
      <c r="BF310" s="121"/>
      <c r="BG310" s="123"/>
      <c r="BH310" s="127"/>
      <c r="BI310" s="125"/>
      <c r="BJ310" s="126"/>
      <c r="BK310" s="30"/>
      <c r="BL310" s="127"/>
      <c r="BM310" s="128"/>
      <c r="BN310" s="123"/>
      <c r="BO310" s="128"/>
      <c r="BP310" s="13"/>
      <c r="BQ310" s="129"/>
      <c r="BR310" s="123"/>
      <c r="BS310" s="130"/>
      <c r="BT310" s="13"/>
      <c r="BU310" s="123"/>
      <c r="BV310" s="131"/>
      <c r="DI310" s="121"/>
      <c r="DJ310" s="13"/>
      <c r="DK310" s="13"/>
      <c r="DL310" s="13"/>
      <c r="DM310" s="13"/>
      <c r="DN310" s="13"/>
      <c r="DO310" s="13"/>
      <c r="DW310" s="121"/>
      <c r="DX310" s="121"/>
      <c r="DY310" s="121"/>
      <c r="DZ310" s="121"/>
      <c r="EA310" s="121"/>
      <c r="EB310" s="121"/>
      <c r="EC310" s="121"/>
      <c r="ED310" s="121"/>
      <c r="EE310" s="121"/>
      <c r="EF310" s="121"/>
      <c r="EG310" s="123"/>
      <c r="EH310" s="127"/>
      <c r="EI310" s="125"/>
      <c r="EJ310" s="126"/>
      <c r="EK310" s="30"/>
      <c r="EL310" s="127"/>
      <c r="EM310" s="128"/>
      <c r="EN310" s="123"/>
      <c r="EO310" s="128"/>
      <c r="EP310" s="13"/>
      <c r="EQ310" s="129"/>
      <c r="ER310" s="123"/>
      <c r="ES310" s="130"/>
      <c r="ET310" s="13"/>
      <c r="EU310" s="123"/>
      <c r="EV310" s="131"/>
    </row>
    <row r="311" spans="35:152">
      <c r="AI311" s="121"/>
      <c r="AJ311" s="13"/>
      <c r="AK311" s="13"/>
      <c r="AL311" s="13"/>
      <c r="AM311" s="13"/>
      <c r="AN311" s="13"/>
      <c r="AO311" s="13"/>
      <c r="AW311" s="121"/>
      <c r="AX311" s="121"/>
      <c r="AY311" s="121"/>
      <c r="AZ311" s="121"/>
      <c r="BA311" s="121"/>
      <c r="BB311" s="121"/>
      <c r="BC311" s="121"/>
      <c r="BD311" s="121"/>
      <c r="BE311" s="121"/>
      <c r="BF311" s="121"/>
      <c r="BG311" s="123"/>
      <c r="BH311" s="127"/>
      <c r="BI311" s="125"/>
      <c r="BJ311" s="126"/>
      <c r="BK311" s="30"/>
      <c r="BL311" s="127"/>
      <c r="BM311" s="128"/>
      <c r="BN311" s="123"/>
      <c r="BO311" s="128"/>
      <c r="BP311" s="13"/>
      <c r="BQ311" s="129"/>
      <c r="BR311" s="123"/>
      <c r="BS311" s="130"/>
      <c r="BT311" s="13"/>
      <c r="BU311" s="123"/>
      <c r="BV311" s="131"/>
      <c r="DI311" s="121"/>
      <c r="DJ311" s="13"/>
      <c r="DK311" s="13"/>
      <c r="DL311" s="13"/>
      <c r="DM311" s="13"/>
      <c r="DN311" s="13"/>
      <c r="DO311" s="13"/>
      <c r="DW311" s="121"/>
      <c r="DX311" s="121"/>
      <c r="DY311" s="121"/>
      <c r="DZ311" s="121"/>
      <c r="EA311" s="121"/>
      <c r="EB311" s="121"/>
      <c r="EC311" s="121"/>
      <c r="ED311" s="121"/>
      <c r="EE311" s="121"/>
      <c r="EF311" s="121"/>
      <c r="EG311" s="123"/>
      <c r="EH311" s="127"/>
      <c r="EI311" s="125"/>
      <c r="EJ311" s="126"/>
      <c r="EK311" s="30"/>
      <c r="EL311" s="127"/>
      <c r="EM311" s="128"/>
      <c r="EN311" s="123"/>
      <c r="EO311" s="128"/>
      <c r="EP311" s="13"/>
      <c r="EQ311" s="129"/>
      <c r="ER311" s="123"/>
      <c r="ES311" s="130"/>
      <c r="ET311" s="13"/>
      <c r="EU311" s="123"/>
      <c r="EV311" s="131"/>
    </row>
    <row r="312" spans="35:152">
      <c r="AI312" s="121"/>
      <c r="AJ312" s="13"/>
      <c r="AK312" s="13"/>
      <c r="AL312" s="13"/>
      <c r="AM312" s="13"/>
      <c r="AN312" s="13"/>
      <c r="AO312" s="13"/>
      <c r="AW312" s="121"/>
      <c r="AX312" s="121"/>
      <c r="AY312" s="121"/>
      <c r="AZ312" s="121"/>
      <c r="BA312" s="121"/>
      <c r="BB312" s="121"/>
      <c r="BC312" s="121"/>
      <c r="BD312" s="121"/>
      <c r="BE312" s="121"/>
      <c r="BF312" s="121"/>
      <c r="BG312" s="123"/>
      <c r="BH312" s="127"/>
      <c r="BI312" s="125"/>
      <c r="BJ312" s="126"/>
      <c r="BK312" s="30"/>
      <c r="BL312" s="127"/>
      <c r="BM312" s="128"/>
      <c r="BN312" s="123"/>
      <c r="BO312" s="128"/>
      <c r="BP312" s="13"/>
      <c r="BQ312" s="129"/>
      <c r="BR312" s="123"/>
      <c r="BS312" s="130"/>
      <c r="BT312" s="13"/>
      <c r="BU312" s="123"/>
      <c r="BV312" s="131"/>
      <c r="DI312" s="121"/>
      <c r="DJ312" s="13"/>
      <c r="DK312" s="13"/>
      <c r="DL312" s="13"/>
      <c r="DM312" s="13"/>
      <c r="DN312" s="13"/>
      <c r="DO312" s="13"/>
      <c r="DW312" s="121"/>
      <c r="DX312" s="121"/>
      <c r="DY312" s="121"/>
      <c r="DZ312" s="121"/>
      <c r="EA312" s="121"/>
      <c r="EB312" s="121"/>
      <c r="EC312" s="121"/>
      <c r="ED312" s="121"/>
      <c r="EE312" s="121"/>
      <c r="EF312" s="121"/>
      <c r="EG312" s="123"/>
      <c r="EH312" s="127"/>
      <c r="EI312" s="125"/>
      <c r="EJ312" s="126"/>
      <c r="EK312" s="30"/>
      <c r="EL312" s="127"/>
      <c r="EM312" s="128"/>
      <c r="EN312" s="123"/>
      <c r="EO312" s="128"/>
      <c r="EP312" s="13"/>
      <c r="EQ312" s="129"/>
      <c r="ER312" s="123"/>
      <c r="ES312" s="130"/>
      <c r="ET312" s="13"/>
      <c r="EU312" s="123"/>
      <c r="EV312" s="131"/>
    </row>
    <row r="313" spans="35:152">
      <c r="AI313" s="121"/>
      <c r="AJ313" s="13"/>
      <c r="AK313" s="13"/>
      <c r="AL313" s="13"/>
      <c r="AM313" s="13"/>
      <c r="AN313" s="13"/>
      <c r="AO313" s="13"/>
      <c r="AW313" s="121"/>
      <c r="AX313" s="121"/>
      <c r="AY313" s="121"/>
      <c r="AZ313" s="121"/>
      <c r="BA313" s="121"/>
      <c r="BB313" s="121"/>
      <c r="BC313" s="121"/>
      <c r="BD313" s="121"/>
      <c r="BE313" s="121"/>
      <c r="BF313" s="121"/>
      <c r="BG313" s="123"/>
      <c r="BH313" s="127"/>
      <c r="BI313" s="125"/>
      <c r="BJ313" s="126"/>
      <c r="BK313" s="30"/>
      <c r="BL313" s="127"/>
      <c r="BM313" s="128"/>
      <c r="BN313" s="123"/>
      <c r="BO313" s="128"/>
      <c r="BP313" s="13"/>
      <c r="BQ313" s="129"/>
      <c r="BR313" s="123"/>
      <c r="BS313" s="130"/>
      <c r="BT313" s="13"/>
      <c r="BU313" s="123"/>
      <c r="BV313" s="131"/>
      <c r="DI313" s="121"/>
      <c r="DJ313" s="13"/>
      <c r="DK313" s="13"/>
      <c r="DL313" s="13"/>
      <c r="DM313" s="13"/>
      <c r="DN313" s="13"/>
      <c r="DO313" s="13"/>
      <c r="DW313" s="121"/>
      <c r="DX313" s="121"/>
      <c r="DY313" s="121"/>
      <c r="DZ313" s="121"/>
      <c r="EA313" s="121"/>
      <c r="EB313" s="121"/>
      <c r="EC313" s="121"/>
      <c r="ED313" s="121"/>
      <c r="EE313" s="121"/>
      <c r="EF313" s="121"/>
      <c r="EG313" s="123"/>
      <c r="EH313" s="127"/>
      <c r="EI313" s="125"/>
      <c r="EJ313" s="126"/>
      <c r="EK313" s="30"/>
      <c r="EL313" s="127"/>
      <c r="EM313" s="128"/>
      <c r="EN313" s="123"/>
      <c r="EO313" s="128"/>
      <c r="EP313" s="13"/>
      <c r="EQ313" s="129"/>
      <c r="ER313" s="123"/>
      <c r="ES313" s="130"/>
      <c r="ET313" s="13"/>
      <c r="EU313" s="123"/>
      <c r="EV313" s="131"/>
    </row>
    <row r="314" spans="35:152">
      <c r="AI314" s="121"/>
      <c r="AJ314" s="13"/>
      <c r="AK314" s="13"/>
      <c r="AL314" s="13"/>
      <c r="AM314" s="13"/>
      <c r="AN314" s="13"/>
      <c r="AO314" s="13"/>
      <c r="AW314" s="121"/>
      <c r="AX314" s="121"/>
      <c r="AY314" s="121"/>
      <c r="AZ314" s="121"/>
      <c r="BA314" s="121"/>
      <c r="BB314" s="121"/>
      <c r="BC314" s="121"/>
      <c r="BD314" s="121"/>
      <c r="BE314" s="121"/>
      <c r="BF314" s="121"/>
      <c r="BG314" s="123"/>
      <c r="BH314" s="127"/>
      <c r="BI314" s="125"/>
      <c r="BJ314" s="126"/>
      <c r="BK314" s="30"/>
      <c r="BL314" s="127"/>
      <c r="BM314" s="128"/>
      <c r="BN314" s="123"/>
      <c r="BO314" s="128"/>
      <c r="BP314" s="13"/>
      <c r="BQ314" s="129"/>
      <c r="BR314" s="123"/>
      <c r="BS314" s="130"/>
      <c r="BT314" s="13"/>
      <c r="BU314" s="123"/>
      <c r="BV314" s="131"/>
      <c r="DI314" s="121"/>
      <c r="DJ314" s="13"/>
      <c r="DK314" s="13"/>
      <c r="DL314" s="13"/>
      <c r="DM314" s="13"/>
      <c r="DN314" s="13"/>
      <c r="DO314" s="13"/>
      <c r="DW314" s="121"/>
      <c r="DX314" s="121"/>
      <c r="DY314" s="121"/>
      <c r="DZ314" s="121"/>
      <c r="EA314" s="121"/>
      <c r="EB314" s="121"/>
      <c r="EC314" s="121"/>
      <c r="ED314" s="121"/>
      <c r="EE314" s="121"/>
      <c r="EF314" s="121"/>
      <c r="EG314" s="123"/>
      <c r="EH314" s="127"/>
      <c r="EI314" s="125"/>
      <c r="EJ314" s="126"/>
      <c r="EK314" s="30"/>
      <c r="EL314" s="127"/>
      <c r="EM314" s="128"/>
      <c r="EN314" s="123"/>
      <c r="EO314" s="128"/>
      <c r="EP314" s="13"/>
      <c r="EQ314" s="129"/>
      <c r="ER314" s="123"/>
      <c r="ES314" s="130"/>
      <c r="ET314" s="13"/>
      <c r="EU314" s="123"/>
      <c r="EV314" s="131"/>
    </row>
    <row r="315" spans="35:152">
      <c r="AI315" s="121"/>
      <c r="AJ315" s="13"/>
      <c r="AK315" s="13"/>
      <c r="AL315" s="13"/>
      <c r="AM315" s="13"/>
      <c r="AN315" s="13"/>
      <c r="AO315" s="13"/>
      <c r="AW315" s="121"/>
      <c r="AX315" s="121"/>
      <c r="AY315" s="121"/>
      <c r="AZ315" s="121"/>
      <c r="BA315" s="121"/>
      <c r="BB315" s="121"/>
      <c r="BC315" s="121"/>
      <c r="BD315" s="121"/>
      <c r="BE315" s="121"/>
      <c r="BF315" s="121"/>
      <c r="BG315" s="123"/>
      <c r="BH315" s="127"/>
      <c r="BI315" s="125"/>
      <c r="BJ315" s="126"/>
      <c r="BK315" s="30"/>
      <c r="BL315" s="127"/>
      <c r="BM315" s="128"/>
      <c r="BN315" s="123"/>
      <c r="BO315" s="128"/>
      <c r="BP315" s="13"/>
      <c r="BQ315" s="129"/>
      <c r="BR315" s="123"/>
      <c r="BS315" s="130"/>
      <c r="BT315" s="13"/>
      <c r="BU315" s="123"/>
      <c r="BV315" s="131"/>
      <c r="DI315" s="121"/>
      <c r="DJ315" s="13"/>
      <c r="DK315" s="13"/>
      <c r="DL315" s="13"/>
      <c r="DM315" s="13"/>
      <c r="DN315" s="13"/>
      <c r="DO315" s="13"/>
      <c r="DW315" s="121"/>
      <c r="DX315" s="121"/>
      <c r="DY315" s="121"/>
      <c r="DZ315" s="121"/>
      <c r="EA315" s="121"/>
      <c r="EB315" s="121"/>
      <c r="EC315" s="121"/>
      <c r="ED315" s="121"/>
      <c r="EE315" s="121"/>
      <c r="EF315" s="121"/>
      <c r="EG315" s="123"/>
      <c r="EH315" s="127"/>
      <c r="EI315" s="125"/>
      <c r="EJ315" s="126"/>
      <c r="EK315" s="30"/>
      <c r="EL315" s="127"/>
      <c r="EM315" s="128"/>
      <c r="EN315" s="123"/>
      <c r="EO315" s="128"/>
      <c r="EP315" s="13"/>
      <c r="EQ315" s="129"/>
      <c r="ER315" s="123"/>
      <c r="ES315" s="130"/>
      <c r="ET315" s="13"/>
      <c r="EU315" s="123"/>
      <c r="EV315" s="131"/>
    </row>
    <row r="316" spans="35:152">
      <c r="AI316" s="121"/>
      <c r="AJ316" s="13"/>
      <c r="AK316" s="13"/>
      <c r="AL316" s="13"/>
      <c r="AM316" s="13"/>
      <c r="AN316" s="13"/>
      <c r="AO316" s="13"/>
      <c r="AW316" s="121"/>
      <c r="AX316" s="121"/>
      <c r="AY316" s="121"/>
      <c r="AZ316" s="121"/>
      <c r="BA316" s="121"/>
      <c r="BB316" s="121"/>
      <c r="BC316" s="121"/>
      <c r="BD316" s="121"/>
      <c r="BE316" s="121"/>
      <c r="BF316" s="121"/>
      <c r="BG316" s="123"/>
      <c r="BH316" s="127"/>
      <c r="BI316" s="125"/>
      <c r="BJ316" s="126"/>
      <c r="BK316" s="30"/>
      <c r="BL316" s="127"/>
      <c r="BM316" s="128"/>
      <c r="BN316" s="123"/>
      <c r="BO316" s="128"/>
      <c r="BP316" s="13"/>
      <c r="BQ316" s="129"/>
      <c r="BR316" s="123"/>
      <c r="BS316" s="130"/>
      <c r="BT316" s="13"/>
      <c r="BU316" s="123"/>
      <c r="BV316" s="131"/>
      <c r="DI316" s="121"/>
      <c r="DJ316" s="13"/>
      <c r="DK316" s="13"/>
      <c r="DL316" s="13"/>
      <c r="DM316" s="13"/>
      <c r="DN316" s="13"/>
      <c r="DO316" s="13"/>
      <c r="DW316" s="121"/>
      <c r="DX316" s="121"/>
      <c r="DY316" s="121"/>
      <c r="DZ316" s="121"/>
      <c r="EA316" s="121"/>
      <c r="EB316" s="121"/>
      <c r="EC316" s="121"/>
      <c r="ED316" s="121"/>
      <c r="EE316" s="121"/>
      <c r="EF316" s="121"/>
      <c r="EG316" s="123"/>
      <c r="EH316" s="127"/>
      <c r="EI316" s="125"/>
      <c r="EJ316" s="126"/>
      <c r="EK316" s="30"/>
      <c r="EL316" s="127"/>
      <c r="EM316" s="128"/>
      <c r="EN316" s="123"/>
      <c r="EO316" s="128"/>
      <c r="EP316" s="13"/>
      <c r="EQ316" s="129"/>
      <c r="ER316" s="123"/>
      <c r="ES316" s="130"/>
      <c r="ET316" s="13"/>
      <c r="EU316" s="123"/>
      <c r="EV316" s="131"/>
    </row>
    <row r="317" spans="35:152">
      <c r="AI317" s="121"/>
      <c r="AJ317" s="13"/>
      <c r="AK317" s="13"/>
      <c r="AL317" s="13"/>
      <c r="AM317" s="13"/>
      <c r="AN317" s="13"/>
      <c r="AO317" s="13"/>
      <c r="AW317" s="121"/>
      <c r="AX317" s="121"/>
      <c r="AY317" s="121"/>
      <c r="AZ317" s="121"/>
      <c r="BA317" s="121"/>
      <c r="BB317" s="121"/>
      <c r="BC317" s="121"/>
      <c r="BD317" s="121"/>
      <c r="BE317" s="121"/>
      <c r="BF317" s="121"/>
      <c r="BG317" s="123"/>
      <c r="BH317" s="127"/>
      <c r="BI317" s="125"/>
      <c r="BJ317" s="126"/>
      <c r="BK317" s="30"/>
      <c r="BL317" s="127"/>
      <c r="BM317" s="128"/>
      <c r="BN317" s="123"/>
      <c r="BO317" s="128"/>
      <c r="BP317" s="13"/>
      <c r="BQ317" s="129"/>
      <c r="BR317" s="123"/>
      <c r="BS317" s="130"/>
      <c r="BT317" s="13"/>
      <c r="BU317" s="123"/>
      <c r="BV317" s="131"/>
      <c r="DI317" s="121"/>
      <c r="DJ317" s="13"/>
      <c r="DK317" s="13"/>
      <c r="DL317" s="13"/>
      <c r="DM317" s="13"/>
      <c r="DN317" s="13"/>
      <c r="DO317" s="13"/>
      <c r="DW317" s="121"/>
      <c r="DX317" s="121"/>
      <c r="DY317" s="121"/>
      <c r="DZ317" s="121"/>
      <c r="EA317" s="121"/>
      <c r="EB317" s="121"/>
      <c r="EC317" s="121"/>
      <c r="ED317" s="121"/>
      <c r="EE317" s="121"/>
      <c r="EF317" s="121"/>
      <c r="EG317" s="123"/>
      <c r="EH317" s="127"/>
      <c r="EI317" s="125"/>
      <c r="EJ317" s="126"/>
      <c r="EK317" s="30"/>
      <c r="EL317" s="127"/>
      <c r="EM317" s="128"/>
      <c r="EN317" s="123"/>
      <c r="EO317" s="128"/>
      <c r="EP317" s="13"/>
      <c r="EQ317" s="129"/>
      <c r="ER317" s="123"/>
      <c r="ES317" s="130"/>
      <c r="ET317" s="13"/>
      <c r="EU317" s="123"/>
      <c r="EV317" s="131"/>
    </row>
    <row r="318" spans="35:152">
      <c r="AI318" s="121"/>
      <c r="AJ318" s="13"/>
      <c r="AK318" s="13"/>
      <c r="AL318" s="13"/>
      <c r="AM318" s="13"/>
      <c r="AN318" s="13"/>
      <c r="AO318" s="13"/>
      <c r="AW318" s="121"/>
      <c r="AX318" s="121"/>
      <c r="AY318" s="121"/>
      <c r="AZ318" s="121"/>
      <c r="BA318" s="121"/>
      <c r="BB318" s="121"/>
      <c r="BC318" s="121"/>
      <c r="BD318" s="121"/>
      <c r="BE318" s="121"/>
      <c r="BF318" s="121"/>
      <c r="BG318" s="123"/>
      <c r="BH318" s="127"/>
      <c r="BI318" s="125"/>
      <c r="BJ318" s="126"/>
      <c r="BK318" s="30"/>
      <c r="BL318" s="127"/>
      <c r="BM318" s="128"/>
      <c r="BN318" s="123"/>
      <c r="BO318" s="128"/>
      <c r="BP318" s="13"/>
      <c r="BQ318" s="129"/>
      <c r="BR318" s="123"/>
      <c r="BS318" s="130"/>
      <c r="BT318" s="13"/>
      <c r="BU318" s="123"/>
      <c r="BV318" s="131"/>
      <c r="DI318" s="121"/>
      <c r="DJ318" s="13"/>
      <c r="DK318" s="13"/>
      <c r="DL318" s="13"/>
      <c r="DM318" s="13"/>
      <c r="DN318" s="13"/>
      <c r="DO318" s="13"/>
      <c r="DW318" s="121"/>
      <c r="DX318" s="121"/>
      <c r="DY318" s="121"/>
      <c r="DZ318" s="121"/>
      <c r="EA318" s="121"/>
      <c r="EB318" s="121"/>
      <c r="EC318" s="121"/>
      <c r="ED318" s="121"/>
      <c r="EE318" s="121"/>
      <c r="EF318" s="121"/>
      <c r="EG318" s="123"/>
      <c r="EH318" s="127"/>
      <c r="EI318" s="125"/>
      <c r="EJ318" s="126"/>
      <c r="EK318" s="30"/>
      <c r="EL318" s="127"/>
      <c r="EM318" s="128"/>
      <c r="EN318" s="123"/>
      <c r="EO318" s="128"/>
      <c r="EP318" s="13"/>
      <c r="EQ318" s="129"/>
      <c r="ER318" s="123"/>
      <c r="ES318" s="130"/>
      <c r="ET318" s="13"/>
      <c r="EU318" s="123"/>
      <c r="EV318" s="131"/>
    </row>
    <row r="319" spans="35:152">
      <c r="AI319" s="121"/>
      <c r="AJ319" s="13"/>
      <c r="AK319" s="13"/>
      <c r="AL319" s="13"/>
      <c r="AM319" s="13"/>
      <c r="AN319" s="13"/>
      <c r="AO319" s="13"/>
      <c r="AW319" s="121"/>
      <c r="AX319" s="121"/>
      <c r="AY319" s="121"/>
      <c r="AZ319" s="121"/>
      <c r="BA319" s="121"/>
      <c r="BB319" s="121"/>
      <c r="BC319" s="121"/>
      <c r="BD319" s="121"/>
      <c r="BE319" s="121"/>
      <c r="BF319" s="121"/>
      <c r="BG319" s="123"/>
      <c r="BH319" s="127"/>
      <c r="BI319" s="125"/>
      <c r="BJ319" s="126"/>
      <c r="BK319" s="30"/>
      <c r="BL319" s="127"/>
      <c r="BM319" s="128"/>
      <c r="BN319" s="123"/>
      <c r="BO319" s="128"/>
      <c r="BP319" s="13"/>
      <c r="BQ319" s="129"/>
      <c r="BR319" s="123"/>
      <c r="BS319" s="130"/>
      <c r="BT319" s="13"/>
      <c r="BU319" s="123"/>
      <c r="BV319" s="131"/>
      <c r="DI319" s="121"/>
      <c r="DJ319" s="13"/>
      <c r="DK319" s="13"/>
      <c r="DL319" s="13"/>
      <c r="DM319" s="13"/>
      <c r="DN319" s="13"/>
      <c r="DO319" s="13"/>
      <c r="DW319" s="121"/>
      <c r="DX319" s="121"/>
      <c r="DY319" s="121"/>
      <c r="DZ319" s="121"/>
      <c r="EA319" s="121"/>
      <c r="EB319" s="121"/>
      <c r="EC319" s="121"/>
      <c r="ED319" s="121"/>
      <c r="EE319" s="121"/>
      <c r="EF319" s="121"/>
      <c r="EG319" s="123"/>
      <c r="EH319" s="127"/>
      <c r="EI319" s="125"/>
      <c r="EJ319" s="126"/>
      <c r="EK319" s="30"/>
      <c r="EL319" s="127"/>
      <c r="EM319" s="128"/>
      <c r="EN319" s="123"/>
      <c r="EO319" s="128"/>
      <c r="EP319" s="13"/>
      <c r="EQ319" s="129"/>
      <c r="ER319" s="123"/>
      <c r="ES319" s="130"/>
      <c r="ET319" s="13"/>
      <c r="EU319" s="123"/>
      <c r="EV319" s="131"/>
    </row>
    <row r="320" spans="35:152">
      <c r="AI320" s="121"/>
      <c r="AJ320" s="13"/>
      <c r="AK320" s="13"/>
      <c r="AL320" s="13"/>
      <c r="AM320" s="13"/>
      <c r="AN320" s="13"/>
      <c r="AO320" s="13"/>
      <c r="AW320" s="121"/>
      <c r="AX320" s="121"/>
      <c r="AY320" s="121"/>
      <c r="AZ320" s="121"/>
      <c r="BA320" s="121"/>
      <c r="BB320" s="121"/>
      <c r="BC320" s="121"/>
      <c r="BD320" s="121"/>
      <c r="BE320" s="121"/>
      <c r="BF320" s="121"/>
      <c r="BG320" s="123"/>
      <c r="BH320" s="127"/>
      <c r="BI320" s="125"/>
      <c r="BJ320" s="126"/>
      <c r="BK320" s="30"/>
      <c r="BL320" s="127"/>
      <c r="BM320" s="128"/>
      <c r="BN320" s="123"/>
      <c r="BO320" s="128"/>
      <c r="BP320" s="13"/>
      <c r="BQ320" s="129"/>
      <c r="BR320" s="123"/>
      <c r="BS320" s="130"/>
      <c r="BT320" s="13"/>
      <c r="BU320" s="123"/>
      <c r="BV320" s="131"/>
      <c r="DI320" s="121"/>
      <c r="DJ320" s="13"/>
      <c r="DK320" s="13"/>
      <c r="DL320" s="13"/>
      <c r="DM320" s="13"/>
      <c r="DN320" s="13"/>
      <c r="DO320" s="13"/>
      <c r="DW320" s="121"/>
      <c r="DX320" s="121"/>
      <c r="DY320" s="121"/>
      <c r="DZ320" s="121"/>
      <c r="EA320" s="121"/>
      <c r="EB320" s="121"/>
      <c r="EC320" s="121"/>
      <c r="ED320" s="121"/>
      <c r="EE320" s="121"/>
      <c r="EF320" s="121"/>
      <c r="EG320" s="123"/>
      <c r="EH320" s="127"/>
      <c r="EI320" s="125"/>
      <c r="EJ320" s="126"/>
      <c r="EK320" s="30"/>
      <c r="EL320" s="127"/>
      <c r="EM320" s="128"/>
      <c r="EN320" s="123"/>
      <c r="EO320" s="128"/>
      <c r="EP320" s="13"/>
      <c r="EQ320" s="129"/>
      <c r="ER320" s="123"/>
      <c r="ES320" s="130"/>
      <c r="ET320" s="13"/>
      <c r="EU320" s="123"/>
      <c r="EV320" s="131"/>
    </row>
    <row r="321" spans="35:152">
      <c r="AI321" s="121"/>
      <c r="AJ321" s="13"/>
      <c r="AK321" s="13"/>
      <c r="AL321" s="13"/>
      <c r="AM321" s="13"/>
      <c r="AN321" s="13"/>
      <c r="AO321" s="13"/>
      <c r="AW321" s="121"/>
      <c r="AX321" s="121"/>
      <c r="AY321" s="121"/>
      <c r="AZ321" s="121"/>
      <c r="BA321" s="121"/>
      <c r="BB321" s="121"/>
      <c r="BC321" s="121"/>
      <c r="BD321" s="121"/>
      <c r="BE321" s="121"/>
      <c r="BF321" s="121"/>
      <c r="BG321" s="123"/>
      <c r="BH321" s="127"/>
      <c r="BI321" s="125"/>
      <c r="BJ321" s="126"/>
      <c r="BK321" s="30"/>
      <c r="BL321" s="127"/>
      <c r="BM321" s="128"/>
      <c r="BN321" s="123"/>
      <c r="BO321" s="128"/>
      <c r="BP321" s="13"/>
      <c r="BQ321" s="129"/>
      <c r="BR321" s="123"/>
      <c r="BS321" s="130"/>
      <c r="BT321" s="13"/>
      <c r="BU321" s="123"/>
      <c r="BV321" s="131"/>
      <c r="DI321" s="121"/>
      <c r="DJ321" s="13"/>
      <c r="DK321" s="13"/>
      <c r="DL321" s="13"/>
      <c r="DM321" s="13"/>
      <c r="DN321" s="13"/>
      <c r="DO321" s="13"/>
      <c r="DW321" s="121"/>
      <c r="DX321" s="121"/>
      <c r="DY321" s="121"/>
      <c r="DZ321" s="121"/>
      <c r="EA321" s="121"/>
      <c r="EB321" s="121"/>
      <c r="EC321" s="121"/>
      <c r="ED321" s="121"/>
      <c r="EE321" s="121"/>
      <c r="EF321" s="121"/>
      <c r="EG321" s="123"/>
      <c r="EH321" s="127"/>
      <c r="EI321" s="125"/>
      <c r="EJ321" s="126"/>
      <c r="EK321" s="30"/>
      <c r="EL321" s="127"/>
      <c r="EM321" s="128"/>
      <c r="EN321" s="123"/>
      <c r="EO321" s="128"/>
      <c r="EP321" s="13"/>
      <c r="EQ321" s="129"/>
      <c r="ER321" s="123"/>
      <c r="ES321" s="130"/>
      <c r="ET321" s="13"/>
      <c r="EU321" s="123"/>
      <c r="EV321" s="131"/>
    </row>
    <row r="322" spans="35:152">
      <c r="AI322" s="121"/>
      <c r="AJ322" s="13"/>
      <c r="AK322" s="13"/>
      <c r="AL322" s="13"/>
      <c r="AM322" s="13"/>
      <c r="AN322" s="13"/>
      <c r="AO322" s="13"/>
      <c r="AW322" s="121"/>
      <c r="AX322" s="121"/>
      <c r="AY322" s="121"/>
      <c r="AZ322" s="121"/>
      <c r="BA322" s="121"/>
      <c r="BB322" s="121"/>
      <c r="BC322" s="121"/>
      <c r="BD322" s="121"/>
      <c r="BE322" s="121"/>
      <c r="BF322" s="121"/>
      <c r="BG322" s="123"/>
      <c r="BH322" s="127"/>
      <c r="BI322" s="125"/>
      <c r="BJ322" s="126"/>
      <c r="BK322" s="30"/>
      <c r="BL322" s="127"/>
      <c r="BM322" s="128"/>
      <c r="BN322" s="123"/>
      <c r="BO322" s="128"/>
      <c r="BP322" s="13"/>
      <c r="BQ322" s="129"/>
      <c r="BR322" s="123"/>
      <c r="BS322" s="130"/>
      <c r="BT322" s="13"/>
      <c r="BU322" s="123"/>
      <c r="BV322" s="131"/>
      <c r="DI322" s="121"/>
      <c r="DJ322" s="13"/>
      <c r="DK322" s="13"/>
      <c r="DL322" s="13"/>
      <c r="DM322" s="13"/>
      <c r="DN322" s="13"/>
      <c r="DO322" s="13"/>
      <c r="DW322" s="121"/>
      <c r="DX322" s="121"/>
      <c r="DY322" s="121"/>
      <c r="DZ322" s="121"/>
      <c r="EA322" s="121"/>
      <c r="EB322" s="121"/>
      <c r="EC322" s="121"/>
      <c r="ED322" s="121"/>
      <c r="EE322" s="121"/>
      <c r="EF322" s="121"/>
      <c r="EG322" s="123"/>
      <c r="EH322" s="127"/>
      <c r="EI322" s="125"/>
      <c r="EJ322" s="126"/>
      <c r="EK322" s="30"/>
      <c r="EL322" s="127"/>
      <c r="EM322" s="128"/>
      <c r="EN322" s="123"/>
      <c r="EO322" s="128"/>
      <c r="EP322" s="13"/>
      <c r="EQ322" s="129"/>
      <c r="ER322" s="123"/>
      <c r="ES322" s="130"/>
      <c r="ET322" s="13"/>
      <c r="EU322" s="123"/>
      <c r="EV322" s="131"/>
    </row>
    <row r="323" spans="35:152">
      <c r="AI323" s="121"/>
      <c r="AJ323" s="13"/>
      <c r="AK323" s="13"/>
      <c r="AL323" s="13"/>
      <c r="AM323" s="13"/>
      <c r="AN323" s="13"/>
      <c r="AO323" s="13"/>
      <c r="AW323" s="121"/>
      <c r="AX323" s="121"/>
      <c r="AY323" s="121"/>
      <c r="AZ323" s="121"/>
      <c r="BA323" s="121"/>
      <c r="BB323" s="121"/>
      <c r="BC323" s="121"/>
      <c r="BD323" s="121"/>
      <c r="BE323" s="121"/>
      <c r="BF323" s="121"/>
      <c r="BG323" s="123"/>
      <c r="BH323" s="127"/>
      <c r="BI323" s="125"/>
      <c r="BJ323" s="126"/>
      <c r="BK323" s="30"/>
      <c r="BL323" s="127"/>
      <c r="BM323" s="128"/>
      <c r="BN323" s="123"/>
      <c r="BO323" s="128"/>
      <c r="BP323" s="13"/>
      <c r="BQ323" s="129"/>
      <c r="BR323" s="123"/>
      <c r="BS323" s="130"/>
      <c r="BT323" s="13"/>
      <c r="BU323" s="123"/>
      <c r="BV323" s="131"/>
      <c r="DI323" s="121"/>
      <c r="DJ323" s="13"/>
      <c r="DK323" s="13"/>
      <c r="DL323" s="13"/>
      <c r="DM323" s="13"/>
      <c r="DN323" s="13"/>
      <c r="DO323" s="13"/>
      <c r="DW323" s="121"/>
      <c r="DX323" s="121"/>
      <c r="DY323" s="121"/>
      <c r="DZ323" s="121"/>
      <c r="EA323" s="121"/>
      <c r="EB323" s="121"/>
      <c r="EC323" s="121"/>
      <c r="ED323" s="121"/>
      <c r="EE323" s="121"/>
      <c r="EF323" s="121"/>
      <c r="EG323" s="123"/>
      <c r="EH323" s="127"/>
      <c r="EI323" s="125"/>
      <c r="EJ323" s="126"/>
      <c r="EK323" s="30"/>
      <c r="EL323" s="127"/>
      <c r="EM323" s="128"/>
      <c r="EN323" s="123"/>
      <c r="EO323" s="128"/>
      <c r="EP323" s="13"/>
      <c r="EQ323" s="129"/>
      <c r="ER323" s="123"/>
      <c r="ES323" s="130"/>
      <c r="ET323" s="13"/>
      <c r="EU323" s="123"/>
      <c r="EV323" s="131"/>
    </row>
    <row r="324" spans="35:152">
      <c r="AI324" s="121"/>
      <c r="AJ324" s="13"/>
      <c r="AK324" s="13"/>
      <c r="AL324" s="13"/>
      <c r="AM324" s="13"/>
      <c r="AN324" s="13"/>
      <c r="AO324" s="13"/>
      <c r="AW324" s="121"/>
      <c r="AX324" s="121"/>
      <c r="AY324" s="121"/>
      <c r="AZ324" s="121"/>
      <c r="BA324" s="121"/>
      <c r="BB324" s="121"/>
      <c r="BC324" s="121"/>
      <c r="BD324" s="121"/>
      <c r="BE324" s="121"/>
      <c r="BF324" s="121"/>
      <c r="BG324" s="123"/>
      <c r="BH324" s="127"/>
      <c r="BI324" s="125"/>
      <c r="BJ324" s="126"/>
      <c r="BK324" s="30"/>
      <c r="BL324" s="127"/>
      <c r="BM324" s="128"/>
      <c r="BN324" s="123"/>
      <c r="BO324" s="128"/>
      <c r="BP324" s="13"/>
      <c r="BQ324" s="129"/>
      <c r="BR324" s="123"/>
      <c r="BS324" s="130"/>
      <c r="BT324" s="13"/>
      <c r="BU324" s="123"/>
      <c r="BV324" s="131"/>
      <c r="DI324" s="121"/>
      <c r="DJ324" s="13"/>
      <c r="DK324" s="13"/>
      <c r="DL324" s="13"/>
      <c r="DM324" s="13"/>
      <c r="DN324" s="13"/>
      <c r="DO324" s="13"/>
      <c r="DW324" s="121"/>
      <c r="DX324" s="121"/>
      <c r="DY324" s="121"/>
      <c r="DZ324" s="121"/>
      <c r="EA324" s="121"/>
      <c r="EB324" s="121"/>
      <c r="EC324" s="121"/>
      <c r="ED324" s="121"/>
      <c r="EE324" s="121"/>
      <c r="EF324" s="121"/>
      <c r="EG324" s="123"/>
      <c r="EH324" s="127"/>
      <c r="EI324" s="125"/>
      <c r="EJ324" s="126"/>
      <c r="EK324" s="30"/>
      <c r="EL324" s="127"/>
      <c r="EM324" s="128"/>
      <c r="EN324" s="123"/>
      <c r="EO324" s="128"/>
      <c r="EP324" s="13"/>
      <c r="EQ324" s="129"/>
      <c r="ER324" s="123"/>
      <c r="ES324" s="130"/>
      <c r="ET324" s="13"/>
      <c r="EU324" s="123"/>
      <c r="EV324" s="131"/>
    </row>
    <row r="325" spans="35:152">
      <c r="AI325" s="121"/>
      <c r="AJ325" s="13"/>
      <c r="AK325" s="13"/>
      <c r="AL325" s="13"/>
      <c r="AM325" s="13"/>
      <c r="AN325" s="13"/>
      <c r="AO325" s="13"/>
      <c r="AW325" s="121"/>
      <c r="AX325" s="121"/>
      <c r="AY325" s="121"/>
      <c r="AZ325" s="121"/>
      <c r="BA325" s="121"/>
      <c r="BB325" s="121"/>
      <c r="BC325" s="121"/>
      <c r="BD325" s="121"/>
      <c r="BE325" s="121"/>
      <c r="BF325" s="121"/>
      <c r="BG325" s="123"/>
      <c r="BH325" s="127"/>
      <c r="BI325" s="125"/>
      <c r="BJ325" s="126"/>
      <c r="BK325" s="30"/>
      <c r="BL325" s="127"/>
      <c r="BM325" s="128"/>
      <c r="BN325" s="123"/>
      <c r="BO325" s="128"/>
      <c r="BP325" s="13"/>
      <c r="BQ325" s="129"/>
      <c r="BR325" s="123"/>
      <c r="BS325" s="130"/>
      <c r="BT325" s="13"/>
      <c r="BU325" s="123"/>
      <c r="BV325" s="131"/>
      <c r="DI325" s="121"/>
      <c r="DJ325" s="13"/>
      <c r="DK325" s="13"/>
      <c r="DL325" s="13"/>
      <c r="DM325" s="13"/>
      <c r="DN325" s="13"/>
      <c r="DO325" s="13"/>
      <c r="DW325" s="121"/>
      <c r="DX325" s="121"/>
      <c r="DY325" s="121"/>
      <c r="DZ325" s="121"/>
      <c r="EA325" s="121"/>
      <c r="EB325" s="121"/>
      <c r="EC325" s="121"/>
      <c r="ED325" s="121"/>
      <c r="EE325" s="121"/>
      <c r="EF325" s="121"/>
      <c r="EG325" s="123"/>
      <c r="EH325" s="127"/>
      <c r="EI325" s="125"/>
      <c r="EJ325" s="126"/>
      <c r="EK325" s="30"/>
      <c r="EL325" s="127"/>
      <c r="EM325" s="128"/>
      <c r="EN325" s="123"/>
      <c r="EO325" s="128"/>
      <c r="EP325" s="13"/>
      <c r="EQ325" s="129"/>
      <c r="ER325" s="123"/>
      <c r="ES325" s="130"/>
      <c r="ET325" s="13"/>
      <c r="EU325" s="123"/>
      <c r="EV325" s="131"/>
    </row>
    <row r="326" spans="35:152">
      <c r="AI326" s="121"/>
      <c r="AJ326" s="13"/>
      <c r="AK326" s="13"/>
      <c r="AL326" s="13"/>
      <c r="AM326" s="13"/>
      <c r="AN326" s="13"/>
      <c r="AO326" s="13"/>
      <c r="AW326" s="121"/>
      <c r="AX326" s="121"/>
      <c r="AY326" s="121"/>
      <c r="AZ326" s="121"/>
      <c r="BA326" s="121"/>
      <c r="BB326" s="121"/>
      <c r="BC326" s="121"/>
      <c r="BD326" s="121"/>
      <c r="BE326" s="121"/>
      <c r="BF326" s="121"/>
      <c r="BG326" s="123"/>
      <c r="BH326" s="127"/>
      <c r="BI326" s="125"/>
      <c r="BJ326" s="126"/>
      <c r="BK326" s="30"/>
      <c r="BL326" s="127"/>
      <c r="BM326" s="128"/>
      <c r="BN326" s="123"/>
      <c r="BO326" s="128"/>
      <c r="BP326" s="13"/>
      <c r="BQ326" s="129"/>
      <c r="BR326" s="123"/>
      <c r="BS326" s="130"/>
      <c r="BT326" s="13"/>
      <c r="BU326" s="123"/>
      <c r="BV326" s="131"/>
      <c r="DI326" s="121"/>
      <c r="DJ326" s="13"/>
      <c r="DK326" s="13"/>
      <c r="DL326" s="13"/>
      <c r="DM326" s="13"/>
      <c r="DN326" s="13"/>
      <c r="DO326" s="13"/>
      <c r="DW326" s="121"/>
      <c r="DX326" s="121"/>
      <c r="DY326" s="121"/>
      <c r="DZ326" s="121"/>
      <c r="EA326" s="121"/>
      <c r="EB326" s="121"/>
      <c r="EC326" s="121"/>
      <c r="ED326" s="121"/>
      <c r="EE326" s="121"/>
      <c r="EF326" s="121"/>
      <c r="EG326" s="123"/>
      <c r="EH326" s="127"/>
      <c r="EI326" s="125"/>
      <c r="EJ326" s="126"/>
      <c r="EK326" s="30"/>
      <c r="EL326" s="127"/>
      <c r="EM326" s="128"/>
      <c r="EN326" s="123"/>
      <c r="EO326" s="128"/>
      <c r="EP326" s="13"/>
      <c r="EQ326" s="129"/>
      <c r="ER326" s="123"/>
      <c r="ES326" s="130"/>
      <c r="ET326" s="13"/>
      <c r="EU326" s="123"/>
      <c r="EV326" s="131"/>
    </row>
    <row r="327" spans="35:152">
      <c r="AI327" s="121"/>
      <c r="AJ327" s="13"/>
      <c r="AK327" s="13"/>
      <c r="AL327" s="13"/>
      <c r="AM327" s="13"/>
      <c r="AN327" s="13"/>
      <c r="AO327" s="13"/>
      <c r="AW327" s="121"/>
      <c r="AX327" s="121"/>
      <c r="AY327" s="121"/>
      <c r="AZ327" s="121"/>
      <c r="BA327" s="121"/>
      <c r="BB327" s="121"/>
      <c r="BC327" s="121"/>
      <c r="BD327" s="121"/>
      <c r="BE327" s="121"/>
      <c r="BF327" s="121"/>
      <c r="BG327" s="123"/>
      <c r="BH327" s="127"/>
      <c r="BI327" s="125"/>
      <c r="BJ327" s="126"/>
      <c r="BK327" s="30"/>
      <c r="BL327" s="127"/>
      <c r="BM327" s="128"/>
      <c r="BN327" s="123"/>
      <c r="BO327" s="128"/>
      <c r="BP327" s="13"/>
      <c r="BQ327" s="129"/>
      <c r="BR327" s="123"/>
      <c r="BS327" s="130"/>
      <c r="BT327" s="13"/>
      <c r="BU327" s="123"/>
      <c r="BV327" s="131"/>
      <c r="DI327" s="121"/>
      <c r="DJ327" s="13"/>
      <c r="DK327" s="13"/>
      <c r="DL327" s="13"/>
      <c r="DM327" s="13"/>
      <c r="DN327" s="13"/>
      <c r="DO327" s="13"/>
      <c r="DW327" s="121"/>
      <c r="DX327" s="121"/>
      <c r="DY327" s="121"/>
      <c r="DZ327" s="121"/>
      <c r="EA327" s="121"/>
      <c r="EB327" s="121"/>
      <c r="EC327" s="121"/>
      <c r="ED327" s="121"/>
      <c r="EE327" s="121"/>
      <c r="EF327" s="121"/>
      <c r="EG327" s="123"/>
      <c r="EH327" s="127"/>
      <c r="EI327" s="125"/>
      <c r="EJ327" s="126"/>
      <c r="EK327" s="30"/>
      <c r="EL327" s="127"/>
      <c r="EM327" s="128"/>
      <c r="EN327" s="123"/>
      <c r="EO327" s="128"/>
      <c r="EP327" s="13"/>
      <c r="EQ327" s="129"/>
      <c r="ER327" s="123"/>
      <c r="ES327" s="130"/>
      <c r="ET327" s="13"/>
      <c r="EU327" s="123"/>
      <c r="EV327" s="131"/>
    </row>
    <row r="328" spans="35:152">
      <c r="AI328" s="121"/>
      <c r="AJ328" s="13"/>
      <c r="AK328" s="13"/>
      <c r="AL328" s="13"/>
      <c r="AM328" s="13"/>
      <c r="AN328" s="13"/>
      <c r="AO328" s="13"/>
      <c r="AW328" s="121"/>
      <c r="AX328" s="121"/>
      <c r="AY328" s="121"/>
      <c r="AZ328" s="121"/>
      <c r="BA328" s="121"/>
      <c r="BB328" s="121"/>
      <c r="BC328" s="121"/>
      <c r="BD328" s="121"/>
      <c r="BE328" s="121"/>
      <c r="BF328" s="121"/>
      <c r="BG328" s="123"/>
      <c r="BH328" s="127"/>
      <c r="BI328" s="125"/>
      <c r="BJ328" s="126"/>
      <c r="BK328" s="30"/>
      <c r="BL328" s="127"/>
      <c r="BM328" s="128"/>
      <c r="BN328" s="123"/>
      <c r="BO328" s="128"/>
      <c r="BP328" s="13"/>
      <c r="BQ328" s="129"/>
      <c r="BR328" s="123"/>
      <c r="BS328" s="130"/>
      <c r="BT328" s="13"/>
      <c r="BU328" s="123"/>
      <c r="BV328" s="131"/>
      <c r="DI328" s="121"/>
      <c r="DJ328" s="13"/>
      <c r="DK328" s="13"/>
      <c r="DL328" s="13"/>
      <c r="DM328" s="13"/>
      <c r="DN328" s="13"/>
      <c r="DO328" s="13"/>
      <c r="DW328" s="121"/>
      <c r="DX328" s="121"/>
      <c r="DY328" s="121"/>
      <c r="DZ328" s="121"/>
      <c r="EA328" s="121"/>
      <c r="EB328" s="121"/>
      <c r="EC328" s="121"/>
      <c r="ED328" s="121"/>
      <c r="EE328" s="121"/>
      <c r="EF328" s="121"/>
      <c r="EG328" s="123"/>
      <c r="EH328" s="127"/>
      <c r="EI328" s="125"/>
      <c r="EJ328" s="126"/>
      <c r="EK328" s="30"/>
      <c r="EL328" s="127"/>
      <c r="EM328" s="128"/>
      <c r="EN328" s="123"/>
      <c r="EO328" s="128"/>
      <c r="EP328" s="13"/>
      <c r="EQ328" s="129"/>
      <c r="ER328" s="123"/>
      <c r="ES328" s="130"/>
      <c r="ET328" s="13"/>
      <c r="EU328" s="123"/>
      <c r="EV328" s="131"/>
    </row>
    <row r="329" spans="35:152">
      <c r="AI329" s="121"/>
      <c r="AJ329" s="13"/>
      <c r="AK329" s="13"/>
      <c r="AL329" s="13"/>
      <c r="AM329" s="13"/>
      <c r="AN329" s="13"/>
      <c r="AO329" s="13"/>
      <c r="AW329" s="121"/>
      <c r="AX329" s="121"/>
      <c r="AY329" s="121"/>
      <c r="AZ329" s="121"/>
      <c r="BA329" s="121"/>
      <c r="BB329" s="121"/>
      <c r="BC329" s="121"/>
      <c r="BD329" s="121"/>
      <c r="BE329" s="121"/>
      <c r="BF329" s="121"/>
      <c r="BG329" s="123"/>
      <c r="BH329" s="127"/>
      <c r="BI329" s="125"/>
      <c r="BJ329" s="126"/>
      <c r="BK329" s="30"/>
      <c r="BL329" s="127"/>
      <c r="BM329" s="128"/>
      <c r="BN329" s="123"/>
      <c r="BO329" s="128"/>
      <c r="BP329" s="13"/>
      <c r="BQ329" s="129"/>
      <c r="BR329" s="123"/>
      <c r="BS329" s="130"/>
      <c r="BT329" s="13"/>
      <c r="BU329" s="123"/>
      <c r="BV329" s="131"/>
      <c r="DI329" s="121"/>
      <c r="DJ329" s="13"/>
      <c r="DK329" s="13"/>
      <c r="DL329" s="13"/>
      <c r="DM329" s="13"/>
      <c r="DN329" s="13"/>
      <c r="DO329" s="13"/>
      <c r="DW329" s="121"/>
      <c r="DX329" s="121"/>
      <c r="DY329" s="121"/>
      <c r="DZ329" s="121"/>
      <c r="EA329" s="121"/>
      <c r="EB329" s="121"/>
      <c r="EC329" s="121"/>
      <c r="ED329" s="121"/>
      <c r="EE329" s="121"/>
      <c r="EF329" s="121"/>
      <c r="EG329" s="123"/>
      <c r="EH329" s="127"/>
      <c r="EI329" s="125"/>
      <c r="EJ329" s="126"/>
      <c r="EK329" s="30"/>
      <c r="EL329" s="127"/>
      <c r="EM329" s="128"/>
      <c r="EN329" s="123"/>
      <c r="EO329" s="128"/>
      <c r="EP329" s="13"/>
      <c r="EQ329" s="129"/>
      <c r="ER329" s="123"/>
      <c r="ES329" s="130"/>
      <c r="ET329" s="13"/>
      <c r="EU329" s="123"/>
      <c r="EV329" s="131"/>
    </row>
    <row r="330" spans="35:152">
      <c r="AI330" s="121"/>
      <c r="AJ330" s="13"/>
      <c r="AK330" s="13"/>
      <c r="AL330" s="13"/>
      <c r="AM330" s="13"/>
      <c r="AN330" s="13"/>
      <c r="AO330" s="13"/>
      <c r="AW330" s="121"/>
      <c r="AX330" s="121"/>
      <c r="AY330" s="121"/>
      <c r="AZ330" s="121"/>
      <c r="BA330" s="121"/>
      <c r="BB330" s="121"/>
      <c r="BC330" s="121"/>
      <c r="BD330" s="121"/>
      <c r="BE330" s="121"/>
      <c r="BF330" s="121"/>
      <c r="BG330" s="123"/>
      <c r="BH330" s="127"/>
      <c r="BI330" s="125"/>
      <c r="BJ330" s="126"/>
      <c r="BK330" s="30"/>
      <c r="BL330" s="127"/>
      <c r="BM330" s="128"/>
      <c r="BN330" s="123"/>
      <c r="BO330" s="128"/>
      <c r="BP330" s="13"/>
      <c r="BQ330" s="129"/>
      <c r="BR330" s="123"/>
      <c r="BS330" s="130"/>
      <c r="BT330" s="13"/>
      <c r="BU330" s="123"/>
      <c r="BV330" s="131"/>
      <c r="DI330" s="121"/>
      <c r="DJ330" s="13"/>
      <c r="DK330" s="13"/>
      <c r="DL330" s="13"/>
      <c r="DM330" s="13"/>
      <c r="DN330" s="13"/>
      <c r="DO330" s="13"/>
      <c r="DW330" s="121"/>
      <c r="DX330" s="121"/>
      <c r="DY330" s="121"/>
      <c r="DZ330" s="121"/>
      <c r="EA330" s="121"/>
      <c r="EB330" s="121"/>
      <c r="EC330" s="121"/>
      <c r="ED330" s="121"/>
      <c r="EE330" s="121"/>
      <c r="EF330" s="121"/>
      <c r="EG330" s="123"/>
      <c r="EH330" s="127"/>
      <c r="EI330" s="125"/>
      <c r="EJ330" s="126"/>
      <c r="EK330" s="30"/>
      <c r="EL330" s="127"/>
      <c r="EM330" s="128"/>
      <c r="EN330" s="123"/>
      <c r="EO330" s="128"/>
      <c r="EP330" s="13"/>
      <c r="EQ330" s="129"/>
      <c r="ER330" s="123"/>
      <c r="ES330" s="130"/>
      <c r="ET330" s="13"/>
      <c r="EU330" s="123"/>
      <c r="EV330" s="131"/>
    </row>
    <row r="331" spans="35:152">
      <c r="AI331" s="121"/>
      <c r="AJ331" s="13"/>
      <c r="AK331" s="13"/>
      <c r="AL331" s="13"/>
      <c r="AM331" s="13"/>
      <c r="AN331" s="13"/>
      <c r="AO331" s="13"/>
      <c r="AW331" s="121"/>
      <c r="AX331" s="121"/>
      <c r="AY331" s="121"/>
      <c r="AZ331" s="121"/>
      <c r="BA331" s="121"/>
      <c r="BB331" s="121"/>
      <c r="BC331" s="121"/>
      <c r="BD331" s="121"/>
      <c r="BE331" s="121"/>
      <c r="BF331" s="121"/>
      <c r="BG331" s="123"/>
      <c r="BH331" s="127"/>
      <c r="BI331" s="125"/>
      <c r="BJ331" s="126"/>
      <c r="BK331" s="30"/>
      <c r="BL331" s="127"/>
      <c r="BM331" s="128"/>
      <c r="BN331" s="123"/>
      <c r="BO331" s="128"/>
      <c r="BP331" s="13"/>
      <c r="BQ331" s="129"/>
      <c r="BR331" s="123"/>
      <c r="BS331" s="130"/>
      <c r="BT331" s="13"/>
      <c r="BU331" s="123"/>
      <c r="BV331" s="131"/>
      <c r="DI331" s="121"/>
      <c r="DJ331" s="13"/>
      <c r="DK331" s="13"/>
      <c r="DL331" s="13"/>
      <c r="DM331" s="13"/>
      <c r="DN331" s="13"/>
      <c r="DO331" s="13"/>
      <c r="DW331" s="121"/>
      <c r="DX331" s="121"/>
      <c r="DY331" s="121"/>
      <c r="DZ331" s="121"/>
      <c r="EA331" s="121"/>
      <c r="EB331" s="121"/>
      <c r="EC331" s="121"/>
      <c r="ED331" s="121"/>
      <c r="EE331" s="121"/>
      <c r="EF331" s="121"/>
      <c r="EG331" s="123"/>
      <c r="EH331" s="127"/>
      <c r="EI331" s="125"/>
      <c r="EJ331" s="126"/>
      <c r="EK331" s="30"/>
      <c r="EL331" s="127"/>
      <c r="EM331" s="128"/>
      <c r="EN331" s="123"/>
      <c r="EO331" s="128"/>
      <c r="EP331" s="13"/>
      <c r="EQ331" s="129"/>
      <c r="ER331" s="123"/>
      <c r="ES331" s="130"/>
      <c r="ET331" s="13"/>
      <c r="EU331" s="123"/>
      <c r="EV331" s="131"/>
    </row>
    <row r="332" spans="35:152">
      <c r="AI332" s="121"/>
      <c r="AJ332" s="13"/>
      <c r="AK332" s="13"/>
      <c r="AL332" s="13"/>
      <c r="AM332" s="13"/>
      <c r="AN332" s="13"/>
      <c r="AO332" s="13"/>
      <c r="AW332" s="121"/>
      <c r="AX332" s="121"/>
      <c r="AY332" s="121"/>
      <c r="AZ332" s="121"/>
      <c r="BA332" s="121"/>
      <c r="BB332" s="121"/>
      <c r="BC332" s="121"/>
      <c r="BD332" s="121"/>
      <c r="BE332" s="121"/>
      <c r="BF332" s="121"/>
      <c r="BG332" s="123"/>
      <c r="BH332" s="127"/>
      <c r="BI332" s="125"/>
      <c r="BJ332" s="126"/>
      <c r="BK332" s="30"/>
      <c r="BL332" s="127"/>
      <c r="BM332" s="128"/>
      <c r="BN332" s="123"/>
      <c r="BO332" s="128"/>
      <c r="BP332" s="13"/>
      <c r="BQ332" s="129"/>
      <c r="BR332" s="123"/>
      <c r="BS332" s="130"/>
      <c r="BT332" s="13"/>
      <c r="BU332" s="123"/>
      <c r="BV332" s="131"/>
      <c r="DI332" s="121"/>
      <c r="DJ332" s="13"/>
      <c r="DK332" s="13"/>
      <c r="DL332" s="13"/>
      <c r="DM332" s="13"/>
      <c r="DN332" s="13"/>
      <c r="DO332" s="13"/>
      <c r="DW332" s="121"/>
      <c r="DX332" s="121"/>
      <c r="DY332" s="121"/>
      <c r="DZ332" s="121"/>
      <c r="EA332" s="121"/>
      <c r="EB332" s="121"/>
      <c r="EC332" s="121"/>
      <c r="ED332" s="121"/>
      <c r="EE332" s="121"/>
      <c r="EF332" s="121"/>
      <c r="EG332" s="123"/>
      <c r="EH332" s="127"/>
      <c r="EI332" s="125"/>
      <c r="EJ332" s="126"/>
      <c r="EK332" s="30"/>
      <c r="EL332" s="127"/>
      <c r="EM332" s="128"/>
      <c r="EN332" s="123"/>
      <c r="EO332" s="128"/>
      <c r="EP332" s="13"/>
      <c r="EQ332" s="129"/>
      <c r="ER332" s="123"/>
      <c r="ES332" s="130"/>
      <c r="ET332" s="13"/>
      <c r="EU332" s="123"/>
      <c r="EV332" s="131"/>
    </row>
    <row r="333" spans="35:152">
      <c r="AI333" s="121"/>
      <c r="AJ333" s="13"/>
      <c r="AK333" s="13"/>
      <c r="AL333" s="13"/>
      <c r="AM333" s="13"/>
      <c r="AN333" s="13"/>
      <c r="AO333" s="13"/>
      <c r="AW333" s="121"/>
      <c r="AX333" s="121"/>
      <c r="AY333" s="121"/>
      <c r="AZ333" s="121"/>
      <c r="BA333" s="121"/>
      <c r="BB333" s="121"/>
      <c r="BC333" s="121"/>
      <c r="BD333" s="121"/>
      <c r="BE333" s="121"/>
      <c r="BF333" s="121"/>
      <c r="BG333" s="123"/>
      <c r="BH333" s="127"/>
      <c r="BI333" s="125"/>
      <c r="BJ333" s="126"/>
      <c r="BK333" s="30"/>
      <c r="BL333" s="127"/>
      <c r="BM333" s="128"/>
      <c r="BN333" s="123"/>
      <c r="BO333" s="128"/>
      <c r="BP333" s="13"/>
      <c r="BQ333" s="129"/>
      <c r="BR333" s="123"/>
      <c r="BS333" s="130"/>
      <c r="BT333" s="13"/>
      <c r="BU333" s="123"/>
      <c r="BV333" s="131"/>
      <c r="DI333" s="121"/>
      <c r="DJ333" s="13"/>
      <c r="DK333" s="13"/>
      <c r="DL333" s="13"/>
      <c r="DM333" s="13"/>
      <c r="DN333" s="13"/>
      <c r="DO333" s="13"/>
      <c r="DW333" s="121"/>
      <c r="DX333" s="121"/>
      <c r="DY333" s="121"/>
      <c r="DZ333" s="121"/>
      <c r="EA333" s="121"/>
      <c r="EB333" s="121"/>
      <c r="EC333" s="121"/>
      <c r="ED333" s="121"/>
      <c r="EE333" s="121"/>
      <c r="EF333" s="121"/>
      <c r="EG333" s="123"/>
      <c r="EH333" s="127"/>
      <c r="EI333" s="125"/>
      <c r="EJ333" s="126"/>
      <c r="EK333" s="30"/>
      <c r="EL333" s="127"/>
      <c r="EM333" s="128"/>
      <c r="EN333" s="123"/>
      <c r="EO333" s="128"/>
      <c r="EP333" s="13"/>
      <c r="EQ333" s="129"/>
      <c r="ER333" s="123"/>
      <c r="ES333" s="130"/>
      <c r="ET333" s="13"/>
      <c r="EU333" s="123"/>
      <c r="EV333" s="131"/>
    </row>
    <row r="334" spans="35:152">
      <c r="AI334" s="121"/>
      <c r="AJ334" s="13"/>
      <c r="AK334" s="13"/>
      <c r="AL334" s="13"/>
      <c r="AM334" s="13"/>
      <c r="AN334" s="13"/>
      <c r="AO334" s="13"/>
      <c r="AW334" s="121"/>
      <c r="AX334" s="121"/>
      <c r="AY334" s="121"/>
      <c r="AZ334" s="121"/>
      <c r="BA334" s="121"/>
      <c r="BB334" s="121"/>
      <c r="BC334" s="121"/>
      <c r="BD334" s="121"/>
      <c r="BE334" s="121"/>
      <c r="BF334" s="121"/>
      <c r="BG334" s="123"/>
      <c r="BH334" s="127"/>
      <c r="BI334" s="125"/>
      <c r="BJ334" s="126"/>
      <c r="BK334" s="30"/>
      <c r="BL334" s="127"/>
      <c r="BM334" s="128"/>
      <c r="BN334" s="123"/>
      <c r="BO334" s="128"/>
      <c r="BP334" s="13"/>
      <c r="BQ334" s="129"/>
      <c r="BR334" s="123"/>
      <c r="BS334" s="130"/>
      <c r="BT334" s="13"/>
      <c r="BU334" s="123"/>
      <c r="BV334" s="131"/>
      <c r="DI334" s="121"/>
      <c r="DJ334" s="13"/>
      <c r="DK334" s="13"/>
      <c r="DL334" s="13"/>
      <c r="DM334" s="13"/>
      <c r="DN334" s="13"/>
      <c r="DO334" s="13"/>
      <c r="DW334" s="121"/>
      <c r="DX334" s="121"/>
      <c r="DY334" s="121"/>
      <c r="DZ334" s="121"/>
      <c r="EA334" s="121"/>
      <c r="EB334" s="121"/>
      <c r="EC334" s="121"/>
      <c r="ED334" s="121"/>
      <c r="EE334" s="121"/>
      <c r="EF334" s="121"/>
      <c r="EG334" s="123"/>
      <c r="EH334" s="127"/>
      <c r="EI334" s="125"/>
      <c r="EJ334" s="126"/>
      <c r="EK334" s="30"/>
      <c r="EL334" s="127"/>
      <c r="EM334" s="128"/>
      <c r="EN334" s="123"/>
      <c r="EO334" s="128"/>
      <c r="EP334" s="13"/>
      <c r="EQ334" s="129"/>
      <c r="ER334" s="123"/>
      <c r="ES334" s="130"/>
      <c r="ET334" s="13"/>
      <c r="EU334" s="123"/>
      <c r="EV334" s="131"/>
    </row>
    <row r="335" spans="35:152">
      <c r="AI335" s="121"/>
      <c r="AJ335" s="13"/>
      <c r="AK335" s="13"/>
      <c r="AL335" s="13"/>
      <c r="AM335" s="13"/>
      <c r="AN335" s="13"/>
      <c r="AO335" s="13"/>
      <c r="AW335" s="121"/>
      <c r="AX335" s="121"/>
      <c r="AY335" s="121"/>
      <c r="AZ335" s="121"/>
      <c r="BA335" s="121"/>
      <c r="BB335" s="121"/>
      <c r="BC335" s="121"/>
      <c r="BD335" s="121"/>
      <c r="BE335" s="121"/>
      <c r="BF335" s="121"/>
      <c r="BG335" s="123"/>
      <c r="BH335" s="127"/>
      <c r="BI335" s="125"/>
      <c r="BJ335" s="126"/>
      <c r="BK335" s="30"/>
      <c r="BL335" s="127"/>
      <c r="BM335" s="128"/>
      <c r="BN335" s="123"/>
      <c r="BO335" s="128"/>
      <c r="BP335" s="13"/>
      <c r="BQ335" s="129"/>
      <c r="BR335" s="123"/>
      <c r="BS335" s="130"/>
      <c r="BT335" s="13"/>
      <c r="BU335" s="123"/>
      <c r="BV335" s="131"/>
      <c r="DI335" s="121"/>
      <c r="DJ335" s="13"/>
      <c r="DK335" s="13"/>
      <c r="DL335" s="13"/>
      <c r="DM335" s="13"/>
      <c r="DN335" s="13"/>
      <c r="DO335" s="13"/>
      <c r="DW335" s="121"/>
      <c r="DX335" s="121"/>
      <c r="DY335" s="121"/>
      <c r="DZ335" s="121"/>
      <c r="EA335" s="121"/>
      <c r="EB335" s="121"/>
      <c r="EC335" s="121"/>
      <c r="ED335" s="121"/>
      <c r="EE335" s="121"/>
      <c r="EF335" s="121"/>
      <c r="EG335" s="123"/>
      <c r="EH335" s="127"/>
      <c r="EI335" s="125"/>
      <c r="EJ335" s="126"/>
      <c r="EK335" s="30"/>
      <c r="EL335" s="127"/>
      <c r="EM335" s="128"/>
      <c r="EN335" s="123"/>
      <c r="EO335" s="128"/>
      <c r="EP335" s="13"/>
      <c r="EQ335" s="129"/>
      <c r="ER335" s="123"/>
      <c r="ES335" s="130"/>
      <c r="ET335" s="13"/>
      <c r="EU335" s="123"/>
      <c r="EV335" s="131"/>
    </row>
    <row r="336" spans="35:152">
      <c r="AI336" s="121"/>
      <c r="AJ336" s="13"/>
      <c r="AK336" s="13"/>
      <c r="AL336" s="13"/>
      <c r="AM336" s="13"/>
      <c r="AN336" s="13"/>
      <c r="AO336" s="13"/>
      <c r="AW336" s="121"/>
      <c r="AX336" s="121"/>
      <c r="AY336" s="121"/>
      <c r="AZ336" s="121"/>
      <c r="BA336" s="121"/>
      <c r="BB336" s="121"/>
      <c r="BC336" s="121"/>
      <c r="BD336" s="121"/>
      <c r="BE336" s="121"/>
      <c r="BF336" s="121"/>
      <c r="BG336" s="123"/>
      <c r="BH336" s="127"/>
      <c r="BI336" s="125"/>
      <c r="BJ336" s="126"/>
      <c r="BK336" s="30"/>
      <c r="BL336" s="127"/>
      <c r="BM336" s="128"/>
      <c r="BN336" s="123"/>
      <c r="BO336" s="128"/>
      <c r="BP336" s="13"/>
      <c r="BQ336" s="129"/>
      <c r="BR336" s="123"/>
      <c r="BS336" s="130"/>
      <c r="BT336" s="13"/>
      <c r="BU336" s="123"/>
      <c r="BV336" s="131"/>
      <c r="DI336" s="121"/>
      <c r="DJ336" s="13"/>
      <c r="DK336" s="13"/>
      <c r="DL336" s="13"/>
      <c r="DM336" s="13"/>
      <c r="DN336" s="13"/>
      <c r="DO336" s="13"/>
      <c r="DW336" s="121"/>
      <c r="DX336" s="121"/>
      <c r="DY336" s="121"/>
      <c r="DZ336" s="121"/>
      <c r="EA336" s="121"/>
      <c r="EB336" s="121"/>
      <c r="EC336" s="121"/>
      <c r="ED336" s="121"/>
      <c r="EE336" s="121"/>
      <c r="EF336" s="121"/>
      <c r="EG336" s="123"/>
      <c r="EH336" s="127"/>
      <c r="EI336" s="125"/>
      <c r="EJ336" s="126"/>
      <c r="EK336" s="30"/>
      <c r="EL336" s="127"/>
      <c r="EM336" s="128"/>
      <c r="EN336" s="123"/>
      <c r="EO336" s="128"/>
      <c r="EP336" s="13"/>
      <c r="EQ336" s="129"/>
      <c r="ER336" s="123"/>
      <c r="ES336" s="130"/>
      <c r="ET336" s="13"/>
      <c r="EU336" s="123"/>
      <c r="EV336" s="131"/>
    </row>
    <row r="337" spans="35:152">
      <c r="AI337" s="121"/>
      <c r="AJ337" s="13"/>
      <c r="AK337" s="13"/>
      <c r="AL337" s="13"/>
      <c r="AM337" s="13"/>
      <c r="AN337" s="13"/>
      <c r="AO337" s="13"/>
      <c r="AW337" s="121"/>
      <c r="AX337" s="121"/>
      <c r="AY337" s="121"/>
      <c r="AZ337" s="121"/>
      <c r="BA337" s="121"/>
      <c r="BB337" s="121"/>
      <c r="BC337" s="121"/>
      <c r="BD337" s="121"/>
      <c r="BE337" s="121"/>
      <c r="BF337" s="121"/>
      <c r="BG337" s="123"/>
      <c r="BH337" s="127"/>
      <c r="BI337" s="125"/>
      <c r="BJ337" s="126"/>
      <c r="BK337" s="30"/>
      <c r="BL337" s="127"/>
      <c r="BM337" s="128"/>
      <c r="BN337" s="123"/>
      <c r="BO337" s="128"/>
      <c r="BP337" s="13"/>
      <c r="BQ337" s="129"/>
      <c r="BR337" s="123"/>
      <c r="BS337" s="130"/>
      <c r="BT337" s="13"/>
      <c r="BU337" s="123"/>
      <c r="BV337" s="131"/>
      <c r="DI337" s="121"/>
      <c r="DJ337" s="13"/>
      <c r="DK337" s="13"/>
      <c r="DL337" s="13"/>
      <c r="DM337" s="13"/>
      <c r="DN337" s="13"/>
      <c r="DO337" s="13"/>
      <c r="DW337" s="121"/>
      <c r="DX337" s="121"/>
      <c r="DY337" s="121"/>
      <c r="DZ337" s="121"/>
      <c r="EA337" s="121"/>
      <c r="EB337" s="121"/>
      <c r="EC337" s="121"/>
      <c r="ED337" s="121"/>
      <c r="EE337" s="121"/>
      <c r="EF337" s="121"/>
      <c r="EG337" s="123"/>
      <c r="EH337" s="127"/>
      <c r="EI337" s="125"/>
      <c r="EJ337" s="126"/>
      <c r="EK337" s="30"/>
      <c r="EL337" s="127"/>
      <c r="EM337" s="128"/>
      <c r="EN337" s="123"/>
      <c r="EO337" s="128"/>
      <c r="EP337" s="13"/>
      <c r="EQ337" s="129"/>
      <c r="ER337" s="123"/>
      <c r="ES337" s="130"/>
      <c r="ET337" s="13"/>
      <c r="EU337" s="123"/>
      <c r="EV337" s="131"/>
    </row>
    <row r="338" spans="35:152">
      <c r="AI338" s="121"/>
      <c r="AJ338" s="13"/>
      <c r="AK338" s="13"/>
      <c r="AL338" s="13"/>
      <c r="AM338" s="13"/>
      <c r="AN338" s="13"/>
      <c r="AO338" s="13"/>
      <c r="AW338" s="121"/>
      <c r="AX338" s="121"/>
      <c r="AY338" s="121"/>
      <c r="AZ338" s="121"/>
      <c r="BA338" s="121"/>
      <c r="BB338" s="121"/>
      <c r="BC338" s="121"/>
      <c r="BD338" s="121"/>
      <c r="BE338" s="121"/>
      <c r="BF338" s="121"/>
      <c r="BG338" s="123"/>
      <c r="BH338" s="127"/>
      <c r="BI338" s="125"/>
      <c r="BJ338" s="126"/>
      <c r="BK338" s="30"/>
      <c r="BL338" s="127"/>
      <c r="BM338" s="128"/>
      <c r="BN338" s="123"/>
      <c r="BO338" s="128"/>
      <c r="BP338" s="13"/>
      <c r="BQ338" s="129"/>
      <c r="BR338" s="123"/>
      <c r="BS338" s="130"/>
      <c r="BT338" s="13"/>
      <c r="BU338" s="123"/>
      <c r="BV338" s="131"/>
      <c r="DI338" s="121"/>
      <c r="DJ338" s="13"/>
      <c r="DK338" s="13"/>
      <c r="DL338" s="13"/>
      <c r="DM338" s="13"/>
      <c r="DN338" s="13"/>
      <c r="DO338" s="13"/>
      <c r="DW338" s="121"/>
      <c r="DX338" s="121"/>
      <c r="DY338" s="121"/>
      <c r="DZ338" s="121"/>
      <c r="EA338" s="121"/>
      <c r="EB338" s="121"/>
      <c r="EC338" s="121"/>
      <c r="ED338" s="121"/>
      <c r="EE338" s="121"/>
      <c r="EF338" s="121"/>
      <c r="EG338" s="123"/>
      <c r="EH338" s="127"/>
      <c r="EI338" s="125"/>
      <c r="EJ338" s="126"/>
      <c r="EK338" s="30"/>
      <c r="EL338" s="127"/>
      <c r="EM338" s="128"/>
      <c r="EN338" s="123"/>
      <c r="EO338" s="128"/>
      <c r="EP338" s="13"/>
      <c r="EQ338" s="129"/>
      <c r="ER338" s="123"/>
      <c r="ES338" s="130"/>
      <c r="ET338" s="13"/>
      <c r="EU338" s="123"/>
      <c r="EV338" s="131"/>
    </row>
    <row r="339" spans="35:152">
      <c r="AI339" s="121"/>
      <c r="AJ339" s="13"/>
      <c r="AK339" s="13"/>
      <c r="AL339" s="13"/>
      <c r="AM339" s="13"/>
      <c r="AN339" s="13"/>
      <c r="AO339" s="13"/>
      <c r="AW339" s="121"/>
      <c r="AX339" s="121"/>
      <c r="AY339" s="121"/>
      <c r="AZ339" s="121"/>
      <c r="BA339" s="121"/>
      <c r="BB339" s="121"/>
      <c r="BC339" s="121"/>
      <c r="BD339" s="121"/>
      <c r="BE339" s="121"/>
      <c r="BF339" s="121"/>
      <c r="BG339" s="123"/>
      <c r="BH339" s="127"/>
      <c r="BI339" s="125"/>
      <c r="BJ339" s="126"/>
      <c r="BK339" s="30"/>
      <c r="BL339" s="127"/>
      <c r="BM339" s="128"/>
      <c r="BN339" s="123"/>
      <c r="BO339" s="128"/>
      <c r="BP339" s="13"/>
      <c r="BQ339" s="129"/>
      <c r="BR339" s="123"/>
      <c r="BS339" s="130"/>
      <c r="BT339" s="13"/>
      <c r="BU339" s="123"/>
      <c r="BV339" s="131"/>
      <c r="DI339" s="121"/>
      <c r="DJ339" s="13"/>
      <c r="DK339" s="13"/>
      <c r="DL339" s="13"/>
      <c r="DM339" s="13"/>
      <c r="DN339" s="13"/>
      <c r="DO339" s="13"/>
      <c r="DW339" s="121"/>
      <c r="DX339" s="121"/>
      <c r="DY339" s="121"/>
      <c r="DZ339" s="121"/>
      <c r="EA339" s="121"/>
      <c r="EB339" s="121"/>
      <c r="EC339" s="121"/>
      <c r="ED339" s="121"/>
      <c r="EE339" s="121"/>
      <c r="EF339" s="121"/>
      <c r="EG339" s="123"/>
      <c r="EH339" s="127"/>
      <c r="EI339" s="125"/>
      <c r="EJ339" s="126"/>
      <c r="EK339" s="30"/>
      <c r="EL339" s="127"/>
      <c r="EM339" s="128"/>
      <c r="EN339" s="123"/>
      <c r="EO339" s="128"/>
      <c r="EP339" s="13"/>
      <c r="EQ339" s="129"/>
      <c r="ER339" s="123"/>
      <c r="ES339" s="130"/>
      <c r="ET339" s="13"/>
      <c r="EU339" s="123"/>
      <c r="EV339" s="131"/>
    </row>
    <row r="340" spans="35:152">
      <c r="AI340" s="121"/>
      <c r="AJ340" s="13"/>
      <c r="AK340" s="13"/>
      <c r="AL340" s="13"/>
      <c r="AM340" s="13"/>
      <c r="AN340" s="13"/>
      <c r="AO340" s="13"/>
      <c r="AW340" s="121"/>
      <c r="AX340" s="121"/>
      <c r="AY340" s="121"/>
      <c r="AZ340" s="121"/>
      <c r="BA340" s="121"/>
      <c r="BB340" s="121"/>
      <c r="BC340" s="121"/>
      <c r="BD340" s="121"/>
      <c r="BE340" s="121"/>
      <c r="BF340" s="121"/>
      <c r="BG340" s="123"/>
      <c r="BH340" s="127"/>
      <c r="BI340" s="125"/>
      <c r="BJ340" s="126"/>
      <c r="BK340" s="30"/>
      <c r="BL340" s="127"/>
      <c r="BM340" s="128"/>
      <c r="BN340" s="123"/>
      <c r="BO340" s="128"/>
      <c r="BP340" s="13"/>
      <c r="BQ340" s="129"/>
      <c r="BR340" s="123"/>
      <c r="BS340" s="130"/>
      <c r="BT340" s="13"/>
      <c r="BU340" s="123"/>
      <c r="BV340" s="131"/>
      <c r="DI340" s="121"/>
      <c r="DJ340" s="13"/>
      <c r="DK340" s="13"/>
      <c r="DL340" s="13"/>
      <c r="DM340" s="13"/>
      <c r="DN340" s="13"/>
      <c r="DO340" s="13"/>
      <c r="DW340" s="121"/>
      <c r="DX340" s="121"/>
      <c r="DY340" s="121"/>
      <c r="DZ340" s="121"/>
      <c r="EA340" s="121"/>
      <c r="EB340" s="121"/>
      <c r="EC340" s="121"/>
      <c r="ED340" s="121"/>
      <c r="EE340" s="121"/>
      <c r="EF340" s="121"/>
      <c r="EG340" s="123"/>
      <c r="EH340" s="127"/>
      <c r="EI340" s="125"/>
      <c r="EJ340" s="126"/>
      <c r="EK340" s="30"/>
      <c r="EL340" s="127"/>
      <c r="EM340" s="128"/>
      <c r="EN340" s="123"/>
      <c r="EO340" s="128"/>
      <c r="EP340" s="13"/>
      <c r="EQ340" s="129"/>
      <c r="ER340" s="123"/>
      <c r="ES340" s="130"/>
      <c r="ET340" s="13"/>
      <c r="EU340" s="123"/>
      <c r="EV340" s="131"/>
    </row>
    <row r="341" spans="35:152">
      <c r="AI341" s="121"/>
      <c r="AJ341" s="13"/>
      <c r="AK341" s="13"/>
      <c r="AL341" s="13"/>
      <c r="AM341" s="13"/>
      <c r="AN341" s="13"/>
      <c r="AO341" s="13"/>
      <c r="AW341" s="121"/>
      <c r="AX341" s="121"/>
      <c r="AY341" s="121"/>
      <c r="AZ341" s="121"/>
      <c r="BA341" s="121"/>
      <c r="BB341" s="121"/>
      <c r="BC341" s="121"/>
      <c r="BD341" s="121"/>
      <c r="BE341" s="121"/>
      <c r="BF341" s="121"/>
      <c r="BG341" s="123"/>
      <c r="BH341" s="127"/>
      <c r="BI341" s="125"/>
      <c r="BJ341" s="126"/>
      <c r="BK341" s="30"/>
      <c r="BL341" s="127"/>
      <c r="BM341" s="128"/>
      <c r="BN341" s="123"/>
      <c r="BO341" s="128"/>
      <c r="BP341" s="13"/>
      <c r="BQ341" s="129"/>
      <c r="BR341" s="123"/>
      <c r="BS341" s="130"/>
      <c r="BT341" s="13"/>
      <c r="BU341" s="123"/>
      <c r="BV341" s="131"/>
      <c r="DI341" s="121"/>
      <c r="DJ341" s="13"/>
      <c r="DK341" s="13"/>
      <c r="DL341" s="13"/>
      <c r="DM341" s="13"/>
      <c r="DN341" s="13"/>
      <c r="DO341" s="13"/>
      <c r="DW341" s="121"/>
      <c r="DX341" s="121"/>
      <c r="DY341" s="121"/>
      <c r="DZ341" s="121"/>
      <c r="EA341" s="121"/>
      <c r="EB341" s="121"/>
      <c r="EC341" s="121"/>
      <c r="ED341" s="121"/>
      <c r="EE341" s="121"/>
      <c r="EF341" s="121"/>
      <c r="EG341" s="123"/>
      <c r="EH341" s="127"/>
      <c r="EI341" s="125"/>
      <c r="EJ341" s="126"/>
      <c r="EK341" s="30"/>
      <c r="EL341" s="127"/>
      <c r="EM341" s="128"/>
      <c r="EN341" s="123"/>
      <c r="EO341" s="128"/>
      <c r="EP341" s="13"/>
      <c r="EQ341" s="129"/>
      <c r="ER341" s="123"/>
      <c r="ES341" s="130"/>
      <c r="ET341" s="13"/>
      <c r="EU341" s="123"/>
      <c r="EV341" s="131"/>
    </row>
    <row r="342" spans="35:152">
      <c r="AI342" s="121"/>
      <c r="AJ342" s="13"/>
      <c r="AK342" s="13"/>
      <c r="AL342" s="13"/>
      <c r="AM342" s="13"/>
      <c r="AN342" s="13"/>
      <c r="AO342" s="13"/>
      <c r="AW342" s="121"/>
      <c r="AX342" s="121"/>
      <c r="AY342" s="121"/>
      <c r="AZ342" s="121"/>
      <c r="BA342" s="121"/>
      <c r="BB342" s="121"/>
      <c r="BC342" s="121"/>
      <c r="BD342" s="121"/>
      <c r="BE342" s="121"/>
      <c r="BF342" s="121"/>
      <c r="BG342" s="123"/>
      <c r="BH342" s="127"/>
      <c r="BI342" s="125"/>
      <c r="BJ342" s="126"/>
      <c r="BK342" s="30"/>
      <c r="BL342" s="127"/>
      <c r="BM342" s="128"/>
      <c r="BN342" s="123"/>
      <c r="BO342" s="128"/>
      <c r="BP342" s="13"/>
      <c r="BQ342" s="129"/>
      <c r="BR342" s="123"/>
      <c r="BS342" s="130"/>
      <c r="BT342" s="13"/>
      <c r="BU342" s="123"/>
      <c r="BV342" s="131"/>
      <c r="DI342" s="121"/>
      <c r="DJ342" s="13"/>
      <c r="DK342" s="13"/>
      <c r="DL342" s="13"/>
      <c r="DM342" s="13"/>
      <c r="DN342" s="13"/>
      <c r="DO342" s="13"/>
      <c r="DW342" s="121"/>
      <c r="DX342" s="121"/>
      <c r="DY342" s="121"/>
      <c r="DZ342" s="121"/>
      <c r="EA342" s="121"/>
      <c r="EB342" s="121"/>
      <c r="EC342" s="121"/>
      <c r="ED342" s="121"/>
      <c r="EE342" s="121"/>
      <c r="EF342" s="121"/>
      <c r="EG342" s="123"/>
      <c r="EH342" s="127"/>
      <c r="EI342" s="125"/>
      <c r="EJ342" s="126"/>
      <c r="EK342" s="30"/>
      <c r="EL342" s="127"/>
      <c r="EM342" s="128"/>
      <c r="EN342" s="123"/>
      <c r="EO342" s="128"/>
      <c r="EP342" s="13"/>
      <c r="EQ342" s="129"/>
      <c r="ER342" s="123"/>
      <c r="ES342" s="130"/>
      <c r="ET342" s="13"/>
      <c r="EU342" s="123"/>
      <c r="EV342" s="131"/>
    </row>
    <row r="343" spans="35:152">
      <c r="AI343" s="121"/>
      <c r="AJ343" s="13"/>
      <c r="AK343" s="13"/>
      <c r="AL343" s="13"/>
      <c r="AM343" s="13"/>
      <c r="AN343" s="13"/>
      <c r="AO343" s="13"/>
      <c r="AW343" s="121"/>
      <c r="AX343" s="121"/>
      <c r="AY343" s="121"/>
      <c r="AZ343" s="121"/>
      <c r="BA343" s="121"/>
      <c r="BB343" s="121"/>
      <c r="BC343" s="121"/>
      <c r="BD343" s="121"/>
      <c r="BE343" s="121"/>
      <c r="BF343" s="121"/>
      <c r="BG343" s="123"/>
      <c r="BH343" s="127"/>
      <c r="BI343" s="125"/>
      <c r="BJ343" s="126"/>
      <c r="BK343" s="30"/>
      <c r="BL343" s="127"/>
      <c r="BM343" s="128"/>
      <c r="BN343" s="123"/>
      <c r="BO343" s="128"/>
      <c r="BP343" s="13"/>
      <c r="BQ343" s="129"/>
      <c r="BR343" s="123"/>
      <c r="BS343" s="130"/>
      <c r="BT343" s="13"/>
      <c r="BU343" s="123"/>
      <c r="BV343" s="131"/>
      <c r="DI343" s="121"/>
      <c r="DJ343" s="13"/>
      <c r="DK343" s="13"/>
      <c r="DL343" s="13"/>
      <c r="DM343" s="13"/>
      <c r="DN343" s="13"/>
      <c r="DO343" s="13"/>
      <c r="DW343" s="121"/>
      <c r="DX343" s="121"/>
      <c r="DY343" s="121"/>
      <c r="DZ343" s="121"/>
      <c r="EA343" s="121"/>
      <c r="EB343" s="121"/>
      <c r="EC343" s="121"/>
      <c r="ED343" s="121"/>
      <c r="EE343" s="121"/>
      <c r="EF343" s="121"/>
      <c r="EG343" s="123"/>
      <c r="EH343" s="127"/>
      <c r="EI343" s="125"/>
      <c r="EJ343" s="126"/>
      <c r="EK343" s="30"/>
      <c r="EL343" s="127"/>
      <c r="EM343" s="128"/>
      <c r="EN343" s="123"/>
      <c r="EO343" s="128"/>
      <c r="EP343" s="13"/>
      <c r="EQ343" s="129"/>
      <c r="ER343" s="123"/>
      <c r="ES343" s="130"/>
      <c r="ET343" s="13"/>
      <c r="EU343" s="123"/>
      <c r="EV343" s="131"/>
    </row>
    <row r="344" spans="35:152">
      <c r="AI344" s="121"/>
      <c r="AJ344" s="13"/>
      <c r="AK344" s="13"/>
      <c r="AL344" s="13"/>
      <c r="AM344" s="13"/>
      <c r="AN344" s="13"/>
      <c r="AO344" s="13"/>
      <c r="AW344" s="121"/>
      <c r="AX344" s="121"/>
      <c r="AY344" s="121"/>
      <c r="AZ344" s="121"/>
      <c r="BA344" s="121"/>
      <c r="BB344" s="121"/>
      <c r="BC344" s="121"/>
      <c r="BD344" s="121"/>
      <c r="BE344" s="121"/>
      <c r="BF344" s="121"/>
      <c r="BG344" s="123"/>
      <c r="BH344" s="127"/>
      <c r="BI344" s="125"/>
      <c r="BJ344" s="126"/>
      <c r="BK344" s="30"/>
      <c r="BL344" s="127"/>
      <c r="BM344" s="128"/>
      <c r="BN344" s="123"/>
      <c r="BO344" s="128"/>
      <c r="BP344" s="13"/>
      <c r="BQ344" s="129"/>
      <c r="BR344" s="123"/>
      <c r="BS344" s="130"/>
      <c r="BT344" s="13"/>
      <c r="BU344" s="123"/>
      <c r="BV344" s="131"/>
      <c r="DI344" s="121"/>
      <c r="DJ344" s="13"/>
      <c r="DK344" s="13"/>
      <c r="DL344" s="13"/>
      <c r="DM344" s="13"/>
      <c r="DN344" s="13"/>
      <c r="DO344" s="13"/>
      <c r="DW344" s="121"/>
      <c r="DX344" s="121"/>
      <c r="DY344" s="121"/>
      <c r="DZ344" s="121"/>
      <c r="EA344" s="121"/>
      <c r="EB344" s="121"/>
      <c r="EC344" s="121"/>
      <c r="ED344" s="121"/>
      <c r="EE344" s="121"/>
      <c r="EF344" s="121"/>
      <c r="EG344" s="123"/>
      <c r="EH344" s="127"/>
      <c r="EI344" s="125"/>
      <c r="EJ344" s="126"/>
      <c r="EK344" s="30"/>
      <c r="EL344" s="127"/>
      <c r="EM344" s="128"/>
      <c r="EN344" s="123"/>
      <c r="EO344" s="128"/>
      <c r="EP344" s="13"/>
      <c r="EQ344" s="129"/>
      <c r="ER344" s="123"/>
      <c r="ES344" s="130"/>
      <c r="ET344" s="13"/>
      <c r="EU344" s="123"/>
      <c r="EV344" s="131"/>
    </row>
    <row r="345" spans="35:152">
      <c r="AI345" s="121"/>
      <c r="AJ345" s="13"/>
      <c r="AK345" s="13"/>
      <c r="AL345" s="13"/>
      <c r="AM345" s="13"/>
      <c r="AN345" s="13"/>
      <c r="AO345" s="13"/>
      <c r="AW345" s="121"/>
      <c r="AX345" s="121"/>
      <c r="AY345" s="121"/>
      <c r="AZ345" s="121"/>
      <c r="BA345" s="121"/>
      <c r="BB345" s="121"/>
      <c r="BC345" s="121"/>
      <c r="BD345" s="121"/>
      <c r="BE345" s="121"/>
      <c r="BF345" s="121"/>
      <c r="BG345" s="123"/>
      <c r="BH345" s="127"/>
      <c r="BI345" s="125"/>
      <c r="BJ345" s="126"/>
      <c r="BK345" s="30"/>
      <c r="BL345" s="127"/>
      <c r="BM345" s="128"/>
      <c r="BN345" s="123"/>
      <c r="BO345" s="128"/>
      <c r="BP345" s="13"/>
      <c r="BQ345" s="129"/>
      <c r="BR345" s="123"/>
      <c r="BS345" s="130"/>
      <c r="BT345" s="13"/>
      <c r="BU345" s="123"/>
      <c r="BV345" s="131"/>
      <c r="DI345" s="121"/>
      <c r="DJ345" s="13"/>
      <c r="DK345" s="13"/>
      <c r="DL345" s="13"/>
      <c r="DM345" s="13"/>
      <c r="DN345" s="13"/>
      <c r="DO345" s="13"/>
      <c r="DW345" s="121"/>
      <c r="DX345" s="121"/>
      <c r="DY345" s="121"/>
      <c r="DZ345" s="121"/>
      <c r="EA345" s="121"/>
      <c r="EB345" s="121"/>
      <c r="EC345" s="121"/>
      <c r="ED345" s="121"/>
      <c r="EE345" s="121"/>
      <c r="EF345" s="121"/>
      <c r="EG345" s="123"/>
      <c r="EH345" s="127"/>
      <c r="EI345" s="125"/>
      <c r="EJ345" s="126"/>
      <c r="EK345" s="30"/>
      <c r="EL345" s="127"/>
      <c r="EM345" s="128"/>
      <c r="EN345" s="123"/>
      <c r="EO345" s="128"/>
      <c r="EP345" s="13"/>
      <c r="EQ345" s="129"/>
      <c r="ER345" s="123"/>
      <c r="ES345" s="130"/>
      <c r="ET345" s="13"/>
      <c r="EU345" s="123"/>
      <c r="EV345" s="131"/>
    </row>
    <row r="346" spans="35:152">
      <c r="AI346" s="121"/>
      <c r="AJ346" s="13"/>
      <c r="AK346" s="13"/>
      <c r="AL346" s="13"/>
      <c r="AM346" s="13"/>
      <c r="AN346" s="13"/>
      <c r="AO346" s="13"/>
      <c r="AW346" s="121"/>
      <c r="AX346" s="121"/>
      <c r="AY346" s="121"/>
      <c r="AZ346" s="121"/>
      <c r="BA346" s="121"/>
      <c r="BB346" s="121"/>
      <c r="BC346" s="121"/>
      <c r="BD346" s="121"/>
      <c r="BE346" s="121"/>
      <c r="BF346" s="121"/>
      <c r="BG346" s="123"/>
      <c r="BH346" s="127"/>
      <c r="BI346" s="125"/>
      <c r="BJ346" s="126"/>
      <c r="BK346" s="30"/>
      <c r="BL346" s="127"/>
      <c r="BM346" s="128"/>
      <c r="BN346" s="123"/>
      <c r="BO346" s="128"/>
      <c r="BP346" s="13"/>
      <c r="BQ346" s="129"/>
      <c r="BR346" s="123"/>
      <c r="BS346" s="130"/>
      <c r="BT346" s="13"/>
      <c r="BU346" s="123"/>
      <c r="BV346" s="131"/>
      <c r="DI346" s="121"/>
      <c r="DJ346" s="13"/>
      <c r="DK346" s="13"/>
      <c r="DL346" s="13"/>
      <c r="DM346" s="13"/>
      <c r="DN346" s="13"/>
      <c r="DO346" s="13"/>
      <c r="DW346" s="121"/>
      <c r="DX346" s="121"/>
      <c r="DY346" s="121"/>
      <c r="DZ346" s="121"/>
      <c r="EA346" s="121"/>
      <c r="EB346" s="121"/>
      <c r="EC346" s="121"/>
      <c r="ED346" s="121"/>
      <c r="EE346" s="121"/>
      <c r="EF346" s="121"/>
      <c r="EG346" s="123"/>
      <c r="EH346" s="127"/>
      <c r="EI346" s="125"/>
      <c r="EJ346" s="126"/>
      <c r="EK346" s="30"/>
      <c r="EL346" s="127"/>
      <c r="EM346" s="128"/>
      <c r="EN346" s="123"/>
      <c r="EO346" s="128"/>
      <c r="EP346" s="13"/>
      <c r="EQ346" s="129"/>
      <c r="ER346" s="123"/>
      <c r="ES346" s="130"/>
      <c r="ET346" s="13"/>
      <c r="EU346" s="123"/>
      <c r="EV346" s="131"/>
    </row>
    <row r="347" spans="35:152">
      <c r="AI347" s="121"/>
      <c r="AJ347" s="13"/>
      <c r="AK347" s="13"/>
      <c r="AL347" s="13"/>
      <c r="AM347" s="13"/>
      <c r="AN347" s="13"/>
      <c r="AO347" s="13"/>
      <c r="AW347" s="121"/>
      <c r="AX347" s="121"/>
      <c r="AY347" s="121"/>
      <c r="AZ347" s="121"/>
      <c r="BA347" s="121"/>
      <c r="BB347" s="121"/>
      <c r="BC347" s="121"/>
      <c r="BD347" s="121"/>
      <c r="BE347" s="121"/>
      <c r="BF347" s="121"/>
      <c r="BG347" s="123"/>
      <c r="BH347" s="127"/>
      <c r="BI347" s="125"/>
      <c r="BJ347" s="126"/>
      <c r="BK347" s="30"/>
      <c r="BL347" s="127"/>
      <c r="BM347" s="128"/>
      <c r="BN347" s="123"/>
      <c r="BO347" s="128"/>
      <c r="BP347" s="13"/>
      <c r="BQ347" s="129"/>
      <c r="BR347" s="123"/>
      <c r="BS347" s="130"/>
      <c r="BT347" s="13"/>
      <c r="BU347" s="123"/>
      <c r="BV347" s="131"/>
      <c r="DI347" s="121"/>
      <c r="DJ347" s="13"/>
      <c r="DK347" s="13"/>
      <c r="DL347" s="13"/>
      <c r="DM347" s="13"/>
      <c r="DN347" s="13"/>
      <c r="DO347" s="13"/>
      <c r="DW347" s="121"/>
      <c r="DX347" s="121"/>
      <c r="DY347" s="121"/>
      <c r="DZ347" s="121"/>
      <c r="EA347" s="121"/>
      <c r="EB347" s="121"/>
      <c r="EC347" s="121"/>
      <c r="ED347" s="121"/>
      <c r="EE347" s="121"/>
      <c r="EF347" s="121"/>
      <c r="EG347" s="123"/>
      <c r="EH347" s="127"/>
      <c r="EI347" s="125"/>
      <c r="EJ347" s="126"/>
      <c r="EK347" s="30"/>
      <c r="EL347" s="127"/>
      <c r="EM347" s="128"/>
      <c r="EN347" s="123"/>
      <c r="EO347" s="128"/>
      <c r="EP347" s="13"/>
      <c r="EQ347" s="129"/>
      <c r="ER347" s="123"/>
      <c r="ES347" s="130"/>
      <c r="ET347" s="13"/>
      <c r="EU347" s="123"/>
      <c r="EV347" s="131"/>
    </row>
    <row r="348" spans="35:152">
      <c r="AI348" s="121"/>
      <c r="AJ348" s="13"/>
      <c r="AK348" s="13"/>
      <c r="AL348" s="13"/>
      <c r="AM348" s="13"/>
      <c r="AN348" s="13"/>
      <c r="AO348" s="13"/>
      <c r="AW348" s="121"/>
      <c r="AX348" s="121"/>
      <c r="AY348" s="121"/>
      <c r="AZ348" s="121"/>
      <c r="BA348" s="121"/>
      <c r="BB348" s="121"/>
      <c r="BC348" s="121"/>
      <c r="BD348" s="121"/>
      <c r="BE348" s="121"/>
      <c r="BF348" s="121"/>
      <c r="BG348" s="123"/>
      <c r="BH348" s="127"/>
      <c r="BI348" s="125"/>
      <c r="BJ348" s="126"/>
      <c r="BK348" s="30"/>
      <c r="BL348" s="127"/>
      <c r="BM348" s="128"/>
      <c r="BN348" s="123"/>
      <c r="BO348" s="128"/>
      <c r="BP348" s="13"/>
      <c r="BQ348" s="129"/>
      <c r="BR348" s="123"/>
      <c r="BS348" s="130"/>
      <c r="BT348" s="13"/>
      <c r="BU348" s="123"/>
      <c r="BV348" s="131"/>
      <c r="DI348" s="121"/>
      <c r="DJ348" s="13"/>
      <c r="DK348" s="13"/>
      <c r="DL348" s="13"/>
      <c r="DM348" s="13"/>
      <c r="DN348" s="13"/>
      <c r="DO348" s="13"/>
      <c r="DW348" s="121"/>
      <c r="DX348" s="121"/>
      <c r="DY348" s="121"/>
      <c r="DZ348" s="121"/>
      <c r="EA348" s="121"/>
      <c r="EB348" s="121"/>
      <c r="EC348" s="121"/>
      <c r="ED348" s="121"/>
      <c r="EE348" s="121"/>
      <c r="EF348" s="121"/>
      <c r="EG348" s="123"/>
      <c r="EH348" s="127"/>
      <c r="EI348" s="125"/>
      <c r="EJ348" s="126"/>
      <c r="EK348" s="30"/>
      <c r="EL348" s="127"/>
      <c r="EM348" s="128"/>
      <c r="EN348" s="123"/>
      <c r="EO348" s="128"/>
      <c r="EP348" s="13"/>
      <c r="EQ348" s="129"/>
      <c r="ER348" s="123"/>
      <c r="ES348" s="130"/>
      <c r="ET348" s="13"/>
      <c r="EU348" s="123"/>
      <c r="EV348" s="131"/>
    </row>
    <row r="349" spans="35:152">
      <c r="AI349" s="121"/>
      <c r="AJ349" s="13"/>
      <c r="AK349" s="13"/>
      <c r="AL349" s="13"/>
      <c r="AM349" s="13"/>
      <c r="AN349" s="13"/>
      <c r="AO349" s="13"/>
      <c r="AW349" s="121"/>
      <c r="AX349" s="121"/>
      <c r="AY349" s="121"/>
      <c r="AZ349" s="121"/>
      <c r="BA349" s="121"/>
      <c r="BB349" s="121"/>
      <c r="BC349" s="121"/>
      <c r="BD349" s="121"/>
      <c r="BE349" s="121"/>
      <c r="BF349" s="121"/>
      <c r="BG349" s="123"/>
      <c r="BH349" s="127"/>
      <c r="BI349" s="125"/>
      <c r="BJ349" s="126"/>
      <c r="BK349" s="30"/>
      <c r="BL349" s="127"/>
      <c r="BM349" s="128"/>
      <c r="BN349" s="123"/>
      <c r="BO349" s="128"/>
      <c r="BP349" s="13"/>
      <c r="BQ349" s="129"/>
      <c r="BR349" s="123"/>
      <c r="BS349" s="130"/>
      <c r="BT349" s="13"/>
      <c r="BU349" s="123"/>
      <c r="BV349" s="131"/>
      <c r="DI349" s="121"/>
      <c r="DJ349" s="13"/>
      <c r="DK349" s="13"/>
      <c r="DL349" s="13"/>
      <c r="DM349" s="13"/>
      <c r="DN349" s="13"/>
      <c r="DO349" s="13"/>
      <c r="DW349" s="121"/>
      <c r="DX349" s="121"/>
      <c r="DY349" s="121"/>
      <c r="DZ349" s="121"/>
      <c r="EA349" s="121"/>
      <c r="EB349" s="121"/>
      <c r="EC349" s="121"/>
      <c r="ED349" s="121"/>
      <c r="EE349" s="121"/>
      <c r="EF349" s="121"/>
      <c r="EG349" s="123"/>
      <c r="EH349" s="127"/>
      <c r="EI349" s="125"/>
      <c r="EJ349" s="126"/>
      <c r="EK349" s="30"/>
      <c r="EL349" s="127"/>
      <c r="EM349" s="128"/>
      <c r="EN349" s="123"/>
      <c r="EO349" s="128"/>
      <c r="EP349" s="13"/>
      <c r="EQ349" s="129"/>
      <c r="ER349" s="123"/>
      <c r="ES349" s="130"/>
      <c r="ET349" s="13"/>
      <c r="EU349" s="123"/>
      <c r="EV349" s="131"/>
    </row>
    <row r="350" spans="35:152">
      <c r="AI350" s="121"/>
      <c r="AJ350" s="13"/>
      <c r="AK350" s="13"/>
      <c r="AL350" s="13"/>
      <c r="AM350" s="13"/>
      <c r="AN350" s="13"/>
      <c r="AO350" s="13"/>
      <c r="AW350" s="121"/>
      <c r="AX350" s="121"/>
      <c r="AY350" s="121"/>
      <c r="AZ350" s="121"/>
      <c r="BA350" s="121"/>
      <c r="BB350" s="121"/>
      <c r="BC350" s="121"/>
      <c r="BD350" s="121"/>
      <c r="BE350" s="121"/>
      <c r="BF350" s="121"/>
      <c r="BG350" s="123"/>
      <c r="BH350" s="127"/>
      <c r="BI350" s="125"/>
      <c r="BJ350" s="126"/>
      <c r="BK350" s="30"/>
      <c r="BL350" s="127"/>
      <c r="BM350" s="128"/>
      <c r="BN350" s="123"/>
      <c r="BO350" s="128"/>
      <c r="BP350" s="13"/>
      <c r="BQ350" s="129"/>
      <c r="BR350" s="123"/>
      <c r="BS350" s="130"/>
      <c r="BT350" s="13"/>
      <c r="BU350" s="123"/>
      <c r="BV350" s="131"/>
      <c r="DI350" s="121"/>
      <c r="DJ350" s="13"/>
      <c r="DK350" s="13"/>
      <c r="DL350" s="13"/>
      <c r="DM350" s="13"/>
      <c r="DN350" s="13"/>
      <c r="DO350" s="13"/>
      <c r="DW350" s="121"/>
      <c r="DX350" s="121"/>
      <c r="DY350" s="121"/>
      <c r="DZ350" s="121"/>
      <c r="EA350" s="121"/>
      <c r="EB350" s="121"/>
      <c r="EC350" s="121"/>
      <c r="ED350" s="121"/>
      <c r="EE350" s="121"/>
      <c r="EF350" s="121"/>
      <c r="EG350" s="123"/>
      <c r="EH350" s="127"/>
      <c r="EI350" s="125"/>
      <c r="EJ350" s="126"/>
      <c r="EK350" s="30"/>
      <c r="EL350" s="127"/>
      <c r="EM350" s="128"/>
      <c r="EN350" s="123"/>
      <c r="EO350" s="128"/>
      <c r="EP350" s="13"/>
      <c r="EQ350" s="129"/>
      <c r="ER350" s="123"/>
      <c r="ES350" s="130"/>
      <c r="ET350" s="13"/>
      <c r="EU350" s="123"/>
      <c r="EV350" s="131"/>
    </row>
    <row r="351" spans="35:152">
      <c r="AI351" s="121"/>
      <c r="AJ351" s="13"/>
      <c r="AK351" s="13"/>
      <c r="AL351" s="13"/>
      <c r="AM351" s="13"/>
      <c r="AN351" s="13"/>
      <c r="AO351" s="13"/>
      <c r="AW351" s="121"/>
      <c r="AX351" s="121"/>
      <c r="AY351" s="121"/>
      <c r="AZ351" s="121"/>
      <c r="BA351" s="121"/>
      <c r="BB351" s="121"/>
      <c r="BC351" s="121"/>
      <c r="BD351" s="121"/>
      <c r="BE351" s="121"/>
      <c r="BF351" s="121"/>
      <c r="BG351" s="123"/>
      <c r="BH351" s="127"/>
      <c r="BI351" s="125"/>
      <c r="BJ351" s="126"/>
      <c r="BK351" s="30"/>
      <c r="BL351" s="127"/>
      <c r="BM351" s="128"/>
      <c r="BN351" s="123"/>
      <c r="BO351" s="128"/>
      <c r="BP351" s="13"/>
      <c r="BQ351" s="129"/>
      <c r="BR351" s="123"/>
      <c r="BS351" s="130"/>
      <c r="BT351" s="13"/>
      <c r="BU351" s="123"/>
      <c r="BV351" s="131"/>
      <c r="DI351" s="121"/>
      <c r="DJ351" s="13"/>
      <c r="DK351" s="13"/>
      <c r="DL351" s="13"/>
      <c r="DM351" s="13"/>
      <c r="DN351" s="13"/>
      <c r="DO351" s="13"/>
      <c r="DW351" s="121"/>
      <c r="DX351" s="121"/>
      <c r="DY351" s="121"/>
      <c r="DZ351" s="121"/>
      <c r="EA351" s="121"/>
      <c r="EB351" s="121"/>
      <c r="EC351" s="121"/>
      <c r="ED351" s="121"/>
      <c r="EE351" s="121"/>
      <c r="EF351" s="121"/>
      <c r="EG351" s="123"/>
      <c r="EH351" s="127"/>
      <c r="EI351" s="125"/>
      <c r="EJ351" s="126"/>
      <c r="EK351" s="30"/>
      <c r="EL351" s="127"/>
      <c r="EM351" s="128"/>
      <c r="EN351" s="123"/>
      <c r="EO351" s="128"/>
      <c r="EP351" s="13"/>
      <c r="EQ351" s="129"/>
      <c r="ER351" s="123"/>
      <c r="ES351" s="130"/>
      <c r="ET351" s="13"/>
      <c r="EU351" s="123"/>
      <c r="EV351" s="131"/>
    </row>
    <row r="352" spans="35:152">
      <c r="AI352" s="121"/>
      <c r="AJ352" s="13"/>
      <c r="AK352" s="13"/>
      <c r="AL352" s="13"/>
      <c r="AM352" s="13"/>
      <c r="AN352" s="13"/>
      <c r="AO352" s="13"/>
      <c r="AW352" s="121"/>
      <c r="AX352" s="121"/>
      <c r="AY352" s="121"/>
      <c r="AZ352" s="121"/>
      <c r="BA352" s="121"/>
      <c r="BB352" s="121"/>
      <c r="BC352" s="121"/>
      <c r="BD352" s="121"/>
      <c r="BE352" s="121"/>
      <c r="BF352" s="121"/>
      <c r="BG352" s="123"/>
      <c r="BH352" s="127"/>
      <c r="BI352" s="125"/>
      <c r="BJ352" s="126"/>
      <c r="BK352" s="30"/>
      <c r="BL352" s="127"/>
      <c r="BM352" s="128"/>
      <c r="BN352" s="123"/>
      <c r="BO352" s="128"/>
      <c r="BP352" s="13"/>
      <c r="BQ352" s="129"/>
      <c r="BR352" s="123"/>
      <c r="BS352" s="130"/>
      <c r="BT352" s="13"/>
      <c r="BU352" s="123"/>
      <c r="BV352" s="131"/>
      <c r="DI352" s="121"/>
      <c r="DJ352" s="13"/>
      <c r="DK352" s="13"/>
      <c r="DL352" s="13"/>
      <c r="DM352" s="13"/>
      <c r="DN352" s="13"/>
      <c r="DO352" s="13"/>
      <c r="DW352" s="121"/>
      <c r="DX352" s="121"/>
      <c r="DY352" s="121"/>
      <c r="DZ352" s="121"/>
      <c r="EA352" s="121"/>
      <c r="EB352" s="121"/>
      <c r="EC352" s="121"/>
      <c r="ED352" s="121"/>
      <c r="EE352" s="121"/>
      <c r="EF352" s="121"/>
      <c r="EG352" s="123"/>
      <c r="EH352" s="127"/>
      <c r="EI352" s="125"/>
      <c r="EJ352" s="126"/>
      <c r="EK352" s="30"/>
      <c r="EL352" s="127"/>
      <c r="EM352" s="128"/>
      <c r="EN352" s="123"/>
      <c r="EO352" s="128"/>
      <c r="EP352" s="13"/>
      <c r="EQ352" s="129"/>
      <c r="ER352" s="123"/>
      <c r="ES352" s="130"/>
      <c r="ET352" s="13"/>
      <c r="EU352" s="123"/>
      <c r="EV352" s="131"/>
    </row>
    <row r="353" spans="35:152">
      <c r="AI353" s="121"/>
      <c r="AJ353" s="13"/>
      <c r="AK353" s="13"/>
      <c r="AL353" s="13"/>
      <c r="AM353" s="13"/>
      <c r="AN353" s="13"/>
      <c r="AO353" s="13"/>
      <c r="AW353" s="121"/>
      <c r="AX353" s="121"/>
      <c r="AY353" s="121"/>
      <c r="AZ353" s="121"/>
      <c r="BA353" s="121"/>
      <c r="BB353" s="121"/>
      <c r="BC353" s="121"/>
      <c r="BD353" s="121"/>
      <c r="BE353" s="121"/>
      <c r="BF353" s="121"/>
      <c r="BG353" s="123"/>
      <c r="BH353" s="127"/>
      <c r="BI353" s="125"/>
      <c r="BJ353" s="126"/>
      <c r="BK353" s="30"/>
      <c r="BL353" s="127"/>
      <c r="BM353" s="128"/>
      <c r="BN353" s="123"/>
      <c r="BO353" s="128"/>
      <c r="BP353" s="13"/>
      <c r="BQ353" s="129"/>
      <c r="BR353" s="123"/>
      <c r="BS353" s="130"/>
      <c r="BT353" s="13"/>
      <c r="BU353" s="123"/>
      <c r="BV353" s="131"/>
      <c r="DI353" s="121"/>
      <c r="DJ353" s="13"/>
      <c r="DK353" s="13"/>
      <c r="DL353" s="13"/>
      <c r="DM353" s="13"/>
      <c r="DN353" s="13"/>
      <c r="DO353" s="13"/>
      <c r="DW353" s="121"/>
      <c r="DX353" s="121"/>
      <c r="DY353" s="121"/>
      <c r="DZ353" s="121"/>
      <c r="EA353" s="121"/>
      <c r="EB353" s="121"/>
      <c r="EC353" s="121"/>
      <c r="ED353" s="121"/>
      <c r="EE353" s="121"/>
      <c r="EF353" s="121"/>
      <c r="EG353" s="123"/>
      <c r="EH353" s="127"/>
      <c r="EI353" s="125"/>
      <c r="EJ353" s="126"/>
      <c r="EK353" s="30"/>
      <c r="EL353" s="127"/>
      <c r="EM353" s="128"/>
      <c r="EN353" s="123"/>
      <c r="EO353" s="128"/>
      <c r="EP353" s="13"/>
      <c r="EQ353" s="129"/>
      <c r="ER353" s="123"/>
      <c r="ES353" s="130"/>
      <c r="ET353" s="13"/>
      <c r="EU353" s="123"/>
      <c r="EV353" s="131"/>
    </row>
    <row r="354" spans="35:152">
      <c r="AI354" s="121"/>
      <c r="AJ354" s="13"/>
      <c r="AK354" s="13"/>
      <c r="AL354" s="13"/>
      <c r="AM354" s="13"/>
      <c r="AN354" s="13"/>
      <c r="AO354" s="13"/>
      <c r="AW354" s="121"/>
      <c r="AX354" s="121"/>
      <c r="AY354" s="121"/>
      <c r="AZ354" s="121"/>
      <c r="BA354" s="121"/>
      <c r="BB354" s="121"/>
      <c r="BC354" s="121"/>
      <c r="BD354" s="121"/>
      <c r="BE354" s="121"/>
      <c r="BF354" s="121"/>
      <c r="BG354" s="123"/>
      <c r="BH354" s="127"/>
      <c r="BI354" s="125"/>
      <c r="BJ354" s="126"/>
      <c r="BK354" s="30"/>
      <c r="BL354" s="127"/>
      <c r="BM354" s="128"/>
      <c r="BN354" s="123"/>
      <c r="BO354" s="128"/>
      <c r="BP354" s="13"/>
      <c r="BQ354" s="129"/>
      <c r="BR354" s="123"/>
      <c r="BS354" s="130"/>
      <c r="BT354" s="13"/>
      <c r="BU354" s="123"/>
      <c r="BV354" s="131"/>
      <c r="DI354" s="121"/>
      <c r="DJ354" s="13"/>
      <c r="DK354" s="13"/>
      <c r="DL354" s="13"/>
      <c r="DM354" s="13"/>
      <c r="DN354" s="13"/>
      <c r="DO354" s="13"/>
      <c r="DW354" s="121"/>
      <c r="DX354" s="121"/>
      <c r="DY354" s="121"/>
      <c r="DZ354" s="121"/>
      <c r="EA354" s="121"/>
      <c r="EB354" s="121"/>
      <c r="EC354" s="121"/>
      <c r="ED354" s="121"/>
      <c r="EE354" s="121"/>
      <c r="EF354" s="121"/>
      <c r="EG354" s="123"/>
      <c r="EH354" s="127"/>
      <c r="EI354" s="125"/>
      <c r="EJ354" s="126"/>
      <c r="EK354" s="30"/>
      <c r="EL354" s="127"/>
      <c r="EM354" s="128"/>
      <c r="EN354" s="123"/>
      <c r="EO354" s="128"/>
      <c r="EP354" s="13"/>
      <c r="EQ354" s="129"/>
      <c r="ER354" s="123"/>
      <c r="ES354" s="130"/>
      <c r="ET354" s="13"/>
      <c r="EU354" s="123"/>
      <c r="EV354" s="131"/>
    </row>
    <row r="355" spans="35:152">
      <c r="AI355" s="121"/>
      <c r="AJ355" s="13"/>
      <c r="AK355" s="13"/>
      <c r="AL355" s="13"/>
      <c r="AM355" s="13"/>
      <c r="AN355" s="13"/>
      <c r="AO355" s="13"/>
      <c r="AW355" s="121"/>
      <c r="AX355" s="121"/>
      <c r="AY355" s="121"/>
      <c r="AZ355" s="121"/>
      <c r="BA355" s="121"/>
      <c r="BB355" s="121"/>
      <c r="BC355" s="121"/>
      <c r="BD355" s="121"/>
      <c r="BE355" s="121"/>
      <c r="BF355" s="121"/>
      <c r="BG355" s="123"/>
      <c r="BH355" s="127"/>
      <c r="BI355" s="125"/>
      <c r="BJ355" s="126"/>
      <c r="BK355" s="30"/>
      <c r="BL355" s="127"/>
      <c r="BM355" s="128"/>
      <c r="BN355" s="123"/>
      <c r="BO355" s="128"/>
      <c r="BP355" s="13"/>
      <c r="BQ355" s="129"/>
      <c r="BR355" s="123"/>
      <c r="BS355" s="130"/>
      <c r="BT355" s="13"/>
      <c r="BU355" s="123"/>
      <c r="BV355" s="131"/>
      <c r="DI355" s="121"/>
      <c r="DJ355" s="13"/>
      <c r="DK355" s="13"/>
      <c r="DL355" s="13"/>
      <c r="DM355" s="13"/>
      <c r="DN355" s="13"/>
      <c r="DO355" s="13"/>
      <c r="DW355" s="121"/>
      <c r="DX355" s="121"/>
      <c r="DY355" s="121"/>
      <c r="DZ355" s="121"/>
      <c r="EA355" s="121"/>
      <c r="EB355" s="121"/>
      <c r="EC355" s="121"/>
      <c r="ED355" s="121"/>
      <c r="EE355" s="121"/>
      <c r="EF355" s="121"/>
      <c r="EG355" s="123"/>
      <c r="EH355" s="127"/>
      <c r="EI355" s="125"/>
      <c r="EJ355" s="126"/>
      <c r="EK355" s="30"/>
      <c r="EL355" s="127"/>
      <c r="EM355" s="128"/>
      <c r="EN355" s="123"/>
      <c r="EO355" s="128"/>
      <c r="EP355" s="13"/>
      <c r="EQ355" s="129"/>
      <c r="ER355" s="123"/>
      <c r="ES355" s="130"/>
      <c r="ET355" s="13"/>
      <c r="EU355" s="123"/>
      <c r="EV355" s="131"/>
    </row>
    <row r="356" spans="35:152">
      <c r="AI356" s="121"/>
      <c r="AJ356" s="13"/>
      <c r="AK356" s="13"/>
      <c r="AL356" s="13"/>
      <c r="AM356" s="13"/>
      <c r="AN356" s="13"/>
      <c r="AO356" s="13"/>
      <c r="AW356" s="121"/>
      <c r="AX356" s="121"/>
      <c r="AY356" s="121"/>
      <c r="AZ356" s="121"/>
      <c r="BA356" s="121"/>
      <c r="BB356" s="121"/>
      <c r="BC356" s="121"/>
      <c r="BD356" s="121"/>
      <c r="BE356" s="121"/>
      <c r="BF356" s="121"/>
      <c r="BG356" s="123"/>
      <c r="BH356" s="127"/>
      <c r="BI356" s="125"/>
      <c r="BJ356" s="126"/>
      <c r="BK356" s="30"/>
      <c r="BL356" s="127"/>
      <c r="BM356" s="128"/>
      <c r="BN356" s="123"/>
      <c r="BO356" s="128"/>
      <c r="BP356" s="13"/>
      <c r="BQ356" s="129"/>
      <c r="BR356" s="123"/>
      <c r="BS356" s="130"/>
      <c r="BT356" s="13"/>
      <c r="BU356" s="123"/>
      <c r="BV356" s="131"/>
      <c r="DI356" s="121"/>
      <c r="DJ356" s="13"/>
      <c r="DK356" s="13"/>
      <c r="DL356" s="13"/>
      <c r="DM356" s="13"/>
      <c r="DN356" s="13"/>
      <c r="DO356" s="13"/>
      <c r="DW356" s="121"/>
      <c r="DX356" s="121"/>
      <c r="DY356" s="121"/>
      <c r="DZ356" s="121"/>
      <c r="EA356" s="121"/>
      <c r="EB356" s="121"/>
      <c r="EC356" s="121"/>
      <c r="ED356" s="121"/>
      <c r="EE356" s="121"/>
      <c r="EF356" s="121"/>
      <c r="EG356" s="123"/>
      <c r="EH356" s="127"/>
      <c r="EI356" s="125"/>
      <c r="EJ356" s="126"/>
      <c r="EK356" s="30"/>
      <c r="EL356" s="127"/>
      <c r="EM356" s="128"/>
      <c r="EN356" s="123"/>
      <c r="EO356" s="128"/>
      <c r="EP356" s="13"/>
      <c r="EQ356" s="129"/>
      <c r="ER356" s="123"/>
      <c r="ES356" s="130"/>
      <c r="ET356" s="13"/>
      <c r="EU356" s="123"/>
      <c r="EV356" s="131"/>
    </row>
    <row r="357" spans="35:152">
      <c r="AI357" s="121"/>
      <c r="AJ357" s="13"/>
      <c r="AK357" s="13"/>
      <c r="AL357" s="13"/>
      <c r="AM357" s="13"/>
      <c r="AN357" s="13"/>
      <c r="AO357" s="13"/>
      <c r="AW357" s="121"/>
      <c r="AX357" s="121"/>
      <c r="AY357" s="121"/>
      <c r="AZ357" s="121"/>
      <c r="BA357" s="121"/>
      <c r="BB357" s="121"/>
      <c r="BC357" s="121"/>
      <c r="BD357" s="121"/>
      <c r="BE357" s="121"/>
      <c r="BF357" s="121"/>
      <c r="BG357" s="123"/>
      <c r="BH357" s="127"/>
      <c r="BI357" s="125"/>
      <c r="BJ357" s="126"/>
      <c r="BK357" s="30"/>
      <c r="BL357" s="127"/>
      <c r="BM357" s="128"/>
      <c r="BN357" s="123"/>
      <c r="BO357" s="128"/>
      <c r="BP357" s="13"/>
      <c r="BQ357" s="129"/>
      <c r="BR357" s="123"/>
      <c r="BS357" s="130"/>
      <c r="BT357" s="13"/>
      <c r="BU357" s="123"/>
      <c r="BV357" s="131"/>
      <c r="DI357" s="121"/>
      <c r="DJ357" s="13"/>
      <c r="DK357" s="13"/>
      <c r="DL357" s="13"/>
      <c r="DM357" s="13"/>
      <c r="DN357" s="13"/>
      <c r="DO357" s="13"/>
      <c r="DW357" s="121"/>
      <c r="DX357" s="121"/>
      <c r="DY357" s="121"/>
      <c r="DZ357" s="121"/>
      <c r="EA357" s="121"/>
      <c r="EB357" s="121"/>
      <c r="EC357" s="121"/>
      <c r="ED357" s="121"/>
      <c r="EE357" s="121"/>
      <c r="EF357" s="121"/>
      <c r="EG357" s="123"/>
      <c r="EH357" s="127"/>
      <c r="EI357" s="125"/>
      <c r="EJ357" s="126"/>
      <c r="EK357" s="30"/>
      <c r="EL357" s="127"/>
      <c r="EM357" s="128"/>
      <c r="EN357" s="123"/>
      <c r="EO357" s="128"/>
      <c r="EP357" s="13"/>
      <c r="EQ357" s="129"/>
      <c r="ER357" s="123"/>
      <c r="ES357" s="130"/>
      <c r="ET357" s="13"/>
      <c r="EU357" s="123"/>
      <c r="EV357" s="131"/>
    </row>
    <row r="358" spans="35:152">
      <c r="AI358" s="121"/>
      <c r="AJ358" s="13"/>
      <c r="AK358" s="13"/>
      <c r="AL358" s="13"/>
      <c r="AM358" s="13"/>
      <c r="AN358" s="13"/>
      <c r="AO358" s="13"/>
      <c r="AW358" s="121"/>
      <c r="AX358" s="121"/>
      <c r="AY358" s="121"/>
      <c r="AZ358" s="121"/>
      <c r="BA358" s="121"/>
      <c r="BB358" s="121"/>
      <c r="BC358" s="121"/>
      <c r="BD358" s="121"/>
      <c r="BE358" s="121"/>
      <c r="BF358" s="121"/>
      <c r="BG358" s="123"/>
      <c r="BH358" s="127"/>
      <c r="BI358" s="125"/>
      <c r="BJ358" s="126"/>
      <c r="BK358" s="30"/>
      <c r="BL358" s="127"/>
      <c r="BM358" s="128"/>
      <c r="BN358" s="123"/>
      <c r="BO358" s="128"/>
      <c r="BP358" s="13"/>
      <c r="BQ358" s="129"/>
      <c r="BR358" s="123"/>
      <c r="BS358" s="130"/>
      <c r="BT358" s="13"/>
      <c r="BU358" s="123"/>
      <c r="BV358" s="131"/>
      <c r="DI358" s="121"/>
      <c r="DJ358" s="13"/>
      <c r="DK358" s="13"/>
      <c r="DL358" s="13"/>
      <c r="DM358" s="13"/>
      <c r="DN358" s="13"/>
      <c r="DO358" s="13"/>
      <c r="DW358" s="121"/>
      <c r="DX358" s="121"/>
      <c r="DY358" s="121"/>
      <c r="DZ358" s="121"/>
      <c r="EA358" s="121"/>
      <c r="EB358" s="121"/>
      <c r="EC358" s="121"/>
      <c r="ED358" s="121"/>
      <c r="EE358" s="121"/>
      <c r="EF358" s="121"/>
      <c r="EG358" s="123"/>
      <c r="EH358" s="127"/>
      <c r="EI358" s="125"/>
      <c r="EJ358" s="126"/>
      <c r="EK358" s="30"/>
      <c r="EL358" s="127"/>
      <c r="EM358" s="128"/>
      <c r="EN358" s="123"/>
      <c r="EO358" s="128"/>
      <c r="EP358" s="13"/>
      <c r="EQ358" s="129"/>
      <c r="ER358" s="123"/>
      <c r="ES358" s="130"/>
      <c r="ET358" s="13"/>
      <c r="EU358" s="123"/>
      <c r="EV358" s="131"/>
    </row>
    <row r="359" spans="35:152">
      <c r="AI359" s="121"/>
      <c r="AJ359" s="13"/>
      <c r="AK359" s="13"/>
      <c r="AL359" s="13"/>
      <c r="AM359" s="13"/>
      <c r="AN359" s="13"/>
      <c r="AO359" s="13"/>
      <c r="AW359" s="121"/>
      <c r="AX359" s="121"/>
      <c r="AY359" s="121"/>
      <c r="AZ359" s="121"/>
      <c r="BA359" s="121"/>
      <c r="BB359" s="121"/>
      <c r="BC359" s="121"/>
      <c r="BD359" s="121"/>
      <c r="BE359" s="121"/>
      <c r="BF359" s="121"/>
      <c r="BG359" s="123"/>
      <c r="BH359" s="127"/>
      <c r="BI359" s="125"/>
      <c r="BJ359" s="126"/>
      <c r="BK359" s="30"/>
      <c r="BL359" s="127"/>
      <c r="BM359" s="128"/>
      <c r="BN359" s="123"/>
      <c r="BO359" s="128"/>
      <c r="BP359" s="13"/>
      <c r="BQ359" s="129"/>
      <c r="BR359" s="123"/>
      <c r="BS359" s="130"/>
      <c r="BT359" s="13"/>
      <c r="BU359" s="123"/>
      <c r="BV359" s="131"/>
      <c r="DI359" s="121"/>
      <c r="DJ359" s="13"/>
      <c r="DK359" s="13"/>
      <c r="DL359" s="13"/>
      <c r="DM359" s="13"/>
      <c r="DN359" s="13"/>
      <c r="DO359" s="13"/>
      <c r="DW359" s="121"/>
      <c r="DX359" s="121"/>
      <c r="DY359" s="121"/>
      <c r="DZ359" s="121"/>
      <c r="EA359" s="121"/>
      <c r="EB359" s="121"/>
      <c r="EC359" s="121"/>
      <c r="ED359" s="121"/>
      <c r="EE359" s="121"/>
      <c r="EF359" s="121"/>
      <c r="EG359" s="123"/>
      <c r="EH359" s="127"/>
      <c r="EI359" s="125"/>
      <c r="EJ359" s="126"/>
      <c r="EK359" s="30"/>
      <c r="EL359" s="127"/>
      <c r="EM359" s="128"/>
      <c r="EN359" s="123"/>
      <c r="EO359" s="128"/>
      <c r="EP359" s="13"/>
      <c r="EQ359" s="129"/>
      <c r="ER359" s="123"/>
      <c r="ES359" s="130"/>
      <c r="ET359" s="13"/>
      <c r="EU359" s="123"/>
      <c r="EV359" s="131"/>
    </row>
    <row r="360" spans="35:152">
      <c r="AI360" s="121"/>
      <c r="AJ360" s="13"/>
      <c r="AK360" s="13"/>
      <c r="AL360" s="13"/>
      <c r="AM360" s="13"/>
      <c r="AN360" s="13"/>
      <c r="AO360" s="13"/>
      <c r="AW360" s="121"/>
      <c r="AX360" s="121"/>
      <c r="AY360" s="121"/>
      <c r="AZ360" s="121"/>
      <c r="BA360" s="121"/>
      <c r="BB360" s="121"/>
      <c r="BC360" s="121"/>
      <c r="BD360" s="121"/>
      <c r="BE360" s="121"/>
      <c r="BF360" s="121"/>
      <c r="BG360" s="123"/>
      <c r="BH360" s="127"/>
      <c r="BI360" s="125"/>
      <c r="BJ360" s="126"/>
      <c r="BK360" s="30"/>
      <c r="BL360" s="127"/>
      <c r="BM360" s="128"/>
      <c r="BN360" s="123"/>
      <c r="BO360" s="128"/>
      <c r="BP360" s="13"/>
      <c r="BQ360" s="129"/>
      <c r="BR360" s="123"/>
      <c r="BS360" s="130"/>
      <c r="BT360" s="13"/>
      <c r="BU360" s="123"/>
      <c r="BV360" s="131"/>
      <c r="DI360" s="121"/>
      <c r="DJ360" s="13"/>
      <c r="DK360" s="13"/>
      <c r="DL360" s="13"/>
      <c r="DM360" s="13"/>
      <c r="DN360" s="13"/>
      <c r="DO360" s="13"/>
      <c r="DW360" s="121"/>
      <c r="DX360" s="121"/>
      <c r="DY360" s="121"/>
      <c r="DZ360" s="121"/>
      <c r="EA360" s="121"/>
      <c r="EB360" s="121"/>
      <c r="EC360" s="121"/>
      <c r="ED360" s="121"/>
      <c r="EE360" s="121"/>
      <c r="EF360" s="121"/>
      <c r="EG360" s="123"/>
      <c r="EH360" s="127"/>
      <c r="EI360" s="125"/>
      <c r="EJ360" s="126"/>
      <c r="EK360" s="30"/>
      <c r="EL360" s="127"/>
      <c r="EM360" s="128"/>
      <c r="EN360" s="123"/>
      <c r="EO360" s="128"/>
      <c r="EP360" s="13"/>
      <c r="EQ360" s="129"/>
      <c r="ER360" s="123"/>
      <c r="ES360" s="130"/>
      <c r="ET360" s="13"/>
      <c r="EU360" s="123"/>
      <c r="EV360" s="131"/>
    </row>
    <row r="361" spans="35:152">
      <c r="AI361" s="121"/>
      <c r="AJ361" s="13"/>
      <c r="AK361" s="13"/>
      <c r="AL361" s="13"/>
      <c r="AM361" s="13"/>
      <c r="AN361" s="13"/>
      <c r="AO361" s="13"/>
      <c r="AW361" s="121"/>
      <c r="AX361" s="121"/>
      <c r="AY361" s="121"/>
      <c r="AZ361" s="121"/>
      <c r="BA361" s="121"/>
      <c r="BB361" s="121"/>
      <c r="BC361" s="121"/>
      <c r="BD361" s="121"/>
      <c r="BE361" s="121"/>
      <c r="BF361" s="121"/>
      <c r="BG361" s="123"/>
      <c r="BH361" s="127"/>
      <c r="BI361" s="125"/>
      <c r="BJ361" s="126"/>
      <c r="BK361" s="30"/>
      <c r="BL361" s="127"/>
      <c r="BM361" s="128"/>
      <c r="BN361" s="123"/>
      <c r="BO361" s="128"/>
      <c r="BP361" s="13"/>
      <c r="BQ361" s="129"/>
      <c r="BR361" s="123"/>
      <c r="BS361" s="130"/>
      <c r="BT361" s="13"/>
      <c r="BU361" s="123"/>
      <c r="BV361" s="131"/>
      <c r="DI361" s="121"/>
      <c r="DJ361" s="13"/>
      <c r="DK361" s="13"/>
      <c r="DL361" s="13"/>
      <c r="DM361" s="13"/>
      <c r="DN361" s="13"/>
      <c r="DO361" s="13"/>
      <c r="DW361" s="121"/>
      <c r="DX361" s="121"/>
      <c r="DY361" s="121"/>
      <c r="DZ361" s="121"/>
      <c r="EA361" s="121"/>
      <c r="EB361" s="121"/>
      <c r="EC361" s="121"/>
      <c r="ED361" s="121"/>
      <c r="EE361" s="121"/>
      <c r="EF361" s="121"/>
      <c r="EG361" s="123"/>
      <c r="EH361" s="127"/>
      <c r="EI361" s="125"/>
      <c r="EJ361" s="126"/>
      <c r="EK361" s="30"/>
      <c r="EL361" s="127"/>
      <c r="EM361" s="128"/>
      <c r="EN361" s="123"/>
      <c r="EO361" s="128"/>
      <c r="EP361" s="13"/>
      <c r="EQ361" s="129"/>
      <c r="ER361" s="123"/>
      <c r="ES361" s="130"/>
      <c r="ET361" s="13"/>
      <c r="EU361" s="123"/>
      <c r="EV361" s="131"/>
    </row>
    <row r="362" spans="35:152">
      <c r="AI362" s="121"/>
      <c r="AJ362" s="13"/>
      <c r="AK362" s="13"/>
      <c r="AL362" s="13"/>
      <c r="AM362" s="13"/>
      <c r="AN362" s="13"/>
      <c r="AO362" s="13"/>
      <c r="AW362" s="121"/>
      <c r="AX362" s="121"/>
      <c r="AY362" s="121"/>
      <c r="AZ362" s="121"/>
      <c r="BA362" s="121"/>
      <c r="BB362" s="121"/>
      <c r="BC362" s="121"/>
      <c r="BD362" s="121"/>
      <c r="BE362" s="121"/>
      <c r="BF362" s="121"/>
      <c r="BG362" s="123"/>
      <c r="BH362" s="127"/>
      <c r="BI362" s="125"/>
      <c r="BJ362" s="126"/>
      <c r="BK362" s="30"/>
      <c r="BL362" s="127"/>
      <c r="BM362" s="128"/>
      <c r="BN362" s="123"/>
      <c r="BO362" s="128"/>
      <c r="BP362" s="13"/>
      <c r="BQ362" s="129"/>
      <c r="BR362" s="123"/>
      <c r="BS362" s="130"/>
      <c r="BT362" s="13"/>
      <c r="BU362" s="123"/>
      <c r="BV362" s="131"/>
      <c r="DI362" s="121"/>
      <c r="DJ362" s="13"/>
      <c r="DK362" s="13"/>
      <c r="DL362" s="13"/>
      <c r="DM362" s="13"/>
      <c r="DN362" s="13"/>
      <c r="DO362" s="13"/>
      <c r="DW362" s="121"/>
      <c r="DX362" s="121"/>
      <c r="DY362" s="121"/>
      <c r="DZ362" s="121"/>
      <c r="EA362" s="121"/>
      <c r="EB362" s="121"/>
      <c r="EC362" s="121"/>
      <c r="ED362" s="121"/>
      <c r="EE362" s="121"/>
      <c r="EF362" s="121"/>
      <c r="EG362" s="123"/>
      <c r="EH362" s="127"/>
      <c r="EI362" s="125"/>
      <c r="EJ362" s="126"/>
      <c r="EK362" s="30"/>
      <c r="EL362" s="127"/>
      <c r="EM362" s="128"/>
      <c r="EN362" s="123"/>
      <c r="EO362" s="128"/>
      <c r="EP362" s="13"/>
      <c r="EQ362" s="129"/>
      <c r="ER362" s="123"/>
      <c r="ES362" s="130"/>
      <c r="ET362" s="13"/>
      <c r="EU362" s="123"/>
      <c r="EV362" s="131"/>
    </row>
    <row r="363" spans="35:152">
      <c r="AI363" s="121"/>
      <c r="AJ363" s="13"/>
      <c r="AK363" s="13"/>
      <c r="AL363" s="13"/>
      <c r="AM363" s="13"/>
      <c r="AN363" s="13"/>
      <c r="AO363" s="13"/>
      <c r="AW363" s="121"/>
      <c r="AX363" s="121"/>
      <c r="AY363" s="121"/>
      <c r="AZ363" s="121"/>
      <c r="BA363" s="121"/>
      <c r="BB363" s="121"/>
      <c r="BC363" s="121"/>
      <c r="BD363" s="121"/>
      <c r="BE363" s="121"/>
      <c r="BF363" s="121"/>
      <c r="BG363" s="123"/>
      <c r="BH363" s="127"/>
      <c r="BI363" s="125"/>
      <c r="BJ363" s="126"/>
      <c r="BK363" s="30"/>
      <c r="BL363" s="127"/>
      <c r="BM363" s="128"/>
      <c r="BN363" s="123"/>
      <c r="BO363" s="128"/>
      <c r="BP363" s="13"/>
      <c r="BQ363" s="129"/>
      <c r="BR363" s="123"/>
      <c r="BS363" s="130"/>
      <c r="BT363" s="13"/>
      <c r="BU363" s="123"/>
      <c r="BV363" s="131"/>
      <c r="DI363" s="121"/>
      <c r="DJ363" s="13"/>
      <c r="DK363" s="13"/>
      <c r="DL363" s="13"/>
      <c r="DM363" s="13"/>
      <c r="DN363" s="13"/>
      <c r="DO363" s="13"/>
      <c r="DW363" s="121"/>
      <c r="DX363" s="121"/>
      <c r="DY363" s="121"/>
      <c r="DZ363" s="121"/>
      <c r="EA363" s="121"/>
      <c r="EB363" s="121"/>
      <c r="EC363" s="121"/>
      <c r="ED363" s="121"/>
      <c r="EE363" s="121"/>
      <c r="EF363" s="121"/>
      <c r="EG363" s="123"/>
      <c r="EH363" s="127"/>
      <c r="EI363" s="125"/>
      <c r="EJ363" s="126"/>
      <c r="EK363" s="30"/>
      <c r="EL363" s="127"/>
      <c r="EM363" s="128"/>
      <c r="EN363" s="123"/>
      <c r="EO363" s="128"/>
      <c r="EP363" s="13"/>
      <c r="EQ363" s="129"/>
      <c r="ER363" s="123"/>
      <c r="ES363" s="130"/>
      <c r="ET363" s="13"/>
      <c r="EU363" s="123"/>
      <c r="EV363" s="131"/>
    </row>
    <row r="364" spans="35:152">
      <c r="AI364" s="121"/>
      <c r="AJ364" s="13"/>
      <c r="AK364" s="13"/>
      <c r="AL364" s="13"/>
      <c r="AM364" s="13"/>
      <c r="AN364" s="13"/>
      <c r="AO364" s="13"/>
      <c r="AW364" s="121"/>
      <c r="AX364" s="121"/>
      <c r="AY364" s="121"/>
      <c r="AZ364" s="121"/>
      <c r="BA364" s="121"/>
      <c r="BB364" s="121"/>
      <c r="BC364" s="121"/>
      <c r="BD364" s="121"/>
      <c r="BE364" s="121"/>
      <c r="BF364" s="121"/>
      <c r="BG364" s="123"/>
      <c r="BH364" s="127"/>
      <c r="BI364" s="125"/>
      <c r="BJ364" s="126"/>
      <c r="BK364" s="30"/>
      <c r="BL364" s="127"/>
      <c r="BM364" s="128"/>
      <c r="BN364" s="123"/>
      <c r="BO364" s="128"/>
      <c r="BP364" s="13"/>
      <c r="BQ364" s="129"/>
      <c r="BR364" s="123"/>
      <c r="BS364" s="130"/>
      <c r="BT364" s="13"/>
      <c r="BU364" s="123"/>
      <c r="BV364" s="131"/>
      <c r="DI364" s="121"/>
      <c r="DJ364" s="13"/>
      <c r="DK364" s="13"/>
      <c r="DL364" s="13"/>
      <c r="DM364" s="13"/>
      <c r="DN364" s="13"/>
      <c r="DO364" s="13"/>
      <c r="DW364" s="121"/>
      <c r="DX364" s="121"/>
      <c r="DY364" s="121"/>
      <c r="DZ364" s="121"/>
      <c r="EA364" s="121"/>
      <c r="EB364" s="121"/>
      <c r="EC364" s="121"/>
      <c r="ED364" s="121"/>
      <c r="EE364" s="121"/>
      <c r="EF364" s="121"/>
      <c r="EG364" s="123"/>
      <c r="EH364" s="127"/>
      <c r="EI364" s="125"/>
      <c r="EJ364" s="126"/>
      <c r="EK364" s="30"/>
      <c r="EL364" s="127"/>
      <c r="EM364" s="128"/>
      <c r="EN364" s="123"/>
      <c r="EO364" s="128"/>
      <c r="EP364" s="13"/>
      <c r="EQ364" s="129"/>
      <c r="ER364" s="123"/>
      <c r="ES364" s="130"/>
      <c r="ET364" s="13"/>
      <c r="EU364" s="123"/>
      <c r="EV364" s="131"/>
    </row>
    <row r="365" spans="35:152">
      <c r="AI365" s="121"/>
      <c r="AJ365" s="13"/>
      <c r="AK365" s="13"/>
      <c r="AL365" s="13"/>
      <c r="AM365" s="13"/>
      <c r="AN365" s="13"/>
      <c r="AO365" s="13"/>
      <c r="AW365" s="121"/>
      <c r="AX365" s="121"/>
      <c r="AY365" s="121"/>
      <c r="AZ365" s="121"/>
      <c r="BA365" s="121"/>
      <c r="BB365" s="121"/>
      <c r="BC365" s="121"/>
      <c r="BD365" s="121"/>
      <c r="BE365" s="121"/>
      <c r="BF365" s="121"/>
      <c r="BG365" s="123"/>
      <c r="BH365" s="127"/>
      <c r="BI365" s="125"/>
      <c r="BJ365" s="126"/>
      <c r="BK365" s="30"/>
      <c r="BL365" s="127"/>
      <c r="BM365" s="128"/>
      <c r="BN365" s="123"/>
      <c r="BO365" s="128"/>
      <c r="BP365" s="13"/>
      <c r="BQ365" s="129"/>
      <c r="BR365" s="123"/>
      <c r="BS365" s="130"/>
      <c r="BT365" s="13"/>
      <c r="BU365" s="123"/>
      <c r="BV365" s="131"/>
      <c r="DI365" s="121"/>
      <c r="DJ365" s="13"/>
      <c r="DK365" s="13"/>
      <c r="DL365" s="13"/>
      <c r="DM365" s="13"/>
      <c r="DN365" s="13"/>
      <c r="DO365" s="13"/>
      <c r="DW365" s="121"/>
      <c r="DX365" s="121"/>
      <c r="DY365" s="121"/>
      <c r="DZ365" s="121"/>
      <c r="EA365" s="121"/>
      <c r="EB365" s="121"/>
      <c r="EC365" s="121"/>
      <c r="ED365" s="121"/>
      <c r="EE365" s="121"/>
      <c r="EF365" s="121"/>
      <c r="EG365" s="123"/>
      <c r="EH365" s="127"/>
      <c r="EI365" s="125"/>
      <c r="EJ365" s="126"/>
      <c r="EK365" s="30"/>
      <c r="EL365" s="127"/>
      <c r="EM365" s="128"/>
      <c r="EN365" s="123"/>
      <c r="EO365" s="128"/>
      <c r="EP365" s="13"/>
      <c r="EQ365" s="129"/>
      <c r="ER365" s="123"/>
      <c r="ES365" s="130"/>
      <c r="ET365" s="13"/>
      <c r="EU365" s="123"/>
      <c r="EV365" s="131"/>
    </row>
    <row r="366" spans="35:152">
      <c r="AI366" s="121"/>
      <c r="AJ366" s="13"/>
      <c r="AK366" s="13"/>
      <c r="AL366" s="13"/>
      <c r="AM366" s="13"/>
      <c r="AN366" s="13"/>
      <c r="AO366" s="13"/>
      <c r="AW366" s="121"/>
      <c r="AX366" s="121"/>
      <c r="AY366" s="121"/>
      <c r="AZ366" s="121"/>
      <c r="BA366" s="121"/>
      <c r="BB366" s="121"/>
      <c r="BC366" s="121"/>
      <c r="BD366" s="121"/>
      <c r="BE366" s="121"/>
      <c r="BF366" s="121"/>
      <c r="BG366" s="123"/>
      <c r="BH366" s="127"/>
      <c r="BI366" s="125"/>
      <c r="BJ366" s="126"/>
      <c r="BK366" s="30"/>
      <c r="BL366" s="127"/>
      <c r="BM366" s="128"/>
      <c r="BN366" s="123"/>
      <c r="BO366" s="128"/>
      <c r="BP366" s="13"/>
      <c r="BQ366" s="129"/>
      <c r="BR366" s="123"/>
      <c r="BS366" s="130"/>
      <c r="BT366" s="13"/>
      <c r="BU366" s="123"/>
      <c r="BV366" s="131"/>
      <c r="DI366" s="121"/>
      <c r="DJ366" s="13"/>
      <c r="DK366" s="13"/>
      <c r="DL366" s="13"/>
      <c r="DM366" s="13"/>
      <c r="DN366" s="13"/>
      <c r="DO366" s="13"/>
      <c r="DW366" s="121"/>
      <c r="DX366" s="121"/>
      <c r="DY366" s="121"/>
      <c r="DZ366" s="121"/>
      <c r="EA366" s="121"/>
      <c r="EB366" s="121"/>
      <c r="EC366" s="121"/>
      <c r="ED366" s="121"/>
      <c r="EE366" s="121"/>
      <c r="EF366" s="121"/>
      <c r="EG366" s="123"/>
      <c r="EH366" s="127"/>
      <c r="EI366" s="125"/>
      <c r="EJ366" s="126"/>
      <c r="EK366" s="30"/>
      <c r="EL366" s="127"/>
      <c r="EM366" s="128"/>
      <c r="EN366" s="123"/>
      <c r="EO366" s="128"/>
      <c r="EP366" s="13"/>
      <c r="EQ366" s="129"/>
      <c r="ER366" s="123"/>
      <c r="ES366" s="130"/>
      <c r="ET366" s="13"/>
      <c r="EU366" s="123"/>
      <c r="EV366" s="131"/>
    </row>
    <row r="367" spans="35:152">
      <c r="AI367" s="121"/>
      <c r="AJ367" s="13"/>
      <c r="AK367" s="13"/>
      <c r="AL367" s="13"/>
      <c r="AM367" s="13"/>
      <c r="AN367" s="13"/>
      <c r="AO367" s="13"/>
      <c r="AW367" s="121"/>
      <c r="AX367" s="121"/>
      <c r="AY367" s="121"/>
      <c r="AZ367" s="121"/>
      <c r="BA367" s="121"/>
      <c r="BB367" s="121"/>
      <c r="BC367" s="121"/>
      <c r="BD367" s="121"/>
      <c r="BE367" s="121"/>
      <c r="BF367" s="121"/>
      <c r="BG367" s="123"/>
      <c r="BH367" s="127"/>
      <c r="BI367" s="125"/>
      <c r="BJ367" s="126"/>
      <c r="BK367" s="30"/>
      <c r="BL367" s="127"/>
      <c r="BM367" s="128"/>
      <c r="BN367" s="123"/>
      <c r="BO367" s="128"/>
      <c r="BP367" s="13"/>
      <c r="BQ367" s="129"/>
      <c r="BR367" s="123"/>
      <c r="BS367" s="130"/>
      <c r="BT367" s="13"/>
      <c r="BU367" s="123"/>
      <c r="BV367" s="131"/>
      <c r="DI367" s="121"/>
      <c r="DJ367" s="13"/>
      <c r="DK367" s="13"/>
      <c r="DL367" s="13"/>
      <c r="DM367" s="13"/>
      <c r="DN367" s="13"/>
      <c r="DO367" s="13"/>
      <c r="DW367" s="121"/>
      <c r="DX367" s="121"/>
      <c r="DY367" s="121"/>
      <c r="DZ367" s="121"/>
      <c r="EA367" s="121"/>
      <c r="EB367" s="121"/>
      <c r="EC367" s="121"/>
      <c r="ED367" s="121"/>
      <c r="EE367" s="121"/>
      <c r="EF367" s="121"/>
      <c r="EG367" s="123"/>
      <c r="EH367" s="127"/>
      <c r="EI367" s="125"/>
      <c r="EJ367" s="126"/>
      <c r="EK367" s="30"/>
      <c r="EL367" s="127"/>
      <c r="EM367" s="128"/>
      <c r="EN367" s="123"/>
      <c r="EO367" s="128"/>
      <c r="EP367" s="13"/>
      <c r="EQ367" s="129"/>
      <c r="ER367" s="123"/>
      <c r="ES367" s="130"/>
      <c r="ET367" s="13"/>
      <c r="EU367" s="123"/>
      <c r="EV367" s="131"/>
    </row>
    <row r="368" spans="35:152">
      <c r="AI368" s="121"/>
      <c r="AJ368" s="13"/>
      <c r="AK368" s="13"/>
      <c r="AL368" s="13"/>
      <c r="AM368" s="13"/>
      <c r="AN368" s="13"/>
      <c r="AO368" s="13"/>
      <c r="AW368" s="121"/>
      <c r="AX368" s="121"/>
      <c r="AY368" s="121"/>
      <c r="AZ368" s="121"/>
      <c r="BA368" s="121"/>
      <c r="BB368" s="121"/>
      <c r="BC368" s="121"/>
      <c r="BD368" s="121"/>
      <c r="BE368" s="121"/>
      <c r="BF368" s="121"/>
      <c r="BG368" s="123"/>
      <c r="BH368" s="127"/>
      <c r="BI368" s="125"/>
      <c r="BJ368" s="126"/>
      <c r="BK368" s="30"/>
      <c r="BL368" s="127"/>
      <c r="BM368" s="128"/>
      <c r="BN368" s="123"/>
      <c r="BO368" s="128"/>
      <c r="BP368" s="13"/>
      <c r="BQ368" s="129"/>
      <c r="BR368" s="123"/>
      <c r="BS368" s="130"/>
      <c r="BT368" s="13"/>
      <c r="BU368" s="123"/>
      <c r="BV368" s="131"/>
      <c r="DI368" s="121"/>
      <c r="DJ368" s="13"/>
      <c r="DK368" s="13"/>
      <c r="DL368" s="13"/>
      <c r="DM368" s="13"/>
      <c r="DN368" s="13"/>
      <c r="DO368" s="13"/>
      <c r="DW368" s="121"/>
      <c r="DX368" s="121"/>
      <c r="DY368" s="121"/>
      <c r="DZ368" s="121"/>
      <c r="EA368" s="121"/>
      <c r="EB368" s="121"/>
      <c r="EC368" s="121"/>
      <c r="ED368" s="121"/>
      <c r="EE368" s="121"/>
      <c r="EF368" s="121"/>
      <c r="EG368" s="123"/>
      <c r="EH368" s="127"/>
      <c r="EI368" s="125"/>
      <c r="EJ368" s="126"/>
      <c r="EK368" s="30"/>
      <c r="EL368" s="127"/>
      <c r="EM368" s="128"/>
      <c r="EN368" s="123"/>
      <c r="EO368" s="128"/>
      <c r="EP368" s="13"/>
      <c r="EQ368" s="129"/>
      <c r="ER368" s="123"/>
      <c r="ES368" s="130"/>
      <c r="ET368" s="13"/>
      <c r="EU368" s="123"/>
      <c r="EV368" s="131"/>
    </row>
    <row r="369" spans="35:152">
      <c r="AI369" s="121"/>
      <c r="AJ369" s="13"/>
      <c r="AK369" s="13"/>
      <c r="AL369" s="13"/>
      <c r="AM369" s="13"/>
      <c r="AN369" s="13"/>
      <c r="AO369" s="13"/>
      <c r="AW369" s="121"/>
      <c r="AX369" s="121"/>
      <c r="AY369" s="121"/>
      <c r="AZ369" s="121"/>
      <c r="BA369" s="121"/>
      <c r="BB369" s="121"/>
      <c r="BC369" s="121"/>
      <c r="BD369" s="121"/>
      <c r="BE369" s="121"/>
      <c r="BF369" s="121"/>
      <c r="BG369" s="123"/>
      <c r="BH369" s="127"/>
      <c r="BI369" s="125"/>
      <c r="BJ369" s="126"/>
      <c r="BK369" s="30"/>
      <c r="BL369" s="127"/>
      <c r="BM369" s="128"/>
      <c r="BN369" s="123"/>
      <c r="BO369" s="128"/>
      <c r="BP369" s="13"/>
      <c r="BQ369" s="129"/>
      <c r="BR369" s="123"/>
      <c r="BS369" s="130"/>
      <c r="BT369" s="13"/>
      <c r="BU369" s="123"/>
      <c r="BV369" s="131"/>
      <c r="DI369" s="121"/>
      <c r="DJ369" s="13"/>
      <c r="DK369" s="13"/>
      <c r="DL369" s="13"/>
      <c r="DM369" s="13"/>
      <c r="DN369" s="13"/>
      <c r="DO369" s="13"/>
      <c r="DW369" s="121"/>
      <c r="DX369" s="121"/>
      <c r="DY369" s="121"/>
      <c r="DZ369" s="121"/>
      <c r="EA369" s="121"/>
      <c r="EB369" s="121"/>
      <c r="EC369" s="121"/>
      <c r="ED369" s="121"/>
      <c r="EE369" s="121"/>
      <c r="EF369" s="121"/>
      <c r="EG369" s="123"/>
      <c r="EH369" s="127"/>
      <c r="EI369" s="125"/>
      <c r="EJ369" s="126"/>
      <c r="EK369" s="30"/>
      <c r="EL369" s="127"/>
      <c r="EM369" s="128"/>
      <c r="EN369" s="123"/>
      <c r="EO369" s="128"/>
      <c r="EP369" s="13"/>
      <c r="EQ369" s="129"/>
      <c r="ER369" s="123"/>
      <c r="ES369" s="130"/>
      <c r="ET369" s="13"/>
      <c r="EU369" s="123"/>
      <c r="EV369" s="131"/>
    </row>
    <row r="370" spans="35:152">
      <c r="AI370" s="121"/>
      <c r="AJ370" s="13"/>
      <c r="AK370" s="13"/>
      <c r="AL370" s="13"/>
      <c r="AM370" s="13"/>
      <c r="AN370" s="13"/>
      <c r="AO370" s="13"/>
      <c r="AW370" s="121"/>
      <c r="AX370" s="121"/>
      <c r="AY370" s="121"/>
      <c r="AZ370" s="121"/>
      <c r="BA370" s="121"/>
      <c r="BB370" s="121"/>
      <c r="BC370" s="121"/>
      <c r="BD370" s="121"/>
      <c r="BE370" s="121"/>
      <c r="BF370" s="121"/>
      <c r="BG370" s="123"/>
      <c r="BH370" s="127"/>
      <c r="BI370" s="125"/>
      <c r="BJ370" s="126"/>
      <c r="BK370" s="30"/>
      <c r="BL370" s="127"/>
      <c r="BM370" s="128"/>
      <c r="BN370" s="123"/>
      <c r="BO370" s="128"/>
      <c r="BP370" s="13"/>
      <c r="BQ370" s="129"/>
      <c r="BR370" s="123"/>
      <c r="BS370" s="130"/>
      <c r="BT370" s="13"/>
      <c r="BU370" s="123"/>
      <c r="BV370" s="131"/>
      <c r="DI370" s="121"/>
      <c r="DJ370" s="13"/>
      <c r="DK370" s="13"/>
      <c r="DL370" s="13"/>
      <c r="DM370" s="13"/>
      <c r="DN370" s="13"/>
      <c r="DO370" s="13"/>
      <c r="DW370" s="121"/>
      <c r="DX370" s="121"/>
      <c r="DY370" s="121"/>
      <c r="DZ370" s="121"/>
      <c r="EA370" s="121"/>
      <c r="EB370" s="121"/>
      <c r="EC370" s="121"/>
      <c r="ED370" s="121"/>
      <c r="EE370" s="121"/>
      <c r="EF370" s="121"/>
      <c r="EG370" s="123"/>
      <c r="EH370" s="127"/>
      <c r="EI370" s="125"/>
      <c r="EJ370" s="126"/>
      <c r="EK370" s="30"/>
      <c r="EL370" s="127"/>
      <c r="EM370" s="128"/>
      <c r="EN370" s="123"/>
      <c r="EO370" s="128"/>
      <c r="EP370" s="13"/>
      <c r="EQ370" s="129"/>
      <c r="ER370" s="123"/>
      <c r="ES370" s="130"/>
      <c r="ET370" s="13"/>
      <c r="EU370" s="123"/>
      <c r="EV370" s="131"/>
    </row>
    <row r="371" spans="35:152">
      <c r="AI371" s="121"/>
      <c r="AJ371" s="13"/>
      <c r="AK371" s="13"/>
      <c r="AL371" s="13"/>
      <c r="AM371" s="13"/>
      <c r="AN371" s="13"/>
      <c r="AO371" s="13"/>
      <c r="AW371" s="121"/>
      <c r="AX371" s="121"/>
      <c r="AY371" s="121"/>
      <c r="AZ371" s="121"/>
      <c r="BA371" s="121"/>
      <c r="BB371" s="121"/>
      <c r="BC371" s="121"/>
      <c r="BD371" s="121"/>
      <c r="BE371" s="121"/>
      <c r="BF371" s="121"/>
      <c r="BG371" s="123"/>
      <c r="BH371" s="127"/>
      <c r="BI371" s="125"/>
      <c r="BJ371" s="126"/>
      <c r="BK371" s="30"/>
      <c r="BL371" s="127"/>
      <c r="BM371" s="128"/>
      <c r="BN371" s="123"/>
      <c r="BO371" s="128"/>
      <c r="BP371" s="13"/>
      <c r="BQ371" s="129"/>
      <c r="BR371" s="123"/>
      <c r="BS371" s="130"/>
      <c r="BT371" s="13"/>
      <c r="BU371" s="123"/>
      <c r="BV371" s="131"/>
      <c r="DI371" s="121"/>
      <c r="DJ371" s="13"/>
      <c r="DK371" s="13"/>
      <c r="DL371" s="13"/>
      <c r="DM371" s="13"/>
      <c r="DN371" s="13"/>
      <c r="DO371" s="13"/>
      <c r="DW371" s="121"/>
      <c r="DX371" s="121"/>
      <c r="DY371" s="121"/>
      <c r="DZ371" s="121"/>
      <c r="EA371" s="121"/>
      <c r="EB371" s="121"/>
      <c r="EC371" s="121"/>
      <c r="ED371" s="121"/>
      <c r="EE371" s="121"/>
      <c r="EF371" s="121"/>
      <c r="EG371" s="123"/>
      <c r="EH371" s="127"/>
      <c r="EI371" s="125"/>
      <c r="EJ371" s="126"/>
      <c r="EK371" s="30"/>
      <c r="EL371" s="127"/>
      <c r="EM371" s="128"/>
      <c r="EN371" s="123"/>
      <c r="EO371" s="128"/>
      <c r="EP371" s="13"/>
      <c r="EQ371" s="129"/>
      <c r="ER371" s="123"/>
      <c r="ES371" s="130"/>
      <c r="ET371" s="13"/>
      <c r="EU371" s="123"/>
      <c r="EV371" s="131"/>
    </row>
    <row r="372" spans="35:152">
      <c r="AI372" s="121"/>
      <c r="AJ372" s="13"/>
      <c r="AK372" s="13"/>
      <c r="AL372" s="13"/>
      <c r="AM372" s="13"/>
      <c r="AN372" s="13"/>
      <c r="AO372" s="13"/>
      <c r="AW372" s="121"/>
      <c r="AX372" s="121"/>
      <c r="AY372" s="121"/>
      <c r="AZ372" s="121"/>
      <c r="BA372" s="121"/>
      <c r="BB372" s="121"/>
      <c r="BC372" s="121"/>
      <c r="BD372" s="121"/>
      <c r="BE372" s="121"/>
      <c r="BF372" s="121"/>
      <c r="BG372" s="123"/>
      <c r="BH372" s="127"/>
      <c r="BI372" s="125"/>
      <c r="BJ372" s="126"/>
      <c r="BK372" s="30"/>
      <c r="BL372" s="127"/>
      <c r="BM372" s="128"/>
      <c r="BN372" s="123"/>
      <c r="BO372" s="128"/>
      <c r="BP372" s="13"/>
      <c r="BQ372" s="129"/>
      <c r="BR372" s="123"/>
      <c r="BS372" s="130"/>
      <c r="BT372" s="13"/>
      <c r="BU372" s="123"/>
      <c r="BV372" s="131"/>
      <c r="DI372" s="121"/>
      <c r="DJ372" s="13"/>
      <c r="DK372" s="13"/>
      <c r="DL372" s="13"/>
      <c r="DM372" s="13"/>
      <c r="DN372" s="13"/>
      <c r="DO372" s="13"/>
      <c r="DW372" s="121"/>
      <c r="DX372" s="121"/>
      <c r="DY372" s="121"/>
      <c r="DZ372" s="121"/>
      <c r="EA372" s="121"/>
      <c r="EB372" s="121"/>
      <c r="EC372" s="121"/>
      <c r="ED372" s="121"/>
      <c r="EE372" s="121"/>
      <c r="EF372" s="121"/>
      <c r="EG372" s="123"/>
      <c r="EH372" s="127"/>
      <c r="EI372" s="125"/>
      <c r="EJ372" s="126"/>
      <c r="EK372" s="30"/>
      <c r="EL372" s="127"/>
      <c r="EM372" s="128"/>
      <c r="EN372" s="123"/>
      <c r="EO372" s="128"/>
      <c r="EP372" s="13"/>
      <c r="EQ372" s="129"/>
      <c r="ER372" s="123"/>
      <c r="ES372" s="130"/>
      <c r="ET372" s="13"/>
      <c r="EU372" s="123"/>
      <c r="EV372" s="131"/>
    </row>
    <row r="373" spans="35:152">
      <c r="AI373" s="121"/>
      <c r="AJ373" s="13"/>
      <c r="AK373" s="13"/>
      <c r="AL373" s="13"/>
      <c r="AM373" s="13"/>
      <c r="AN373" s="13"/>
      <c r="AO373" s="13"/>
      <c r="AW373" s="121"/>
      <c r="AX373" s="121"/>
      <c r="AY373" s="121"/>
      <c r="AZ373" s="121"/>
      <c r="BA373" s="121"/>
      <c r="BB373" s="121"/>
      <c r="BC373" s="121"/>
      <c r="BD373" s="121"/>
      <c r="BE373" s="121"/>
      <c r="BF373" s="121"/>
      <c r="BG373" s="123"/>
      <c r="BH373" s="127"/>
      <c r="BI373" s="125"/>
      <c r="BJ373" s="126"/>
      <c r="BK373" s="30"/>
      <c r="BL373" s="127"/>
      <c r="BM373" s="128"/>
      <c r="BN373" s="123"/>
      <c r="BO373" s="128"/>
      <c r="BP373" s="13"/>
      <c r="BQ373" s="129"/>
      <c r="BR373" s="123"/>
      <c r="BS373" s="130"/>
      <c r="BT373" s="13"/>
      <c r="BU373" s="123"/>
      <c r="BV373" s="131"/>
      <c r="DI373" s="121"/>
      <c r="DJ373" s="13"/>
      <c r="DK373" s="13"/>
      <c r="DL373" s="13"/>
      <c r="DM373" s="13"/>
      <c r="DN373" s="13"/>
      <c r="DO373" s="13"/>
      <c r="DW373" s="121"/>
      <c r="DX373" s="121"/>
      <c r="DY373" s="121"/>
      <c r="DZ373" s="121"/>
      <c r="EA373" s="121"/>
      <c r="EB373" s="121"/>
      <c r="EC373" s="121"/>
      <c r="ED373" s="121"/>
      <c r="EE373" s="121"/>
      <c r="EF373" s="121"/>
      <c r="EG373" s="123"/>
      <c r="EH373" s="127"/>
      <c r="EI373" s="125"/>
      <c r="EJ373" s="126"/>
      <c r="EK373" s="30"/>
      <c r="EL373" s="127"/>
      <c r="EM373" s="128"/>
      <c r="EN373" s="123"/>
      <c r="EO373" s="128"/>
      <c r="EP373" s="13"/>
      <c r="EQ373" s="129"/>
      <c r="ER373" s="123"/>
      <c r="ES373" s="130"/>
      <c r="ET373" s="13"/>
      <c r="EU373" s="123"/>
      <c r="EV373" s="131"/>
    </row>
    <row r="374" spans="35:152">
      <c r="AI374" s="121"/>
      <c r="AJ374" s="13"/>
      <c r="AK374" s="13"/>
      <c r="AL374" s="13"/>
      <c r="AM374" s="13"/>
      <c r="AN374" s="13"/>
      <c r="AO374" s="13"/>
      <c r="AW374" s="121"/>
      <c r="AX374" s="121"/>
      <c r="AY374" s="121"/>
      <c r="AZ374" s="121"/>
      <c r="BA374" s="121"/>
      <c r="BB374" s="121"/>
      <c r="BC374" s="121"/>
      <c r="BD374" s="121"/>
      <c r="BE374" s="121"/>
      <c r="BF374" s="121"/>
      <c r="BG374" s="123"/>
      <c r="BH374" s="127"/>
      <c r="BI374" s="125"/>
      <c r="BJ374" s="126"/>
      <c r="BK374" s="30"/>
      <c r="BL374" s="127"/>
      <c r="BM374" s="128"/>
      <c r="BN374" s="123"/>
      <c r="BO374" s="128"/>
      <c r="BP374" s="13"/>
      <c r="BQ374" s="129"/>
      <c r="BR374" s="123"/>
      <c r="BS374" s="130"/>
      <c r="BT374" s="13"/>
      <c r="BU374" s="123"/>
      <c r="BV374" s="131"/>
      <c r="DI374" s="121"/>
      <c r="DJ374" s="13"/>
      <c r="DK374" s="13"/>
      <c r="DL374" s="13"/>
      <c r="DM374" s="13"/>
      <c r="DN374" s="13"/>
      <c r="DO374" s="13"/>
      <c r="DW374" s="121"/>
      <c r="DX374" s="121"/>
      <c r="DY374" s="121"/>
      <c r="DZ374" s="121"/>
      <c r="EA374" s="121"/>
      <c r="EB374" s="121"/>
      <c r="EC374" s="121"/>
      <c r="ED374" s="121"/>
      <c r="EE374" s="121"/>
      <c r="EF374" s="121"/>
      <c r="EG374" s="123"/>
      <c r="EH374" s="127"/>
      <c r="EI374" s="125"/>
      <c r="EJ374" s="126"/>
      <c r="EK374" s="30"/>
      <c r="EL374" s="127"/>
      <c r="EM374" s="128"/>
      <c r="EN374" s="123"/>
      <c r="EO374" s="128"/>
      <c r="EP374" s="13"/>
      <c r="EQ374" s="129"/>
      <c r="ER374" s="123"/>
      <c r="ES374" s="130"/>
      <c r="ET374" s="13"/>
      <c r="EU374" s="123"/>
      <c r="EV374" s="131"/>
    </row>
    <row r="375" spans="35:152">
      <c r="AI375" s="121"/>
      <c r="AJ375" s="13"/>
      <c r="AK375" s="13"/>
      <c r="AL375" s="13"/>
      <c r="AM375" s="13"/>
      <c r="AN375" s="13"/>
      <c r="AO375" s="13"/>
      <c r="AW375" s="121"/>
      <c r="AX375" s="121"/>
      <c r="AY375" s="121"/>
      <c r="AZ375" s="121"/>
      <c r="BA375" s="121"/>
      <c r="BB375" s="121"/>
      <c r="BC375" s="121"/>
      <c r="BD375" s="121"/>
      <c r="BE375" s="121"/>
      <c r="BF375" s="121"/>
      <c r="BG375" s="123"/>
      <c r="BH375" s="127"/>
      <c r="BI375" s="125"/>
      <c r="BJ375" s="126"/>
      <c r="BK375" s="30"/>
      <c r="BL375" s="127"/>
      <c r="BM375" s="128"/>
      <c r="BN375" s="123"/>
      <c r="BO375" s="128"/>
      <c r="BP375" s="13"/>
      <c r="BQ375" s="129"/>
      <c r="BR375" s="123"/>
      <c r="BS375" s="130"/>
      <c r="BT375" s="13"/>
      <c r="BU375" s="123"/>
      <c r="BV375" s="131"/>
      <c r="DI375" s="121"/>
      <c r="DJ375" s="13"/>
      <c r="DK375" s="13"/>
      <c r="DL375" s="13"/>
      <c r="DM375" s="13"/>
      <c r="DN375" s="13"/>
      <c r="DO375" s="13"/>
      <c r="DW375" s="121"/>
      <c r="DX375" s="121"/>
      <c r="DY375" s="121"/>
      <c r="DZ375" s="121"/>
      <c r="EA375" s="121"/>
      <c r="EB375" s="121"/>
      <c r="EC375" s="121"/>
      <c r="ED375" s="121"/>
      <c r="EE375" s="121"/>
      <c r="EF375" s="121"/>
      <c r="EG375" s="123"/>
      <c r="EH375" s="127"/>
      <c r="EI375" s="125"/>
      <c r="EJ375" s="126"/>
      <c r="EK375" s="30"/>
      <c r="EL375" s="127"/>
      <c r="EM375" s="128"/>
      <c r="EN375" s="123"/>
      <c r="EO375" s="128"/>
      <c r="EP375" s="13"/>
      <c r="EQ375" s="129"/>
      <c r="ER375" s="123"/>
      <c r="ES375" s="130"/>
      <c r="ET375" s="13"/>
      <c r="EU375" s="123"/>
      <c r="EV375" s="131"/>
    </row>
    <row r="376" spans="35:152">
      <c r="AI376" s="121"/>
      <c r="AJ376" s="13"/>
      <c r="AK376" s="13"/>
      <c r="AL376" s="13"/>
      <c r="AM376" s="13"/>
      <c r="AN376" s="13"/>
      <c r="AO376" s="13"/>
      <c r="AW376" s="121"/>
      <c r="AX376" s="121"/>
      <c r="AY376" s="121"/>
      <c r="AZ376" s="121"/>
      <c r="BA376" s="121"/>
      <c r="BB376" s="121"/>
      <c r="BC376" s="121"/>
      <c r="BD376" s="121"/>
      <c r="BE376" s="121"/>
      <c r="BF376" s="121"/>
      <c r="BG376" s="123"/>
      <c r="BH376" s="127"/>
      <c r="BI376" s="125"/>
      <c r="BJ376" s="126"/>
      <c r="BK376" s="30"/>
      <c r="BL376" s="127"/>
      <c r="BM376" s="128"/>
      <c r="BN376" s="123"/>
      <c r="BO376" s="128"/>
      <c r="BP376" s="13"/>
      <c r="BQ376" s="129"/>
      <c r="BR376" s="123"/>
      <c r="BS376" s="130"/>
      <c r="BT376" s="13"/>
      <c r="BU376" s="123"/>
      <c r="BV376" s="131"/>
      <c r="DI376" s="121"/>
      <c r="DJ376" s="13"/>
      <c r="DK376" s="13"/>
      <c r="DL376" s="13"/>
      <c r="DM376" s="13"/>
      <c r="DN376" s="13"/>
      <c r="DO376" s="13"/>
      <c r="DW376" s="121"/>
      <c r="DX376" s="121"/>
      <c r="DY376" s="121"/>
      <c r="DZ376" s="121"/>
      <c r="EA376" s="121"/>
      <c r="EB376" s="121"/>
      <c r="EC376" s="121"/>
      <c r="ED376" s="121"/>
      <c r="EE376" s="121"/>
      <c r="EF376" s="121"/>
      <c r="EG376" s="123"/>
      <c r="EH376" s="127"/>
      <c r="EI376" s="125"/>
      <c r="EJ376" s="126"/>
      <c r="EK376" s="30"/>
      <c r="EL376" s="127"/>
      <c r="EM376" s="128"/>
      <c r="EN376" s="123"/>
      <c r="EO376" s="128"/>
      <c r="EP376" s="13"/>
      <c r="EQ376" s="129"/>
      <c r="ER376" s="123"/>
      <c r="ES376" s="130"/>
      <c r="ET376" s="13"/>
      <c r="EU376" s="123"/>
      <c r="EV376" s="131"/>
    </row>
    <row r="377" spans="35:152">
      <c r="AI377" s="121"/>
      <c r="AJ377" s="13"/>
      <c r="AK377" s="13"/>
      <c r="AL377" s="13"/>
      <c r="AM377" s="13"/>
      <c r="AN377" s="13"/>
      <c r="AO377" s="13"/>
      <c r="AW377" s="121"/>
      <c r="AX377" s="121"/>
      <c r="AY377" s="121"/>
      <c r="AZ377" s="121"/>
      <c r="BA377" s="121"/>
      <c r="BB377" s="121"/>
      <c r="BC377" s="121"/>
      <c r="BD377" s="121"/>
      <c r="BE377" s="121"/>
      <c r="BF377" s="121"/>
      <c r="BG377" s="123"/>
      <c r="BH377" s="127"/>
      <c r="BI377" s="125"/>
      <c r="BJ377" s="126"/>
      <c r="BK377" s="30"/>
      <c r="BL377" s="127"/>
      <c r="BM377" s="128"/>
      <c r="BN377" s="123"/>
      <c r="BO377" s="128"/>
      <c r="BP377" s="13"/>
      <c r="BQ377" s="129"/>
      <c r="BR377" s="123"/>
      <c r="BS377" s="130"/>
      <c r="BT377" s="13"/>
      <c r="BU377" s="123"/>
      <c r="BV377" s="131"/>
      <c r="DI377" s="121"/>
      <c r="DJ377" s="13"/>
      <c r="DK377" s="13"/>
      <c r="DL377" s="13"/>
      <c r="DM377" s="13"/>
      <c r="DN377" s="13"/>
      <c r="DO377" s="13"/>
      <c r="DW377" s="121"/>
      <c r="DX377" s="121"/>
      <c r="DY377" s="121"/>
      <c r="DZ377" s="121"/>
      <c r="EA377" s="121"/>
      <c r="EB377" s="121"/>
      <c r="EC377" s="121"/>
      <c r="ED377" s="121"/>
      <c r="EE377" s="121"/>
      <c r="EF377" s="121"/>
      <c r="EG377" s="123"/>
      <c r="EH377" s="127"/>
      <c r="EI377" s="125"/>
      <c r="EJ377" s="126"/>
      <c r="EK377" s="30"/>
      <c r="EL377" s="127"/>
      <c r="EM377" s="128"/>
      <c r="EN377" s="123"/>
      <c r="EO377" s="128"/>
      <c r="EP377" s="13"/>
      <c r="EQ377" s="129"/>
      <c r="ER377" s="123"/>
      <c r="ES377" s="130"/>
      <c r="ET377" s="13"/>
      <c r="EU377" s="123"/>
      <c r="EV377" s="131"/>
    </row>
    <row r="378" spans="35:152">
      <c r="AI378" s="121"/>
      <c r="AJ378" s="13"/>
      <c r="AK378" s="13"/>
      <c r="AL378" s="13"/>
      <c r="AM378" s="13"/>
      <c r="AN378" s="13"/>
      <c r="AO378" s="13"/>
      <c r="AW378" s="121"/>
      <c r="AX378" s="121"/>
      <c r="AY378" s="121"/>
      <c r="AZ378" s="121"/>
      <c r="BA378" s="121"/>
      <c r="BB378" s="121"/>
      <c r="BC378" s="121"/>
      <c r="BD378" s="121"/>
      <c r="BE378" s="121"/>
      <c r="BF378" s="121"/>
      <c r="BG378" s="123"/>
      <c r="BH378" s="127"/>
      <c r="BI378" s="125"/>
      <c r="BJ378" s="126"/>
      <c r="BK378" s="30"/>
      <c r="BL378" s="127"/>
      <c r="BM378" s="128"/>
      <c r="BN378" s="123"/>
      <c r="BO378" s="128"/>
      <c r="BP378" s="13"/>
      <c r="BQ378" s="129"/>
      <c r="BR378" s="123"/>
      <c r="BS378" s="130"/>
      <c r="BT378" s="13"/>
      <c r="BU378" s="123"/>
      <c r="BV378" s="131"/>
      <c r="DI378" s="121"/>
      <c r="DJ378" s="13"/>
      <c r="DK378" s="13"/>
      <c r="DL378" s="13"/>
      <c r="DM378" s="13"/>
      <c r="DN378" s="13"/>
      <c r="DO378" s="13"/>
      <c r="DW378" s="121"/>
      <c r="DX378" s="121"/>
      <c r="DY378" s="121"/>
      <c r="DZ378" s="121"/>
      <c r="EA378" s="121"/>
      <c r="EB378" s="121"/>
      <c r="EC378" s="121"/>
      <c r="ED378" s="121"/>
      <c r="EE378" s="121"/>
      <c r="EF378" s="121"/>
      <c r="EG378" s="123"/>
      <c r="EH378" s="127"/>
      <c r="EI378" s="125"/>
      <c r="EJ378" s="126"/>
      <c r="EK378" s="30"/>
      <c r="EL378" s="127"/>
      <c r="EM378" s="128"/>
      <c r="EN378" s="123"/>
      <c r="EO378" s="128"/>
      <c r="EP378" s="13"/>
      <c r="EQ378" s="129"/>
      <c r="ER378" s="123"/>
      <c r="ES378" s="130"/>
      <c r="ET378" s="13"/>
      <c r="EU378" s="123"/>
      <c r="EV378" s="131"/>
    </row>
    <row r="379" spans="35:152">
      <c r="AI379" s="121"/>
      <c r="AJ379" s="13"/>
      <c r="AK379" s="13"/>
      <c r="AL379" s="13"/>
      <c r="AM379" s="13"/>
      <c r="AN379" s="13"/>
      <c r="AO379" s="13"/>
      <c r="AW379" s="121"/>
      <c r="AX379" s="121"/>
      <c r="AY379" s="121"/>
      <c r="AZ379" s="121"/>
      <c r="BA379" s="121"/>
      <c r="BB379" s="121"/>
      <c r="BC379" s="121"/>
      <c r="BD379" s="121"/>
      <c r="BE379" s="121"/>
      <c r="BF379" s="121"/>
      <c r="BG379" s="123"/>
      <c r="BH379" s="127"/>
      <c r="BI379" s="125"/>
      <c r="BJ379" s="126"/>
      <c r="BK379" s="30"/>
      <c r="BL379" s="127"/>
      <c r="BM379" s="128"/>
      <c r="BN379" s="123"/>
      <c r="BO379" s="128"/>
      <c r="BP379" s="13"/>
      <c r="BQ379" s="129"/>
      <c r="BR379" s="123"/>
      <c r="BS379" s="130"/>
      <c r="BT379" s="13"/>
      <c r="BU379" s="123"/>
      <c r="BV379" s="131"/>
      <c r="DI379" s="121"/>
      <c r="DJ379" s="13"/>
      <c r="DK379" s="13"/>
      <c r="DL379" s="13"/>
      <c r="DM379" s="13"/>
      <c r="DN379" s="13"/>
      <c r="DO379" s="13"/>
      <c r="DW379" s="121"/>
      <c r="DX379" s="121"/>
      <c r="DY379" s="121"/>
      <c r="DZ379" s="121"/>
      <c r="EA379" s="121"/>
      <c r="EB379" s="121"/>
      <c r="EC379" s="121"/>
      <c r="ED379" s="121"/>
      <c r="EE379" s="121"/>
      <c r="EF379" s="121"/>
      <c r="EG379" s="123"/>
      <c r="EH379" s="127"/>
      <c r="EI379" s="125"/>
      <c r="EJ379" s="126"/>
      <c r="EK379" s="30"/>
      <c r="EL379" s="127"/>
      <c r="EM379" s="128"/>
      <c r="EN379" s="123"/>
      <c r="EO379" s="128"/>
      <c r="EP379" s="13"/>
      <c r="EQ379" s="129"/>
      <c r="ER379" s="123"/>
      <c r="ES379" s="130"/>
      <c r="ET379" s="13"/>
      <c r="EU379" s="123"/>
      <c r="EV379" s="131"/>
    </row>
    <row r="380" spans="35:152">
      <c r="AI380" s="121"/>
      <c r="AJ380" s="13"/>
      <c r="AK380" s="13"/>
      <c r="AL380" s="13"/>
      <c r="AM380" s="13"/>
      <c r="AN380" s="13"/>
      <c r="AO380" s="13"/>
      <c r="AW380" s="121"/>
      <c r="AX380" s="121"/>
      <c r="AY380" s="121"/>
      <c r="AZ380" s="121"/>
      <c r="BA380" s="121"/>
      <c r="BB380" s="121"/>
      <c r="BC380" s="121"/>
      <c r="BD380" s="121"/>
      <c r="BE380" s="121"/>
      <c r="BF380" s="121"/>
      <c r="BG380" s="123"/>
      <c r="BH380" s="127"/>
      <c r="BI380" s="125"/>
      <c r="BJ380" s="126"/>
      <c r="BK380" s="30"/>
      <c r="BL380" s="127"/>
      <c r="BM380" s="128"/>
      <c r="BN380" s="123"/>
      <c r="BO380" s="128"/>
      <c r="BP380" s="13"/>
      <c r="BQ380" s="129"/>
      <c r="BR380" s="123"/>
      <c r="BS380" s="130"/>
      <c r="BT380" s="13"/>
      <c r="BU380" s="123"/>
      <c r="BV380" s="131"/>
      <c r="DI380" s="121"/>
      <c r="DJ380" s="13"/>
      <c r="DK380" s="13"/>
      <c r="DL380" s="13"/>
      <c r="DM380" s="13"/>
      <c r="DN380" s="13"/>
      <c r="DO380" s="13"/>
      <c r="DW380" s="121"/>
      <c r="DX380" s="121"/>
      <c r="DY380" s="121"/>
      <c r="DZ380" s="121"/>
      <c r="EA380" s="121"/>
      <c r="EB380" s="121"/>
      <c r="EC380" s="121"/>
      <c r="ED380" s="121"/>
      <c r="EE380" s="121"/>
      <c r="EF380" s="121"/>
      <c r="EG380" s="123"/>
      <c r="EH380" s="127"/>
      <c r="EI380" s="125"/>
      <c r="EJ380" s="126"/>
      <c r="EK380" s="30"/>
      <c r="EL380" s="127"/>
      <c r="EM380" s="128"/>
      <c r="EN380" s="123"/>
      <c r="EO380" s="128"/>
      <c r="EP380" s="13"/>
      <c r="EQ380" s="129"/>
      <c r="ER380" s="123"/>
      <c r="ES380" s="130"/>
      <c r="ET380" s="13"/>
      <c r="EU380" s="123"/>
      <c r="EV380" s="131"/>
    </row>
    <row r="381" spans="35:152">
      <c r="AI381" s="121"/>
      <c r="AJ381" s="13"/>
      <c r="AK381" s="13"/>
      <c r="AL381" s="13"/>
      <c r="AM381" s="13"/>
      <c r="AN381" s="13"/>
      <c r="AO381" s="13"/>
      <c r="AW381" s="121"/>
      <c r="AX381" s="121"/>
      <c r="AY381" s="121"/>
      <c r="AZ381" s="121"/>
      <c r="BA381" s="121"/>
      <c r="BB381" s="121"/>
      <c r="BC381" s="121"/>
      <c r="BD381" s="121"/>
      <c r="BE381" s="121"/>
      <c r="BF381" s="121"/>
      <c r="BG381" s="123"/>
      <c r="BH381" s="127"/>
      <c r="BI381" s="125"/>
      <c r="BJ381" s="126"/>
      <c r="BK381" s="30"/>
      <c r="BL381" s="127"/>
      <c r="BM381" s="128"/>
      <c r="BN381" s="123"/>
      <c r="BO381" s="128"/>
      <c r="BP381" s="13"/>
      <c r="BQ381" s="129"/>
      <c r="BR381" s="123"/>
      <c r="BS381" s="130"/>
      <c r="BT381" s="13"/>
      <c r="BU381" s="123"/>
      <c r="BV381" s="131"/>
      <c r="DI381" s="121"/>
      <c r="DJ381" s="13"/>
      <c r="DK381" s="13"/>
      <c r="DL381" s="13"/>
      <c r="DM381" s="13"/>
      <c r="DN381" s="13"/>
      <c r="DO381" s="13"/>
      <c r="DW381" s="121"/>
      <c r="DX381" s="121"/>
      <c r="DY381" s="121"/>
      <c r="DZ381" s="121"/>
      <c r="EA381" s="121"/>
      <c r="EB381" s="121"/>
      <c r="EC381" s="121"/>
      <c r="ED381" s="121"/>
      <c r="EE381" s="121"/>
      <c r="EF381" s="121"/>
      <c r="EG381" s="123"/>
      <c r="EH381" s="127"/>
      <c r="EI381" s="125"/>
      <c r="EJ381" s="126"/>
      <c r="EK381" s="30"/>
      <c r="EL381" s="127"/>
      <c r="EM381" s="128"/>
      <c r="EN381" s="123"/>
      <c r="EO381" s="128"/>
      <c r="EP381" s="13"/>
      <c r="EQ381" s="129"/>
      <c r="ER381" s="123"/>
      <c r="ES381" s="130"/>
      <c r="ET381" s="13"/>
      <c r="EU381" s="123"/>
      <c r="EV381" s="131"/>
    </row>
    <row r="382" spans="35:152">
      <c r="AI382" s="121"/>
      <c r="AJ382" s="13"/>
      <c r="AK382" s="13"/>
      <c r="AL382" s="13"/>
      <c r="AM382" s="13"/>
      <c r="AN382" s="13"/>
      <c r="AO382" s="13"/>
      <c r="AW382" s="121"/>
      <c r="AX382" s="121"/>
      <c r="AY382" s="121"/>
      <c r="AZ382" s="121"/>
      <c r="BA382" s="121"/>
      <c r="BB382" s="121"/>
      <c r="BC382" s="121"/>
      <c r="BD382" s="121"/>
      <c r="BE382" s="121"/>
      <c r="BF382" s="121"/>
      <c r="BG382" s="123"/>
      <c r="BH382" s="127"/>
      <c r="BI382" s="125"/>
      <c r="BJ382" s="126"/>
      <c r="BK382" s="30"/>
      <c r="BL382" s="127"/>
      <c r="BM382" s="128"/>
      <c r="BN382" s="123"/>
      <c r="BO382" s="128"/>
      <c r="BP382" s="13"/>
      <c r="BQ382" s="129"/>
      <c r="BR382" s="123"/>
      <c r="BS382" s="130"/>
      <c r="BT382" s="13"/>
      <c r="BU382" s="123"/>
      <c r="BV382" s="131"/>
      <c r="DI382" s="121"/>
      <c r="DJ382" s="13"/>
      <c r="DK382" s="13"/>
      <c r="DL382" s="13"/>
      <c r="DM382" s="13"/>
      <c r="DN382" s="13"/>
      <c r="DO382" s="13"/>
      <c r="DW382" s="121"/>
      <c r="DX382" s="121"/>
      <c r="DY382" s="121"/>
      <c r="DZ382" s="121"/>
      <c r="EA382" s="121"/>
      <c r="EB382" s="121"/>
      <c r="EC382" s="121"/>
      <c r="ED382" s="121"/>
      <c r="EE382" s="121"/>
      <c r="EF382" s="121"/>
      <c r="EG382" s="123"/>
      <c r="EH382" s="127"/>
      <c r="EI382" s="125"/>
      <c r="EJ382" s="126"/>
      <c r="EK382" s="30"/>
      <c r="EL382" s="127"/>
      <c r="EM382" s="128"/>
      <c r="EN382" s="123"/>
      <c r="EO382" s="128"/>
      <c r="EP382" s="13"/>
      <c r="EQ382" s="129"/>
      <c r="ER382" s="123"/>
      <c r="ES382" s="130"/>
      <c r="ET382" s="13"/>
      <c r="EU382" s="123"/>
      <c r="EV382" s="131"/>
    </row>
    <row r="383" spans="35:152">
      <c r="AI383" s="121"/>
      <c r="AJ383" s="13"/>
      <c r="AK383" s="13"/>
      <c r="AL383" s="13"/>
      <c r="AM383" s="13"/>
      <c r="AN383" s="13"/>
      <c r="AO383" s="13"/>
      <c r="AW383" s="121"/>
      <c r="AX383" s="121"/>
      <c r="AY383" s="121"/>
      <c r="AZ383" s="121"/>
      <c r="BA383" s="121"/>
      <c r="BB383" s="121"/>
      <c r="BC383" s="121"/>
      <c r="BD383" s="121"/>
      <c r="BE383" s="121"/>
      <c r="BF383" s="121"/>
      <c r="BG383" s="123"/>
      <c r="BH383" s="127"/>
      <c r="BI383" s="125"/>
      <c r="BJ383" s="126"/>
      <c r="BK383" s="30"/>
      <c r="BL383" s="127"/>
      <c r="BM383" s="128"/>
      <c r="BN383" s="123"/>
      <c r="BO383" s="128"/>
      <c r="BP383" s="13"/>
      <c r="BQ383" s="129"/>
      <c r="BR383" s="123"/>
      <c r="BS383" s="130"/>
      <c r="BT383" s="13"/>
      <c r="BU383" s="123"/>
      <c r="BV383" s="131"/>
      <c r="DI383" s="121"/>
      <c r="DJ383" s="13"/>
      <c r="DK383" s="13"/>
      <c r="DL383" s="13"/>
      <c r="DM383" s="13"/>
      <c r="DN383" s="13"/>
      <c r="DO383" s="13"/>
      <c r="DW383" s="121"/>
      <c r="DX383" s="121"/>
      <c r="DY383" s="121"/>
      <c r="DZ383" s="121"/>
      <c r="EA383" s="121"/>
      <c r="EB383" s="121"/>
      <c r="EC383" s="121"/>
      <c r="ED383" s="121"/>
      <c r="EE383" s="121"/>
      <c r="EF383" s="121"/>
      <c r="EG383" s="123"/>
      <c r="EH383" s="127"/>
      <c r="EI383" s="125"/>
      <c r="EJ383" s="126"/>
      <c r="EK383" s="30"/>
      <c r="EL383" s="127"/>
      <c r="EM383" s="128"/>
      <c r="EN383" s="123"/>
      <c r="EO383" s="128"/>
      <c r="EP383" s="13"/>
      <c r="EQ383" s="129"/>
      <c r="ER383" s="123"/>
      <c r="ES383" s="130"/>
      <c r="ET383" s="13"/>
      <c r="EU383" s="123"/>
      <c r="EV383" s="131"/>
    </row>
    <row r="384" spans="35:152">
      <c r="AI384" s="121"/>
      <c r="AJ384" s="13"/>
      <c r="AK384" s="13"/>
      <c r="AL384" s="13"/>
      <c r="AM384" s="13"/>
      <c r="AN384" s="13"/>
      <c r="AO384" s="13"/>
      <c r="AW384" s="121"/>
      <c r="AX384" s="121"/>
      <c r="AY384" s="121"/>
      <c r="AZ384" s="121"/>
      <c r="BA384" s="121"/>
      <c r="BB384" s="121"/>
      <c r="BC384" s="121"/>
      <c r="BD384" s="121"/>
      <c r="BE384" s="121"/>
      <c r="BF384" s="121"/>
      <c r="BG384" s="123"/>
      <c r="BH384" s="127"/>
      <c r="BI384" s="125"/>
      <c r="BJ384" s="126"/>
      <c r="BK384" s="30"/>
      <c r="BL384" s="127"/>
      <c r="BM384" s="128"/>
      <c r="BN384" s="123"/>
      <c r="BO384" s="128"/>
      <c r="BP384" s="13"/>
      <c r="BQ384" s="129"/>
      <c r="BR384" s="123"/>
      <c r="BS384" s="130"/>
      <c r="BT384" s="13"/>
      <c r="BU384" s="123"/>
      <c r="BV384" s="131"/>
      <c r="DI384" s="121"/>
      <c r="DJ384" s="13"/>
      <c r="DK384" s="13"/>
      <c r="DL384" s="13"/>
      <c r="DM384" s="13"/>
      <c r="DN384" s="13"/>
      <c r="DO384" s="13"/>
      <c r="DW384" s="121"/>
      <c r="DX384" s="121"/>
      <c r="DY384" s="121"/>
      <c r="DZ384" s="121"/>
      <c r="EA384" s="121"/>
      <c r="EB384" s="121"/>
      <c r="EC384" s="121"/>
      <c r="ED384" s="121"/>
      <c r="EE384" s="121"/>
      <c r="EF384" s="121"/>
      <c r="EG384" s="123"/>
      <c r="EH384" s="127"/>
      <c r="EI384" s="125"/>
      <c r="EJ384" s="126"/>
      <c r="EK384" s="30"/>
      <c r="EL384" s="127"/>
      <c r="EM384" s="128"/>
      <c r="EN384" s="123"/>
      <c r="EO384" s="128"/>
      <c r="EP384" s="13"/>
      <c r="EQ384" s="129"/>
      <c r="ER384" s="123"/>
      <c r="ES384" s="130"/>
      <c r="ET384" s="13"/>
      <c r="EU384" s="123"/>
      <c r="EV384" s="131"/>
    </row>
    <row r="385" spans="35:152">
      <c r="AI385" s="121"/>
      <c r="AJ385" s="13"/>
      <c r="AK385" s="13"/>
      <c r="AL385" s="13"/>
      <c r="AM385" s="13"/>
      <c r="AN385" s="13"/>
      <c r="AO385" s="13"/>
      <c r="AW385" s="121"/>
      <c r="AX385" s="121"/>
      <c r="AY385" s="121"/>
      <c r="AZ385" s="121"/>
      <c r="BA385" s="121"/>
      <c r="BB385" s="121"/>
      <c r="BC385" s="121"/>
      <c r="BD385" s="121"/>
      <c r="BE385" s="121"/>
      <c r="BF385" s="121"/>
      <c r="BG385" s="123"/>
      <c r="BH385" s="127"/>
      <c r="BI385" s="125"/>
      <c r="BJ385" s="126"/>
      <c r="BK385" s="30"/>
      <c r="BL385" s="127"/>
      <c r="BM385" s="128"/>
      <c r="BN385" s="123"/>
      <c r="BO385" s="128"/>
      <c r="BP385" s="13"/>
      <c r="BQ385" s="129"/>
      <c r="BR385" s="123"/>
      <c r="BS385" s="130"/>
      <c r="BT385" s="13"/>
      <c r="BU385" s="123"/>
      <c r="BV385" s="131"/>
      <c r="DI385" s="121"/>
      <c r="DJ385" s="13"/>
      <c r="DK385" s="13"/>
      <c r="DL385" s="13"/>
      <c r="DM385" s="13"/>
      <c r="DN385" s="13"/>
      <c r="DO385" s="13"/>
      <c r="DW385" s="121"/>
      <c r="DX385" s="121"/>
      <c r="DY385" s="121"/>
      <c r="DZ385" s="121"/>
      <c r="EA385" s="121"/>
      <c r="EB385" s="121"/>
      <c r="EC385" s="121"/>
      <c r="ED385" s="121"/>
      <c r="EE385" s="121"/>
      <c r="EF385" s="121"/>
      <c r="EG385" s="123"/>
      <c r="EH385" s="127"/>
      <c r="EI385" s="125"/>
      <c r="EJ385" s="126"/>
      <c r="EK385" s="30"/>
      <c r="EL385" s="127"/>
      <c r="EM385" s="128"/>
      <c r="EN385" s="123"/>
      <c r="EO385" s="128"/>
      <c r="EP385" s="13"/>
      <c r="EQ385" s="129"/>
      <c r="ER385" s="123"/>
      <c r="ES385" s="130"/>
      <c r="ET385" s="13"/>
      <c r="EU385" s="123"/>
      <c r="EV385" s="131"/>
    </row>
    <row r="386" spans="35:152">
      <c r="AI386" s="121"/>
      <c r="AJ386" s="13"/>
      <c r="AK386" s="13"/>
      <c r="AL386" s="13"/>
      <c r="AM386" s="13"/>
      <c r="AN386" s="13"/>
      <c r="AO386" s="13"/>
      <c r="AW386" s="121"/>
      <c r="AX386" s="121"/>
      <c r="AY386" s="121"/>
      <c r="AZ386" s="121"/>
      <c r="BA386" s="121"/>
      <c r="BB386" s="121"/>
      <c r="BC386" s="121"/>
      <c r="BD386" s="121"/>
      <c r="BE386" s="121"/>
      <c r="BF386" s="121"/>
      <c r="BG386" s="123"/>
      <c r="BH386" s="127"/>
      <c r="BI386" s="125"/>
      <c r="BJ386" s="126"/>
      <c r="BK386" s="30"/>
      <c r="BL386" s="127"/>
      <c r="BM386" s="128"/>
      <c r="BN386" s="123"/>
      <c r="BO386" s="128"/>
      <c r="BP386" s="13"/>
      <c r="BQ386" s="129"/>
      <c r="BR386" s="123"/>
      <c r="BS386" s="130"/>
      <c r="BT386" s="13"/>
      <c r="BU386" s="123"/>
      <c r="BV386" s="131"/>
      <c r="DI386" s="121"/>
      <c r="DJ386" s="13"/>
      <c r="DK386" s="13"/>
      <c r="DL386" s="13"/>
      <c r="DM386" s="13"/>
      <c r="DN386" s="13"/>
      <c r="DO386" s="13"/>
      <c r="DW386" s="121"/>
      <c r="DX386" s="121"/>
      <c r="DY386" s="121"/>
      <c r="DZ386" s="121"/>
      <c r="EA386" s="121"/>
      <c r="EB386" s="121"/>
      <c r="EC386" s="121"/>
      <c r="ED386" s="121"/>
      <c r="EE386" s="121"/>
      <c r="EF386" s="121"/>
      <c r="EG386" s="123"/>
      <c r="EH386" s="127"/>
      <c r="EI386" s="125"/>
      <c r="EJ386" s="126"/>
      <c r="EK386" s="30"/>
      <c r="EL386" s="127"/>
      <c r="EM386" s="128"/>
      <c r="EN386" s="123"/>
      <c r="EO386" s="128"/>
      <c r="EP386" s="13"/>
      <c r="EQ386" s="129"/>
      <c r="ER386" s="123"/>
      <c r="ES386" s="130"/>
      <c r="ET386" s="13"/>
      <c r="EU386" s="123"/>
      <c r="EV386" s="131"/>
    </row>
    <row r="387" spans="35:152">
      <c r="AI387" s="121"/>
      <c r="AJ387" s="13"/>
      <c r="AK387" s="13"/>
      <c r="AL387" s="13"/>
      <c r="AM387" s="13"/>
      <c r="AN387" s="13"/>
      <c r="AO387" s="13"/>
      <c r="AW387" s="121"/>
      <c r="AX387" s="121"/>
      <c r="AY387" s="121"/>
      <c r="AZ387" s="121"/>
      <c r="BA387" s="121"/>
      <c r="BB387" s="121"/>
      <c r="BC387" s="121"/>
      <c r="BD387" s="121"/>
      <c r="BE387" s="121"/>
      <c r="BF387" s="121"/>
      <c r="BG387" s="123"/>
      <c r="BH387" s="127"/>
      <c r="BI387" s="125"/>
      <c r="BJ387" s="126"/>
      <c r="BK387" s="30"/>
      <c r="BL387" s="127"/>
      <c r="BM387" s="128"/>
      <c r="BN387" s="123"/>
      <c r="BO387" s="128"/>
      <c r="BP387" s="13"/>
      <c r="BQ387" s="129"/>
      <c r="BR387" s="123"/>
      <c r="BS387" s="130"/>
      <c r="BT387" s="13"/>
      <c r="BU387" s="123"/>
      <c r="BV387" s="131"/>
      <c r="DI387" s="121"/>
      <c r="DJ387" s="13"/>
      <c r="DK387" s="13"/>
      <c r="DL387" s="13"/>
      <c r="DM387" s="13"/>
      <c r="DN387" s="13"/>
      <c r="DO387" s="13"/>
      <c r="DW387" s="121"/>
      <c r="DX387" s="121"/>
      <c r="DY387" s="121"/>
      <c r="DZ387" s="121"/>
      <c r="EA387" s="121"/>
      <c r="EB387" s="121"/>
      <c r="EC387" s="121"/>
      <c r="ED387" s="121"/>
      <c r="EE387" s="121"/>
      <c r="EF387" s="121"/>
      <c r="EG387" s="123"/>
      <c r="EH387" s="127"/>
      <c r="EI387" s="125"/>
      <c r="EJ387" s="126"/>
      <c r="EK387" s="30"/>
      <c r="EL387" s="127"/>
      <c r="EM387" s="128"/>
      <c r="EN387" s="123"/>
      <c r="EO387" s="128"/>
      <c r="EP387" s="13"/>
      <c r="EQ387" s="129"/>
      <c r="ER387" s="123"/>
      <c r="ES387" s="130"/>
      <c r="ET387" s="13"/>
      <c r="EU387" s="123"/>
      <c r="EV387" s="131"/>
    </row>
    <row r="388" spans="35:152">
      <c r="AI388" s="121"/>
      <c r="AJ388" s="13"/>
      <c r="AK388" s="13"/>
      <c r="AL388" s="13"/>
      <c r="AM388" s="13"/>
      <c r="AN388" s="13"/>
      <c r="AO388" s="13"/>
      <c r="AW388" s="121"/>
      <c r="AX388" s="121"/>
      <c r="AY388" s="121"/>
      <c r="AZ388" s="121"/>
      <c r="BA388" s="121"/>
      <c r="BB388" s="121"/>
      <c r="BC388" s="121"/>
      <c r="BD388" s="121"/>
      <c r="BE388" s="121"/>
      <c r="BF388" s="121"/>
      <c r="BG388" s="123"/>
      <c r="BH388" s="127"/>
      <c r="BI388" s="125"/>
      <c r="BJ388" s="126"/>
      <c r="BK388" s="30"/>
      <c r="BL388" s="127"/>
      <c r="BM388" s="128"/>
      <c r="BN388" s="123"/>
      <c r="BO388" s="128"/>
      <c r="BP388" s="13"/>
      <c r="BQ388" s="129"/>
      <c r="BR388" s="123"/>
      <c r="BS388" s="130"/>
      <c r="BT388" s="13"/>
      <c r="BU388" s="123"/>
      <c r="BV388" s="131"/>
      <c r="DI388" s="121"/>
      <c r="DJ388" s="13"/>
      <c r="DK388" s="13"/>
      <c r="DL388" s="13"/>
      <c r="DM388" s="13"/>
      <c r="DN388" s="13"/>
      <c r="DO388" s="13"/>
      <c r="DW388" s="121"/>
      <c r="DX388" s="121"/>
      <c r="DY388" s="121"/>
      <c r="DZ388" s="121"/>
      <c r="EA388" s="121"/>
      <c r="EB388" s="121"/>
      <c r="EC388" s="121"/>
      <c r="ED388" s="121"/>
      <c r="EE388" s="121"/>
      <c r="EF388" s="121"/>
      <c r="EG388" s="123"/>
      <c r="EH388" s="127"/>
      <c r="EI388" s="125"/>
      <c r="EJ388" s="126"/>
      <c r="EK388" s="30"/>
      <c r="EL388" s="127"/>
      <c r="EM388" s="128"/>
      <c r="EN388" s="123"/>
      <c r="EO388" s="128"/>
      <c r="EP388" s="13"/>
      <c r="EQ388" s="129"/>
      <c r="ER388" s="123"/>
      <c r="ES388" s="130"/>
      <c r="ET388" s="13"/>
      <c r="EU388" s="123"/>
      <c r="EV388" s="131"/>
    </row>
    <row r="389" spans="35:152">
      <c r="AI389" s="121"/>
      <c r="AJ389" s="13"/>
      <c r="AK389" s="13"/>
      <c r="AL389" s="13"/>
      <c r="AM389" s="13"/>
      <c r="AN389" s="13"/>
      <c r="AO389" s="13"/>
      <c r="AW389" s="121"/>
      <c r="AX389" s="121"/>
      <c r="AY389" s="121"/>
      <c r="AZ389" s="121"/>
      <c r="BA389" s="121"/>
      <c r="BB389" s="121"/>
      <c r="BC389" s="121"/>
      <c r="BD389" s="121"/>
      <c r="BE389" s="121"/>
      <c r="BF389" s="121"/>
      <c r="BG389" s="123"/>
      <c r="BH389" s="127"/>
      <c r="BI389" s="125"/>
      <c r="BJ389" s="126"/>
      <c r="BK389" s="30"/>
      <c r="BL389" s="127"/>
      <c r="BM389" s="128"/>
      <c r="BN389" s="123"/>
      <c r="BO389" s="128"/>
      <c r="BP389" s="13"/>
      <c r="BQ389" s="129"/>
      <c r="BR389" s="123"/>
      <c r="BS389" s="130"/>
      <c r="BT389" s="13"/>
      <c r="BU389" s="123"/>
      <c r="BV389" s="131"/>
      <c r="DI389" s="121"/>
      <c r="DJ389" s="13"/>
      <c r="DK389" s="13"/>
      <c r="DL389" s="13"/>
      <c r="DM389" s="13"/>
      <c r="DN389" s="13"/>
      <c r="DO389" s="13"/>
      <c r="DW389" s="121"/>
      <c r="DX389" s="121"/>
      <c r="DY389" s="121"/>
      <c r="DZ389" s="121"/>
      <c r="EA389" s="121"/>
      <c r="EB389" s="121"/>
      <c r="EC389" s="121"/>
      <c r="ED389" s="121"/>
      <c r="EE389" s="121"/>
      <c r="EF389" s="121"/>
      <c r="EG389" s="123"/>
      <c r="EH389" s="127"/>
      <c r="EI389" s="125"/>
      <c r="EJ389" s="126"/>
      <c r="EK389" s="30"/>
      <c r="EL389" s="127"/>
      <c r="EM389" s="128"/>
      <c r="EN389" s="123"/>
      <c r="EO389" s="128"/>
      <c r="EP389" s="13"/>
      <c r="EQ389" s="129"/>
      <c r="ER389" s="123"/>
      <c r="ES389" s="130"/>
      <c r="ET389" s="13"/>
      <c r="EU389" s="123"/>
      <c r="EV389" s="131"/>
    </row>
    <row r="390" spans="35:152">
      <c r="AI390" s="121"/>
      <c r="AJ390" s="13"/>
      <c r="AK390" s="13"/>
      <c r="AL390" s="13"/>
      <c r="AM390" s="13"/>
      <c r="AN390" s="13"/>
      <c r="AO390" s="13"/>
      <c r="AW390" s="121"/>
      <c r="AX390" s="121"/>
      <c r="AY390" s="121"/>
      <c r="AZ390" s="121"/>
      <c r="BA390" s="121"/>
      <c r="BB390" s="121"/>
      <c r="BC390" s="121"/>
      <c r="BD390" s="121"/>
      <c r="BE390" s="121"/>
      <c r="BF390" s="121"/>
      <c r="BG390" s="123"/>
      <c r="BH390" s="127"/>
      <c r="BI390" s="125"/>
      <c r="BJ390" s="126"/>
      <c r="BK390" s="30"/>
      <c r="BL390" s="127"/>
      <c r="BM390" s="128"/>
      <c r="BN390" s="123"/>
      <c r="BO390" s="128"/>
      <c r="BP390" s="13"/>
      <c r="BQ390" s="129"/>
      <c r="BR390" s="123"/>
      <c r="BS390" s="130"/>
      <c r="BT390" s="13"/>
      <c r="BU390" s="123"/>
      <c r="BV390" s="131"/>
      <c r="DI390" s="121"/>
      <c r="DJ390" s="13"/>
      <c r="DK390" s="13"/>
      <c r="DL390" s="13"/>
      <c r="DM390" s="13"/>
      <c r="DN390" s="13"/>
      <c r="DO390" s="13"/>
      <c r="DW390" s="121"/>
      <c r="DX390" s="121"/>
      <c r="DY390" s="121"/>
      <c r="DZ390" s="121"/>
      <c r="EA390" s="121"/>
      <c r="EB390" s="121"/>
      <c r="EC390" s="121"/>
      <c r="ED390" s="121"/>
      <c r="EE390" s="121"/>
      <c r="EF390" s="121"/>
      <c r="EG390" s="123"/>
      <c r="EH390" s="127"/>
      <c r="EI390" s="125"/>
      <c r="EJ390" s="126"/>
      <c r="EK390" s="30"/>
      <c r="EL390" s="127"/>
      <c r="EM390" s="128"/>
      <c r="EN390" s="123"/>
      <c r="EO390" s="128"/>
      <c r="EP390" s="13"/>
      <c r="EQ390" s="129"/>
      <c r="ER390" s="123"/>
      <c r="ES390" s="130"/>
      <c r="ET390" s="13"/>
      <c r="EU390" s="123"/>
      <c r="EV390" s="131"/>
    </row>
    <row r="391" spans="35:152">
      <c r="AI391" s="121"/>
      <c r="AJ391" s="13"/>
      <c r="AK391" s="13"/>
      <c r="AL391" s="13"/>
      <c r="AM391" s="13"/>
      <c r="AN391" s="13"/>
      <c r="AO391" s="13"/>
      <c r="AW391" s="121"/>
      <c r="AX391" s="121"/>
      <c r="AY391" s="121"/>
      <c r="AZ391" s="121"/>
      <c r="BA391" s="121"/>
      <c r="BB391" s="121"/>
      <c r="BC391" s="121"/>
      <c r="BD391" s="121"/>
      <c r="BE391" s="121"/>
      <c r="BF391" s="121"/>
      <c r="BG391" s="123"/>
      <c r="BH391" s="127"/>
      <c r="BI391" s="125"/>
      <c r="BJ391" s="126"/>
      <c r="BK391" s="30"/>
      <c r="BL391" s="127"/>
      <c r="BM391" s="128"/>
      <c r="BN391" s="123"/>
      <c r="BO391" s="128"/>
      <c r="BP391" s="13"/>
      <c r="BQ391" s="129"/>
      <c r="BR391" s="123"/>
      <c r="BS391" s="130"/>
      <c r="BT391" s="13"/>
      <c r="BU391" s="123"/>
      <c r="BV391" s="131"/>
      <c r="DI391" s="121"/>
      <c r="DJ391" s="13"/>
      <c r="DK391" s="13"/>
      <c r="DL391" s="13"/>
      <c r="DM391" s="13"/>
      <c r="DN391" s="13"/>
      <c r="DO391" s="13"/>
      <c r="DW391" s="121"/>
      <c r="DX391" s="121"/>
      <c r="DY391" s="121"/>
      <c r="DZ391" s="121"/>
      <c r="EA391" s="121"/>
      <c r="EB391" s="121"/>
      <c r="EC391" s="121"/>
      <c r="ED391" s="121"/>
      <c r="EE391" s="121"/>
      <c r="EF391" s="121"/>
      <c r="EG391" s="123"/>
      <c r="EH391" s="127"/>
      <c r="EI391" s="125"/>
      <c r="EJ391" s="126"/>
      <c r="EK391" s="30"/>
      <c r="EL391" s="127"/>
      <c r="EM391" s="128"/>
      <c r="EN391" s="123"/>
      <c r="EO391" s="128"/>
      <c r="EP391" s="13"/>
      <c r="EQ391" s="129"/>
      <c r="ER391" s="123"/>
      <c r="ES391" s="130"/>
      <c r="ET391" s="13"/>
      <c r="EU391" s="123"/>
      <c r="EV391" s="131"/>
    </row>
    <row r="392" spans="35:152">
      <c r="AI392" s="121"/>
      <c r="AJ392" s="13"/>
      <c r="AK392" s="13"/>
      <c r="AL392" s="13"/>
      <c r="AM392" s="13"/>
      <c r="AN392" s="13"/>
      <c r="AO392" s="13"/>
      <c r="AW392" s="121"/>
      <c r="AX392" s="121"/>
      <c r="AY392" s="121"/>
      <c r="AZ392" s="121"/>
      <c r="BA392" s="121"/>
      <c r="BB392" s="121"/>
      <c r="BC392" s="121"/>
      <c r="BD392" s="121"/>
      <c r="BE392" s="121"/>
      <c r="BF392" s="121"/>
      <c r="BG392" s="123"/>
      <c r="BH392" s="127"/>
      <c r="BI392" s="125"/>
      <c r="BJ392" s="126"/>
      <c r="BK392" s="30"/>
      <c r="BL392" s="127"/>
      <c r="BM392" s="128"/>
      <c r="BN392" s="123"/>
      <c r="BO392" s="128"/>
      <c r="BP392" s="13"/>
      <c r="BQ392" s="129"/>
      <c r="BR392" s="123"/>
      <c r="BS392" s="130"/>
      <c r="BT392" s="13"/>
      <c r="BU392" s="123"/>
      <c r="BV392" s="131"/>
      <c r="DI392" s="121"/>
      <c r="DJ392" s="13"/>
      <c r="DK392" s="13"/>
      <c r="DL392" s="13"/>
      <c r="DM392" s="13"/>
      <c r="DN392" s="13"/>
      <c r="DO392" s="13"/>
      <c r="DW392" s="121"/>
      <c r="DX392" s="121"/>
      <c r="DY392" s="121"/>
      <c r="DZ392" s="121"/>
      <c r="EA392" s="121"/>
      <c r="EB392" s="121"/>
      <c r="EC392" s="121"/>
      <c r="ED392" s="121"/>
      <c r="EE392" s="121"/>
      <c r="EF392" s="121"/>
      <c r="EG392" s="123"/>
      <c r="EH392" s="127"/>
      <c r="EI392" s="125"/>
      <c r="EJ392" s="126"/>
      <c r="EK392" s="30"/>
      <c r="EL392" s="127"/>
      <c r="EM392" s="128"/>
      <c r="EN392" s="123"/>
      <c r="EO392" s="128"/>
      <c r="EP392" s="13"/>
      <c r="EQ392" s="129"/>
      <c r="ER392" s="123"/>
      <c r="ES392" s="130"/>
      <c r="ET392" s="13"/>
      <c r="EU392" s="123"/>
      <c r="EV392" s="131"/>
    </row>
    <row r="393" spans="35:152">
      <c r="AI393" s="121"/>
      <c r="AJ393" s="13"/>
      <c r="AK393" s="13"/>
      <c r="AL393" s="13"/>
      <c r="AM393" s="13"/>
      <c r="AN393" s="13"/>
      <c r="AO393" s="13"/>
      <c r="AW393" s="121"/>
      <c r="AX393" s="121"/>
      <c r="AY393" s="121"/>
      <c r="AZ393" s="121"/>
      <c r="BA393" s="121"/>
      <c r="BB393" s="121"/>
      <c r="BC393" s="121"/>
      <c r="BD393" s="121"/>
      <c r="BE393" s="121"/>
      <c r="BF393" s="121"/>
      <c r="BG393" s="123"/>
      <c r="BH393" s="127"/>
      <c r="BI393" s="125"/>
      <c r="BJ393" s="126"/>
      <c r="BK393" s="30"/>
      <c r="BL393" s="127"/>
      <c r="BM393" s="128"/>
      <c r="BN393" s="123"/>
      <c r="BO393" s="128"/>
      <c r="BP393" s="13"/>
      <c r="BQ393" s="129"/>
      <c r="BR393" s="123"/>
      <c r="BS393" s="130"/>
      <c r="BT393" s="13"/>
      <c r="BU393" s="123"/>
      <c r="BV393" s="131"/>
      <c r="DI393" s="121"/>
      <c r="DJ393" s="13"/>
      <c r="DK393" s="13"/>
      <c r="DL393" s="13"/>
      <c r="DM393" s="13"/>
      <c r="DN393" s="13"/>
      <c r="DO393" s="13"/>
      <c r="DW393" s="121"/>
      <c r="DX393" s="121"/>
      <c r="DY393" s="121"/>
      <c r="DZ393" s="121"/>
      <c r="EA393" s="121"/>
      <c r="EB393" s="121"/>
      <c r="EC393" s="121"/>
      <c r="ED393" s="121"/>
      <c r="EE393" s="121"/>
      <c r="EF393" s="121"/>
      <c r="EG393" s="123"/>
      <c r="EH393" s="127"/>
      <c r="EI393" s="125"/>
      <c r="EJ393" s="126"/>
      <c r="EK393" s="30"/>
      <c r="EL393" s="127"/>
      <c r="EM393" s="128"/>
      <c r="EN393" s="123"/>
      <c r="EO393" s="128"/>
      <c r="EP393" s="13"/>
      <c r="EQ393" s="129"/>
      <c r="ER393" s="123"/>
      <c r="ES393" s="130"/>
      <c r="ET393" s="13"/>
      <c r="EU393" s="123"/>
      <c r="EV393" s="131"/>
    </row>
    <row r="394" spans="35:152">
      <c r="AI394" s="121"/>
      <c r="AJ394" s="13"/>
      <c r="AK394" s="13"/>
      <c r="AL394" s="13"/>
      <c r="AM394" s="13"/>
      <c r="AN394" s="13"/>
      <c r="AO394" s="13"/>
      <c r="AW394" s="121"/>
      <c r="AX394" s="121"/>
      <c r="AY394" s="121"/>
      <c r="AZ394" s="121"/>
      <c r="BA394" s="121"/>
      <c r="BB394" s="121"/>
      <c r="BC394" s="121"/>
      <c r="BD394" s="121"/>
      <c r="BE394" s="121"/>
      <c r="BF394" s="121"/>
      <c r="BG394" s="123"/>
      <c r="BH394" s="127"/>
      <c r="BI394" s="125"/>
      <c r="BJ394" s="126"/>
      <c r="BK394" s="30"/>
      <c r="BL394" s="127"/>
      <c r="BM394" s="128"/>
      <c r="BN394" s="123"/>
      <c r="BO394" s="128"/>
      <c r="BP394" s="13"/>
      <c r="BQ394" s="129"/>
      <c r="BR394" s="123"/>
      <c r="BS394" s="130"/>
      <c r="BT394" s="13"/>
      <c r="BU394" s="123"/>
      <c r="BV394" s="131"/>
      <c r="DI394" s="121"/>
      <c r="DJ394" s="13"/>
      <c r="DK394" s="13"/>
      <c r="DL394" s="13"/>
      <c r="DM394" s="13"/>
      <c r="DN394" s="13"/>
      <c r="DO394" s="13"/>
      <c r="DW394" s="121"/>
      <c r="DX394" s="121"/>
      <c r="DY394" s="121"/>
      <c r="DZ394" s="121"/>
      <c r="EA394" s="121"/>
      <c r="EB394" s="121"/>
      <c r="EC394" s="121"/>
      <c r="ED394" s="121"/>
      <c r="EE394" s="121"/>
      <c r="EF394" s="121"/>
      <c r="EG394" s="123"/>
      <c r="EH394" s="127"/>
      <c r="EI394" s="125"/>
      <c r="EJ394" s="126"/>
      <c r="EK394" s="30"/>
      <c r="EL394" s="127"/>
      <c r="EM394" s="128"/>
      <c r="EN394" s="123"/>
      <c r="EO394" s="128"/>
      <c r="EP394" s="13"/>
      <c r="EQ394" s="129"/>
      <c r="ER394" s="123"/>
      <c r="ES394" s="130"/>
      <c r="ET394" s="13"/>
      <c r="EU394" s="123"/>
      <c r="EV394" s="131"/>
    </row>
    <row r="395" spans="35:152">
      <c r="AI395" s="121"/>
      <c r="AJ395" s="13"/>
      <c r="AK395" s="13"/>
      <c r="AL395" s="13"/>
      <c r="AM395" s="13"/>
      <c r="AN395" s="13"/>
      <c r="AO395" s="13"/>
      <c r="AW395" s="121"/>
      <c r="AX395" s="121"/>
      <c r="AY395" s="121"/>
      <c r="AZ395" s="121"/>
      <c r="BA395" s="121"/>
      <c r="BB395" s="121"/>
      <c r="BC395" s="121"/>
      <c r="BD395" s="121"/>
      <c r="BE395" s="121"/>
      <c r="BF395" s="121"/>
      <c r="BG395" s="123"/>
      <c r="BH395" s="127"/>
      <c r="BI395" s="125"/>
      <c r="BJ395" s="126"/>
      <c r="BK395" s="30"/>
      <c r="BL395" s="127"/>
      <c r="BM395" s="128"/>
      <c r="BN395" s="123"/>
      <c r="BO395" s="128"/>
      <c r="BP395" s="13"/>
      <c r="BQ395" s="129"/>
      <c r="BR395" s="123"/>
      <c r="BS395" s="130"/>
      <c r="BT395" s="13"/>
      <c r="BU395" s="123"/>
      <c r="BV395" s="131"/>
      <c r="DI395" s="121"/>
      <c r="DJ395" s="13"/>
      <c r="DK395" s="13"/>
      <c r="DL395" s="13"/>
      <c r="DM395" s="13"/>
      <c r="DN395" s="13"/>
      <c r="DO395" s="13"/>
      <c r="DW395" s="121"/>
      <c r="DX395" s="121"/>
      <c r="DY395" s="121"/>
      <c r="DZ395" s="121"/>
      <c r="EA395" s="121"/>
      <c r="EB395" s="121"/>
      <c r="EC395" s="121"/>
      <c r="ED395" s="121"/>
      <c r="EE395" s="121"/>
      <c r="EF395" s="121"/>
      <c r="EG395" s="123"/>
      <c r="EH395" s="127"/>
      <c r="EI395" s="125"/>
      <c r="EJ395" s="126"/>
      <c r="EK395" s="30"/>
      <c r="EL395" s="127"/>
      <c r="EM395" s="128"/>
      <c r="EN395" s="123"/>
      <c r="EO395" s="128"/>
      <c r="EP395" s="13"/>
      <c r="EQ395" s="129"/>
      <c r="ER395" s="123"/>
      <c r="ES395" s="130"/>
      <c r="ET395" s="13"/>
      <c r="EU395" s="123"/>
      <c r="EV395" s="131"/>
    </row>
    <row r="396" spans="35:152">
      <c r="AI396" s="121"/>
      <c r="AJ396" s="13"/>
      <c r="AK396" s="13"/>
      <c r="AL396" s="13"/>
      <c r="AM396" s="13"/>
      <c r="AN396" s="13"/>
      <c r="AO396" s="13"/>
      <c r="AW396" s="121"/>
      <c r="AX396" s="121"/>
      <c r="AY396" s="121"/>
      <c r="AZ396" s="121"/>
      <c r="BA396" s="121"/>
      <c r="BB396" s="121"/>
      <c r="BC396" s="121"/>
      <c r="BD396" s="121"/>
      <c r="BE396" s="121"/>
      <c r="BF396" s="121"/>
      <c r="BG396" s="123"/>
      <c r="BH396" s="127"/>
      <c r="BI396" s="125"/>
      <c r="BJ396" s="126"/>
      <c r="BK396" s="30"/>
      <c r="BL396" s="127"/>
      <c r="BM396" s="128"/>
      <c r="BN396" s="123"/>
      <c r="BO396" s="128"/>
      <c r="BP396" s="13"/>
      <c r="BQ396" s="129"/>
      <c r="BR396" s="123"/>
      <c r="BS396" s="130"/>
      <c r="BT396" s="13"/>
      <c r="BU396" s="123"/>
      <c r="BV396" s="131"/>
      <c r="DI396" s="121"/>
      <c r="DJ396" s="13"/>
      <c r="DK396" s="13"/>
      <c r="DL396" s="13"/>
      <c r="DM396" s="13"/>
      <c r="DN396" s="13"/>
      <c r="DO396" s="13"/>
      <c r="DW396" s="121"/>
      <c r="DX396" s="121"/>
      <c r="DY396" s="121"/>
      <c r="DZ396" s="121"/>
      <c r="EA396" s="121"/>
      <c r="EB396" s="121"/>
      <c r="EC396" s="121"/>
      <c r="ED396" s="121"/>
      <c r="EE396" s="121"/>
      <c r="EF396" s="121"/>
      <c r="EG396" s="123"/>
      <c r="EH396" s="127"/>
      <c r="EI396" s="125"/>
      <c r="EJ396" s="126"/>
      <c r="EK396" s="30"/>
      <c r="EL396" s="127"/>
      <c r="EM396" s="128"/>
      <c r="EN396" s="123"/>
      <c r="EO396" s="128"/>
      <c r="EP396" s="13"/>
      <c r="EQ396" s="129"/>
      <c r="ER396" s="123"/>
      <c r="ES396" s="130"/>
      <c r="ET396" s="13"/>
      <c r="EU396" s="123"/>
      <c r="EV396" s="131"/>
    </row>
    <row r="397" spans="35:152">
      <c r="AI397" s="121"/>
      <c r="AJ397" s="13"/>
      <c r="AK397" s="13"/>
      <c r="AL397" s="13"/>
      <c r="AM397" s="13"/>
      <c r="AN397" s="13"/>
      <c r="AO397" s="13"/>
      <c r="AW397" s="121"/>
      <c r="AX397" s="121"/>
      <c r="AY397" s="121"/>
      <c r="AZ397" s="121"/>
      <c r="BA397" s="121"/>
      <c r="BB397" s="121"/>
      <c r="BC397" s="121"/>
      <c r="BD397" s="121"/>
      <c r="BE397" s="121"/>
      <c r="BF397" s="121"/>
      <c r="BG397" s="123"/>
      <c r="BH397" s="127"/>
      <c r="BI397" s="125"/>
      <c r="BJ397" s="126"/>
      <c r="BK397" s="30"/>
      <c r="BL397" s="127"/>
      <c r="BM397" s="128"/>
      <c r="BN397" s="123"/>
      <c r="BO397" s="128"/>
      <c r="BP397" s="13"/>
      <c r="BQ397" s="129"/>
      <c r="BR397" s="123"/>
      <c r="BS397" s="130"/>
      <c r="BT397" s="13"/>
      <c r="BU397" s="123"/>
      <c r="BV397" s="131"/>
      <c r="DI397" s="121"/>
      <c r="DJ397" s="13"/>
      <c r="DK397" s="13"/>
      <c r="DL397" s="13"/>
      <c r="DM397" s="13"/>
      <c r="DN397" s="13"/>
      <c r="DO397" s="13"/>
      <c r="DW397" s="121"/>
      <c r="DX397" s="121"/>
      <c r="DY397" s="121"/>
      <c r="DZ397" s="121"/>
      <c r="EA397" s="121"/>
      <c r="EB397" s="121"/>
      <c r="EC397" s="121"/>
      <c r="ED397" s="121"/>
      <c r="EE397" s="121"/>
      <c r="EF397" s="121"/>
      <c r="EG397" s="123"/>
      <c r="EH397" s="127"/>
      <c r="EI397" s="125"/>
      <c r="EJ397" s="126"/>
      <c r="EK397" s="30"/>
      <c r="EL397" s="127"/>
      <c r="EM397" s="128"/>
      <c r="EN397" s="123"/>
      <c r="EO397" s="128"/>
      <c r="EP397" s="13"/>
      <c r="EQ397" s="129"/>
      <c r="ER397" s="123"/>
      <c r="ES397" s="130"/>
      <c r="ET397" s="13"/>
      <c r="EU397" s="123"/>
      <c r="EV397" s="131"/>
    </row>
    <row r="398" spans="35:152">
      <c r="AI398" s="121"/>
      <c r="AJ398" s="13"/>
      <c r="AK398" s="13"/>
      <c r="AL398" s="13"/>
      <c r="AM398" s="13"/>
      <c r="AN398" s="13"/>
      <c r="AO398" s="13"/>
      <c r="AW398" s="121"/>
      <c r="AX398" s="121"/>
      <c r="AY398" s="121"/>
      <c r="AZ398" s="121"/>
      <c r="BA398" s="121"/>
      <c r="BB398" s="121"/>
      <c r="BC398" s="121"/>
      <c r="BD398" s="121"/>
      <c r="BE398" s="121"/>
      <c r="BF398" s="121"/>
      <c r="BG398" s="123"/>
      <c r="BH398" s="127"/>
      <c r="BI398" s="125"/>
      <c r="BJ398" s="126"/>
      <c r="BK398" s="30"/>
      <c r="BL398" s="127"/>
      <c r="BM398" s="128"/>
      <c r="BN398" s="123"/>
      <c r="BO398" s="128"/>
      <c r="BP398" s="13"/>
      <c r="BQ398" s="129"/>
      <c r="BR398" s="123"/>
      <c r="BS398" s="130"/>
      <c r="BT398" s="13"/>
      <c r="BU398" s="123"/>
      <c r="BV398" s="131"/>
      <c r="DI398" s="121"/>
      <c r="DJ398" s="13"/>
      <c r="DK398" s="13"/>
      <c r="DL398" s="13"/>
      <c r="DM398" s="13"/>
      <c r="DN398" s="13"/>
      <c r="DO398" s="13"/>
      <c r="DW398" s="121"/>
      <c r="DX398" s="121"/>
      <c r="DY398" s="121"/>
      <c r="DZ398" s="121"/>
      <c r="EA398" s="121"/>
      <c r="EB398" s="121"/>
      <c r="EC398" s="121"/>
      <c r="ED398" s="121"/>
      <c r="EE398" s="121"/>
      <c r="EF398" s="121"/>
      <c r="EG398" s="123"/>
      <c r="EH398" s="127"/>
      <c r="EI398" s="125"/>
      <c r="EJ398" s="126"/>
      <c r="EK398" s="30"/>
      <c r="EL398" s="127"/>
      <c r="EM398" s="128"/>
      <c r="EN398" s="123"/>
      <c r="EO398" s="128"/>
      <c r="EP398" s="13"/>
      <c r="EQ398" s="129"/>
      <c r="ER398" s="123"/>
      <c r="ES398" s="130"/>
      <c r="ET398" s="13"/>
      <c r="EU398" s="123"/>
      <c r="EV398" s="131"/>
    </row>
    <row r="399" spans="35:152">
      <c r="AI399" s="121"/>
      <c r="AJ399" s="13"/>
      <c r="AK399" s="13"/>
      <c r="AL399" s="13"/>
      <c r="AM399" s="13"/>
      <c r="AN399" s="13"/>
      <c r="AO399" s="13"/>
      <c r="AW399" s="121"/>
      <c r="AX399" s="121"/>
      <c r="AY399" s="121"/>
      <c r="AZ399" s="121"/>
      <c r="BA399" s="121"/>
      <c r="BB399" s="121"/>
      <c r="BC399" s="121"/>
      <c r="BD399" s="121"/>
      <c r="BE399" s="121"/>
      <c r="BF399" s="121"/>
      <c r="BG399" s="123"/>
      <c r="BH399" s="127"/>
      <c r="BI399" s="125"/>
      <c r="BJ399" s="126"/>
      <c r="BK399" s="30"/>
      <c r="BL399" s="127"/>
      <c r="BM399" s="128"/>
      <c r="BN399" s="123"/>
      <c r="BO399" s="128"/>
      <c r="BP399" s="13"/>
      <c r="BQ399" s="129"/>
      <c r="BR399" s="123"/>
      <c r="BS399" s="130"/>
      <c r="BT399" s="13"/>
      <c r="BU399" s="123"/>
      <c r="BV399" s="131"/>
      <c r="DI399" s="121"/>
      <c r="DJ399" s="13"/>
      <c r="DK399" s="13"/>
      <c r="DL399" s="13"/>
      <c r="DM399" s="13"/>
      <c r="DN399" s="13"/>
      <c r="DO399" s="13"/>
      <c r="DW399" s="121"/>
      <c r="DX399" s="121"/>
      <c r="DY399" s="121"/>
      <c r="DZ399" s="121"/>
      <c r="EA399" s="121"/>
      <c r="EB399" s="121"/>
      <c r="EC399" s="121"/>
      <c r="ED399" s="121"/>
      <c r="EE399" s="121"/>
      <c r="EF399" s="121"/>
      <c r="EG399" s="123"/>
      <c r="EH399" s="127"/>
      <c r="EI399" s="125"/>
      <c r="EJ399" s="126"/>
      <c r="EK399" s="30"/>
      <c r="EL399" s="127"/>
      <c r="EM399" s="128"/>
      <c r="EN399" s="123"/>
      <c r="EO399" s="128"/>
      <c r="EP399" s="13"/>
      <c r="EQ399" s="129"/>
      <c r="ER399" s="123"/>
      <c r="ES399" s="130"/>
      <c r="ET399" s="13"/>
      <c r="EU399" s="123"/>
      <c r="EV399" s="131"/>
    </row>
    <row r="400" spans="35:152">
      <c r="AI400" s="121"/>
      <c r="AJ400" s="13"/>
      <c r="AK400" s="13"/>
      <c r="AL400" s="13"/>
      <c r="AM400" s="13"/>
      <c r="AN400" s="13"/>
      <c r="AO400" s="13"/>
      <c r="AW400" s="121"/>
      <c r="AX400" s="121"/>
      <c r="AY400" s="121"/>
      <c r="AZ400" s="121"/>
      <c r="BA400" s="121"/>
      <c r="BB400" s="121"/>
      <c r="BC400" s="121"/>
      <c r="BD400" s="121"/>
      <c r="BE400" s="121"/>
      <c r="BF400" s="121"/>
      <c r="BG400" s="123"/>
      <c r="BH400" s="127"/>
      <c r="BI400" s="125"/>
      <c r="BJ400" s="126"/>
      <c r="BK400" s="30"/>
      <c r="BL400" s="127"/>
      <c r="BM400" s="128"/>
      <c r="BN400" s="123"/>
      <c r="BO400" s="128"/>
      <c r="BP400" s="13"/>
      <c r="BQ400" s="129"/>
      <c r="BR400" s="123"/>
      <c r="BS400" s="130"/>
      <c r="BT400" s="13"/>
      <c r="BU400" s="123"/>
      <c r="BV400" s="131"/>
      <c r="DI400" s="121"/>
      <c r="DJ400" s="13"/>
      <c r="DK400" s="13"/>
      <c r="DL400" s="13"/>
      <c r="DM400" s="13"/>
      <c r="DN400" s="13"/>
      <c r="DO400" s="13"/>
      <c r="DW400" s="121"/>
      <c r="DX400" s="121"/>
      <c r="DY400" s="121"/>
      <c r="DZ400" s="121"/>
      <c r="EA400" s="121"/>
      <c r="EB400" s="121"/>
      <c r="EC400" s="121"/>
      <c r="ED400" s="121"/>
      <c r="EE400" s="121"/>
      <c r="EF400" s="121"/>
      <c r="EG400" s="123"/>
      <c r="EH400" s="127"/>
      <c r="EI400" s="125"/>
      <c r="EJ400" s="126"/>
      <c r="EK400" s="30"/>
      <c r="EL400" s="127"/>
      <c r="EM400" s="128"/>
      <c r="EN400" s="123"/>
      <c r="EO400" s="128"/>
      <c r="EP400" s="13"/>
      <c r="EQ400" s="129"/>
      <c r="ER400" s="123"/>
      <c r="ES400" s="130"/>
      <c r="ET400" s="13"/>
      <c r="EU400" s="123"/>
      <c r="EV400" s="131"/>
    </row>
    <row r="401" spans="35:152">
      <c r="AI401" s="121"/>
      <c r="AJ401" s="13"/>
      <c r="AK401" s="13"/>
      <c r="AL401" s="13"/>
      <c r="AM401" s="13"/>
      <c r="AN401" s="13"/>
      <c r="AO401" s="13"/>
      <c r="AW401" s="121"/>
      <c r="AX401" s="121"/>
      <c r="AY401" s="121"/>
      <c r="AZ401" s="121"/>
      <c r="BA401" s="121"/>
      <c r="BB401" s="121"/>
      <c r="BC401" s="121"/>
      <c r="BD401" s="121"/>
      <c r="BE401" s="121"/>
      <c r="BF401" s="121"/>
      <c r="BG401" s="123"/>
      <c r="BH401" s="127"/>
      <c r="BI401" s="125"/>
      <c r="BJ401" s="126"/>
      <c r="BK401" s="30"/>
      <c r="BL401" s="127"/>
      <c r="BM401" s="128"/>
      <c r="BN401" s="123"/>
      <c r="BO401" s="128"/>
      <c r="BP401" s="13"/>
      <c r="BQ401" s="129"/>
      <c r="BR401" s="123"/>
      <c r="BS401" s="130"/>
      <c r="BT401" s="13"/>
      <c r="BU401" s="123"/>
      <c r="BV401" s="131"/>
      <c r="DI401" s="121"/>
      <c r="DJ401" s="13"/>
      <c r="DK401" s="13"/>
      <c r="DL401" s="13"/>
      <c r="DM401" s="13"/>
      <c r="DN401" s="13"/>
      <c r="DO401" s="13"/>
      <c r="DW401" s="121"/>
      <c r="DX401" s="121"/>
      <c r="DY401" s="121"/>
      <c r="DZ401" s="121"/>
      <c r="EA401" s="121"/>
      <c r="EB401" s="121"/>
      <c r="EC401" s="121"/>
      <c r="ED401" s="121"/>
      <c r="EE401" s="121"/>
      <c r="EF401" s="121"/>
      <c r="EG401" s="123"/>
      <c r="EH401" s="127"/>
      <c r="EI401" s="125"/>
      <c r="EJ401" s="126"/>
      <c r="EK401" s="30"/>
      <c r="EL401" s="127"/>
      <c r="EM401" s="128"/>
      <c r="EN401" s="123"/>
      <c r="EO401" s="128"/>
      <c r="EP401" s="13"/>
      <c r="EQ401" s="129"/>
      <c r="ER401" s="123"/>
      <c r="ES401" s="130"/>
      <c r="ET401" s="13"/>
      <c r="EU401" s="123"/>
      <c r="EV401" s="131"/>
    </row>
    <row r="402" spans="35:152">
      <c r="AI402" s="121"/>
      <c r="AJ402" s="13"/>
      <c r="AK402" s="13"/>
      <c r="AL402" s="13"/>
      <c r="AM402" s="13"/>
      <c r="AN402" s="13"/>
      <c r="AO402" s="13"/>
      <c r="AW402" s="121"/>
      <c r="AX402" s="121"/>
      <c r="AY402" s="121"/>
      <c r="AZ402" s="121"/>
      <c r="BA402" s="121"/>
      <c r="BB402" s="121"/>
      <c r="BC402" s="121"/>
      <c r="BD402" s="121"/>
      <c r="BE402" s="121"/>
      <c r="BF402" s="121"/>
      <c r="BG402" s="123"/>
      <c r="BH402" s="127"/>
      <c r="BI402" s="125"/>
      <c r="BJ402" s="126"/>
      <c r="BK402" s="30"/>
      <c r="BL402" s="127"/>
      <c r="BM402" s="128"/>
      <c r="BN402" s="123"/>
      <c r="BO402" s="128"/>
      <c r="BP402" s="13"/>
      <c r="BQ402" s="129"/>
      <c r="BR402" s="123"/>
      <c r="BS402" s="130"/>
      <c r="BT402" s="13"/>
      <c r="BU402" s="123"/>
      <c r="BV402" s="131"/>
      <c r="DI402" s="121"/>
      <c r="DJ402" s="13"/>
      <c r="DK402" s="13"/>
      <c r="DL402" s="13"/>
      <c r="DM402" s="13"/>
      <c r="DN402" s="13"/>
      <c r="DO402" s="13"/>
      <c r="DW402" s="121"/>
      <c r="DX402" s="121"/>
      <c r="DY402" s="121"/>
      <c r="DZ402" s="121"/>
      <c r="EA402" s="121"/>
      <c r="EB402" s="121"/>
      <c r="EC402" s="121"/>
      <c r="ED402" s="121"/>
      <c r="EE402" s="121"/>
      <c r="EF402" s="121"/>
      <c r="EG402" s="123"/>
      <c r="EH402" s="127"/>
      <c r="EI402" s="125"/>
      <c r="EJ402" s="126"/>
      <c r="EK402" s="30"/>
      <c r="EL402" s="127"/>
      <c r="EM402" s="128"/>
      <c r="EN402" s="123"/>
      <c r="EO402" s="128"/>
      <c r="EP402" s="13"/>
      <c r="EQ402" s="129"/>
      <c r="ER402" s="123"/>
      <c r="ES402" s="130"/>
      <c r="ET402" s="13"/>
      <c r="EU402" s="123"/>
      <c r="EV402" s="131"/>
    </row>
    <row r="403" spans="35:152">
      <c r="AI403" s="121"/>
      <c r="AJ403" s="13"/>
      <c r="AK403" s="13"/>
      <c r="AL403" s="13"/>
      <c r="AM403" s="13"/>
      <c r="AN403" s="13"/>
      <c r="AO403" s="13"/>
      <c r="AW403" s="121"/>
      <c r="AX403" s="121"/>
      <c r="AY403" s="121"/>
      <c r="AZ403" s="121"/>
      <c r="BA403" s="121"/>
      <c r="BB403" s="121"/>
      <c r="BC403" s="121"/>
      <c r="BD403" s="121"/>
      <c r="BE403" s="121"/>
      <c r="BF403" s="121"/>
      <c r="BG403" s="123"/>
      <c r="BH403" s="127"/>
      <c r="BI403" s="125"/>
      <c r="BJ403" s="126"/>
      <c r="BK403" s="30"/>
      <c r="BL403" s="127"/>
      <c r="BM403" s="128"/>
      <c r="BN403" s="123"/>
      <c r="BO403" s="128"/>
      <c r="BP403" s="13"/>
      <c r="BQ403" s="129"/>
      <c r="BR403" s="123"/>
      <c r="BS403" s="130"/>
      <c r="BT403" s="13"/>
      <c r="BU403" s="123"/>
      <c r="BV403" s="131"/>
      <c r="DI403" s="121"/>
      <c r="DJ403" s="13"/>
      <c r="DK403" s="13"/>
      <c r="DL403" s="13"/>
      <c r="DM403" s="13"/>
      <c r="DN403" s="13"/>
      <c r="DO403" s="13"/>
      <c r="DW403" s="121"/>
      <c r="DX403" s="121"/>
      <c r="DY403" s="121"/>
      <c r="DZ403" s="121"/>
      <c r="EA403" s="121"/>
      <c r="EB403" s="121"/>
      <c r="EC403" s="121"/>
      <c r="ED403" s="121"/>
      <c r="EE403" s="121"/>
      <c r="EF403" s="121"/>
      <c r="EG403" s="123"/>
      <c r="EH403" s="127"/>
      <c r="EI403" s="125"/>
      <c r="EJ403" s="126"/>
      <c r="EK403" s="30"/>
      <c r="EL403" s="127"/>
      <c r="EM403" s="128"/>
      <c r="EN403" s="123"/>
      <c r="EO403" s="128"/>
      <c r="EP403" s="13"/>
      <c r="EQ403" s="129"/>
      <c r="ER403" s="123"/>
      <c r="ES403" s="130"/>
      <c r="ET403" s="13"/>
      <c r="EU403" s="123"/>
      <c r="EV403" s="131"/>
    </row>
    <row r="404" spans="35:152">
      <c r="AI404" s="121"/>
      <c r="AJ404" s="13"/>
      <c r="AK404" s="13"/>
      <c r="AL404" s="13"/>
      <c r="AM404" s="13"/>
      <c r="AN404" s="13"/>
      <c r="AO404" s="13"/>
      <c r="AW404" s="121"/>
      <c r="AX404" s="121"/>
      <c r="AY404" s="121"/>
      <c r="AZ404" s="121"/>
      <c r="BA404" s="121"/>
      <c r="BB404" s="121"/>
      <c r="BC404" s="121"/>
      <c r="BD404" s="121"/>
      <c r="BE404" s="121"/>
      <c r="BF404" s="121"/>
      <c r="BG404" s="123"/>
      <c r="BH404" s="127"/>
      <c r="BI404" s="125"/>
      <c r="BJ404" s="126"/>
      <c r="BK404" s="30"/>
      <c r="BL404" s="127"/>
      <c r="BM404" s="128"/>
      <c r="BN404" s="123"/>
      <c r="BO404" s="128"/>
      <c r="BP404" s="13"/>
      <c r="BQ404" s="129"/>
      <c r="BR404" s="123"/>
      <c r="BS404" s="130"/>
      <c r="BT404" s="13"/>
      <c r="BU404" s="123"/>
      <c r="BV404" s="131"/>
      <c r="DI404" s="121"/>
      <c r="DJ404" s="13"/>
      <c r="DK404" s="13"/>
      <c r="DL404" s="13"/>
      <c r="DM404" s="13"/>
      <c r="DN404" s="13"/>
      <c r="DO404" s="13"/>
      <c r="DW404" s="121"/>
      <c r="DX404" s="121"/>
      <c r="DY404" s="121"/>
      <c r="DZ404" s="121"/>
      <c r="EA404" s="121"/>
      <c r="EB404" s="121"/>
      <c r="EC404" s="121"/>
      <c r="ED404" s="121"/>
      <c r="EE404" s="121"/>
      <c r="EF404" s="121"/>
      <c r="EG404" s="123"/>
      <c r="EH404" s="127"/>
      <c r="EI404" s="125"/>
      <c r="EJ404" s="126"/>
      <c r="EK404" s="30"/>
      <c r="EL404" s="127"/>
      <c r="EM404" s="128"/>
      <c r="EN404" s="123"/>
      <c r="EO404" s="128"/>
      <c r="EP404" s="13"/>
      <c r="EQ404" s="129"/>
      <c r="ER404" s="123"/>
      <c r="ES404" s="130"/>
      <c r="ET404" s="13"/>
      <c r="EU404" s="123"/>
      <c r="EV404" s="131"/>
    </row>
    <row r="405" spans="35:152">
      <c r="AI405" s="121"/>
      <c r="AJ405" s="13"/>
      <c r="AK405" s="13"/>
      <c r="AL405" s="13"/>
      <c r="AM405" s="13"/>
      <c r="AN405" s="13"/>
      <c r="AO405" s="13"/>
      <c r="AW405" s="121"/>
      <c r="AX405" s="121"/>
      <c r="AY405" s="121"/>
      <c r="AZ405" s="121"/>
      <c r="BA405" s="121"/>
      <c r="BB405" s="121"/>
      <c r="BC405" s="121"/>
      <c r="BD405" s="121"/>
      <c r="BE405" s="121"/>
      <c r="BF405" s="121"/>
      <c r="BG405" s="123"/>
      <c r="BH405" s="127"/>
      <c r="BI405" s="125"/>
      <c r="BJ405" s="126"/>
      <c r="BK405" s="30"/>
      <c r="BL405" s="127"/>
      <c r="BM405" s="128"/>
      <c r="BN405" s="123"/>
      <c r="BO405" s="128"/>
      <c r="BP405" s="13"/>
      <c r="BQ405" s="129"/>
      <c r="BR405" s="123"/>
      <c r="BS405" s="130"/>
      <c r="BT405" s="13"/>
      <c r="BU405" s="123"/>
      <c r="BV405" s="131"/>
      <c r="DI405" s="121"/>
      <c r="DJ405" s="13"/>
      <c r="DK405" s="13"/>
      <c r="DL405" s="13"/>
      <c r="DM405" s="13"/>
      <c r="DN405" s="13"/>
      <c r="DO405" s="13"/>
      <c r="DW405" s="121"/>
      <c r="DX405" s="121"/>
      <c r="DY405" s="121"/>
      <c r="DZ405" s="121"/>
      <c r="EA405" s="121"/>
      <c r="EB405" s="121"/>
      <c r="EC405" s="121"/>
      <c r="ED405" s="121"/>
      <c r="EE405" s="121"/>
      <c r="EF405" s="121"/>
      <c r="EG405" s="123"/>
      <c r="EH405" s="127"/>
      <c r="EI405" s="125"/>
      <c r="EJ405" s="126"/>
      <c r="EK405" s="30"/>
      <c r="EL405" s="127"/>
      <c r="EM405" s="128"/>
      <c r="EN405" s="123"/>
      <c r="EO405" s="128"/>
      <c r="EP405" s="13"/>
      <c r="EQ405" s="129"/>
      <c r="ER405" s="123"/>
      <c r="ES405" s="130"/>
      <c r="ET405" s="13"/>
      <c r="EU405" s="123"/>
      <c r="EV405" s="131"/>
    </row>
    <row r="406" spans="35:152">
      <c r="AI406" s="121"/>
      <c r="AJ406" s="13"/>
      <c r="AK406" s="13"/>
      <c r="AL406" s="13"/>
      <c r="AM406" s="13"/>
      <c r="AN406" s="13"/>
      <c r="AO406" s="13"/>
      <c r="AW406" s="121"/>
      <c r="AX406" s="121"/>
      <c r="AY406" s="121"/>
      <c r="AZ406" s="121"/>
      <c r="BA406" s="121"/>
      <c r="BB406" s="121"/>
      <c r="BC406" s="121"/>
      <c r="BD406" s="121"/>
      <c r="BE406" s="121"/>
      <c r="BF406" s="121"/>
      <c r="BG406" s="123"/>
      <c r="BH406" s="127"/>
      <c r="BI406" s="125"/>
      <c r="BJ406" s="126"/>
      <c r="BK406" s="30"/>
      <c r="BL406" s="127"/>
      <c r="BM406" s="128"/>
      <c r="BN406" s="123"/>
      <c r="BO406" s="128"/>
      <c r="BP406" s="13"/>
      <c r="BQ406" s="129"/>
      <c r="BR406" s="123"/>
      <c r="BS406" s="130"/>
      <c r="BT406" s="13"/>
      <c r="BU406" s="123"/>
      <c r="BV406" s="131"/>
      <c r="DI406" s="121"/>
      <c r="DJ406" s="13"/>
      <c r="DK406" s="13"/>
      <c r="DL406" s="13"/>
      <c r="DM406" s="13"/>
      <c r="DN406" s="13"/>
      <c r="DO406" s="13"/>
      <c r="DW406" s="121"/>
      <c r="DX406" s="121"/>
      <c r="DY406" s="121"/>
      <c r="DZ406" s="121"/>
      <c r="EA406" s="121"/>
      <c r="EB406" s="121"/>
      <c r="EC406" s="121"/>
      <c r="ED406" s="121"/>
      <c r="EE406" s="121"/>
      <c r="EF406" s="121"/>
      <c r="EG406" s="123"/>
      <c r="EH406" s="127"/>
      <c r="EI406" s="125"/>
      <c r="EJ406" s="126"/>
      <c r="EK406" s="30"/>
      <c r="EL406" s="127"/>
      <c r="EM406" s="128"/>
      <c r="EN406" s="123"/>
      <c r="EO406" s="128"/>
      <c r="EP406" s="13"/>
      <c r="EQ406" s="129"/>
      <c r="ER406" s="123"/>
      <c r="ES406" s="130"/>
      <c r="ET406" s="13"/>
      <c r="EU406" s="123"/>
      <c r="EV406" s="131"/>
    </row>
    <row r="407" spans="35:152">
      <c r="AI407" s="121"/>
      <c r="AJ407" s="13"/>
      <c r="AK407" s="13"/>
      <c r="AL407" s="13"/>
      <c r="AM407" s="13"/>
      <c r="AN407" s="13"/>
      <c r="AO407" s="13"/>
      <c r="AW407" s="121"/>
      <c r="AX407" s="121"/>
      <c r="AY407" s="121"/>
      <c r="AZ407" s="121"/>
      <c r="BA407" s="121"/>
      <c r="BB407" s="121"/>
      <c r="BC407" s="121"/>
      <c r="BD407" s="121"/>
      <c r="BE407" s="121"/>
      <c r="BF407" s="121"/>
      <c r="BG407" s="123"/>
      <c r="BH407" s="127"/>
      <c r="BI407" s="125"/>
      <c r="BJ407" s="126"/>
      <c r="BK407" s="30"/>
      <c r="BL407" s="127"/>
      <c r="BM407" s="128"/>
      <c r="BN407" s="123"/>
      <c r="BO407" s="128"/>
      <c r="BP407" s="13"/>
      <c r="BQ407" s="129"/>
      <c r="BR407" s="123"/>
      <c r="BS407" s="130"/>
      <c r="BT407" s="13"/>
      <c r="BU407" s="123"/>
      <c r="BV407" s="131"/>
      <c r="DI407" s="121"/>
      <c r="DJ407" s="13"/>
      <c r="DK407" s="13"/>
      <c r="DL407" s="13"/>
      <c r="DM407" s="13"/>
      <c r="DN407" s="13"/>
      <c r="DO407" s="13"/>
      <c r="DW407" s="121"/>
      <c r="DX407" s="121"/>
      <c r="DY407" s="121"/>
      <c r="DZ407" s="121"/>
      <c r="EA407" s="121"/>
      <c r="EB407" s="121"/>
      <c r="EC407" s="121"/>
      <c r="ED407" s="121"/>
      <c r="EE407" s="121"/>
      <c r="EF407" s="121"/>
      <c r="EG407" s="123"/>
      <c r="EH407" s="127"/>
      <c r="EI407" s="125"/>
      <c r="EJ407" s="126"/>
      <c r="EK407" s="30"/>
      <c r="EL407" s="127"/>
      <c r="EM407" s="128"/>
      <c r="EN407" s="123"/>
      <c r="EO407" s="128"/>
      <c r="EP407" s="13"/>
      <c r="EQ407" s="129"/>
      <c r="ER407" s="123"/>
      <c r="ES407" s="130"/>
      <c r="ET407" s="13"/>
      <c r="EU407" s="123"/>
      <c r="EV407" s="131"/>
    </row>
    <row r="408" spans="35:152">
      <c r="AI408" s="121"/>
      <c r="AJ408" s="13"/>
      <c r="AK408" s="13"/>
      <c r="AL408" s="13"/>
      <c r="AM408" s="13"/>
      <c r="AN408" s="13"/>
      <c r="AO408" s="13"/>
      <c r="AW408" s="121"/>
      <c r="AX408" s="121"/>
      <c r="AY408" s="121"/>
      <c r="AZ408" s="121"/>
      <c r="BA408" s="121"/>
      <c r="BB408" s="121"/>
      <c r="BC408" s="121"/>
      <c r="BD408" s="121"/>
      <c r="BE408" s="121"/>
      <c r="BF408" s="121"/>
      <c r="BG408" s="123"/>
      <c r="BH408" s="127"/>
      <c r="BI408" s="125"/>
      <c r="BJ408" s="126"/>
      <c r="BK408" s="30"/>
      <c r="BL408" s="127"/>
      <c r="BM408" s="128"/>
      <c r="BN408" s="123"/>
      <c r="BO408" s="128"/>
      <c r="BP408" s="13"/>
      <c r="BQ408" s="129"/>
      <c r="BR408" s="123"/>
      <c r="BS408" s="130"/>
      <c r="BT408" s="13"/>
      <c r="BU408" s="123"/>
      <c r="BV408" s="131"/>
      <c r="DI408" s="121"/>
      <c r="DJ408" s="13"/>
      <c r="DK408" s="13"/>
      <c r="DL408" s="13"/>
      <c r="DM408" s="13"/>
      <c r="DN408" s="13"/>
      <c r="DO408" s="13"/>
      <c r="DW408" s="121"/>
      <c r="DX408" s="121"/>
      <c r="DY408" s="121"/>
      <c r="DZ408" s="121"/>
      <c r="EA408" s="121"/>
      <c r="EB408" s="121"/>
      <c r="EC408" s="121"/>
      <c r="ED408" s="121"/>
      <c r="EE408" s="121"/>
      <c r="EF408" s="121"/>
      <c r="EG408" s="123"/>
      <c r="EH408" s="127"/>
      <c r="EI408" s="125"/>
      <c r="EJ408" s="126"/>
      <c r="EK408" s="30"/>
      <c r="EL408" s="127"/>
      <c r="EM408" s="128"/>
      <c r="EN408" s="123"/>
      <c r="EO408" s="128"/>
      <c r="EP408" s="13"/>
      <c r="EQ408" s="129"/>
      <c r="ER408" s="123"/>
      <c r="ES408" s="130"/>
      <c r="ET408" s="13"/>
      <c r="EU408" s="123"/>
      <c r="EV408" s="131"/>
    </row>
    <row r="409" spans="35:152">
      <c r="AI409" s="121"/>
      <c r="AJ409" s="13"/>
      <c r="AK409" s="13"/>
      <c r="AL409" s="13"/>
      <c r="AM409" s="13"/>
      <c r="AN409" s="13"/>
      <c r="AO409" s="13"/>
      <c r="AW409" s="121"/>
      <c r="AX409" s="121"/>
      <c r="AY409" s="121"/>
      <c r="AZ409" s="121"/>
      <c r="BA409" s="121"/>
      <c r="BB409" s="121"/>
      <c r="BC409" s="121"/>
      <c r="BD409" s="121"/>
      <c r="BE409" s="121"/>
      <c r="BF409" s="121"/>
      <c r="BG409" s="123"/>
      <c r="BH409" s="127"/>
      <c r="BI409" s="125"/>
      <c r="BJ409" s="126"/>
      <c r="BK409" s="30"/>
      <c r="BL409" s="127"/>
      <c r="BM409" s="128"/>
      <c r="BN409" s="123"/>
      <c r="BO409" s="128"/>
      <c r="BP409" s="13"/>
      <c r="BQ409" s="129"/>
      <c r="BR409" s="123"/>
      <c r="BS409" s="130"/>
      <c r="BT409" s="13"/>
      <c r="BU409" s="123"/>
      <c r="BV409" s="131"/>
      <c r="DI409" s="121"/>
      <c r="DJ409" s="13"/>
      <c r="DK409" s="13"/>
      <c r="DL409" s="13"/>
      <c r="DM409" s="13"/>
      <c r="DN409" s="13"/>
      <c r="DO409" s="13"/>
      <c r="DW409" s="121"/>
      <c r="DX409" s="121"/>
      <c r="DY409" s="121"/>
      <c r="DZ409" s="121"/>
      <c r="EA409" s="121"/>
      <c r="EB409" s="121"/>
      <c r="EC409" s="121"/>
      <c r="ED409" s="121"/>
      <c r="EE409" s="121"/>
      <c r="EF409" s="121"/>
      <c r="EG409" s="123"/>
      <c r="EH409" s="127"/>
      <c r="EI409" s="125"/>
      <c r="EJ409" s="126"/>
      <c r="EK409" s="30"/>
      <c r="EL409" s="127"/>
      <c r="EM409" s="128"/>
      <c r="EN409" s="123"/>
      <c r="EO409" s="128"/>
      <c r="EP409" s="13"/>
      <c r="EQ409" s="129"/>
      <c r="ER409" s="123"/>
      <c r="ES409" s="130"/>
      <c r="ET409" s="13"/>
      <c r="EU409" s="123"/>
      <c r="EV409" s="131"/>
    </row>
    <row r="410" spans="35:152">
      <c r="AI410" s="121"/>
      <c r="AJ410" s="13"/>
      <c r="AK410" s="13"/>
      <c r="AL410" s="13"/>
      <c r="AM410" s="13"/>
      <c r="AN410" s="13"/>
      <c r="AO410" s="13"/>
      <c r="AW410" s="121"/>
      <c r="AX410" s="121"/>
      <c r="AY410" s="121"/>
      <c r="AZ410" s="121"/>
      <c r="BA410" s="121"/>
      <c r="BB410" s="121"/>
      <c r="BC410" s="121"/>
      <c r="BD410" s="121"/>
      <c r="BE410" s="121"/>
      <c r="BF410" s="121"/>
      <c r="BG410" s="123"/>
      <c r="BH410" s="127"/>
      <c r="BI410" s="125"/>
      <c r="BJ410" s="126"/>
      <c r="BK410" s="30"/>
      <c r="BL410" s="127"/>
      <c r="BM410" s="128"/>
      <c r="BN410" s="123"/>
      <c r="BO410" s="128"/>
      <c r="BP410" s="13"/>
      <c r="BQ410" s="129"/>
      <c r="BR410" s="123"/>
      <c r="BS410" s="130"/>
      <c r="BT410" s="13"/>
      <c r="BU410" s="123"/>
      <c r="BV410" s="131"/>
      <c r="DI410" s="121"/>
      <c r="DJ410" s="13"/>
      <c r="DK410" s="13"/>
      <c r="DL410" s="13"/>
      <c r="DM410" s="13"/>
      <c r="DN410" s="13"/>
      <c r="DO410" s="13"/>
      <c r="DW410" s="121"/>
      <c r="DX410" s="121"/>
      <c r="DY410" s="121"/>
      <c r="DZ410" s="121"/>
      <c r="EA410" s="121"/>
      <c r="EB410" s="121"/>
      <c r="EC410" s="121"/>
      <c r="ED410" s="121"/>
      <c r="EE410" s="121"/>
      <c r="EF410" s="121"/>
      <c r="EG410" s="123"/>
      <c r="EH410" s="127"/>
      <c r="EI410" s="125"/>
      <c r="EJ410" s="126"/>
      <c r="EK410" s="30"/>
      <c r="EL410" s="127"/>
      <c r="EM410" s="128"/>
      <c r="EN410" s="123"/>
      <c r="EO410" s="128"/>
      <c r="EP410" s="13"/>
      <c r="EQ410" s="129"/>
      <c r="ER410" s="123"/>
      <c r="ES410" s="130"/>
      <c r="ET410" s="13"/>
      <c r="EU410" s="123"/>
      <c r="EV410" s="131"/>
    </row>
    <row r="411" spans="35:152">
      <c r="AI411" s="121"/>
      <c r="AJ411" s="13"/>
      <c r="AK411" s="13"/>
      <c r="AL411" s="13"/>
      <c r="AM411" s="13"/>
      <c r="AN411" s="13"/>
      <c r="AO411" s="13"/>
      <c r="AW411" s="121"/>
      <c r="AX411" s="121"/>
      <c r="AY411" s="121"/>
      <c r="AZ411" s="121"/>
      <c r="BA411" s="121"/>
      <c r="BB411" s="121"/>
      <c r="BC411" s="121"/>
      <c r="BD411" s="121"/>
      <c r="BE411" s="121"/>
      <c r="BF411" s="121"/>
      <c r="BG411" s="123"/>
      <c r="BH411" s="127"/>
      <c r="BI411" s="125"/>
      <c r="BJ411" s="126"/>
      <c r="BK411" s="30"/>
      <c r="BL411" s="127"/>
      <c r="BM411" s="128"/>
      <c r="BN411" s="123"/>
      <c r="BO411" s="128"/>
      <c r="BP411" s="13"/>
      <c r="BQ411" s="129"/>
      <c r="BR411" s="123"/>
      <c r="BS411" s="130"/>
      <c r="BT411" s="13"/>
      <c r="BU411" s="123"/>
      <c r="BV411" s="131"/>
      <c r="DI411" s="121"/>
      <c r="DJ411" s="13"/>
      <c r="DK411" s="13"/>
      <c r="DL411" s="13"/>
      <c r="DM411" s="13"/>
      <c r="DN411" s="13"/>
      <c r="DO411" s="13"/>
      <c r="DW411" s="121"/>
      <c r="DX411" s="121"/>
      <c r="DY411" s="121"/>
      <c r="DZ411" s="121"/>
      <c r="EA411" s="121"/>
      <c r="EB411" s="121"/>
      <c r="EC411" s="121"/>
      <c r="ED411" s="121"/>
      <c r="EE411" s="121"/>
      <c r="EF411" s="121"/>
      <c r="EG411" s="123"/>
      <c r="EH411" s="127"/>
      <c r="EI411" s="125"/>
      <c r="EJ411" s="126"/>
      <c r="EK411" s="30"/>
      <c r="EL411" s="127"/>
      <c r="EM411" s="128"/>
      <c r="EN411" s="123"/>
      <c r="EO411" s="128"/>
      <c r="EP411" s="13"/>
      <c r="EQ411" s="129"/>
      <c r="ER411" s="123"/>
      <c r="ES411" s="130"/>
      <c r="ET411" s="13"/>
      <c r="EU411" s="123"/>
      <c r="EV411" s="131"/>
    </row>
    <row r="412" spans="35:152">
      <c r="AI412" s="121"/>
      <c r="AJ412" s="13"/>
      <c r="AK412" s="13"/>
      <c r="AL412" s="13"/>
      <c r="AM412" s="13"/>
      <c r="AN412" s="13"/>
      <c r="AO412" s="13"/>
      <c r="AW412" s="121"/>
      <c r="AX412" s="121"/>
      <c r="AY412" s="121"/>
      <c r="AZ412" s="121"/>
      <c r="BA412" s="121"/>
      <c r="BB412" s="121"/>
      <c r="BC412" s="121"/>
      <c r="BD412" s="121"/>
      <c r="BE412" s="121"/>
      <c r="BF412" s="121"/>
      <c r="BG412" s="123"/>
      <c r="BH412" s="127"/>
      <c r="BI412" s="125"/>
      <c r="BJ412" s="126"/>
      <c r="BK412" s="30"/>
      <c r="BL412" s="127"/>
      <c r="BM412" s="128"/>
      <c r="BN412" s="123"/>
      <c r="BO412" s="128"/>
      <c r="BP412" s="13"/>
      <c r="BQ412" s="129"/>
      <c r="BR412" s="123"/>
      <c r="BS412" s="130"/>
      <c r="BT412" s="13"/>
      <c r="BU412" s="123"/>
      <c r="BV412" s="131"/>
      <c r="DI412" s="121"/>
      <c r="DJ412" s="13"/>
      <c r="DK412" s="13"/>
      <c r="DL412" s="13"/>
      <c r="DM412" s="13"/>
      <c r="DN412" s="13"/>
      <c r="DO412" s="13"/>
      <c r="DW412" s="121"/>
      <c r="DX412" s="121"/>
      <c r="DY412" s="121"/>
      <c r="DZ412" s="121"/>
      <c r="EA412" s="121"/>
      <c r="EB412" s="121"/>
      <c r="EC412" s="121"/>
      <c r="ED412" s="121"/>
      <c r="EE412" s="121"/>
      <c r="EF412" s="121"/>
      <c r="EG412" s="123"/>
      <c r="EH412" s="127"/>
      <c r="EI412" s="125"/>
      <c r="EJ412" s="126"/>
      <c r="EK412" s="30"/>
      <c r="EL412" s="127"/>
      <c r="EM412" s="128"/>
      <c r="EN412" s="123"/>
      <c r="EO412" s="128"/>
      <c r="EP412" s="13"/>
      <c r="EQ412" s="129"/>
      <c r="ER412" s="123"/>
      <c r="ES412" s="130"/>
      <c r="ET412" s="13"/>
      <c r="EU412" s="123"/>
      <c r="EV412" s="131"/>
    </row>
    <row r="413" spans="35:152">
      <c r="AI413" s="121"/>
      <c r="AJ413" s="13"/>
      <c r="AK413" s="13"/>
      <c r="AL413" s="13"/>
      <c r="AM413" s="13"/>
      <c r="AN413" s="13"/>
      <c r="AO413" s="13"/>
      <c r="AW413" s="121"/>
      <c r="AX413" s="121"/>
      <c r="AY413" s="121"/>
      <c r="AZ413" s="121"/>
      <c r="BA413" s="121"/>
      <c r="BB413" s="121"/>
      <c r="BC413" s="121"/>
      <c r="BD413" s="121"/>
      <c r="BE413" s="121"/>
      <c r="BF413" s="121"/>
      <c r="BG413" s="123"/>
      <c r="BH413" s="127"/>
      <c r="BI413" s="125"/>
      <c r="BJ413" s="126"/>
      <c r="BK413" s="30"/>
      <c r="BL413" s="127"/>
      <c r="BM413" s="128"/>
      <c r="BN413" s="123"/>
      <c r="BO413" s="128"/>
      <c r="BP413" s="13"/>
      <c r="BQ413" s="129"/>
      <c r="BR413" s="123"/>
      <c r="BS413" s="130"/>
      <c r="BT413" s="13"/>
      <c r="BU413" s="123"/>
      <c r="BV413" s="131"/>
      <c r="DI413" s="121"/>
      <c r="DJ413" s="13"/>
      <c r="DK413" s="13"/>
      <c r="DL413" s="13"/>
      <c r="DM413" s="13"/>
      <c r="DN413" s="13"/>
      <c r="DO413" s="13"/>
      <c r="DW413" s="121"/>
      <c r="DX413" s="121"/>
      <c r="DY413" s="121"/>
      <c r="DZ413" s="121"/>
      <c r="EA413" s="121"/>
      <c r="EB413" s="121"/>
      <c r="EC413" s="121"/>
      <c r="ED413" s="121"/>
      <c r="EE413" s="121"/>
      <c r="EF413" s="121"/>
      <c r="EG413" s="123"/>
      <c r="EH413" s="127"/>
      <c r="EI413" s="125"/>
      <c r="EJ413" s="126"/>
      <c r="EK413" s="30"/>
      <c r="EL413" s="127"/>
      <c r="EM413" s="128"/>
      <c r="EN413" s="123"/>
      <c r="EO413" s="128"/>
      <c r="EP413" s="13"/>
      <c r="EQ413" s="129"/>
      <c r="ER413" s="123"/>
      <c r="ES413" s="130"/>
      <c r="ET413" s="13"/>
      <c r="EU413" s="123"/>
      <c r="EV413" s="131"/>
    </row>
    <row r="414" spans="35:152">
      <c r="AI414" s="121"/>
      <c r="AJ414" s="13"/>
      <c r="AK414" s="13"/>
      <c r="AL414" s="13"/>
      <c r="AM414" s="13"/>
      <c r="AN414" s="13"/>
      <c r="AO414" s="13"/>
      <c r="AW414" s="121"/>
      <c r="AX414" s="121"/>
      <c r="AY414" s="121"/>
      <c r="AZ414" s="121"/>
      <c r="BA414" s="121"/>
      <c r="BB414" s="121"/>
      <c r="BC414" s="121"/>
      <c r="BD414" s="121"/>
      <c r="BE414" s="121"/>
      <c r="BF414" s="121"/>
      <c r="BG414" s="123"/>
      <c r="BH414" s="127"/>
      <c r="BI414" s="125"/>
      <c r="BJ414" s="126"/>
      <c r="BK414" s="30"/>
      <c r="BL414" s="127"/>
      <c r="BM414" s="128"/>
      <c r="BN414" s="123"/>
      <c r="BO414" s="128"/>
      <c r="BP414" s="13"/>
      <c r="BQ414" s="129"/>
      <c r="BR414" s="123"/>
      <c r="BS414" s="130"/>
      <c r="BT414" s="13"/>
      <c r="BU414" s="123"/>
      <c r="BV414" s="131"/>
      <c r="DI414" s="121"/>
      <c r="DJ414" s="13"/>
      <c r="DK414" s="13"/>
      <c r="DL414" s="13"/>
      <c r="DM414" s="13"/>
      <c r="DN414" s="13"/>
      <c r="DO414" s="13"/>
      <c r="DW414" s="121"/>
      <c r="DX414" s="121"/>
      <c r="DY414" s="121"/>
      <c r="DZ414" s="121"/>
      <c r="EA414" s="121"/>
      <c r="EB414" s="121"/>
      <c r="EC414" s="121"/>
      <c r="ED414" s="121"/>
      <c r="EE414" s="121"/>
      <c r="EF414" s="121"/>
      <c r="EG414" s="123"/>
      <c r="EH414" s="127"/>
      <c r="EI414" s="125"/>
      <c r="EJ414" s="126"/>
      <c r="EK414" s="30"/>
      <c r="EL414" s="127"/>
      <c r="EM414" s="128"/>
      <c r="EN414" s="123"/>
      <c r="EO414" s="128"/>
      <c r="EP414" s="13"/>
      <c r="EQ414" s="129"/>
      <c r="ER414" s="123"/>
      <c r="ES414" s="130"/>
      <c r="ET414" s="13"/>
      <c r="EU414" s="123"/>
      <c r="EV414" s="131"/>
    </row>
    <row r="415" spans="35:152">
      <c r="AI415" s="121"/>
      <c r="AJ415" s="13"/>
      <c r="AK415" s="13"/>
      <c r="AL415" s="13"/>
      <c r="AM415" s="13"/>
      <c r="AN415" s="13"/>
      <c r="AO415" s="13"/>
      <c r="AW415" s="121"/>
      <c r="AX415" s="121"/>
      <c r="AY415" s="121"/>
      <c r="AZ415" s="121"/>
      <c r="BA415" s="121"/>
      <c r="BB415" s="121"/>
      <c r="BC415" s="121"/>
      <c r="BD415" s="121"/>
      <c r="BE415" s="121"/>
      <c r="BF415" s="121"/>
      <c r="BG415" s="123"/>
      <c r="BH415" s="127"/>
      <c r="BI415" s="125"/>
      <c r="BJ415" s="126"/>
      <c r="BK415" s="30"/>
      <c r="BL415" s="127"/>
      <c r="BM415" s="128"/>
      <c r="BN415" s="123"/>
      <c r="BO415" s="128"/>
      <c r="BP415" s="13"/>
      <c r="BQ415" s="129"/>
      <c r="BR415" s="123"/>
      <c r="BS415" s="130"/>
      <c r="BT415" s="13"/>
      <c r="BU415" s="123"/>
      <c r="BV415" s="131"/>
      <c r="DI415" s="121"/>
      <c r="DJ415" s="13"/>
      <c r="DK415" s="13"/>
      <c r="DL415" s="13"/>
      <c r="DM415" s="13"/>
      <c r="DN415" s="13"/>
      <c r="DO415" s="13"/>
      <c r="DW415" s="121"/>
      <c r="DX415" s="121"/>
      <c r="DY415" s="121"/>
      <c r="DZ415" s="121"/>
      <c r="EA415" s="121"/>
      <c r="EB415" s="121"/>
      <c r="EC415" s="121"/>
      <c r="ED415" s="121"/>
      <c r="EE415" s="121"/>
      <c r="EF415" s="121"/>
      <c r="EG415" s="123"/>
      <c r="EH415" s="127"/>
      <c r="EI415" s="125"/>
      <c r="EJ415" s="126"/>
      <c r="EK415" s="30"/>
      <c r="EL415" s="127"/>
      <c r="EM415" s="128"/>
      <c r="EN415" s="123"/>
      <c r="EO415" s="128"/>
      <c r="EP415" s="13"/>
      <c r="EQ415" s="129"/>
      <c r="ER415" s="123"/>
      <c r="ES415" s="130"/>
      <c r="ET415" s="13"/>
      <c r="EU415" s="123"/>
      <c r="EV415" s="131"/>
    </row>
    <row r="416" spans="35:152">
      <c r="AI416" s="121"/>
      <c r="AJ416" s="13"/>
      <c r="AK416" s="13"/>
      <c r="AL416" s="13"/>
      <c r="AM416" s="13"/>
      <c r="AN416" s="13"/>
      <c r="AO416" s="13"/>
      <c r="AW416" s="121"/>
      <c r="AX416" s="121"/>
      <c r="AY416" s="121"/>
      <c r="AZ416" s="121"/>
      <c r="BA416" s="121"/>
      <c r="BB416" s="121"/>
      <c r="BC416" s="121"/>
      <c r="BD416" s="121"/>
      <c r="BE416" s="121"/>
      <c r="BF416" s="121"/>
      <c r="BG416" s="123"/>
      <c r="BH416" s="127"/>
      <c r="BI416" s="125"/>
      <c r="BJ416" s="126"/>
      <c r="BK416" s="30"/>
      <c r="BL416" s="127"/>
      <c r="BM416" s="128"/>
      <c r="BN416" s="123"/>
      <c r="BO416" s="128"/>
      <c r="BP416" s="13"/>
      <c r="BQ416" s="129"/>
      <c r="BR416" s="123"/>
      <c r="BS416" s="130"/>
      <c r="BT416" s="13"/>
      <c r="BU416" s="123"/>
      <c r="BV416" s="131"/>
      <c r="DI416" s="121"/>
      <c r="DJ416" s="13"/>
      <c r="DK416" s="13"/>
      <c r="DL416" s="13"/>
      <c r="DM416" s="13"/>
      <c r="DN416" s="13"/>
      <c r="DO416" s="13"/>
      <c r="DW416" s="121"/>
      <c r="DX416" s="121"/>
      <c r="DY416" s="121"/>
      <c r="DZ416" s="121"/>
      <c r="EA416" s="121"/>
      <c r="EB416" s="121"/>
      <c r="EC416" s="121"/>
      <c r="ED416" s="121"/>
      <c r="EE416" s="121"/>
      <c r="EF416" s="121"/>
      <c r="EG416" s="123"/>
      <c r="EH416" s="127"/>
      <c r="EI416" s="125"/>
      <c r="EJ416" s="126"/>
      <c r="EK416" s="30"/>
      <c r="EL416" s="127"/>
      <c r="EM416" s="128"/>
      <c r="EN416" s="123"/>
      <c r="EO416" s="128"/>
      <c r="EP416" s="13"/>
      <c r="EQ416" s="129"/>
      <c r="ER416" s="123"/>
      <c r="ES416" s="130"/>
      <c r="ET416" s="13"/>
      <c r="EU416" s="123"/>
      <c r="EV416" s="131"/>
    </row>
    <row r="417" spans="35:152">
      <c r="AI417" s="121"/>
      <c r="AJ417" s="13"/>
      <c r="AK417" s="13"/>
      <c r="AL417" s="13"/>
      <c r="AM417" s="13"/>
      <c r="AN417" s="13"/>
      <c r="AO417" s="13"/>
      <c r="AW417" s="121"/>
      <c r="AX417" s="121"/>
      <c r="AY417" s="121"/>
      <c r="AZ417" s="121"/>
      <c r="BA417" s="121"/>
      <c r="BB417" s="121"/>
      <c r="BC417" s="121"/>
      <c r="BD417" s="121"/>
      <c r="BE417" s="121"/>
      <c r="BF417" s="121"/>
      <c r="BG417" s="123"/>
      <c r="BH417" s="127"/>
      <c r="BI417" s="125"/>
      <c r="BJ417" s="126"/>
      <c r="BK417" s="30"/>
      <c r="BL417" s="127"/>
      <c r="BM417" s="128"/>
      <c r="BN417" s="123"/>
      <c r="BO417" s="128"/>
      <c r="BP417" s="13"/>
      <c r="BQ417" s="129"/>
      <c r="BR417" s="123"/>
      <c r="BS417" s="130"/>
      <c r="BT417" s="13"/>
      <c r="BU417" s="123"/>
      <c r="BV417" s="131"/>
      <c r="DI417" s="121"/>
      <c r="DJ417" s="13"/>
      <c r="DK417" s="13"/>
      <c r="DL417" s="13"/>
      <c r="DM417" s="13"/>
      <c r="DN417" s="13"/>
      <c r="DO417" s="13"/>
      <c r="DW417" s="121"/>
      <c r="DX417" s="121"/>
      <c r="DY417" s="121"/>
      <c r="DZ417" s="121"/>
      <c r="EA417" s="121"/>
      <c r="EB417" s="121"/>
      <c r="EC417" s="121"/>
      <c r="ED417" s="121"/>
      <c r="EE417" s="121"/>
      <c r="EF417" s="121"/>
      <c r="EG417" s="123"/>
      <c r="EH417" s="127"/>
      <c r="EI417" s="125"/>
      <c r="EJ417" s="126"/>
      <c r="EK417" s="30"/>
      <c r="EL417" s="127"/>
      <c r="EM417" s="128"/>
      <c r="EN417" s="123"/>
      <c r="EO417" s="128"/>
      <c r="EP417" s="13"/>
      <c r="EQ417" s="129"/>
      <c r="ER417" s="123"/>
      <c r="ES417" s="130"/>
      <c r="ET417" s="13"/>
      <c r="EU417" s="123"/>
      <c r="EV417" s="131"/>
    </row>
    <row r="418" spans="35:152">
      <c r="AI418" s="121"/>
      <c r="AJ418" s="13"/>
      <c r="AK418" s="13"/>
      <c r="AL418" s="13"/>
      <c r="AM418" s="13"/>
      <c r="AN418" s="13"/>
      <c r="AO418" s="13"/>
      <c r="AW418" s="121"/>
      <c r="AX418" s="121"/>
      <c r="AY418" s="121"/>
      <c r="AZ418" s="121"/>
      <c r="BA418" s="121"/>
      <c r="BB418" s="121"/>
      <c r="BC418" s="121"/>
      <c r="BD418" s="121"/>
      <c r="BE418" s="121"/>
      <c r="BF418" s="121"/>
      <c r="BG418" s="123"/>
      <c r="BH418" s="127"/>
      <c r="BI418" s="125"/>
      <c r="BJ418" s="126"/>
      <c r="BK418" s="30"/>
      <c r="BL418" s="127"/>
      <c r="BM418" s="128"/>
      <c r="BN418" s="123"/>
      <c r="BO418" s="128"/>
      <c r="BP418" s="13"/>
      <c r="BQ418" s="129"/>
      <c r="BR418" s="123"/>
      <c r="BS418" s="130"/>
      <c r="BT418" s="13"/>
      <c r="BU418" s="123"/>
      <c r="BV418" s="131"/>
      <c r="DI418" s="121"/>
      <c r="DJ418" s="13"/>
      <c r="DK418" s="13"/>
      <c r="DL418" s="13"/>
      <c r="DM418" s="13"/>
      <c r="DN418" s="13"/>
      <c r="DO418" s="13"/>
      <c r="DW418" s="121"/>
      <c r="DX418" s="121"/>
      <c r="DY418" s="121"/>
      <c r="DZ418" s="121"/>
      <c r="EA418" s="121"/>
      <c r="EB418" s="121"/>
      <c r="EC418" s="121"/>
      <c r="ED418" s="121"/>
      <c r="EE418" s="121"/>
      <c r="EF418" s="121"/>
      <c r="EG418" s="123"/>
      <c r="EH418" s="127"/>
      <c r="EI418" s="125"/>
      <c r="EJ418" s="126"/>
      <c r="EK418" s="30"/>
      <c r="EL418" s="127"/>
      <c r="EM418" s="128"/>
      <c r="EN418" s="123"/>
      <c r="EO418" s="128"/>
      <c r="EP418" s="13"/>
      <c r="EQ418" s="129"/>
      <c r="ER418" s="123"/>
      <c r="ES418" s="130"/>
      <c r="ET418" s="13"/>
      <c r="EU418" s="123"/>
      <c r="EV418" s="131"/>
    </row>
    <row r="419" spans="35:152">
      <c r="AI419" s="121"/>
      <c r="AJ419" s="13"/>
      <c r="AK419" s="13"/>
      <c r="AL419" s="13"/>
      <c r="AM419" s="13"/>
      <c r="AN419" s="13"/>
      <c r="AO419" s="13"/>
      <c r="AW419" s="121"/>
      <c r="AX419" s="121"/>
      <c r="AY419" s="121"/>
      <c r="AZ419" s="121"/>
      <c r="BA419" s="121"/>
      <c r="BB419" s="121"/>
      <c r="BC419" s="121"/>
      <c r="BD419" s="121"/>
      <c r="BE419" s="121"/>
      <c r="BF419" s="121"/>
      <c r="BG419" s="123"/>
      <c r="BH419" s="127"/>
      <c r="BI419" s="125"/>
      <c r="BJ419" s="126"/>
      <c r="BK419" s="30"/>
      <c r="BL419" s="127"/>
      <c r="BM419" s="128"/>
      <c r="BN419" s="123"/>
      <c r="BO419" s="128"/>
      <c r="BP419" s="13"/>
      <c r="BQ419" s="129"/>
      <c r="BR419" s="123"/>
      <c r="BS419" s="130"/>
      <c r="BT419" s="13"/>
      <c r="BU419" s="123"/>
      <c r="BV419" s="131"/>
      <c r="DI419" s="121"/>
      <c r="DJ419" s="13"/>
      <c r="DK419" s="13"/>
      <c r="DL419" s="13"/>
      <c r="DM419" s="13"/>
      <c r="DN419" s="13"/>
      <c r="DO419" s="13"/>
      <c r="DW419" s="121"/>
      <c r="DX419" s="121"/>
      <c r="DY419" s="121"/>
      <c r="DZ419" s="121"/>
      <c r="EA419" s="121"/>
      <c r="EB419" s="121"/>
      <c r="EC419" s="121"/>
      <c r="ED419" s="121"/>
      <c r="EE419" s="121"/>
      <c r="EF419" s="121"/>
      <c r="EG419" s="123"/>
      <c r="EH419" s="127"/>
      <c r="EI419" s="125"/>
      <c r="EJ419" s="126"/>
      <c r="EK419" s="30"/>
      <c r="EL419" s="127"/>
      <c r="EM419" s="128"/>
      <c r="EN419" s="123"/>
      <c r="EO419" s="128"/>
      <c r="EP419" s="13"/>
      <c r="EQ419" s="129"/>
      <c r="ER419" s="123"/>
      <c r="ES419" s="130"/>
      <c r="ET419" s="13"/>
      <c r="EU419" s="123"/>
      <c r="EV419" s="131"/>
    </row>
    <row r="420" spans="35:152">
      <c r="AI420" s="121"/>
      <c r="AJ420" s="13"/>
      <c r="AK420" s="13"/>
      <c r="AL420" s="13"/>
      <c r="AM420" s="13"/>
      <c r="AN420" s="13"/>
      <c r="AO420" s="13"/>
      <c r="AW420" s="121"/>
      <c r="AX420" s="121"/>
      <c r="AY420" s="121"/>
      <c r="AZ420" s="121"/>
      <c r="BA420" s="121"/>
      <c r="BB420" s="121"/>
      <c r="BC420" s="121"/>
      <c r="BD420" s="121"/>
      <c r="BE420" s="121"/>
      <c r="BF420" s="121"/>
      <c r="BG420" s="123"/>
      <c r="BH420" s="127"/>
      <c r="BI420" s="125"/>
      <c r="BJ420" s="126"/>
      <c r="BK420" s="30"/>
      <c r="BL420" s="127"/>
      <c r="BM420" s="128"/>
      <c r="BN420" s="123"/>
      <c r="BO420" s="128"/>
      <c r="BP420" s="13"/>
      <c r="BQ420" s="129"/>
      <c r="BR420" s="123"/>
      <c r="BS420" s="130"/>
      <c r="BT420" s="13"/>
      <c r="BU420" s="123"/>
      <c r="BV420" s="131"/>
      <c r="DI420" s="121"/>
      <c r="DJ420" s="13"/>
      <c r="DK420" s="13"/>
      <c r="DL420" s="13"/>
      <c r="DM420" s="13"/>
      <c r="DN420" s="13"/>
      <c r="DO420" s="13"/>
      <c r="DW420" s="121"/>
      <c r="DX420" s="121"/>
      <c r="DY420" s="121"/>
      <c r="DZ420" s="121"/>
      <c r="EA420" s="121"/>
      <c r="EB420" s="121"/>
      <c r="EC420" s="121"/>
      <c r="ED420" s="121"/>
      <c r="EE420" s="121"/>
      <c r="EF420" s="121"/>
      <c r="EG420" s="123"/>
      <c r="EH420" s="127"/>
      <c r="EI420" s="125"/>
      <c r="EJ420" s="126"/>
      <c r="EK420" s="30"/>
      <c r="EL420" s="127"/>
      <c r="EM420" s="128"/>
      <c r="EN420" s="123"/>
      <c r="EO420" s="128"/>
      <c r="EP420" s="13"/>
      <c r="EQ420" s="129"/>
      <c r="ER420" s="123"/>
      <c r="ES420" s="130"/>
      <c r="ET420" s="13"/>
      <c r="EU420" s="123"/>
      <c r="EV420" s="131"/>
    </row>
    <row r="421" spans="35:152">
      <c r="AI421" s="121"/>
      <c r="AJ421" s="13"/>
      <c r="AK421" s="13"/>
      <c r="AL421" s="13"/>
      <c r="AM421" s="13"/>
      <c r="AN421" s="13"/>
      <c r="AO421" s="13"/>
      <c r="AW421" s="121"/>
      <c r="AX421" s="121"/>
      <c r="AY421" s="121"/>
      <c r="AZ421" s="121"/>
      <c r="BA421" s="121"/>
      <c r="BB421" s="121"/>
      <c r="BC421" s="121"/>
      <c r="BD421" s="121"/>
      <c r="BE421" s="121"/>
      <c r="BF421" s="121"/>
      <c r="BG421" s="123"/>
      <c r="BH421" s="127"/>
      <c r="BI421" s="125"/>
      <c r="BJ421" s="126"/>
      <c r="BK421" s="30"/>
      <c r="BL421" s="127"/>
      <c r="BM421" s="128"/>
      <c r="BN421" s="123"/>
      <c r="BO421" s="128"/>
      <c r="BP421" s="13"/>
      <c r="BQ421" s="129"/>
      <c r="BR421" s="123"/>
      <c r="BS421" s="130"/>
      <c r="BT421" s="13"/>
      <c r="BU421" s="123"/>
      <c r="BV421" s="131"/>
      <c r="DI421" s="121"/>
      <c r="DJ421" s="13"/>
      <c r="DK421" s="13"/>
      <c r="DL421" s="13"/>
      <c r="DM421" s="13"/>
      <c r="DN421" s="13"/>
      <c r="DO421" s="13"/>
      <c r="DW421" s="121"/>
      <c r="DX421" s="121"/>
      <c r="DY421" s="121"/>
      <c r="DZ421" s="121"/>
      <c r="EA421" s="121"/>
      <c r="EB421" s="121"/>
      <c r="EC421" s="121"/>
      <c r="ED421" s="121"/>
      <c r="EE421" s="121"/>
      <c r="EF421" s="121"/>
      <c r="EG421" s="123"/>
      <c r="EH421" s="127"/>
      <c r="EI421" s="125"/>
      <c r="EJ421" s="126"/>
      <c r="EK421" s="30"/>
      <c r="EL421" s="127"/>
      <c r="EM421" s="128"/>
      <c r="EN421" s="123"/>
      <c r="EO421" s="128"/>
      <c r="EP421" s="13"/>
      <c r="EQ421" s="129"/>
      <c r="ER421" s="123"/>
      <c r="ES421" s="130"/>
      <c r="ET421" s="13"/>
      <c r="EU421" s="123"/>
      <c r="EV421" s="131"/>
    </row>
    <row r="422" spans="35:152">
      <c r="AI422" s="121"/>
      <c r="AJ422" s="13"/>
      <c r="AK422" s="13"/>
      <c r="AL422" s="13"/>
      <c r="AM422" s="13"/>
      <c r="AN422" s="13"/>
      <c r="AO422" s="13"/>
      <c r="AW422" s="121"/>
      <c r="AX422" s="121"/>
      <c r="AY422" s="121"/>
      <c r="AZ422" s="121"/>
      <c r="BA422" s="121"/>
      <c r="BB422" s="121"/>
      <c r="BC422" s="121"/>
      <c r="BD422" s="121"/>
      <c r="BE422" s="121"/>
      <c r="BF422" s="121"/>
      <c r="BG422" s="123"/>
      <c r="BH422" s="127"/>
      <c r="BI422" s="125"/>
      <c r="BJ422" s="126"/>
      <c r="BK422" s="30"/>
      <c r="BL422" s="127"/>
      <c r="BM422" s="128"/>
      <c r="BN422" s="123"/>
      <c r="BO422" s="128"/>
      <c r="BP422" s="13"/>
      <c r="BQ422" s="129"/>
      <c r="BR422" s="123"/>
      <c r="BS422" s="130"/>
      <c r="BT422" s="13"/>
      <c r="BU422" s="123"/>
      <c r="BV422" s="131"/>
      <c r="DI422" s="121"/>
      <c r="DJ422" s="13"/>
      <c r="DK422" s="13"/>
      <c r="DL422" s="13"/>
      <c r="DM422" s="13"/>
      <c r="DN422" s="13"/>
      <c r="DO422" s="13"/>
      <c r="DW422" s="121"/>
      <c r="DX422" s="121"/>
      <c r="DY422" s="121"/>
      <c r="DZ422" s="121"/>
      <c r="EA422" s="121"/>
      <c r="EB422" s="121"/>
      <c r="EC422" s="121"/>
      <c r="ED422" s="121"/>
      <c r="EE422" s="121"/>
      <c r="EF422" s="121"/>
      <c r="EG422" s="123"/>
      <c r="EH422" s="127"/>
      <c r="EI422" s="125"/>
      <c r="EJ422" s="126"/>
      <c r="EK422" s="30"/>
      <c r="EL422" s="127"/>
      <c r="EM422" s="128"/>
      <c r="EN422" s="123"/>
      <c r="EO422" s="128"/>
      <c r="EP422" s="13"/>
      <c r="EQ422" s="129"/>
      <c r="ER422" s="123"/>
      <c r="ES422" s="130"/>
      <c r="ET422" s="13"/>
      <c r="EU422" s="123"/>
      <c r="EV422" s="131"/>
    </row>
    <row r="423" spans="35:152">
      <c r="AI423" s="121"/>
      <c r="AJ423" s="13"/>
      <c r="AK423" s="13"/>
      <c r="AL423" s="13"/>
      <c r="AM423" s="13"/>
      <c r="AN423" s="13"/>
      <c r="AO423" s="13"/>
      <c r="AW423" s="121"/>
      <c r="AX423" s="121"/>
      <c r="AY423" s="121"/>
      <c r="AZ423" s="121"/>
      <c r="BA423" s="121"/>
      <c r="BB423" s="121"/>
      <c r="BC423" s="121"/>
      <c r="BD423" s="121"/>
      <c r="BE423" s="121"/>
      <c r="BF423" s="121"/>
      <c r="BG423" s="123"/>
      <c r="BH423" s="127"/>
      <c r="BI423" s="125"/>
      <c r="BJ423" s="126"/>
      <c r="BK423" s="30"/>
      <c r="BL423" s="127"/>
      <c r="BM423" s="128"/>
      <c r="BN423" s="123"/>
      <c r="BO423" s="128"/>
      <c r="BP423" s="13"/>
      <c r="BQ423" s="129"/>
      <c r="BR423" s="123"/>
      <c r="BS423" s="130"/>
      <c r="BT423" s="13"/>
      <c r="BU423" s="123"/>
      <c r="BV423" s="131"/>
      <c r="DI423" s="121"/>
      <c r="DJ423" s="13"/>
      <c r="DK423" s="13"/>
      <c r="DL423" s="13"/>
      <c r="DM423" s="13"/>
      <c r="DN423" s="13"/>
      <c r="DO423" s="13"/>
      <c r="DW423" s="121"/>
      <c r="DX423" s="121"/>
      <c r="DY423" s="121"/>
      <c r="DZ423" s="121"/>
      <c r="EA423" s="121"/>
      <c r="EB423" s="121"/>
      <c r="EC423" s="121"/>
      <c r="ED423" s="121"/>
      <c r="EE423" s="121"/>
      <c r="EF423" s="121"/>
      <c r="EG423" s="123"/>
      <c r="EH423" s="127"/>
      <c r="EI423" s="125"/>
      <c r="EJ423" s="126"/>
      <c r="EK423" s="30"/>
      <c r="EL423" s="127"/>
      <c r="EM423" s="128"/>
      <c r="EN423" s="123"/>
      <c r="EO423" s="128"/>
      <c r="EP423" s="13"/>
      <c r="EQ423" s="129"/>
      <c r="ER423" s="123"/>
      <c r="ES423" s="130"/>
      <c r="ET423" s="13"/>
      <c r="EU423" s="123"/>
      <c r="EV423" s="131"/>
    </row>
    <row r="424" spans="35:152">
      <c r="AI424" s="121"/>
      <c r="AJ424" s="13"/>
      <c r="AK424" s="13"/>
      <c r="AL424" s="13"/>
      <c r="AM424" s="13"/>
      <c r="AN424" s="13"/>
      <c r="AO424" s="13"/>
      <c r="AW424" s="121"/>
      <c r="AX424" s="121"/>
      <c r="AY424" s="121"/>
      <c r="AZ424" s="121"/>
      <c r="BA424" s="121"/>
      <c r="BB424" s="121"/>
      <c r="BC424" s="121"/>
      <c r="BD424" s="121"/>
      <c r="BE424" s="121"/>
      <c r="BF424" s="121"/>
      <c r="BG424" s="123"/>
      <c r="BH424" s="127"/>
      <c r="BI424" s="125"/>
      <c r="BJ424" s="126"/>
      <c r="BK424" s="30"/>
      <c r="BL424" s="127"/>
      <c r="BM424" s="128"/>
      <c r="BN424" s="123"/>
      <c r="BO424" s="128"/>
      <c r="BP424" s="13"/>
      <c r="BQ424" s="129"/>
      <c r="BR424" s="123"/>
      <c r="BS424" s="130"/>
      <c r="BT424" s="13"/>
      <c r="BU424" s="123"/>
      <c r="BV424" s="131"/>
      <c r="DI424" s="121"/>
      <c r="DJ424" s="13"/>
      <c r="DK424" s="13"/>
      <c r="DL424" s="13"/>
      <c r="DM424" s="13"/>
      <c r="DN424" s="13"/>
      <c r="DO424" s="13"/>
      <c r="DW424" s="121"/>
      <c r="DX424" s="121"/>
      <c r="DY424" s="121"/>
      <c r="DZ424" s="121"/>
      <c r="EA424" s="121"/>
      <c r="EB424" s="121"/>
      <c r="EC424" s="121"/>
      <c r="ED424" s="121"/>
      <c r="EE424" s="121"/>
      <c r="EF424" s="121"/>
      <c r="EG424" s="123"/>
      <c r="EH424" s="127"/>
      <c r="EI424" s="125"/>
      <c r="EJ424" s="126"/>
      <c r="EK424" s="30"/>
      <c r="EL424" s="127"/>
      <c r="EM424" s="128"/>
      <c r="EN424" s="123"/>
      <c r="EO424" s="128"/>
      <c r="EP424" s="13"/>
      <c r="EQ424" s="129"/>
      <c r="ER424" s="123"/>
      <c r="ES424" s="130"/>
      <c r="ET424" s="13"/>
      <c r="EU424" s="123"/>
      <c r="EV424" s="131"/>
    </row>
    <row r="425" spans="35:152">
      <c r="AI425" s="121"/>
      <c r="AJ425" s="13"/>
      <c r="AK425" s="13"/>
      <c r="AL425" s="13"/>
      <c r="AM425" s="13"/>
      <c r="AN425" s="13"/>
      <c r="AO425" s="13"/>
      <c r="AW425" s="121"/>
      <c r="AX425" s="121"/>
      <c r="AY425" s="121"/>
      <c r="AZ425" s="121"/>
      <c r="BA425" s="121"/>
      <c r="BB425" s="121"/>
      <c r="BC425" s="121"/>
      <c r="BD425" s="121"/>
      <c r="BE425" s="121"/>
      <c r="BF425" s="121"/>
      <c r="BG425" s="123"/>
      <c r="BH425" s="127"/>
      <c r="BI425" s="125"/>
      <c r="BJ425" s="126"/>
      <c r="BK425" s="30"/>
      <c r="BL425" s="127"/>
      <c r="BM425" s="128"/>
      <c r="BN425" s="123"/>
      <c r="BO425" s="128"/>
      <c r="BP425" s="13"/>
      <c r="BQ425" s="129"/>
      <c r="BR425" s="123"/>
      <c r="BS425" s="130"/>
      <c r="BT425" s="13"/>
      <c r="BU425" s="123"/>
      <c r="BV425" s="131"/>
      <c r="DI425" s="121"/>
      <c r="DJ425" s="13"/>
      <c r="DK425" s="13"/>
      <c r="DL425" s="13"/>
      <c r="DM425" s="13"/>
      <c r="DN425" s="13"/>
      <c r="DO425" s="13"/>
      <c r="DW425" s="121"/>
      <c r="DX425" s="121"/>
      <c r="DY425" s="121"/>
      <c r="DZ425" s="121"/>
      <c r="EA425" s="121"/>
      <c r="EB425" s="121"/>
      <c r="EC425" s="121"/>
      <c r="ED425" s="121"/>
      <c r="EE425" s="121"/>
      <c r="EF425" s="121"/>
      <c r="EG425" s="123"/>
      <c r="EH425" s="127"/>
      <c r="EI425" s="125"/>
      <c r="EJ425" s="126"/>
      <c r="EK425" s="30"/>
      <c r="EL425" s="127"/>
      <c r="EM425" s="128"/>
      <c r="EN425" s="123"/>
      <c r="EO425" s="128"/>
      <c r="EP425" s="13"/>
      <c r="EQ425" s="129"/>
      <c r="ER425" s="123"/>
      <c r="ES425" s="130"/>
      <c r="ET425" s="13"/>
      <c r="EU425" s="123"/>
      <c r="EV425" s="131"/>
    </row>
    <row r="426" spans="35:152">
      <c r="AI426" s="121"/>
      <c r="AJ426" s="13"/>
      <c r="AK426" s="13"/>
      <c r="AL426" s="13"/>
      <c r="AM426" s="13"/>
      <c r="AN426" s="13"/>
      <c r="AO426" s="13"/>
      <c r="AW426" s="121"/>
      <c r="AX426" s="121"/>
      <c r="AY426" s="121"/>
      <c r="AZ426" s="121"/>
      <c r="BA426" s="121"/>
      <c r="BB426" s="121"/>
      <c r="BC426" s="121"/>
      <c r="BD426" s="121"/>
      <c r="BE426" s="121"/>
      <c r="BF426" s="121"/>
      <c r="BG426" s="123"/>
      <c r="BH426" s="127"/>
      <c r="BI426" s="125"/>
      <c r="BJ426" s="126"/>
      <c r="BK426" s="30"/>
      <c r="BL426" s="127"/>
      <c r="BM426" s="128"/>
      <c r="BN426" s="123"/>
      <c r="BO426" s="128"/>
      <c r="BP426" s="13"/>
      <c r="BQ426" s="129"/>
      <c r="BR426" s="123"/>
      <c r="BS426" s="130"/>
      <c r="BT426" s="13"/>
      <c r="BU426" s="123"/>
      <c r="BV426" s="131"/>
      <c r="DI426" s="121"/>
      <c r="DJ426" s="13"/>
      <c r="DK426" s="13"/>
      <c r="DL426" s="13"/>
      <c r="DM426" s="13"/>
      <c r="DN426" s="13"/>
      <c r="DO426" s="13"/>
      <c r="DW426" s="121"/>
      <c r="DX426" s="121"/>
      <c r="DY426" s="121"/>
      <c r="DZ426" s="121"/>
      <c r="EA426" s="121"/>
      <c r="EB426" s="121"/>
      <c r="EC426" s="121"/>
      <c r="ED426" s="121"/>
      <c r="EE426" s="121"/>
      <c r="EF426" s="121"/>
      <c r="EG426" s="123"/>
      <c r="EH426" s="127"/>
      <c r="EI426" s="125"/>
      <c r="EJ426" s="126"/>
      <c r="EK426" s="30"/>
      <c r="EL426" s="127"/>
      <c r="EM426" s="128"/>
      <c r="EN426" s="123"/>
      <c r="EO426" s="128"/>
      <c r="EP426" s="13"/>
      <c r="EQ426" s="129"/>
      <c r="ER426" s="123"/>
      <c r="ES426" s="130"/>
      <c r="ET426" s="13"/>
      <c r="EU426" s="123"/>
      <c r="EV426" s="131"/>
    </row>
    <row r="427" spans="35:152">
      <c r="AI427" s="121"/>
      <c r="AJ427" s="13"/>
      <c r="AK427" s="13"/>
      <c r="AL427" s="13"/>
      <c r="AM427" s="13"/>
      <c r="AN427" s="13"/>
      <c r="AO427" s="13"/>
      <c r="AW427" s="121"/>
      <c r="AX427" s="121"/>
      <c r="AY427" s="121"/>
      <c r="AZ427" s="121"/>
      <c r="BA427" s="121"/>
      <c r="BB427" s="121"/>
      <c r="BC427" s="121"/>
      <c r="BD427" s="121"/>
      <c r="BE427" s="121"/>
      <c r="BF427" s="121"/>
      <c r="BG427" s="123"/>
      <c r="BH427" s="127"/>
      <c r="BI427" s="125"/>
      <c r="BJ427" s="126"/>
      <c r="BK427" s="30"/>
      <c r="BL427" s="127"/>
      <c r="BM427" s="128"/>
      <c r="BN427" s="123"/>
      <c r="BO427" s="128"/>
      <c r="BP427" s="13"/>
      <c r="BQ427" s="129"/>
      <c r="BR427" s="123"/>
      <c r="BS427" s="130"/>
      <c r="BT427" s="13"/>
      <c r="BU427" s="123"/>
      <c r="BV427" s="131"/>
      <c r="DI427" s="121"/>
      <c r="DJ427" s="13"/>
      <c r="DK427" s="13"/>
      <c r="DL427" s="13"/>
      <c r="DM427" s="13"/>
      <c r="DN427" s="13"/>
      <c r="DO427" s="13"/>
      <c r="DW427" s="121"/>
      <c r="DX427" s="121"/>
      <c r="DY427" s="121"/>
      <c r="DZ427" s="121"/>
      <c r="EA427" s="121"/>
      <c r="EB427" s="121"/>
      <c r="EC427" s="121"/>
      <c r="ED427" s="121"/>
      <c r="EE427" s="121"/>
      <c r="EF427" s="121"/>
      <c r="EG427" s="123"/>
      <c r="EH427" s="127"/>
      <c r="EI427" s="125"/>
      <c r="EJ427" s="126"/>
      <c r="EK427" s="30"/>
      <c r="EL427" s="127"/>
      <c r="EM427" s="128"/>
      <c r="EN427" s="123"/>
      <c r="EO427" s="128"/>
      <c r="EP427" s="13"/>
      <c r="EQ427" s="129"/>
      <c r="ER427" s="123"/>
      <c r="ES427" s="130"/>
      <c r="ET427" s="13"/>
      <c r="EU427" s="123"/>
      <c r="EV427" s="131"/>
    </row>
    <row r="428" spans="35:152">
      <c r="AI428" s="121"/>
      <c r="AJ428" s="13"/>
      <c r="AK428" s="13"/>
      <c r="AL428" s="13"/>
      <c r="AM428" s="13"/>
      <c r="AN428" s="13"/>
      <c r="AO428" s="13"/>
      <c r="AW428" s="121"/>
      <c r="AX428" s="121"/>
      <c r="AY428" s="121"/>
      <c r="AZ428" s="121"/>
      <c r="BA428" s="121"/>
      <c r="BB428" s="121"/>
      <c r="BC428" s="121"/>
      <c r="BD428" s="121"/>
      <c r="BE428" s="121"/>
      <c r="BF428" s="121"/>
      <c r="BG428" s="123"/>
      <c r="BH428" s="127"/>
      <c r="BI428" s="125"/>
      <c r="BJ428" s="126"/>
      <c r="BK428" s="30"/>
      <c r="BL428" s="127"/>
      <c r="BM428" s="128"/>
      <c r="BN428" s="123"/>
      <c r="BO428" s="128"/>
      <c r="BP428" s="13"/>
      <c r="BQ428" s="129"/>
      <c r="BR428" s="123"/>
      <c r="BS428" s="130"/>
      <c r="BT428" s="13"/>
      <c r="BU428" s="123"/>
      <c r="BV428" s="131"/>
      <c r="DI428" s="121"/>
      <c r="DJ428" s="13"/>
      <c r="DK428" s="13"/>
      <c r="DL428" s="13"/>
      <c r="DM428" s="13"/>
      <c r="DN428" s="13"/>
      <c r="DO428" s="13"/>
      <c r="DW428" s="121"/>
      <c r="DX428" s="121"/>
      <c r="DY428" s="121"/>
      <c r="DZ428" s="121"/>
      <c r="EA428" s="121"/>
      <c r="EB428" s="121"/>
      <c r="EC428" s="121"/>
      <c r="ED428" s="121"/>
      <c r="EE428" s="121"/>
      <c r="EF428" s="121"/>
      <c r="EG428" s="123"/>
      <c r="EH428" s="127"/>
      <c r="EI428" s="125"/>
      <c r="EJ428" s="126"/>
      <c r="EK428" s="30"/>
      <c r="EL428" s="127"/>
      <c r="EM428" s="128"/>
      <c r="EN428" s="123"/>
      <c r="EO428" s="128"/>
      <c r="EP428" s="13"/>
      <c r="EQ428" s="129"/>
      <c r="ER428" s="123"/>
      <c r="ES428" s="130"/>
      <c r="ET428" s="13"/>
      <c r="EU428" s="123"/>
      <c r="EV428" s="131"/>
    </row>
    <row r="429" spans="35:152">
      <c r="AI429" s="121"/>
      <c r="AJ429" s="13"/>
      <c r="AK429" s="13"/>
      <c r="AL429" s="13"/>
      <c r="AM429" s="13"/>
      <c r="AN429" s="13"/>
      <c r="AO429" s="13"/>
      <c r="AW429" s="121"/>
      <c r="AX429" s="121"/>
      <c r="AY429" s="121"/>
      <c r="AZ429" s="121"/>
      <c r="BA429" s="121"/>
      <c r="BB429" s="121"/>
      <c r="BC429" s="121"/>
      <c r="BD429" s="121"/>
      <c r="BE429" s="121"/>
      <c r="BF429" s="121"/>
      <c r="BG429" s="123"/>
      <c r="BH429" s="127"/>
      <c r="BI429" s="125"/>
      <c r="BJ429" s="126"/>
      <c r="BK429" s="30"/>
      <c r="BL429" s="127"/>
      <c r="BM429" s="128"/>
      <c r="BN429" s="123"/>
      <c r="BO429" s="128"/>
      <c r="BP429" s="13"/>
      <c r="BQ429" s="129"/>
      <c r="BR429" s="123"/>
      <c r="BS429" s="130"/>
      <c r="BT429" s="13"/>
      <c r="BU429" s="123"/>
      <c r="BV429" s="131"/>
      <c r="DI429" s="121"/>
      <c r="DJ429" s="13"/>
      <c r="DK429" s="13"/>
      <c r="DL429" s="13"/>
      <c r="DM429" s="13"/>
      <c r="DN429" s="13"/>
      <c r="DO429" s="13"/>
      <c r="DW429" s="121"/>
      <c r="DX429" s="121"/>
      <c r="DY429" s="121"/>
      <c r="DZ429" s="121"/>
      <c r="EA429" s="121"/>
      <c r="EB429" s="121"/>
      <c r="EC429" s="121"/>
      <c r="ED429" s="121"/>
      <c r="EE429" s="121"/>
      <c r="EF429" s="121"/>
      <c r="EG429" s="123"/>
      <c r="EH429" s="127"/>
      <c r="EI429" s="125"/>
      <c r="EJ429" s="126"/>
      <c r="EK429" s="30"/>
      <c r="EL429" s="127"/>
      <c r="EM429" s="128"/>
      <c r="EN429" s="123"/>
      <c r="EO429" s="128"/>
      <c r="EP429" s="13"/>
      <c r="EQ429" s="129"/>
      <c r="ER429" s="123"/>
      <c r="ES429" s="130"/>
      <c r="ET429" s="13"/>
      <c r="EU429" s="123"/>
      <c r="EV429" s="131"/>
    </row>
    <row r="430" spans="35:152">
      <c r="AI430" s="121"/>
      <c r="AJ430" s="13"/>
      <c r="AK430" s="13"/>
      <c r="AL430" s="13"/>
      <c r="AM430" s="13"/>
      <c r="AN430" s="13"/>
      <c r="AO430" s="13"/>
      <c r="AW430" s="121"/>
      <c r="AX430" s="121"/>
      <c r="AY430" s="121"/>
      <c r="AZ430" s="121"/>
      <c r="BA430" s="121"/>
      <c r="BB430" s="121"/>
      <c r="BC430" s="121"/>
      <c r="BD430" s="121"/>
      <c r="BE430" s="121"/>
      <c r="BF430" s="121"/>
      <c r="BG430" s="123"/>
      <c r="BH430" s="127"/>
      <c r="BI430" s="125"/>
      <c r="BJ430" s="126"/>
      <c r="BK430" s="30"/>
      <c r="BL430" s="127"/>
      <c r="BM430" s="128"/>
      <c r="BN430" s="123"/>
      <c r="BO430" s="128"/>
      <c r="BP430" s="13"/>
      <c r="BQ430" s="129"/>
      <c r="BR430" s="123"/>
      <c r="BS430" s="130"/>
      <c r="BT430" s="13"/>
      <c r="BU430" s="123"/>
      <c r="BV430" s="131"/>
      <c r="DI430" s="121"/>
      <c r="DJ430" s="13"/>
      <c r="DK430" s="13"/>
      <c r="DL430" s="13"/>
      <c r="DM430" s="13"/>
      <c r="DN430" s="13"/>
      <c r="DO430" s="13"/>
      <c r="DW430" s="121"/>
      <c r="DX430" s="121"/>
      <c r="DY430" s="121"/>
      <c r="DZ430" s="121"/>
      <c r="EA430" s="121"/>
      <c r="EB430" s="121"/>
      <c r="EC430" s="121"/>
      <c r="ED430" s="121"/>
      <c r="EE430" s="121"/>
      <c r="EF430" s="121"/>
      <c r="EG430" s="123"/>
      <c r="EH430" s="127"/>
      <c r="EI430" s="125"/>
      <c r="EJ430" s="126"/>
      <c r="EK430" s="30"/>
      <c r="EL430" s="127"/>
      <c r="EM430" s="128"/>
      <c r="EN430" s="123"/>
      <c r="EO430" s="128"/>
      <c r="EP430" s="13"/>
      <c r="EQ430" s="129"/>
      <c r="ER430" s="123"/>
      <c r="ES430" s="130"/>
      <c r="ET430" s="13"/>
      <c r="EU430" s="123"/>
      <c r="EV430" s="131"/>
    </row>
    <row r="431" spans="35:152">
      <c r="AI431" s="121"/>
      <c r="AJ431" s="13"/>
      <c r="AK431" s="13"/>
      <c r="AL431" s="13"/>
      <c r="AM431" s="13"/>
      <c r="AN431" s="13"/>
      <c r="AO431" s="13"/>
      <c r="AW431" s="121"/>
      <c r="AX431" s="121"/>
      <c r="AY431" s="121"/>
      <c r="AZ431" s="121"/>
      <c r="BA431" s="121"/>
      <c r="BB431" s="121"/>
      <c r="BC431" s="121"/>
      <c r="BD431" s="121"/>
      <c r="BE431" s="121"/>
      <c r="BF431" s="121"/>
      <c r="BG431" s="123"/>
      <c r="BH431" s="127"/>
      <c r="BI431" s="125"/>
      <c r="BJ431" s="126"/>
      <c r="BK431" s="30"/>
      <c r="BL431" s="127"/>
      <c r="BM431" s="128"/>
      <c r="BN431" s="123"/>
      <c r="BO431" s="128"/>
      <c r="BP431" s="13"/>
      <c r="BQ431" s="129"/>
      <c r="BR431" s="123"/>
      <c r="BS431" s="130"/>
      <c r="BT431" s="13"/>
      <c r="BU431" s="123"/>
      <c r="BV431" s="131"/>
      <c r="DI431" s="121"/>
      <c r="DJ431" s="13"/>
      <c r="DK431" s="13"/>
      <c r="DL431" s="13"/>
      <c r="DM431" s="13"/>
      <c r="DN431" s="13"/>
      <c r="DO431" s="13"/>
      <c r="DW431" s="121"/>
      <c r="DX431" s="121"/>
      <c r="DY431" s="121"/>
      <c r="DZ431" s="121"/>
      <c r="EA431" s="121"/>
      <c r="EB431" s="121"/>
      <c r="EC431" s="121"/>
      <c r="ED431" s="121"/>
      <c r="EE431" s="121"/>
      <c r="EF431" s="121"/>
      <c r="EG431" s="123"/>
      <c r="EH431" s="127"/>
      <c r="EI431" s="125"/>
      <c r="EJ431" s="126"/>
      <c r="EK431" s="30"/>
      <c r="EL431" s="127"/>
      <c r="EM431" s="128"/>
      <c r="EN431" s="123"/>
      <c r="EO431" s="128"/>
      <c r="EP431" s="13"/>
      <c r="EQ431" s="129"/>
      <c r="ER431" s="123"/>
      <c r="ES431" s="130"/>
      <c r="ET431" s="13"/>
      <c r="EU431" s="123"/>
      <c r="EV431" s="131"/>
    </row>
    <row r="432" spans="35:152">
      <c r="AI432" s="121"/>
      <c r="AJ432" s="13"/>
      <c r="AK432" s="13"/>
      <c r="AL432" s="13"/>
      <c r="AM432" s="13"/>
      <c r="AN432" s="13"/>
      <c r="AO432" s="13"/>
      <c r="AW432" s="121"/>
      <c r="AX432" s="121"/>
      <c r="AY432" s="121"/>
      <c r="AZ432" s="121"/>
      <c r="BA432" s="121"/>
      <c r="BB432" s="121"/>
      <c r="BC432" s="121"/>
      <c r="BD432" s="121"/>
      <c r="BE432" s="121"/>
      <c r="BF432" s="121"/>
      <c r="BG432" s="123"/>
      <c r="BH432" s="127"/>
      <c r="BI432" s="125"/>
      <c r="BJ432" s="126"/>
      <c r="BK432" s="30"/>
      <c r="BL432" s="127"/>
      <c r="BM432" s="128"/>
      <c r="BN432" s="123"/>
      <c r="BO432" s="128"/>
      <c r="BP432" s="13"/>
      <c r="BQ432" s="129"/>
      <c r="BR432" s="123"/>
      <c r="BS432" s="130"/>
      <c r="BT432" s="13"/>
      <c r="BU432" s="123"/>
      <c r="BV432" s="131"/>
      <c r="DI432" s="121"/>
      <c r="DJ432" s="13"/>
      <c r="DK432" s="13"/>
      <c r="DL432" s="13"/>
      <c r="DM432" s="13"/>
      <c r="DN432" s="13"/>
      <c r="DO432" s="13"/>
      <c r="DW432" s="121"/>
      <c r="DX432" s="121"/>
      <c r="DY432" s="121"/>
      <c r="DZ432" s="121"/>
      <c r="EA432" s="121"/>
      <c r="EB432" s="121"/>
      <c r="EC432" s="121"/>
      <c r="ED432" s="121"/>
      <c r="EE432" s="121"/>
      <c r="EF432" s="121"/>
      <c r="EG432" s="123"/>
      <c r="EH432" s="127"/>
      <c r="EI432" s="125"/>
      <c r="EJ432" s="126"/>
      <c r="EK432" s="30"/>
      <c r="EL432" s="127"/>
      <c r="EM432" s="128"/>
      <c r="EN432" s="123"/>
      <c r="EO432" s="128"/>
      <c r="EP432" s="13"/>
      <c r="EQ432" s="129"/>
      <c r="ER432" s="123"/>
      <c r="ES432" s="130"/>
      <c r="ET432" s="13"/>
      <c r="EU432" s="123"/>
      <c r="EV432" s="131"/>
    </row>
    <row r="433" spans="35:152">
      <c r="AI433" s="121"/>
      <c r="AJ433" s="13"/>
      <c r="AK433" s="13"/>
      <c r="AL433" s="13"/>
      <c r="AM433" s="13"/>
      <c r="AN433" s="13"/>
      <c r="AO433" s="13"/>
      <c r="AW433" s="121"/>
      <c r="AX433" s="121"/>
      <c r="AY433" s="121"/>
      <c r="AZ433" s="121"/>
      <c r="BA433" s="121"/>
      <c r="BB433" s="121"/>
      <c r="BC433" s="121"/>
      <c r="BD433" s="121"/>
      <c r="BE433" s="121"/>
      <c r="BF433" s="121"/>
      <c r="BG433" s="123"/>
      <c r="BH433" s="127"/>
      <c r="BI433" s="125"/>
      <c r="BJ433" s="126"/>
      <c r="BK433" s="30"/>
      <c r="BL433" s="127"/>
      <c r="BM433" s="128"/>
      <c r="BN433" s="123"/>
      <c r="BO433" s="128"/>
      <c r="BP433" s="13"/>
      <c r="BQ433" s="129"/>
      <c r="BR433" s="123"/>
      <c r="BS433" s="130"/>
      <c r="BT433" s="13"/>
      <c r="BU433" s="123"/>
      <c r="BV433" s="131"/>
      <c r="DI433" s="121"/>
      <c r="DJ433" s="13"/>
      <c r="DK433" s="13"/>
      <c r="DL433" s="13"/>
      <c r="DM433" s="13"/>
      <c r="DN433" s="13"/>
      <c r="DO433" s="13"/>
      <c r="DW433" s="121"/>
      <c r="DX433" s="121"/>
      <c r="DY433" s="121"/>
      <c r="DZ433" s="121"/>
      <c r="EA433" s="121"/>
      <c r="EB433" s="121"/>
      <c r="EC433" s="121"/>
      <c r="ED433" s="121"/>
      <c r="EE433" s="121"/>
      <c r="EF433" s="121"/>
      <c r="EG433" s="123"/>
      <c r="EH433" s="127"/>
      <c r="EI433" s="125"/>
      <c r="EJ433" s="126"/>
      <c r="EK433" s="30"/>
      <c r="EL433" s="127"/>
      <c r="EM433" s="128"/>
      <c r="EN433" s="123"/>
      <c r="EO433" s="128"/>
      <c r="EP433" s="13"/>
      <c r="EQ433" s="129"/>
      <c r="ER433" s="123"/>
      <c r="ES433" s="130"/>
      <c r="ET433" s="13"/>
      <c r="EU433" s="123"/>
      <c r="EV433" s="131"/>
    </row>
    <row r="434" spans="35:152">
      <c r="AI434" s="121"/>
      <c r="AJ434" s="13"/>
      <c r="AK434" s="13"/>
      <c r="AL434" s="13"/>
      <c r="AM434" s="13"/>
      <c r="AN434" s="13"/>
      <c r="AO434" s="13"/>
      <c r="AW434" s="121"/>
      <c r="AX434" s="121"/>
      <c r="AY434" s="121"/>
      <c r="AZ434" s="121"/>
      <c r="BA434" s="121"/>
      <c r="BB434" s="121"/>
      <c r="BC434" s="121"/>
      <c r="BD434" s="121"/>
      <c r="BE434" s="121"/>
      <c r="BF434" s="121"/>
      <c r="BG434" s="123"/>
      <c r="BH434" s="127"/>
      <c r="BI434" s="125"/>
      <c r="BJ434" s="126"/>
      <c r="BK434" s="30"/>
      <c r="BL434" s="127"/>
      <c r="BM434" s="128"/>
      <c r="BN434" s="123"/>
      <c r="BO434" s="128"/>
      <c r="BP434" s="13"/>
      <c r="BQ434" s="129"/>
      <c r="BR434" s="123"/>
      <c r="BS434" s="130"/>
      <c r="BT434" s="13"/>
      <c r="BU434" s="123"/>
      <c r="BV434" s="131"/>
      <c r="DI434" s="121"/>
      <c r="DJ434" s="13"/>
      <c r="DK434" s="13"/>
      <c r="DL434" s="13"/>
      <c r="DM434" s="13"/>
      <c r="DN434" s="13"/>
      <c r="DO434" s="13"/>
      <c r="DW434" s="121"/>
      <c r="DX434" s="121"/>
      <c r="DY434" s="121"/>
      <c r="DZ434" s="121"/>
      <c r="EA434" s="121"/>
      <c r="EB434" s="121"/>
      <c r="EC434" s="121"/>
      <c r="ED434" s="121"/>
      <c r="EE434" s="121"/>
      <c r="EF434" s="121"/>
      <c r="EG434" s="123"/>
      <c r="EH434" s="127"/>
      <c r="EI434" s="125"/>
      <c r="EJ434" s="126"/>
      <c r="EK434" s="30"/>
      <c r="EL434" s="127"/>
      <c r="EM434" s="128"/>
      <c r="EN434" s="123"/>
      <c r="EO434" s="128"/>
      <c r="EP434" s="13"/>
      <c r="EQ434" s="129"/>
      <c r="ER434" s="123"/>
      <c r="ES434" s="130"/>
      <c r="ET434" s="13"/>
      <c r="EU434" s="123"/>
      <c r="EV434" s="131"/>
    </row>
    <row r="435" spans="35:152">
      <c r="AI435" s="121"/>
      <c r="AJ435" s="13"/>
      <c r="AK435" s="13"/>
      <c r="AL435" s="13"/>
      <c r="AM435" s="13"/>
      <c r="AN435" s="13"/>
      <c r="AO435" s="13"/>
      <c r="AW435" s="121"/>
      <c r="AX435" s="121"/>
      <c r="AY435" s="121"/>
      <c r="AZ435" s="121"/>
      <c r="BA435" s="121"/>
      <c r="BB435" s="121"/>
      <c r="BC435" s="121"/>
      <c r="BD435" s="121"/>
      <c r="BE435" s="121"/>
      <c r="BF435" s="121"/>
      <c r="BG435" s="123"/>
      <c r="BH435" s="127"/>
      <c r="BI435" s="125"/>
      <c r="BJ435" s="126"/>
      <c r="BK435" s="30"/>
      <c r="BL435" s="127"/>
      <c r="BM435" s="128"/>
      <c r="BN435" s="123"/>
      <c r="BO435" s="128"/>
      <c r="BP435" s="13"/>
      <c r="BQ435" s="129"/>
      <c r="BR435" s="123"/>
      <c r="BS435" s="130"/>
      <c r="BT435" s="13"/>
      <c r="BU435" s="123"/>
      <c r="BV435" s="131"/>
      <c r="DI435" s="121"/>
      <c r="DJ435" s="13"/>
      <c r="DK435" s="13"/>
      <c r="DL435" s="13"/>
      <c r="DM435" s="13"/>
      <c r="DN435" s="13"/>
      <c r="DO435" s="13"/>
      <c r="DW435" s="121"/>
      <c r="DX435" s="121"/>
      <c r="DY435" s="121"/>
      <c r="DZ435" s="121"/>
      <c r="EA435" s="121"/>
      <c r="EB435" s="121"/>
      <c r="EC435" s="121"/>
      <c r="ED435" s="121"/>
      <c r="EE435" s="121"/>
      <c r="EF435" s="121"/>
      <c r="EG435" s="123"/>
      <c r="EH435" s="127"/>
      <c r="EI435" s="125"/>
      <c r="EJ435" s="126"/>
      <c r="EK435" s="30"/>
      <c r="EL435" s="127"/>
      <c r="EM435" s="128"/>
      <c r="EN435" s="123"/>
      <c r="EO435" s="128"/>
      <c r="EP435" s="13"/>
      <c r="EQ435" s="129"/>
      <c r="ER435" s="123"/>
      <c r="ES435" s="130"/>
      <c r="ET435" s="13"/>
      <c r="EU435" s="123"/>
      <c r="EV435" s="131"/>
    </row>
    <row r="436" spans="35:152">
      <c r="AI436" s="121"/>
      <c r="AJ436" s="13"/>
      <c r="AK436" s="13"/>
      <c r="AL436" s="13"/>
      <c r="AM436" s="13"/>
      <c r="AN436" s="13"/>
      <c r="AO436" s="13"/>
      <c r="AW436" s="121"/>
      <c r="AX436" s="121"/>
      <c r="AY436" s="121"/>
      <c r="AZ436" s="121"/>
      <c r="BA436" s="121"/>
      <c r="BB436" s="121"/>
      <c r="BC436" s="121"/>
      <c r="BD436" s="121"/>
      <c r="BE436" s="121"/>
      <c r="BF436" s="121"/>
      <c r="BG436" s="123"/>
      <c r="BH436" s="127"/>
      <c r="BI436" s="125"/>
      <c r="BJ436" s="126"/>
      <c r="BK436" s="30"/>
      <c r="BL436" s="127"/>
      <c r="BM436" s="128"/>
      <c r="BN436" s="123"/>
      <c r="BO436" s="128"/>
      <c r="BP436" s="13"/>
      <c r="BQ436" s="129"/>
      <c r="BR436" s="123"/>
      <c r="BS436" s="130"/>
      <c r="BT436" s="13"/>
      <c r="BU436" s="123"/>
      <c r="BV436" s="131"/>
      <c r="DI436" s="121"/>
      <c r="DJ436" s="13"/>
      <c r="DK436" s="13"/>
      <c r="DL436" s="13"/>
      <c r="DM436" s="13"/>
      <c r="DN436" s="13"/>
      <c r="DO436" s="13"/>
      <c r="DW436" s="121"/>
      <c r="DX436" s="121"/>
      <c r="DY436" s="121"/>
      <c r="DZ436" s="121"/>
      <c r="EA436" s="121"/>
      <c r="EB436" s="121"/>
      <c r="EC436" s="121"/>
      <c r="ED436" s="121"/>
      <c r="EE436" s="121"/>
      <c r="EF436" s="121"/>
      <c r="EG436" s="123"/>
      <c r="EH436" s="127"/>
      <c r="EI436" s="125"/>
      <c r="EJ436" s="126"/>
      <c r="EK436" s="30"/>
      <c r="EL436" s="127"/>
      <c r="EM436" s="128"/>
      <c r="EN436" s="123"/>
      <c r="EO436" s="128"/>
      <c r="EP436" s="13"/>
      <c r="EQ436" s="129"/>
      <c r="ER436" s="123"/>
      <c r="ES436" s="130"/>
      <c r="ET436" s="13"/>
      <c r="EU436" s="123"/>
      <c r="EV436" s="131"/>
    </row>
    <row r="437" spans="35:152">
      <c r="AI437" s="121"/>
      <c r="AJ437" s="13"/>
      <c r="AK437" s="13"/>
      <c r="AL437" s="13"/>
      <c r="AM437" s="13"/>
      <c r="AN437" s="13"/>
      <c r="AO437" s="13"/>
      <c r="AW437" s="121"/>
      <c r="AX437" s="121"/>
      <c r="AY437" s="121"/>
      <c r="AZ437" s="121"/>
      <c r="BA437" s="121"/>
      <c r="BB437" s="121"/>
      <c r="BC437" s="121"/>
      <c r="BD437" s="121"/>
      <c r="BE437" s="121"/>
      <c r="BF437" s="121"/>
      <c r="BG437" s="123"/>
      <c r="BH437" s="127"/>
      <c r="BI437" s="125"/>
      <c r="BJ437" s="126"/>
      <c r="BK437" s="30"/>
      <c r="BL437" s="127"/>
      <c r="BM437" s="128"/>
      <c r="BN437" s="123"/>
      <c r="BO437" s="128"/>
      <c r="BP437" s="13"/>
      <c r="BQ437" s="129"/>
      <c r="BR437" s="123"/>
      <c r="BS437" s="130"/>
      <c r="BT437" s="13"/>
      <c r="BU437" s="123"/>
      <c r="BV437" s="131"/>
      <c r="DI437" s="121"/>
      <c r="DJ437" s="13"/>
      <c r="DK437" s="13"/>
      <c r="DL437" s="13"/>
      <c r="DM437" s="13"/>
      <c r="DN437" s="13"/>
      <c r="DO437" s="13"/>
      <c r="DW437" s="121"/>
      <c r="DX437" s="121"/>
      <c r="DY437" s="121"/>
      <c r="DZ437" s="121"/>
      <c r="EA437" s="121"/>
      <c r="EB437" s="121"/>
      <c r="EC437" s="121"/>
      <c r="ED437" s="121"/>
      <c r="EE437" s="121"/>
      <c r="EF437" s="121"/>
      <c r="EG437" s="123"/>
      <c r="EH437" s="127"/>
      <c r="EI437" s="125"/>
      <c r="EJ437" s="126"/>
      <c r="EK437" s="30"/>
      <c r="EL437" s="127"/>
      <c r="EM437" s="128"/>
      <c r="EN437" s="123"/>
      <c r="EO437" s="128"/>
      <c r="EP437" s="13"/>
      <c r="EQ437" s="129"/>
      <c r="ER437" s="123"/>
      <c r="ES437" s="130"/>
      <c r="ET437" s="13"/>
      <c r="EU437" s="123"/>
      <c r="EV437" s="131"/>
    </row>
    <row r="438" spans="35:152">
      <c r="AI438" s="121"/>
      <c r="AJ438" s="13"/>
      <c r="AK438" s="13"/>
      <c r="AL438" s="13"/>
      <c r="AM438" s="13"/>
      <c r="AN438" s="13"/>
      <c r="AO438" s="13"/>
      <c r="AW438" s="121"/>
      <c r="AX438" s="121"/>
      <c r="AY438" s="121"/>
      <c r="AZ438" s="121"/>
      <c r="BA438" s="121"/>
      <c r="BB438" s="121"/>
      <c r="BC438" s="121"/>
      <c r="BD438" s="121"/>
      <c r="BE438" s="121"/>
      <c r="BF438" s="121"/>
      <c r="BG438" s="123"/>
      <c r="BH438" s="127"/>
      <c r="BI438" s="125"/>
      <c r="BJ438" s="126"/>
      <c r="BK438" s="30"/>
      <c r="BL438" s="127"/>
      <c r="BM438" s="128"/>
      <c r="BN438" s="123"/>
      <c r="BO438" s="128"/>
      <c r="BP438" s="13"/>
      <c r="BQ438" s="129"/>
      <c r="BR438" s="123"/>
      <c r="BS438" s="130"/>
      <c r="BT438" s="13"/>
      <c r="BU438" s="123"/>
      <c r="BV438" s="131"/>
      <c r="DI438" s="121"/>
      <c r="DJ438" s="13"/>
      <c r="DK438" s="13"/>
      <c r="DL438" s="13"/>
      <c r="DM438" s="13"/>
      <c r="DN438" s="13"/>
      <c r="DO438" s="13"/>
      <c r="DW438" s="121"/>
      <c r="DX438" s="121"/>
      <c r="DY438" s="121"/>
      <c r="DZ438" s="121"/>
      <c r="EA438" s="121"/>
      <c r="EB438" s="121"/>
      <c r="EC438" s="121"/>
      <c r="ED438" s="121"/>
      <c r="EE438" s="121"/>
      <c r="EF438" s="121"/>
      <c r="EG438" s="123"/>
      <c r="EH438" s="127"/>
      <c r="EI438" s="125"/>
      <c r="EJ438" s="126"/>
      <c r="EK438" s="30"/>
      <c r="EL438" s="127"/>
      <c r="EM438" s="128"/>
      <c r="EN438" s="123"/>
      <c r="EO438" s="128"/>
      <c r="EP438" s="13"/>
      <c r="EQ438" s="129"/>
      <c r="ER438" s="123"/>
      <c r="ES438" s="130"/>
      <c r="ET438" s="13"/>
      <c r="EU438" s="123"/>
      <c r="EV438" s="131"/>
    </row>
    <row r="439" spans="35:152">
      <c r="AI439" s="121"/>
      <c r="AJ439" s="13"/>
      <c r="AK439" s="13"/>
      <c r="AL439" s="13"/>
      <c r="AM439" s="13"/>
      <c r="AN439" s="13"/>
      <c r="AO439" s="13"/>
      <c r="AW439" s="121"/>
      <c r="AX439" s="121"/>
      <c r="AY439" s="121"/>
      <c r="AZ439" s="121"/>
      <c r="BA439" s="121"/>
      <c r="BB439" s="121"/>
      <c r="BC439" s="121"/>
      <c r="BD439" s="121"/>
      <c r="BE439" s="121"/>
      <c r="BF439" s="121"/>
      <c r="BG439" s="123"/>
      <c r="BH439" s="127"/>
      <c r="BI439" s="125"/>
      <c r="BJ439" s="126"/>
      <c r="BK439" s="30"/>
      <c r="BL439" s="127"/>
      <c r="BM439" s="128"/>
      <c r="BN439" s="123"/>
      <c r="BO439" s="128"/>
      <c r="BP439" s="13"/>
      <c r="BQ439" s="129"/>
      <c r="BR439" s="123"/>
      <c r="BS439" s="130"/>
      <c r="BT439" s="13"/>
      <c r="BU439" s="123"/>
      <c r="BV439" s="131"/>
      <c r="DI439" s="121"/>
      <c r="DJ439" s="13"/>
      <c r="DK439" s="13"/>
      <c r="DL439" s="13"/>
      <c r="DM439" s="13"/>
      <c r="DN439" s="13"/>
      <c r="DO439" s="13"/>
      <c r="DW439" s="121"/>
      <c r="DX439" s="121"/>
      <c r="DY439" s="121"/>
      <c r="DZ439" s="121"/>
      <c r="EA439" s="121"/>
      <c r="EB439" s="121"/>
      <c r="EC439" s="121"/>
      <c r="ED439" s="121"/>
      <c r="EE439" s="121"/>
      <c r="EF439" s="121"/>
      <c r="EG439" s="123"/>
      <c r="EH439" s="127"/>
      <c r="EI439" s="125"/>
      <c r="EJ439" s="126"/>
      <c r="EK439" s="30"/>
      <c r="EL439" s="127"/>
      <c r="EM439" s="128"/>
      <c r="EN439" s="123"/>
      <c r="EO439" s="128"/>
      <c r="EP439" s="13"/>
      <c r="EQ439" s="129"/>
      <c r="ER439" s="123"/>
      <c r="ES439" s="130"/>
      <c r="ET439" s="13"/>
      <c r="EU439" s="123"/>
      <c r="EV439" s="131"/>
    </row>
    <row r="440" spans="35:152">
      <c r="AI440" s="121"/>
      <c r="AJ440" s="13"/>
      <c r="AK440" s="13"/>
      <c r="AL440" s="13"/>
      <c r="AM440" s="13"/>
      <c r="AN440" s="13"/>
      <c r="AO440" s="13"/>
      <c r="AW440" s="121"/>
      <c r="AX440" s="121"/>
      <c r="AY440" s="121"/>
      <c r="AZ440" s="121"/>
      <c r="BA440" s="121"/>
      <c r="BB440" s="121"/>
      <c r="BC440" s="121"/>
      <c r="BD440" s="121"/>
      <c r="BE440" s="121"/>
      <c r="BF440" s="121"/>
      <c r="BG440" s="123"/>
      <c r="BH440" s="127"/>
      <c r="BI440" s="125"/>
      <c r="BJ440" s="126"/>
      <c r="BK440" s="30"/>
      <c r="BL440" s="127"/>
      <c r="BM440" s="128"/>
      <c r="BN440" s="123"/>
      <c r="BO440" s="128"/>
      <c r="BP440" s="13"/>
      <c r="BQ440" s="129"/>
      <c r="BR440" s="123"/>
      <c r="BS440" s="130"/>
      <c r="BT440" s="13"/>
      <c r="BU440" s="123"/>
      <c r="BV440" s="131"/>
      <c r="DI440" s="121"/>
      <c r="DJ440" s="13"/>
      <c r="DK440" s="13"/>
      <c r="DL440" s="13"/>
      <c r="DM440" s="13"/>
      <c r="DN440" s="13"/>
      <c r="DO440" s="13"/>
      <c r="DW440" s="121"/>
      <c r="DX440" s="121"/>
      <c r="DY440" s="121"/>
      <c r="DZ440" s="121"/>
      <c r="EA440" s="121"/>
      <c r="EB440" s="121"/>
      <c r="EC440" s="121"/>
      <c r="ED440" s="121"/>
      <c r="EE440" s="121"/>
      <c r="EF440" s="121"/>
      <c r="EG440" s="123"/>
      <c r="EH440" s="127"/>
      <c r="EI440" s="125"/>
      <c r="EJ440" s="126"/>
      <c r="EK440" s="30"/>
      <c r="EL440" s="127"/>
      <c r="EM440" s="128"/>
      <c r="EN440" s="123"/>
      <c r="EO440" s="128"/>
      <c r="EP440" s="13"/>
      <c r="EQ440" s="129"/>
      <c r="ER440" s="123"/>
      <c r="ES440" s="130"/>
      <c r="ET440" s="13"/>
      <c r="EU440" s="123"/>
      <c r="EV440" s="131"/>
    </row>
    <row r="441" spans="35:152">
      <c r="AI441" s="121"/>
      <c r="AJ441" s="13"/>
      <c r="AK441" s="13"/>
      <c r="AL441" s="13"/>
      <c r="AM441" s="13"/>
      <c r="AN441" s="13"/>
      <c r="AO441" s="13"/>
      <c r="AW441" s="121"/>
      <c r="AX441" s="121"/>
      <c r="AY441" s="121"/>
      <c r="AZ441" s="121"/>
      <c r="BA441" s="121"/>
      <c r="BB441" s="121"/>
      <c r="BC441" s="121"/>
      <c r="BD441" s="121"/>
      <c r="BE441" s="121"/>
      <c r="BF441" s="121"/>
      <c r="BG441" s="123"/>
      <c r="BH441" s="127"/>
      <c r="BI441" s="125"/>
      <c r="BJ441" s="126"/>
      <c r="BK441" s="30"/>
      <c r="BL441" s="127"/>
      <c r="BM441" s="128"/>
      <c r="BN441" s="123"/>
      <c r="BO441" s="128"/>
      <c r="BP441" s="13"/>
      <c r="BQ441" s="129"/>
      <c r="BR441" s="123"/>
      <c r="BS441" s="130"/>
      <c r="BT441" s="13"/>
      <c r="BU441" s="123"/>
      <c r="BV441" s="131"/>
      <c r="DI441" s="121"/>
      <c r="DJ441" s="13"/>
      <c r="DK441" s="13"/>
      <c r="DL441" s="13"/>
      <c r="DM441" s="13"/>
      <c r="DN441" s="13"/>
      <c r="DO441" s="13"/>
      <c r="DW441" s="121"/>
      <c r="DX441" s="121"/>
      <c r="DY441" s="121"/>
      <c r="DZ441" s="121"/>
      <c r="EA441" s="121"/>
      <c r="EB441" s="121"/>
      <c r="EC441" s="121"/>
      <c r="ED441" s="121"/>
      <c r="EE441" s="121"/>
      <c r="EF441" s="121"/>
      <c r="EG441" s="123"/>
      <c r="EH441" s="127"/>
      <c r="EI441" s="125"/>
      <c r="EJ441" s="126"/>
      <c r="EK441" s="30"/>
      <c r="EL441" s="127"/>
      <c r="EM441" s="128"/>
      <c r="EN441" s="123"/>
      <c r="EO441" s="128"/>
      <c r="EP441" s="13"/>
      <c r="EQ441" s="129"/>
      <c r="ER441" s="123"/>
      <c r="ES441" s="130"/>
      <c r="ET441" s="13"/>
      <c r="EU441" s="123"/>
      <c r="EV441" s="131"/>
    </row>
    <row r="442" spans="35:152">
      <c r="AI442" s="121"/>
      <c r="AJ442" s="13"/>
      <c r="AK442" s="13"/>
      <c r="AL442" s="13"/>
      <c r="AM442" s="13"/>
      <c r="AN442" s="13"/>
      <c r="AO442" s="13"/>
      <c r="AW442" s="121"/>
      <c r="AX442" s="121"/>
      <c r="AY442" s="121"/>
      <c r="AZ442" s="121"/>
      <c r="BA442" s="121"/>
      <c r="BB442" s="121"/>
      <c r="BC442" s="121"/>
      <c r="BD442" s="121"/>
      <c r="BE442" s="121"/>
      <c r="BF442" s="121"/>
      <c r="BG442" s="123"/>
      <c r="BH442" s="127"/>
      <c r="BI442" s="125"/>
      <c r="BJ442" s="126"/>
      <c r="BK442" s="30"/>
      <c r="BL442" s="127"/>
      <c r="BM442" s="128"/>
      <c r="BN442" s="123"/>
      <c r="BO442" s="128"/>
      <c r="BP442" s="13"/>
      <c r="BQ442" s="129"/>
      <c r="BR442" s="123"/>
      <c r="BS442" s="130"/>
      <c r="BT442" s="13"/>
      <c r="BU442" s="123"/>
      <c r="BV442" s="131"/>
      <c r="DI442" s="121"/>
      <c r="DJ442" s="13"/>
      <c r="DK442" s="13"/>
      <c r="DL442" s="13"/>
      <c r="DM442" s="13"/>
      <c r="DN442" s="13"/>
      <c r="DO442" s="13"/>
      <c r="DW442" s="121"/>
      <c r="DX442" s="121"/>
      <c r="DY442" s="121"/>
      <c r="DZ442" s="121"/>
      <c r="EA442" s="121"/>
      <c r="EB442" s="121"/>
      <c r="EC442" s="121"/>
      <c r="ED442" s="121"/>
      <c r="EE442" s="121"/>
      <c r="EF442" s="121"/>
      <c r="EG442" s="123"/>
      <c r="EH442" s="127"/>
      <c r="EI442" s="125"/>
      <c r="EJ442" s="126"/>
      <c r="EK442" s="30"/>
      <c r="EL442" s="127"/>
      <c r="EM442" s="128"/>
      <c r="EN442" s="123"/>
      <c r="EO442" s="128"/>
      <c r="EP442" s="13"/>
      <c r="EQ442" s="129"/>
      <c r="ER442" s="123"/>
      <c r="ES442" s="130"/>
      <c r="ET442" s="13"/>
      <c r="EU442" s="123"/>
      <c r="EV442" s="131"/>
    </row>
    <row r="443" spans="35:152">
      <c r="AI443" s="121"/>
      <c r="AJ443" s="13"/>
      <c r="AK443" s="13"/>
      <c r="AL443" s="13"/>
      <c r="AM443" s="13"/>
      <c r="AN443" s="13"/>
      <c r="AO443" s="13"/>
      <c r="AW443" s="121"/>
      <c r="AX443" s="121"/>
      <c r="AY443" s="121"/>
      <c r="AZ443" s="121"/>
      <c r="BA443" s="121"/>
      <c r="BB443" s="121"/>
      <c r="BC443" s="121"/>
      <c r="BD443" s="121"/>
      <c r="BE443" s="121"/>
      <c r="BF443" s="121"/>
      <c r="BG443" s="123"/>
      <c r="BH443" s="127"/>
      <c r="BI443" s="125"/>
      <c r="BJ443" s="126"/>
      <c r="BK443" s="30"/>
      <c r="BL443" s="127"/>
      <c r="BM443" s="128"/>
      <c r="BN443" s="123"/>
      <c r="BO443" s="128"/>
      <c r="BP443" s="13"/>
      <c r="BQ443" s="129"/>
      <c r="BR443" s="123"/>
      <c r="BS443" s="130"/>
      <c r="BT443" s="13"/>
      <c r="BU443" s="123"/>
      <c r="BV443" s="131"/>
      <c r="DI443" s="121"/>
      <c r="DJ443" s="13"/>
      <c r="DK443" s="13"/>
      <c r="DL443" s="13"/>
      <c r="DM443" s="13"/>
      <c r="DN443" s="13"/>
      <c r="DO443" s="13"/>
      <c r="DW443" s="121"/>
      <c r="DX443" s="121"/>
      <c r="DY443" s="121"/>
      <c r="DZ443" s="121"/>
      <c r="EA443" s="121"/>
      <c r="EB443" s="121"/>
      <c r="EC443" s="121"/>
      <c r="ED443" s="121"/>
      <c r="EE443" s="121"/>
      <c r="EF443" s="121"/>
      <c r="EG443" s="123"/>
      <c r="EH443" s="127"/>
      <c r="EI443" s="125"/>
      <c r="EJ443" s="126"/>
      <c r="EK443" s="30"/>
      <c r="EL443" s="127"/>
      <c r="EM443" s="128"/>
      <c r="EN443" s="123"/>
      <c r="EO443" s="128"/>
      <c r="EP443" s="13"/>
      <c r="EQ443" s="129"/>
      <c r="ER443" s="123"/>
      <c r="ES443" s="130"/>
      <c r="ET443" s="13"/>
      <c r="EU443" s="123"/>
      <c r="EV443" s="131"/>
    </row>
    <row r="444" spans="35:152">
      <c r="AI444" s="121"/>
      <c r="AJ444" s="13"/>
      <c r="AK444" s="13"/>
      <c r="AL444" s="13"/>
      <c r="AM444" s="13"/>
      <c r="AN444" s="13"/>
      <c r="AO444" s="13"/>
      <c r="AW444" s="121"/>
      <c r="AX444" s="121"/>
      <c r="AY444" s="121"/>
      <c r="AZ444" s="121"/>
      <c r="BA444" s="121"/>
      <c r="BB444" s="121"/>
      <c r="BC444" s="121"/>
      <c r="BD444" s="121"/>
      <c r="BE444" s="121"/>
      <c r="BF444" s="121"/>
      <c r="BG444" s="123"/>
      <c r="BH444" s="127"/>
      <c r="BI444" s="125"/>
      <c r="BJ444" s="126"/>
      <c r="BK444" s="30"/>
      <c r="BL444" s="127"/>
      <c r="BM444" s="128"/>
      <c r="BN444" s="123"/>
      <c r="BO444" s="128"/>
      <c r="BP444" s="13"/>
      <c r="BQ444" s="129"/>
      <c r="BR444" s="123"/>
      <c r="BS444" s="130"/>
      <c r="BT444" s="13"/>
      <c r="BU444" s="123"/>
      <c r="BV444" s="131"/>
      <c r="DI444" s="121"/>
      <c r="DJ444" s="13"/>
      <c r="DK444" s="13"/>
      <c r="DL444" s="13"/>
      <c r="DM444" s="13"/>
      <c r="DN444" s="13"/>
      <c r="DO444" s="13"/>
      <c r="DW444" s="121"/>
      <c r="DX444" s="121"/>
      <c r="DY444" s="121"/>
      <c r="DZ444" s="121"/>
      <c r="EA444" s="121"/>
      <c r="EB444" s="121"/>
      <c r="EC444" s="121"/>
      <c r="ED444" s="121"/>
      <c r="EE444" s="121"/>
      <c r="EF444" s="121"/>
      <c r="EG444" s="123"/>
      <c r="EH444" s="127"/>
      <c r="EI444" s="125"/>
      <c r="EJ444" s="126"/>
      <c r="EK444" s="30"/>
      <c r="EL444" s="127"/>
      <c r="EM444" s="128"/>
      <c r="EN444" s="123"/>
      <c r="EO444" s="128"/>
      <c r="EP444" s="13"/>
      <c r="EQ444" s="129"/>
      <c r="ER444" s="123"/>
      <c r="ES444" s="130"/>
      <c r="ET444" s="13"/>
      <c r="EU444" s="123"/>
      <c r="EV444" s="131"/>
    </row>
    <row r="445" spans="35:152">
      <c r="AI445" s="121"/>
      <c r="AJ445" s="13"/>
      <c r="AK445" s="13"/>
      <c r="AL445" s="13"/>
      <c r="AM445" s="13"/>
      <c r="AN445" s="13"/>
      <c r="AO445" s="13"/>
      <c r="AW445" s="121"/>
      <c r="AX445" s="121"/>
      <c r="AY445" s="121"/>
      <c r="AZ445" s="121"/>
      <c r="BA445" s="121"/>
      <c r="BB445" s="121"/>
      <c r="BC445" s="121"/>
      <c r="BD445" s="121"/>
      <c r="BE445" s="121"/>
      <c r="BF445" s="121"/>
      <c r="BG445" s="123"/>
      <c r="BH445" s="127"/>
      <c r="BI445" s="125"/>
      <c r="BJ445" s="126"/>
      <c r="BK445" s="30"/>
      <c r="BL445" s="127"/>
      <c r="BM445" s="128"/>
      <c r="BN445" s="123"/>
      <c r="BO445" s="128"/>
      <c r="BP445" s="13"/>
      <c r="BQ445" s="129"/>
      <c r="BR445" s="123"/>
      <c r="BS445" s="130"/>
      <c r="BT445" s="13"/>
      <c r="BU445" s="123"/>
      <c r="BV445" s="131"/>
      <c r="DI445" s="121"/>
      <c r="DJ445" s="13"/>
      <c r="DK445" s="13"/>
      <c r="DL445" s="13"/>
      <c r="DM445" s="13"/>
      <c r="DN445" s="13"/>
      <c r="DO445" s="13"/>
      <c r="DW445" s="121"/>
      <c r="DX445" s="121"/>
      <c r="DY445" s="121"/>
      <c r="DZ445" s="121"/>
      <c r="EA445" s="121"/>
      <c r="EB445" s="121"/>
      <c r="EC445" s="121"/>
      <c r="ED445" s="121"/>
      <c r="EE445" s="121"/>
      <c r="EF445" s="121"/>
      <c r="EG445" s="123"/>
      <c r="EH445" s="127"/>
      <c r="EI445" s="125"/>
      <c r="EJ445" s="126"/>
      <c r="EK445" s="30"/>
      <c r="EL445" s="127"/>
      <c r="EM445" s="128"/>
      <c r="EN445" s="123"/>
      <c r="EO445" s="128"/>
      <c r="EP445" s="13"/>
      <c r="EQ445" s="129"/>
      <c r="ER445" s="123"/>
      <c r="ES445" s="130"/>
      <c r="ET445" s="13"/>
      <c r="EU445" s="123"/>
      <c r="EV445" s="131"/>
    </row>
    <row r="446" spans="35:152">
      <c r="AI446" s="121"/>
      <c r="AJ446" s="13"/>
      <c r="AK446" s="13"/>
      <c r="AL446" s="13"/>
      <c r="AM446" s="13"/>
      <c r="AN446" s="13"/>
      <c r="AO446" s="13"/>
      <c r="AW446" s="121"/>
      <c r="AX446" s="121"/>
      <c r="AY446" s="121"/>
      <c r="AZ446" s="121"/>
      <c r="BA446" s="121"/>
      <c r="BB446" s="121"/>
      <c r="BC446" s="121"/>
      <c r="BD446" s="121"/>
      <c r="BE446" s="121"/>
      <c r="BF446" s="121"/>
      <c r="BG446" s="123"/>
      <c r="BH446" s="127"/>
      <c r="BI446" s="125"/>
      <c r="BJ446" s="126"/>
      <c r="BK446" s="30"/>
      <c r="BL446" s="127"/>
      <c r="BM446" s="128"/>
      <c r="BN446" s="123"/>
      <c r="BO446" s="128"/>
      <c r="BP446" s="13"/>
      <c r="BQ446" s="129"/>
      <c r="BR446" s="123"/>
      <c r="BS446" s="130"/>
      <c r="BT446" s="13"/>
      <c r="BU446" s="123"/>
      <c r="BV446" s="131"/>
      <c r="DI446" s="121"/>
      <c r="DJ446" s="13"/>
      <c r="DK446" s="13"/>
      <c r="DL446" s="13"/>
      <c r="DM446" s="13"/>
      <c r="DN446" s="13"/>
      <c r="DO446" s="13"/>
      <c r="DW446" s="121"/>
      <c r="DX446" s="121"/>
      <c r="DY446" s="121"/>
      <c r="DZ446" s="121"/>
      <c r="EA446" s="121"/>
      <c r="EB446" s="121"/>
      <c r="EC446" s="121"/>
      <c r="ED446" s="121"/>
      <c r="EE446" s="121"/>
      <c r="EF446" s="121"/>
      <c r="EG446" s="123"/>
      <c r="EH446" s="127"/>
      <c r="EI446" s="125"/>
      <c r="EJ446" s="126"/>
      <c r="EK446" s="30"/>
      <c r="EL446" s="127"/>
      <c r="EM446" s="128"/>
      <c r="EN446" s="123"/>
      <c r="EO446" s="128"/>
      <c r="EP446" s="13"/>
      <c r="EQ446" s="129"/>
      <c r="ER446" s="123"/>
      <c r="ES446" s="130"/>
      <c r="ET446" s="13"/>
      <c r="EU446" s="123"/>
      <c r="EV446" s="131"/>
    </row>
    <row r="447" spans="35:152">
      <c r="AI447" s="121"/>
      <c r="AJ447" s="13"/>
      <c r="AK447" s="13"/>
      <c r="AL447" s="13"/>
      <c r="AM447" s="13"/>
      <c r="AN447" s="13"/>
      <c r="AO447" s="13"/>
      <c r="AW447" s="121"/>
      <c r="AX447" s="121"/>
      <c r="AY447" s="121"/>
      <c r="AZ447" s="121"/>
      <c r="BA447" s="121"/>
      <c r="BB447" s="121"/>
      <c r="BC447" s="121"/>
      <c r="BD447" s="121"/>
      <c r="BE447" s="121"/>
      <c r="BF447" s="121"/>
      <c r="BG447" s="123"/>
      <c r="BH447" s="127"/>
      <c r="BI447" s="125"/>
      <c r="BJ447" s="126"/>
      <c r="BK447" s="30"/>
      <c r="BL447" s="127"/>
      <c r="BM447" s="128"/>
      <c r="BN447" s="123"/>
      <c r="BO447" s="128"/>
      <c r="BP447" s="13"/>
      <c r="BQ447" s="129"/>
      <c r="BR447" s="123"/>
      <c r="BS447" s="130"/>
      <c r="BT447" s="13"/>
      <c r="BU447" s="123"/>
      <c r="BV447" s="131"/>
      <c r="DI447" s="121"/>
      <c r="DJ447" s="13"/>
      <c r="DK447" s="13"/>
      <c r="DL447" s="13"/>
      <c r="DM447" s="13"/>
      <c r="DN447" s="13"/>
      <c r="DO447" s="13"/>
      <c r="DW447" s="121"/>
      <c r="DX447" s="121"/>
      <c r="DY447" s="121"/>
      <c r="DZ447" s="121"/>
      <c r="EA447" s="121"/>
      <c r="EB447" s="121"/>
      <c r="EC447" s="121"/>
      <c r="ED447" s="121"/>
      <c r="EE447" s="121"/>
      <c r="EF447" s="121"/>
      <c r="EG447" s="123"/>
      <c r="EH447" s="127"/>
      <c r="EI447" s="125"/>
      <c r="EJ447" s="126"/>
      <c r="EK447" s="30"/>
      <c r="EL447" s="127"/>
      <c r="EM447" s="128"/>
      <c r="EN447" s="123"/>
      <c r="EO447" s="128"/>
      <c r="EP447" s="13"/>
      <c r="EQ447" s="129"/>
      <c r="ER447" s="123"/>
      <c r="ES447" s="130"/>
      <c r="ET447" s="13"/>
      <c r="EU447" s="123"/>
      <c r="EV447" s="131"/>
    </row>
    <row r="448" spans="35:152">
      <c r="AI448" s="121"/>
      <c r="AJ448" s="13"/>
      <c r="AK448" s="13"/>
      <c r="AL448" s="13"/>
      <c r="AM448" s="13"/>
      <c r="AN448" s="13"/>
      <c r="AO448" s="13"/>
      <c r="AW448" s="121"/>
      <c r="AX448" s="121"/>
      <c r="AY448" s="121"/>
      <c r="AZ448" s="121"/>
      <c r="BA448" s="121"/>
      <c r="BB448" s="121"/>
      <c r="BC448" s="121"/>
      <c r="BD448" s="121"/>
      <c r="BE448" s="121"/>
      <c r="BF448" s="121"/>
      <c r="BG448" s="123"/>
      <c r="BH448" s="127"/>
      <c r="BI448" s="125"/>
      <c r="BJ448" s="126"/>
      <c r="BK448" s="30"/>
      <c r="BL448" s="127"/>
      <c r="BM448" s="128"/>
      <c r="BN448" s="123"/>
      <c r="BO448" s="128"/>
      <c r="BP448" s="13"/>
      <c r="BQ448" s="129"/>
      <c r="BR448" s="123"/>
      <c r="BS448" s="130"/>
      <c r="BT448" s="13"/>
      <c r="BU448" s="123"/>
      <c r="BV448" s="131"/>
      <c r="DI448" s="121"/>
      <c r="DJ448" s="13"/>
      <c r="DK448" s="13"/>
      <c r="DL448" s="13"/>
      <c r="DM448" s="13"/>
      <c r="DN448" s="13"/>
      <c r="DO448" s="13"/>
      <c r="DW448" s="121"/>
      <c r="DX448" s="121"/>
      <c r="DY448" s="121"/>
      <c r="DZ448" s="121"/>
      <c r="EA448" s="121"/>
      <c r="EB448" s="121"/>
      <c r="EC448" s="121"/>
      <c r="ED448" s="121"/>
      <c r="EE448" s="121"/>
      <c r="EF448" s="121"/>
      <c r="EG448" s="123"/>
      <c r="EH448" s="127"/>
      <c r="EI448" s="125"/>
      <c r="EJ448" s="126"/>
      <c r="EK448" s="30"/>
      <c r="EL448" s="127"/>
      <c r="EM448" s="128"/>
      <c r="EN448" s="123"/>
      <c r="EO448" s="128"/>
      <c r="EP448" s="13"/>
      <c r="EQ448" s="129"/>
      <c r="ER448" s="123"/>
      <c r="ES448" s="130"/>
      <c r="ET448" s="13"/>
      <c r="EU448" s="123"/>
      <c r="EV448" s="131"/>
    </row>
    <row r="449" spans="35:152">
      <c r="AI449" s="121"/>
      <c r="AJ449" s="13"/>
      <c r="AK449" s="13"/>
      <c r="AL449" s="13"/>
      <c r="AM449" s="13"/>
      <c r="AN449" s="13"/>
      <c r="AO449" s="13"/>
      <c r="AW449" s="121"/>
      <c r="AX449" s="121"/>
      <c r="AY449" s="121"/>
      <c r="AZ449" s="121"/>
      <c r="BA449" s="121"/>
      <c r="BB449" s="121"/>
      <c r="BC449" s="121"/>
      <c r="BD449" s="121"/>
      <c r="BE449" s="121"/>
      <c r="BF449" s="121"/>
      <c r="BG449" s="123"/>
      <c r="BH449" s="127"/>
      <c r="BI449" s="125"/>
      <c r="BJ449" s="126"/>
      <c r="BK449" s="30"/>
      <c r="BL449" s="127"/>
      <c r="BM449" s="128"/>
      <c r="BN449" s="123"/>
      <c r="BO449" s="128"/>
      <c r="BP449" s="13"/>
      <c r="BQ449" s="129"/>
      <c r="BR449" s="123"/>
      <c r="BS449" s="130"/>
      <c r="BT449" s="13"/>
      <c r="BU449" s="123"/>
      <c r="BV449" s="131"/>
      <c r="DI449" s="121"/>
      <c r="DJ449" s="13"/>
      <c r="DK449" s="13"/>
      <c r="DL449" s="13"/>
      <c r="DM449" s="13"/>
      <c r="DN449" s="13"/>
      <c r="DO449" s="13"/>
      <c r="DW449" s="121"/>
      <c r="DX449" s="121"/>
      <c r="DY449" s="121"/>
      <c r="DZ449" s="121"/>
      <c r="EA449" s="121"/>
      <c r="EB449" s="121"/>
      <c r="EC449" s="121"/>
      <c r="ED449" s="121"/>
      <c r="EE449" s="121"/>
      <c r="EF449" s="121"/>
      <c r="EG449" s="123"/>
      <c r="EH449" s="127"/>
      <c r="EI449" s="125"/>
      <c r="EJ449" s="126"/>
      <c r="EK449" s="30"/>
      <c r="EL449" s="127"/>
      <c r="EM449" s="128"/>
      <c r="EN449" s="123"/>
      <c r="EO449" s="128"/>
      <c r="EP449" s="13"/>
      <c r="EQ449" s="129"/>
      <c r="ER449" s="123"/>
      <c r="ES449" s="130"/>
      <c r="ET449" s="13"/>
      <c r="EU449" s="123"/>
      <c r="EV449" s="131"/>
    </row>
    <row r="450" spans="35:152">
      <c r="AI450" s="121"/>
      <c r="AJ450" s="13"/>
      <c r="AK450" s="13"/>
      <c r="AL450" s="13"/>
      <c r="AM450" s="13"/>
      <c r="AN450" s="13"/>
      <c r="AO450" s="13"/>
      <c r="AW450" s="121"/>
      <c r="AX450" s="121"/>
      <c r="AY450" s="121"/>
      <c r="AZ450" s="121"/>
      <c r="BA450" s="121"/>
      <c r="BB450" s="121"/>
      <c r="BC450" s="121"/>
      <c r="BD450" s="121"/>
      <c r="BE450" s="121"/>
      <c r="BF450" s="121"/>
      <c r="BG450" s="123"/>
      <c r="BH450" s="127"/>
      <c r="BI450" s="125"/>
      <c r="BJ450" s="126"/>
      <c r="BK450" s="30"/>
      <c r="BL450" s="127"/>
      <c r="BM450" s="128"/>
      <c r="BN450" s="123"/>
      <c r="BO450" s="128"/>
      <c r="BP450" s="13"/>
      <c r="BQ450" s="129"/>
      <c r="BR450" s="123"/>
      <c r="BS450" s="130"/>
      <c r="BT450" s="13"/>
      <c r="BU450" s="123"/>
      <c r="BV450" s="131"/>
      <c r="DI450" s="121"/>
      <c r="DJ450" s="13"/>
      <c r="DK450" s="13"/>
      <c r="DL450" s="13"/>
      <c r="DM450" s="13"/>
      <c r="DN450" s="13"/>
      <c r="DO450" s="13"/>
      <c r="DW450" s="121"/>
      <c r="DX450" s="121"/>
      <c r="DY450" s="121"/>
      <c r="DZ450" s="121"/>
      <c r="EA450" s="121"/>
      <c r="EB450" s="121"/>
      <c r="EC450" s="121"/>
      <c r="ED450" s="121"/>
      <c r="EE450" s="121"/>
      <c r="EF450" s="121"/>
      <c r="EG450" s="123"/>
      <c r="EH450" s="127"/>
      <c r="EI450" s="125"/>
      <c r="EJ450" s="126"/>
      <c r="EK450" s="30"/>
      <c r="EL450" s="127"/>
      <c r="EM450" s="128"/>
      <c r="EN450" s="123"/>
      <c r="EO450" s="128"/>
      <c r="EP450" s="13"/>
      <c r="EQ450" s="129"/>
      <c r="ER450" s="123"/>
      <c r="ES450" s="130"/>
      <c r="ET450" s="13"/>
      <c r="EU450" s="123"/>
      <c r="EV450" s="131"/>
    </row>
    <row r="451" spans="35:152">
      <c r="AI451" s="121"/>
      <c r="AJ451" s="13"/>
      <c r="AK451" s="13"/>
      <c r="AL451" s="13"/>
      <c r="AM451" s="13"/>
      <c r="AN451" s="13"/>
      <c r="AO451" s="13"/>
      <c r="AW451" s="121"/>
      <c r="AX451" s="121"/>
      <c r="AY451" s="121"/>
      <c r="AZ451" s="121"/>
      <c r="BA451" s="121"/>
      <c r="BB451" s="121"/>
      <c r="BC451" s="121"/>
      <c r="BD451" s="121"/>
      <c r="BE451" s="121"/>
      <c r="BF451" s="121"/>
      <c r="BG451" s="123"/>
      <c r="BH451" s="127"/>
      <c r="BI451" s="125"/>
      <c r="BJ451" s="126"/>
      <c r="BK451" s="30"/>
      <c r="BL451" s="127"/>
      <c r="BM451" s="128"/>
      <c r="BN451" s="123"/>
      <c r="BO451" s="128"/>
      <c r="BP451" s="13"/>
      <c r="BQ451" s="129"/>
      <c r="BR451" s="123"/>
      <c r="BS451" s="130"/>
      <c r="BT451" s="13"/>
      <c r="BU451" s="123"/>
      <c r="BV451" s="131"/>
      <c r="DI451" s="121"/>
      <c r="DJ451" s="13"/>
      <c r="DK451" s="13"/>
      <c r="DL451" s="13"/>
      <c r="DM451" s="13"/>
      <c r="DN451" s="13"/>
      <c r="DO451" s="13"/>
      <c r="DW451" s="121"/>
      <c r="DX451" s="121"/>
      <c r="DY451" s="121"/>
      <c r="DZ451" s="121"/>
      <c r="EA451" s="121"/>
      <c r="EB451" s="121"/>
      <c r="EC451" s="121"/>
      <c r="ED451" s="121"/>
      <c r="EE451" s="121"/>
      <c r="EF451" s="121"/>
      <c r="EG451" s="123"/>
      <c r="EH451" s="127"/>
      <c r="EI451" s="125"/>
      <c r="EJ451" s="126"/>
      <c r="EK451" s="30"/>
      <c r="EL451" s="127"/>
      <c r="EM451" s="128"/>
      <c r="EN451" s="123"/>
      <c r="EO451" s="128"/>
      <c r="EP451" s="13"/>
      <c r="EQ451" s="129"/>
      <c r="ER451" s="123"/>
      <c r="ES451" s="130"/>
      <c r="ET451" s="13"/>
      <c r="EU451" s="123"/>
      <c r="EV451" s="131"/>
    </row>
    <row r="452" spans="35:152">
      <c r="AI452" s="121"/>
      <c r="AJ452" s="13"/>
      <c r="AK452" s="13"/>
      <c r="AL452" s="13"/>
      <c r="AM452" s="13"/>
      <c r="AN452" s="13"/>
      <c r="AO452" s="13"/>
      <c r="AW452" s="121"/>
      <c r="AX452" s="121"/>
      <c r="AY452" s="121"/>
      <c r="AZ452" s="121"/>
      <c r="BA452" s="121"/>
      <c r="BB452" s="121"/>
      <c r="BC452" s="121"/>
      <c r="BD452" s="121"/>
      <c r="BE452" s="121"/>
      <c r="BF452" s="121"/>
      <c r="BG452" s="123"/>
      <c r="BH452" s="127"/>
      <c r="BI452" s="125"/>
      <c r="BJ452" s="126"/>
      <c r="BK452" s="30"/>
      <c r="BL452" s="127"/>
      <c r="BM452" s="128"/>
      <c r="BN452" s="123"/>
      <c r="BO452" s="128"/>
      <c r="BP452" s="13"/>
      <c r="BQ452" s="129"/>
      <c r="BR452" s="123"/>
      <c r="BS452" s="130"/>
      <c r="BT452" s="13"/>
      <c r="BU452" s="123"/>
      <c r="BV452" s="131"/>
      <c r="DI452" s="121"/>
      <c r="DJ452" s="13"/>
      <c r="DK452" s="13"/>
      <c r="DL452" s="13"/>
      <c r="DM452" s="13"/>
      <c r="DN452" s="13"/>
      <c r="DO452" s="13"/>
      <c r="DW452" s="121"/>
      <c r="DX452" s="121"/>
      <c r="DY452" s="121"/>
      <c r="DZ452" s="121"/>
      <c r="EA452" s="121"/>
      <c r="EB452" s="121"/>
      <c r="EC452" s="121"/>
      <c r="ED452" s="121"/>
      <c r="EE452" s="121"/>
      <c r="EF452" s="121"/>
      <c r="EG452" s="123"/>
      <c r="EH452" s="127"/>
      <c r="EI452" s="125"/>
      <c r="EJ452" s="126"/>
      <c r="EK452" s="30"/>
      <c r="EL452" s="127"/>
      <c r="EM452" s="128"/>
      <c r="EN452" s="123"/>
      <c r="EO452" s="128"/>
      <c r="EP452" s="13"/>
      <c r="EQ452" s="129"/>
      <c r="ER452" s="123"/>
      <c r="ES452" s="130"/>
      <c r="ET452" s="13"/>
      <c r="EU452" s="123"/>
      <c r="EV452" s="131"/>
    </row>
    <row r="453" spans="35:152">
      <c r="AI453" s="121"/>
      <c r="AJ453" s="13"/>
      <c r="AK453" s="13"/>
      <c r="AL453" s="13"/>
      <c r="AM453" s="13"/>
      <c r="AN453" s="13"/>
      <c r="AO453" s="13"/>
      <c r="AW453" s="121"/>
      <c r="AX453" s="121"/>
      <c r="AY453" s="121"/>
      <c r="AZ453" s="121"/>
      <c r="BA453" s="121"/>
      <c r="BB453" s="121"/>
      <c r="BC453" s="121"/>
      <c r="BD453" s="121"/>
      <c r="BE453" s="121"/>
      <c r="BF453" s="121"/>
      <c r="BG453" s="123"/>
      <c r="BH453" s="127"/>
      <c r="BI453" s="125"/>
      <c r="BJ453" s="126"/>
      <c r="BK453" s="30"/>
      <c r="BL453" s="127"/>
      <c r="BM453" s="128"/>
      <c r="BN453" s="123"/>
      <c r="BO453" s="128"/>
      <c r="BP453" s="13"/>
      <c r="BQ453" s="129"/>
      <c r="BR453" s="123"/>
      <c r="BS453" s="130"/>
      <c r="BT453" s="13"/>
      <c r="BU453" s="123"/>
      <c r="BV453" s="131"/>
      <c r="DI453" s="121"/>
      <c r="DJ453" s="13"/>
      <c r="DK453" s="13"/>
      <c r="DL453" s="13"/>
      <c r="DM453" s="13"/>
      <c r="DN453" s="13"/>
      <c r="DO453" s="13"/>
      <c r="DW453" s="121"/>
      <c r="DX453" s="121"/>
      <c r="DY453" s="121"/>
      <c r="DZ453" s="121"/>
      <c r="EA453" s="121"/>
      <c r="EB453" s="121"/>
      <c r="EC453" s="121"/>
      <c r="ED453" s="121"/>
      <c r="EE453" s="121"/>
      <c r="EF453" s="121"/>
      <c r="EG453" s="123"/>
      <c r="EH453" s="127"/>
      <c r="EI453" s="125"/>
      <c r="EJ453" s="126"/>
      <c r="EK453" s="30"/>
      <c r="EL453" s="127"/>
      <c r="EM453" s="128"/>
      <c r="EN453" s="123"/>
      <c r="EO453" s="128"/>
      <c r="EP453" s="13"/>
      <c r="EQ453" s="129"/>
      <c r="ER453" s="123"/>
      <c r="ES453" s="130"/>
      <c r="ET453" s="13"/>
      <c r="EU453" s="123"/>
      <c r="EV453" s="131"/>
    </row>
    <row r="454" spans="35:152">
      <c r="AI454" s="121"/>
      <c r="AJ454" s="13"/>
      <c r="AK454" s="13"/>
      <c r="AL454" s="13"/>
      <c r="AM454" s="13"/>
      <c r="AN454" s="13"/>
      <c r="AO454" s="13"/>
      <c r="AW454" s="121"/>
      <c r="AX454" s="121"/>
      <c r="AY454" s="121"/>
      <c r="AZ454" s="121"/>
      <c r="BA454" s="121"/>
      <c r="BB454" s="121"/>
      <c r="BC454" s="121"/>
      <c r="BD454" s="121"/>
      <c r="BE454" s="121"/>
      <c r="BF454" s="121"/>
      <c r="BG454" s="123"/>
      <c r="BH454" s="127"/>
      <c r="BI454" s="125"/>
      <c r="BJ454" s="126"/>
      <c r="BK454" s="30"/>
      <c r="BL454" s="127"/>
      <c r="BM454" s="128"/>
      <c r="BN454" s="123"/>
      <c r="BO454" s="128"/>
      <c r="BP454" s="13"/>
      <c r="BQ454" s="129"/>
      <c r="BR454" s="123"/>
      <c r="BS454" s="130"/>
      <c r="BT454" s="13"/>
      <c r="BU454" s="123"/>
      <c r="BV454" s="131"/>
      <c r="DI454" s="121"/>
      <c r="DJ454" s="13"/>
      <c r="DK454" s="13"/>
      <c r="DL454" s="13"/>
      <c r="DM454" s="13"/>
      <c r="DN454" s="13"/>
      <c r="DO454" s="13"/>
      <c r="DW454" s="121"/>
      <c r="DX454" s="121"/>
      <c r="DY454" s="121"/>
      <c r="DZ454" s="121"/>
      <c r="EA454" s="121"/>
      <c r="EB454" s="121"/>
      <c r="EC454" s="121"/>
      <c r="ED454" s="121"/>
      <c r="EE454" s="121"/>
      <c r="EF454" s="121"/>
      <c r="EG454" s="123"/>
      <c r="EH454" s="127"/>
      <c r="EI454" s="125"/>
      <c r="EJ454" s="126"/>
      <c r="EK454" s="30"/>
      <c r="EL454" s="127"/>
      <c r="EM454" s="128"/>
      <c r="EN454" s="123"/>
      <c r="EO454" s="128"/>
      <c r="EP454" s="13"/>
      <c r="EQ454" s="129"/>
      <c r="ER454" s="123"/>
      <c r="ES454" s="130"/>
      <c r="ET454" s="13"/>
      <c r="EU454" s="123"/>
      <c r="EV454" s="131"/>
    </row>
    <row r="455" spans="35:152">
      <c r="AI455" s="121"/>
      <c r="AJ455" s="13"/>
      <c r="AK455" s="13"/>
      <c r="AL455" s="13"/>
      <c r="AM455" s="13"/>
      <c r="AN455" s="13"/>
      <c r="AO455" s="13"/>
      <c r="AW455" s="121"/>
      <c r="AX455" s="121"/>
      <c r="AY455" s="121"/>
      <c r="AZ455" s="121"/>
      <c r="BA455" s="121"/>
      <c r="BB455" s="121"/>
      <c r="BC455" s="121"/>
      <c r="BD455" s="121"/>
      <c r="BE455" s="121"/>
      <c r="BF455" s="121"/>
      <c r="BG455" s="123"/>
      <c r="BH455" s="127"/>
      <c r="BI455" s="125"/>
      <c r="BJ455" s="126"/>
      <c r="BK455" s="30"/>
      <c r="BL455" s="127"/>
      <c r="BM455" s="128"/>
      <c r="BN455" s="123"/>
      <c r="BO455" s="128"/>
      <c r="BP455" s="13"/>
      <c r="BQ455" s="129"/>
      <c r="BR455" s="123"/>
      <c r="BS455" s="130"/>
      <c r="BT455" s="13"/>
      <c r="BU455" s="123"/>
      <c r="BV455" s="131"/>
      <c r="DI455" s="121"/>
      <c r="DJ455" s="13"/>
      <c r="DK455" s="13"/>
      <c r="DL455" s="13"/>
      <c r="DM455" s="13"/>
      <c r="DN455" s="13"/>
      <c r="DO455" s="13"/>
      <c r="DW455" s="121"/>
      <c r="DX455" s="121"/>
      <c r="DY455" s="121"/>
      <c r="DZ455" s="121"/>
      <c r="EA455" s="121"/>
      <c r="EB455" s="121"/>
      <c r="EC455" s="121"/>
      <c r="ED455" s="121"/>
      <c r="EE455" s="121"/>
      <c r="EF455" s="121"/>
      <c r="EG455" s="123"/>
      <c r="EH455" s="127"/>
      <c r="EI455" s="125"/>
      <c r="EJ455" s="126"/>
      <c r="EK455" s="30"/>
      <c r="EL455" s="127"/>
      <c r="EM455" s="128"/>
      <c r="EN455" s="123"/>
      <c r="EO455" s="128"/>
      <c r="EP455" s="13"/>
      <c r="EQ455" s="129"/>
      <c r="ER455" s="123"/>
      <c r="ES455" s="130"/>
      <c r="ET455" s="13"/>
      <c r="EU455" s="123"/>
      <c r="EV455" s="131"/>
    </row>
    <row r="456" spans="35:152">
      <c r="AI456" s="121"/>
      <c r="AJ456" s="13"/>
      <c r="AK456" s="13"/>
      <c r="AL456" s="13"/>
      <c r="AM456" s="13"/>
      <c r="AN456" s="13"/>
      <c r="AO456" s="13"/>
      <c r="AW456" s="121"/>
      <c r="AX456" s="121"/>
      <c r="AY456" s="121"/>
      <c r="AZ456" s="121"/>
      <c r="BA456" s="121"/>
      <c r="BB456" s="121"/>
      <c r="BC456" s="121"/>
      <c r="BD456" s="121"/>
      <c r="BE456" s="121"/>
      <c r="BF456" s="121"/>
      <c r="BG456" s="123"/>
      <c r="BH456" s="127"/>
      <c r="BI456" s="125"/>
      <c r="BJ456" s="126"/>
      <c r="BK456" s="30"/>
      <c r="BL456" s="127"/>
      <c r="BM456" s="128"/>
      <c r="BN456" s="123"/>
      <c r="BO456" s="128"/>
      <c r="BP456" s="13"/>
      <c r="BQ456" s="129"/>
      <c r="BR456" s="123"/>
      <c r="BS456" s="130"/>
      <c r="BT456" s="13"/>
      <c r="BU456" s="123"/>
      <c r="BV456" s="131"/>
      <c r="DI456" s="121"/>
      <c r="DJ456" s="13"/>
      <c r="DK456" s="13"/>
      <c r="DL456" s="13"/>
      <c r="DM456" s="13"/>
      <c r="DN456" s="13"/>
      <c r="DO456" s="13"/>
      <c r="DW456" s="121"/>
      <c r="DX456" s="121"/>
      <c r="DY456" s="121"/>
      <c r="DZ456" s="121"/>
      <c r="EA456" s="121"/>
      <c r="EB456" s="121"/>
      <c r="EC456" s="121"/>
      <c r="ED456" s="121"/>
      <c r="EE456" s="121"/>
      <c r="EF456" s="121"/>
      <c r="EG456" s="123"/>
      <c r="EH456" s="127"/>
      <c r="EI456" s="125"/>
      <c r="EJ456" s="126"/>
      <c r="EK456" s="30"/>
      <c r="EL456" s="127"/>
      <c r="EM456" s="128"/>
      <c r="EN456" s="123"/>
      <c r="EO456" s="128"/>
      <c r="EP456" s="13"/>
      <c r="EQ456" s="129"/>
      <c r="ER456" s="123"/>
      <c r="ES456" s="130"/>
      <c r="ET456" s="13"/>
      <c r="EU456" s="123"/>
      <c r="EV456" s="131"/>
    </row>
    <row r="457" spans="35:152">
      <c r="AI457" s="121"/>
      <c r="AJ457" s="13"/>
      <c r="AK457" s="13"/>
      <c r="AL457" s="13"/>
      <c r="AM457" s="13"/>
      <c r="AN457" s="13"/>
      <c r="AO457" s="13"/>
      <c r="AW457" s="121"/>
      <c r="AX457" s="121"/>
      <c r="AY457" s="121"/>
      <c r="AZ457" s="121"/>
      <c r="BA457" s="121"/>
      <c r="BB457" s="121"/>
      <c r="BC457" s="121"/>
      <c r="BD457" s="121"/>
      <c r="BE457" s="121"/>
      <c r="BF457" s="121"/>
      <c r="BG457" s="123"/>
      <c r="BH457" s="127"/>
      <c r="BI457" s="125"/>
      <c r="BJ457" s="126"/>
      <c r="BK457" s="30"/>
      <c r="BL457" s="127"/>
      <c r="BM457" s="128"/>
      <c r="BN457" s="123"/>
      <c r="BO457" s="128"/>
      <c r="BP457" s="13"/>
      <c r="BQ457" s="129"/>
      <c r="BR457" s="123"/>
      <c r="BS457" s="130"/>
      <c r="BT457" s="13"/>
      <c r="BU457" s="123"/>
      <c r="BV457" s="131"/>
      <c r="DI457" s="121"/>
      <c r="DJ457" s="13"/>
      <c r="DK457" s="13"/>
      <c r="DL457" s="13"/>
      <c r="DM457" s="13"/>
      <c r="DN457" s="13"/>
      <c r="DO457" s="13"/>
      <c r="DW457" s="121"/>
      <c r="DX457" s="121"/>
      <c r="DY457" s="121"/>
      <c r="DZ457" s="121"/>
      <c r="EA457" s="121"/>
      <c r="EB457" s="121"/>
      <c r="EC457" s="121"/>
      <c r="ED457" s="121"/>
      <c r="EE457" s="121"/>
      <c r="EF457" s="121"/>
      <c r="EG457" s="123"/>
      <c r="EH457" s="127"/>
      <c r="EI457" s="125"/>
      <c r="EJ457" s="126"/>
      <c r="EK457" s="30"/>
      <c r="EL457" s="127"/>
      <c r="EM457" s="128"/>
      <c r="EN457" s="123"/>
      <c r="EO457" s="128"/>
      <c r="EP457" s="13"/>
      <c r="EQ457" s="129"/>
      <c r="ER457" s="123"/>
      <c r="ES457" s="130"/>
      <c r="ET457" s="13"/>
      <c r="EU457" s="123"/>
      <c r="EV457" s="131"/>
    </row>
    <row r="458" spans="35:152">
      <c r="AI458" s="121"/>
      <c r="AJ458" s="13"/>
      <c r="AK458" s="13"/>
      <c r="AL458" s="13"/>
      <c r="AM458" s="13"/>
      <c r="AN458" s="13"/>
      <c r="AO458" s="13"/>
      <c r="AW458" s="121"/>
      <c r="AX458" s="121"/>
      <c r="AY458" s="121"/>
      <c r="AZ458" s="121"/>
      <c r="BA458" s="121"/>
      <c r="BB458" s="121"/>
      <c r="BC458" s="121"/>
      <c r="BD458" s="121"/>
      <c r="BE458" s="121"/>
      <c r="BF458" s="121"/>
      <c r="BG458" s="123"/>
      <c r="BH458" s="127"/>
      <c r="BI458" s="125"/>
      <c r="BJ458" s="126"/>
      <c r="BK458" s="30"/>
      <c r="BL458" s="127"/>
      <c r="BM458" s="128"/>
      <c r="BN458" s="123"/>
      <c r="BO458" s="128"/>
      <c r="BP458" s="13"/>
      <c r="BQ458" s="129"/>
      <c r="BR458" s="123"/>
      <c r="BS458" s="130"/>
      <c r="BT458" s="13"/>
      <c r="BU458" s="123"/>
      <c r="BV458" s="131"/>
      <c r="DI458" s="121"/>
      <c r="DJ458" s="13"/>
      <c r="DK458" s="13"/>
      <c r="DL458" s="13"/>
      <c r="DM458" s="13"/>
      <c r="DN458" s="13"/>
      <c r="DO458" s="13"/>
      <c r="DW458" s="121"/>
      <c r="DX458" s="121"/>
      <c r="DY458" s="121"/>
      <c r="DZ458" s="121"/>
      <c r="EA458" s="121"/>
      <c r="EB458" s="121"/>
      <c r="EC458" s="121"/>
      <c r="ED458" s="121"/>
      <c r="EE458" s="121"/>
      <c r="EF458" s="121"/>
      <c r="EG458" s="123"/>
      <c r="EH458" s="127"/>
      <c r="EI458" s="125"/>
      <c r="EJ458" s="126"/>
      <c r="EK458" s="30"/>
      <c r="EL458" s="127"/>
      <c r="EM458" s="128"/>
      <c r="EN458" s="123"/>
      <c r="EO458" s="128"/>
      <c r="EP458" s="13"/>
      <c r="EQ458" s="129"/>
      <c r="ER458" s="123"/>
      <c r="ES458" s="130"/>
      <c r="ET458" s="13"/>
      <c r="EU458" s="123"/>
      <c r="EV458" s="131"/>
    </row>
    <row r="459" spans="35:152">
      <c r="AI459" s="121"/>
      <c r="AJ459" s="13"/>
      <c r="AK459" s="13"/>
      <c r="AL459" s="13"/>
      <c r="AM459" s="13"/>
      <c r="AN459" s="13"/>
      <c r="AO459" s="13"/>
      <c r="AW459" s="121"/>
      <c r="AX459" s="121"/>
      <c r="AY459" s="121"/>
      <c r="AZ459" s="121"/>
      <c r="BA459" s="121"/>
      <c r="BB459" s="121"/>
      <c r="BC459" s="121"/>
      <c r="BD459" s="121"/>
      <c r="BE459" s="121"/>
      <c r="BF459" s="121"/>
      <c r="BG459" s="123"/>
      <c r="BH459" s="127"/>
      <c r="BI459" s="125"/>
      <c r="BJ459" s="126"/>
      <c r="BK459" s="30"/>
      <c r="BL459" s="127"/>
      <c r="BM459" s="128"/>
      <c r="BN459" s="123"/>
      <c r="BO459" s="128"/>
      <c r="BP459" s="13"/>
      <c r="BQ459" s="129"/>
      <c r="BR459" s="123"/>
      <c r="BS459" s="130"/>
      <c r="BT459" s="13"/>
      <c r="BU459" s="123"/>
      <c r="BV459" s="131"/>
      <c r="DI459" s="121"/>
      <c r="DJ459" s="13"/>
      <c r="DK459" s="13"/>
      <c r="DL459" s="13"/>
      <c r="DM459" s="13"/>
      <c r="DN459" s="13"/>
      <c r="DO459" s="13"/>
      <c r="DW459" s="121"/>
      <c r="DX459" s="121"/>
      <c r="DY459" s="121"/>
      <c r="DZ459" s="121"/>
      <c r="EA459" s="121"/>
      <c r="EB459" s="121"/>
      <c r="EC459" s="121"/>
      <c r="ED459" s="121"/>
      <c r="EE459" s="121"/>
      <c r="EF459" s="121"/>
      <c r="EG459" s="123"/>
      <c r="EH459" s="127"/>
      <c r="EI459" s="125"/>
      <c r="EJ459" s="126"/>
      <c r="EK459" s="30"/>
      <c r="EL459" s="127"/>
      <c r="EM459" s="128"/>
      <c r="EN459" s="123"/>
      <c r="EO459" s="128"/>
      <c r="EP459" s="13"/>
      <c r="EQ459" s="129"/>
      <c r="ER459" s="123"/>
      <c r="ES459" s="130"/>
      <c r="ET459" s="13"/>
      <c r="EU459" s="123"/>
      <c r="EV459" s="131"/>
    </row>
    <row r="460" spans="35:152">
      <c r="AI460" s="121"/>
      <c r="AJ460" s="13"/>
      <c r="AK460" s="13"/>
      <c r="AL460" s="13"/>
      <c r="AM460" s="13"/>
      <c r="AN460" s="13"/>
      <c r="AO460" s="13"/>
      <c r="AW460" s="121"/>
      <c r="AX460" s="121"/>
      <c r="AY460" s="121"/>
      <c r="AZ460" s="121"/>
      <c r="BA460" s="121"/>
      <c r="BB460" s="121"/>
      <c r="BC460" s="121"/>
      <c r="BD460" s="121"/>
      <c r="BE460" s="121"/>
      <c r="BF460" s="121"/>
      <c r="BG460" s="123"/>
      <c r="BH460" s="127"/>
      <c r="BI460" s="125"/>
      <c r="BJ460" s="126"/>
      <c r="BK460" s="30"/>
      <c r="BL460" s="127"/>
      <c r="BM460" s="128"/>
      <c r="BN460" s="123"/>
      <c r="BO460" s="128"/>
      <c r="BP460" s="13"/>
      <c r="BQ460" s="129"/>
      <c r="BR460" s="123"/>
      <c r="BS460" s="130"/>
      <c r="BT460" s="13"/>
      <c r="BU460" s="123"/>
      <c r="BV460" s="131"/>
      <c r="DI460" s="121"/>
      <c r="DJ460" s="13"/>
      <c r="DK460" s="13"/>
      <c r="DL460" s="13"/>
      <c r="DM460" s="13"/>
      <c r="DN460" s="13"/>
      <c r="DO460" s="13"/>
      <c r="DW460" s="121"/>
      <c r="DX460" s="121"/>
      <c r="DY460" s="121"/>
      <c r="DZ460" s="121"/>
      <c r="EA460" s="121"/>
      <c r="EB460" s="121"/>
      <c r="EC460" s="121"/>
      <c r="ED460" s="121"/>
      <c r="EE460" s="121"/>
      <c r="EF460" s="121"/>
      <c r="EG460" s="123"/>
      <c r="EH460" s="127"/>
      <c r="EI460" s="125"/>
      <c r="EJ460" s="126"/>
      <c r="EK460" s="30"/>
      <c r="EL460" s="127"/>
      <c r="EM460" s="128"/>
      <c r="EN460" s="123"/>
      <c r="EO460" s="128"/>
      <c r="EP460" s="13"/>
      <c r="EQ460" s="129"/>
      <c r="ER460" s="123"/>
      <c r="ES460" s="130"/>
      <c r="ET460" s="13"/>
      <c r="EU460" s="123"/>
      <c r="EV460" s="131"/>
    </row>
    <row r="461" spans="35:152">
      <c r="AI461" s="121"/>
      <c r="AJ461" s="13"/>
      <c r="AK461" s="13"/>
      <c r="AL461" s="13"/>
      <c r="AM461" s="13"/>
      <c r="AN461" s="13"/>
      <c r="AO461" s="13"/>
      <c r="AW461" s="121"/>
      <c r="AX461" s="121"/>
      <c r="AY461" s="121"/>
      <c r="AZ461" s="121"/>
      <c r="BA461" s="121"/>
      <c r="BB461" s="121"/>
      <c r="BC461" s="121"/>
      <c r="BD461" s="121"/>
      <c r="BE461" s="121"/>
      <c r="BF461" s="121"/>
      <c r="BG461" s="123"/>
      <c r="BH461" s="127"/>
      <c r="BI461" s="125"/>
      <c r="BJ461" s="126"/>
      <c r="BK461" s="30"/>
      <c r="BL461" s="127"/>
      <c r="BM461" s="128"/>
      <c r="BN461" s="123"/>
      <c r="BO461" s="128"/>
      <c r="BP461" s="13"/>
      <c r="BQ461" s="129"/>
      <c r="BR461" s="123"/>
      <c r="BS461" s="130"/>
      <c r="BT461" s="13"/>
      <c r="BU461" s="123"/>
      <c r="BV461" s="131"/>
      <c r="DI461" s="121"/>
      <c r="DJ461" s="13"/>
      <c r="DK461" s="13"/>
      <c r="DL461" s="13"/>
      <c r="DM461" s="13"/>
      <c r="DN461" s="13"/>
      <c r="DO461" s="13"/>
      <c r="DW461" s="121"/>
      <c r="DX461" s="121"/>
      <c r="DY461" s="121"/>
      <c r="DZ461" s="121"/>
      <c r="EA461" s="121"/>
      <c r="EB461" s="121"/>
      <c r="EC461" s="121"/>
      <c r="ED461" s="121"/>
      <c r="EE461" s="121"/>
      <c r="EF461" s="121"/>
      <c r="EG461" s="123"/>
      <c r="EH461" s="127"/>
      <c r="EI461" s="125"/>
      <c r="EJ461" s="126"/>
      <c r="EK461" s="30"/>
      <c r="EL461" s="127"/>
      <c r="EM461" s="128"/>
      <c r="EN461" s="123"/>
      <c r="EO461" s="128"/>
      <c r="EP461" s="13"/>
      <c r="EQ461" s="129"/>
      <c r="ER461" s="123"/>
      <c r="ES461" s="130"/>
      <c r="ET461" s="13"/>
      <c r="EU461" s="123"/>
      <c r="EV461" s="131"/>
    </row>
    <row r="462" spans="35:152">
      <c r="AI462" s="121"/>
      <c r="AJ462" s="13"/>
      <c r="AK462" s="13"/>
      <c r="AL462" s="13"/>
      <c r="AM462" s="13"/>
      <c r="AN462" s="13"/>
      <c r="AO462" s="13"/>
      <c r="AW462" s="121"/>
      <c r="AX462" s="121"/>
      <c r="AY462" s="121"/>
      <c r="AZ462" s="121"/>
      <c r="BA462" s="121"/>
      <c r="BB462" s="121"/>
      <c r="BC462" s="121"/>
      <c r="BD462" s="121"/>
      <c r="BE462" s="121"/>
      <c r="BF462" s="121"/>
      <c r="BG462" s="123"/>
      <c r="BH462" s="127"/>
      <c r="BI462" s="125"/>
      <c r="BJ462" s="126"/>
      <c r="BK462" s="30"/>
      <c r="BL462" s="127"/>
      <c r="BM462" s="128"/>
      <c r="BN462" s="123"/>
      <c r="BO462" s="128"/>
      <c r="BP462" s="13"/>
      <c r="BQ462" s="129"/>
      <c r="BR462" s="123"/>
      <c r="BS462" s="130"/>
      <c r="BT462" s="13"/>
      <c r="BU462" s="123"/>
      <c r="BV462" s="131"/>
      <c r="DI462" s="121"/>
      <c r="DJ462" s="13"/>
      <c r="DK462" s="13"/>
      <c r="DL462" s="13"/>
      <c r="DM462" s="13"/>
      <c r="DN462" s="13"/>
      <c r="DO462" s="13"/>
      <c r="DW462" s="121"/>
      <c r="DX462" s="121"/>
      <c r="DY462" s="121"/>
      <c r="DZ462" s="121"/>
      <c r="EA462" s="121"/>
      <c r="EB462" s="121"/>
      <c r="EC462" s="121"/>
      <c r="ED462" s="121"/>
      <c r="EE462" s="121"/>
      <c r="EF462" s="121"/>
      <c r="EG462" s="123"/>
      <c r="EH462" s="127"/>
      <c r="EI462" s="125"/>
      <c r="EJ462" s="126"/>
      <c r="EK462" s="30"/>
      <c r="EL462" s="127"/>
      <c r="EM462" s="128"/>
      <c r="EN462" s="123"/>
      <c r="EO462" s="128"/>
      <c r="EP462" s="13"/>
      <c r="EQ462" s="129"/>
      <c r="ER462" s="123"/>
      <c r="ES462" s="130"/>
      <c r="ET462" s="13"/>
      <c r="EU462" s="123"/>
      <c r="EV462" s="131"/>
    </row>
    <row r="463" spans="35:152">
      <c r="AI463" s="121"/>
      <c r="AJ463" s="13"/>
      <c r="AK463" s="13"/>
      <c r="AL463" s="13"/>
      <c r="AM463" s="13"/>
      <c r="AN463" s="13"/>
      <c r="AO463" s="13"/>
      <c r="AW463" s="121"/>
      <c r="AX463" s="121"/>
      <c r="AY463" s="121"/>
      <c r="AZ463" s="121"/>
      <c r="BA463" s="121"/>
      <c r="BB463" s="121"/>
      <c r="BC463" s="121"/>
      <c r="BD463" s="121"/>
      <c r="BE463" s="121"/>
      <c r="BF463" s="121"/>
      <c r="BG463" s="123"/>
      <c r="BH463" s="127"/>
      <c r="BI463" s="125"/>
      <c r="BJ463" s="126"/>
      <c r="BK463" s="30"/>
      <c r="BL463" s="127"/>
      <c r="BM463" s="128"/>
      <c r="BN463" s="123"/>
      <c r="BO463" s="128"/>
      <c r="BP463" s="13"/>
      <c r="BQ463" s="129"/>
      <c r="BR463" s="123"/>
      <c r="BS463" s="130"/>
      <c r="BT463" s="13"/>
      <c r="BU463" s="123"/>
      <c r="BV463" s="131"/>
      <c r="DI463" s="121"/>
      <c r="DJ463" s="13"/>
      <c r="DK463" s="13"/>
      <c r="DL463" s="13"/>
      <c r="DM463" s="13"/>
      <c r="DN463" s="13"/>
      <c r="DO463" s="13"/>
      <c r="DW463" s="121"/>
      <c r="DX463" s="121"/>
      <c r="DY463" s="121"/>
      <c r="DZ463" s="121"/>
      <c r="EA463" s="121"/>
      <c r="EB463" s="121"/>
      <c r="EC463" s="121"/>
      <c r="ED463" s="121"/>
      <c r="EE463" s="121"/>
      <c r="EF463" s="121"/>
      <c r="EG463" s="123"/>
      <c r="EH463" s="127"/>
      <c r="EI463" s="125"/>
      <c r="EJ463" s="126"/>
      <c r="EK463" s="30"/>
      <c r="EL463" s="127"/>
      <c r="EM463" s="128"/>
      <c r="EN463" s="123"/>
      <c r="EO463" s="128"/>
      <c r="EP463" s="13"/>
      <c r="EQ463" s="129"/>
      <c r="ER463" s="123"/>
      <c r="ES463" s="130"/>
      <c r="ET463" s="13"/>
      <c r="EU463" s="123"/>
      <c r="EV463" s="131"/>
    </row>
    <row r="464" spans="35:152">
      <c r="AI464" s="121"/>
      <c r="AJ464" s="13"/>
      <c r="AK464" s="13"/>
      <c r="AL464" s="13"/>
      <c r="AM464" s="13"/>
      <c r="AN464" s="13"/>
      <c r="AO464" s="13"/>
      <c r="AW464" s="121"/>
      <c r="AX464" s="121"/>
      <c r="AY464" s="121"/>
      <c r="AZ464" s="121"/>
      <c r="BA464" s="121"/>
      <c r="BB464" s="121"/>
      <c r="BC464" s="121"/>
      <c r="BD464" s="121"/>
      <c r="BE464" s="121"/>
      <c r="BF464" s="121"/>
      <c r="BG464" s="123"/>
      <c r="BH464" s="127"/>
      <c r="BI464" s="125"/>
      <c r="BJ464" s="126"/>
      <c r="BK464" s="30"/>
      <c r="BL464" s="127"/>
      <c r="BM464" s="128"/>
      <c r="BN464" s="123"/>
      <c r="BO464" s="128"/>
      <c r="BP464" s="13"/>
      <c r="BQ464" s="129"/>
      <c r="BR464" s="123"/>
      <c r="BS464" s="130"/>
      <c r="BT464" s="13"/>
      <c r="BU464" s="123"/>
      <c r="BV464" s="131"/>
      <c r="DI464" s="121"/>
      <c r="DJ464" s="13"/>
      <c r="DK464" s="13"/>
      <c r="DL464" s="13"/>
      <c r="DM464" s="13"/>
      <c r="DN464" s="13"/>
      <c r="DO464" s="13"/>
      <c r="DW464" s="121"/>
      <c r="DX464" s="121"/>
      <c r="DY464" s="121"/>
      <c r="DZ464" s="121"/>
      <c r="EA464" s="121"/>
      <c r="EB464" s="121"/>
      <c r="EC464" s="121"/>
      <c r="ED464" s="121"/>
      <c r="EE464" s="121"/>
      <c r="EF464" s="121"/>
      <c r="EG464" s="123"/>
      <c r="EH464" s="127"/>
      <c r="EI464" s="125"/>
      <c r="EJ464" s="126"/>
      <c r="EK464" s="30"/>
      <c r="EL464" s="127"/>
      <c r="EM464" s="128"/>
      <c r="EN464" s="123"/>
      <c r="EO464" s="128"/>
      <c r="EP464" s="13"/>
      <c r="EQ464" s="129"/>
      <c r="ER464" s="123"/>
      <c r="ES464" s="130"/>
      <c r="ET464" s="13"/>
      <c r="EU464" s="123"/>
      <c r="EV464" s="131"/>
    </row>
    <row r="465" spans="35:152">
      <c r="AI465" s="121"/>
      <c r="AJ465" s="13"/>
      <c r="AK465" s="13"/>
      <c r="AL465" s="13"/>
      <c r="AM465" s="13"/>
      <c r="AN465" s="13"/>
      <c r="AO465" s="13"/>
      <c r="AW465" s="121"/>
      <c r="AX465" s="121"/>
      <c r="AY465" s="121"/>
      <c r="AZ465" s="121"/>
      <c r="BA465" s="121"/>
      <c r="BB465" s="121"/>
      <c r="BC465" s="121"/>
      <c r="BD465" s="121"/>
      <c r="BE465" s="121"/>
      <c r="BF465" s="121"/>
      <c r="BG465" s="123"/>
      <c r="BH465" s="127"/>
      <c r="BI465" s="125"/>
      <c r="BJ465" s="126"/>
      <c r="BK465" s="30"/>
      <c r="BL465" s="127"/>
      <c r="BM465" s="128"/>
      <c r="BN465" s="123"/>
      <c r="BO465" s="128"/>
      <c r="BP465" s="13"/>
      <c r="BQ465" s="129"/>
      <c r="BR465" s="123"/>
      <c r="BS465" s="130"/>
      <c r="BT465" s="13"/>
      <c r="BU465" s="123"/>
      <c r="BV465" s="131"/>
      <c r="DI465" s="121"/>
      <c r="DJ465" s="13"/>
      <c r="DK465" s="13"/>
      <c r="DL465" s="13"/>
      <c r="DM465" s="13"/>
      <c r="DN465" s="13"/>
      <c r="DO465" s="13"/>
      <c r="DW465" s="121"/>
      <c r="DX465" s="121"/>
      <c r="DY465" s="121"/>
      <c r="DZ465" s="121"/>
      <c r="EA465" s="121"/>
      <c r="EB465" s="121"/>
      <c r="EC465" s="121"/>
      <c r="ED465" s="121"/>
      <c r="EE465" s="121"/>
      <c r="EF465" s="121"/>
      <c r="EG465" s="123"/>
      <c r="EH465" s="127"/>
      <c r="EI465" s="125"/>
      <c r="EJ465" s="126"/>
      <c r="EK465" s="30"/>
      <c r="EL465" s="127"/>
      <c r="EM465" s="128"/>
      <c r="EN465" s="123"/>
      <c r="EO465" s="128"/>
      <c r="EP465" s="13"/>
      <c r="EQ465" s="129"/>
      <c r="ER465" s="123"/>
      <c r="ES465" s="130"/>
      <c r="ET465" s="13"/>
      <c r="EU465" s="123"/>
      <c r="EV465" s="131"/>
    </row>
    <row r="466" spans="35:152">
      <c r="AI466" s="121"/>
      <c r="AJ466" s="13"/>
      <c r="AK466" s="13"/>
      <c r="AL466" s="13"/>
      <c r="AM466" s="13"/>
      <c r="AN466" s="13"/>
      <c r="AO466" s="13"/>
      <c r="AW466" s="121"/>
      <c r="AX466" s="121"/>
      <c r="AY466" s="121"/>
      <c r="AZ466" s="121"/>
      <c r="BA466" s="121"/>
      <c r="BB466" s="121"/>
      <c r="BC466" s="121"/>
      <c r="BD466" s="121"/>
      <c r="BE466" s="121"/>
      <c r="BF466" s="121"/>
      <c r="BG466" s="123"/>
      <c r="BH466" s="127"/>
      <c r="BI466" s="125"/>
      <c r="BJ466" s="126"/>
      <c r="BK466" s="30"/>
      <c r="BL466" s="127"/>
      <c r="BM466" s="128"/>
      <c r="BN466" s="123"/>
      <c r="BO466" s="128"/>
      <c r="BP466" s="13"/>
      <c r="BQ466" s="129"/>
      <c r="BR466" s="123"/>
      <c r="BS466" s="130"/>
      <c r="BT466" s="13"/>
      <c r="BU466" s="123"/>
      <c r="BV466" s="131"/>
      <c r="DI466" s="121"/>
      <c r="DJ466" s="13"/>
      <c r="DK466" s="13"/>
      <c r="DL466" s="13"/>
      <c r="DM466" s="13"/>
      <c r="DN466" s="13"/>
      <c r="DO466" s="13"/>
      <c r="DW466" s="121"/>
      <c r="DX466" s="121"/>
      <c r="DY466" s="121"/>
      <c r="DZ466" s="121"/>
      <c r="EA466" s="121"/>
      <c r="EB466" s="121"/>
      <c r="EC466" s="121"/>
      <c r="ED466" s="121"/>
      <c r="EE466" s="121"/>
      <c r="EF466" s="121"/>
      <c r="EG466" s="123"/>
      <c r="EH466" s="127"/>
      <c r="EI466" s="125"/>
      <c r="EJ466" s="126"/>
      <c r="EK466" s="30"/>
      <c r="EL466" s="127"/>
      <c r="EM466" s="128"/>
      <c r="EN466" s="123"/>
      <c r="EO466" s="128"/>
      <c r="EP466" s="13"/>
      <c r="EQ466" s="129"/>
      <c r="ER466" s="123"/>
      <c r="ES466" s="130"/>
      <c r="ET466" s="13"/>
      <c r="EU466" s="123"/>
      <c r="EV466" s="131"/>
    </row>
    <row r="467" spans="35:152">
      <c r="AI467" s="121"/>
      <c r="AJ467" s="13"/>
      <c r="AK467" s="13"/>
      <c r="AL467" s="13"/>
      <c r="AM467" s="13"/>
      <c r="AN467" s="13"/>
      <c r="AO467" s="13"/>
      <c r="AW467" s="121"/>
      <c r="AX467" s="121"/>
      <c r="AY467" s="121"/>
      <c r="AZ467" s="121"/>
      <c r="BA467" s="121"/>
      <c r="BB467" s="121"/>
      <c r="BC467" s="121"/>
      <c r="BD467" s="121"/>
      <c r="BE467" s="121"/>
      <c r="BF467" s="121"/>
      <c r="BG467" s="123"/>
      <c r="BH467" s="127"/>
      <c r="BI467" s="125"/>
      <c r="BJ467" s="126"/>
      <c r="BK467" s="30"/>
      <c r="BL467" s="127"/>
      <c r="BM467" s="128"/>
      <c r="BN467" s="123"/>
      <c r="BO467" s="128"/>
      <c r="BP467" s="13"/>
      <c r="BQ467" s="129"/>
      <c r="BR467" s="123"/>
      <c r="BS467" s="130"/>
      <c r="BT467" s="13"/>
      <c r="BU467" s="123"/>
      <c r="BV467" s="131"/>
      <c r="DI467" s="121"/>
      <c r="DJ467" s="13"/>
      <c r="DK467" s="13"/>
      <c r="DL467" s="13"/>
      <c r="DM467" s="13"/>
      <c r="DN467" s="13"/>
      <c r="DO467" s="13"/>
      <c r="DW467" s="121"/>
      <c r="DX467" s="121"/>
      <c r="DY467" s="121"/>
      <c r="DZ467" s="121"/>
      <c r="EA467" s="121"/>
      <c r="EB467" s="121"/>
      <c r="EC467" s="121"/>
      <c r="ED467" s="121"/>
      <c r="EE467" s="121"/>
      <c r="EF467" s="121"/>
      <c r="EG467" s="123"/>
      <c r="EH467" s="127"/>
      <c r="EI467" s="125"/>
      <c r="EJ467" s="126"/>
      <c r="EK467" s="30"/>
      <c r="EL467" s="127"/>
      <c r="EM467" s="128"/>
      <c r="EN467" s="123"/>
      <c r="EO467" s="128"/>
      <c r="EP467" s="13"/>
      <c r="EQ467" s="129"/>
      <c r="ER467" s="123"/>
      <c r="ES467" s="130"/>
      <c r="ET467" s="13"/>
      <c r="EU467" s="123"/>
      <c r="EV467" s="131"/>
    </row>
    <row r="468" spans="35:152">
      <c r="AI468" s="121"/>
      <c r="AJ468" s="13"/>
      <c r="AK468" s="13"/>
      <c r="AL468" s="13"/>
      <c r="AM468" s="13"/>
      <c r="AN468" s="13"/>
      <c r="AO468" s="13"/>
      <c r="AW468" s="121"/>
      <c r="AX468" s="121"/>
      <c r="AY468" s="121"/>
      <c r="AZ468" s="121"/>
      <c r="BA468" s="121"/>
      <c r="BB468" s="121"/>
      <c r="BC468" s="121"/>
      <c r="BD468" s="121"/>
      <c r="BE468" s="121"/>
      <c r="BF468" s="121"/>
      <c r="BG468" s="123"/>
      <c r="BH468" s="127"/>
      <c r="BI468" s="125"/>
      <c r="BJ468" s="126"/>
      <c r="BK468" s="30"/>
      <c r="BL468" s="127"/>
      <c r="BM468" s="128"/>
      <c r="BN468" s="123"/>
      <c r="BO468" s="128"/>
      <c r="BP468" s="13"/>
      <c r="BQ468" s="129"/>
      <c r="BR468" s="123"/>
      <c r="BS468" s="130"/>
      <c r="BT468" s="13"/>
      <c r="BU468" s="123"/>
      <c r="BV468" s="131"/>
      <c r="DI468" s="121"/>
      <c r="DJ468" s="13"/>
      <c r="DK468" s="13"/>
      <c r="DL468" s="13"/>
      <c r="DM468" s="13"/>
      <c r="DN468" s="13"/>
      <c r="DO468" s="13"/>
      <c r="DW468" s="121"/>
      <c r="DX468" s="121"/>
      <c r="DY468" s="121"/>
      <c r="DZ468" s="121"/>
      <c r="EA468" s="121"/>
      <c r="EB468" s="121"/>
      <c r="EC468" s="121"/>
      <c r="ED468" s="121"/>
      <c r="EE468" s="121"/>
      <c r="EF468" s="121"/>
      <c r="EG468" s="123"/>
      <c r="EH468" s="127"/>
      <c r="EI468" s="125"/>
      <c r="EJ468" s="126"/>
      <c r="EK468" s="30"/>
      <c r="EL468" s="127"/>
      <c r="EM468" s="128"/>
      <c r="EN468" s="123"/>
      <c r="EO468" s="128"/>
      <c r="EP468" s="13"/>
      <c r="EQ468" s="129"/>
      <c r="ER468" s="123"/>
      <c r="ES468" s="130"/>
      <c r="ET468" s="13"/>
      <c r="EU468" s="123"/>
      <c r="EV468" s="131"/>
    </row>
    <row r="469" spans="35:152">
      <c r="AI469" s="121"/>
      <c r="AJ469" s="13"/>
      <c r="AK469" s="13"/>
      <c r="AL469" s="13"/>
      <c r="AM469" s="13"/>
      <c r="AN469" s="13"/>
      <c r="AO469" s="13"/>
      <c r="AW469" s="121"/>
      <c r="AX469" s="121"/>
      <c r="AY469" s="121"/>
      <c r="AZ469" s="121"/>
      <c r="BA469" s="121"/>
      <c r="BB469" s="121"/>
      <c r="BC469" s="121"/>
      <c r="BD469" s="121"/>
      <c r="BE469" s="121"/>
      <c r="BF469" s="121"/>
      <c r="BG469" s="123"/>
      <c r="BH469" s="127"/>
      <c r="BI469" s="125"/>
      <c r="BJ469" s="126"/>
      <c r="BK469" s="30"/>
      <c r="BL469" s="127"/>
      <c r="BM469" s="128"/>
      <c r="BN469" s="123"/>
      <c r="BO469" s="128"/>
      <c r="BP469" s="13"/>
      <c r="BQ469" s="129"/>
      <c r="BR469" s="123"/>
      <c r="BS469" s="130"/>
      <c r="BT469" s="13"/>
      <c r="BU469" s="123"/>
      <c r="BV469" s="131"/>
      <c r="DI469" s="121"/>
      <c r="DJ469" s="13"/>
      <c r="DK469" s="13"/>
      <c r="DL469" s="13"/>
      <c r="DM469" s="13"/>
      <c r="DN469" s="13"/>
      <c r="DO469" s="13"/>
      <c r="DW469" s="121"/>
      <c r="DX469" s="121"/>
      <c r="DY469" s="121"/>
      <c r="DZ469" s="121"/>
      <c r="EA469" s="121"/>
      <c r="EB469" s="121"/>
      <c r="EC469" s="121"/>
      <c r="ED469" s="121"/>
      <c r="EE469" s="121"/>
      <c r="EF469" s="121"/>
      <c r="EG469" s="123"/>
      <c r="EH469" s="127"/>
      <c r="EI469" s="125"/>
      <c r="EJ469" s="126"/>
      <c r="EK469" s="30"/>
      <c r="EL469" s="127"/>
      <c r="EM469" s="128"/>
      <c r="EN469" s="123"/>
      <c r="EO469" s="128"/>
      <c r="EP469" s="13"/>
      <c r="EQ469" s="129"/>
      <c r="ER469" s="123"/>
      <c r="ES469" s="130"/>
      <c r="ET469" s="13"/>
      <c r="EU469" s="123"/>
      <c r="EV469" s="131"/>
    </row>
    <row r="470" spans="35:152">
      <c r="AI470" s="121"/>
      <c r="AJ470" s="13"/>
      <c r="AK470" s="13"/>
      <c r="AL470" s="13"/>
      <c r="AM470" s="13"/>
      <c r="AN470" s="13"/>
      <c r="AO470" s="13"/>
      <c r="AW470" s="121"/>
      <c r="AX470" s="121"/>
      <c r="AY470" s="121"/>
      <c r="AZ470" s="121"/>
      <c r="BA470" s="121"/>
      <c r="BB470" s="121"/>
      <c r="BC470" s="121"/>
      <c r="BD470" s="121"/>
      <c r="BE470" s="121"/>
      <c r="BF470" s="121"/>
      <c r="BG470" s="123"/>
      <c r="BH470" s="127"/>
      <c r="BI470" s="125"/>
      <c r="BJ470" s="126"/>
      <c r="BK470" s="30"/>
      <c r="BL470" s="127"/>
      <c r="BM470" s="128"/>
      <c r="BN470" s="123"/>
      <c r="BO470" s="128"/>
      <c r="BP470" s="13"/>
      <c r="BQ470" s="129"/>
      <c r="BR470" s="123"/>
      <c r="BS470" s="130"/>
      <c r="BT470" s="13"/>
      <c r="BU470" s="123"/>
      <c r="BV470" s="131"/>
      <c r="DI470" s="121"/>
      <c r="DJ470" s="13"/>
      <c r="DK470" s="13"/>
      <c r="DL470" s="13"/>
      <c r="DM470" s="13"/>
      <c r="DN470" s="13"/>
      <c r="DO470" s="13"/>
      <c r="DW470" s="121"/>
      <c r="DX470" s="121"/>
      <c r="DY470" s="121"/>
      <c r="DZ470" s="121"/>
      <c r="EA470" s="121"/>
      <c r="EB470" s="121"/>
      <c r="EC470" s="121"/>
      <c r="ED470" s="121"/>
      <c r="EE470" s="121"/>
      <c r="EF470" s="121"/>
      <c r="EG470" s="123"/>
      <c r="EH470" s="127"/>
      <c r="EI470" s="125"/>
      <c r="EJ470" s="126"/>
      <c r="EK470" s="30"/>
      <c r="EL470" s="127"/>
      <c r="EM470" s="128"/>
      <c r="EN470" s="123"/>
      <c r="EO470" s="128"/>
      <c r="EP470" s="13"/>
      <c r="EQ470" s="129"/>
      <c r="ER470" s="123"/>
      <c r="ES470" s="130"/>
      <c r="ET470" s="13"/>
      <c r="EU470" s="123"/>
      <c r="EV470" s="131"/>
    </row>
    <row r="471" spans="35:152">
      <c r="AI471" s="121"/>
      <c r="AJ471" s="13"/>
      <c r="AK471" s="13"/>
      <c r="AL471" s="13"/>
      <c r="AM471" s="13"/>
      <c r="AN471" s="13"/>
      <c r="AO471" s="13"/>
      <c r="AW471" s="121"/>
      <c r="AX471" s="121"/>
      <c r="AY471" s="121"/>
      <c r="AZ471" s="121"/>
      <c r="BA471" s="121"/>
      <c r="BB471" s="121"/>
      <c r="BC471" s="121"/>
      <c r="BD471" s="121"/>
      <c r="BE471" s="121"/>
      <c r="BF471" s="121"/>
      <c r="BG471" s="123"/>
      <c r="BH471" s="127"/>
      <c r="BI471" s="125"/>
      <c r="BJ471" s="126"/>
      <c r="BK471" s="30"/>
      <c r="BL471" s="127"/>
      <c r="BM471" s="128"/>
      <c r="BN471" s="123"/>
      <c r="BO471" s="128"/>
      <c r="BP471" s="13"/>
      <c r="BQ471" s="129"/>
      <c r="BR471" s="123"/>
      <c r="BS471" s="130"/>
      <c r="BT471" s="13"/>
      <c r="BU471" s="123"/>
      <c r="BV471" s="131"/>
      <c r="DI471" s="121"/>
      <c r="DJ471" s="13"/>
      <c r="DK471" s="13"/>
      <c r="DL471" s="13"/>
      <c r="DM471" s="13"/>
      <c r="DN471" s="13"/>
      <c r="DO471" s="13"/>
      <c r="DW471" s="121"/>
      <c r="DX471" s="121"/>
      <c r="DY471" s="121"/>
      <c r="DZ471" s="121"/>
      <c r="EA471" s="121"/>
      <c r="EB471" s="121"/>
      <c r="EC471" s="121"/>
      <c r="ED471" s="121"/>
      <c r="EE471" s="121"/>
      <c r="EF471" s="121"/>
      <c r="EG471" s="123"/>
      <c r="EH471" s="127"/>
      <c r="EI471" s="125"/>
      <c r="EJ471" s="126"/>
      <c r="EK471" s="30"/>
      <c r="EL471" s="127"/>
      <c r="EM471" s="128"/>
      <c r="EN471" s="123"/>
      <c r="EO471" s="128"/>
      <c r="EP471" s="13"/>
      <c r="EQ471" s="129"/>
      <c r="ER471" s="123"/>
      <c r="ES471" s="130"/>
      <c r="ET471" s="13"/>
      <c r="EU471" s="123"/>
      <c r="EV471" s="131"/>
    </row>
    <row r="472" spans="35:152">
      <c r="AI472" s="121"/>
      <c r="AJ472" s="13"/>
      <c r="AK472" s="13"/>
      <c r="AL472" s="13"/>
      <c r="AM472" s="13"/>
      <c r="AN472" s="13"/>
      <c r="AO472" s="13"/>
      <c r="AW472" s="121"/>
      <c r="AX472" s="121"/>
      <c r="AY472" s="121"/>
      <c r="AZ472" s="121"/>
      <c r="BA472" s="121"/>
      <c r="BB472" s="121"/>
      <c r="BC472" s="121"/>
      <c r="BD472" s="121"/>
      <c r="BE472" s="121"/>
      <c r="BF472" s="121"/>
      <c r="BG472" s="123"/>
      <c r="BH472" s="127"/>
      <c r="BI472" s="125"/>
      <c r="BJ472" s="126"/>
      <c r="BK472" s="30"/>
      <c r="BL472" s="127"/>
      <c r="BM472" s="128"/>
      <c r="BN472" s="123"/>
      <c r="BO472" s="128"/>
      <c r="BP472" s="13"/>
      <c r="BQ472" s="129"/>
      <c r="BR472" s="123"/>
      <c r="BS472" s="130"/>
      <c r="BT472" s="13"/>
      <c r="BU472" s="123"/>
      <c r="BV472" s="131"/>
      <c r="DI472" s="121"/>
      <c r="DJ472" s="13"/>
      <c r="DK472" s="13"/>
      <c r="DL472" s="13"/>
      <c r="DM472" s="13"/>
      <c r="DN472" s="13"/>
      <c r="DO472" s="13"/>
      <c r="DW472" s="121"/>
      <c r="DX472" s="121"/>
      <c r="DY472" s="121"/>
      <c r="DZ472" s="121"/>
      <c r="EA472" s="121"/>
      <c r="EB472" s="121"/>
      <c r="EC472" s="121"/>
      <c r="ED472" s="121"/>
      <c r="EE472" s="121"/>
      <c r="EF472" s="121"/>
      <c r="EG472" s="123"/>
      <c r="EH472" s="127"/>
      <c r="EI472" s="125"/>
      <c r="EJ472" s="126"/>
      <c r="EK472" s="30"/>
      <c r="EL472" s="127"/>
      <c r="EM472" s="128"/>
      <c r="EN472" s="123"/>
      <c r="EO472" s="128"/>
      <c r="EP472" s="13"/>
      <c r="EQ472" s="129"/>
      <c r="ER472" s="123"/>
      <c r="ES472" s="130"/>
      <c r="ET472" s="13"/>
      <c r="EU472" s="123"/>
      <c r="EV472" s="131"/>
    </row>
    <row r="473" spans="35:152">
      <c r="AI473" s="121"/>
      <c r="AJ473" s="13"/>
      <c r="AK473" s="13"/>
      <c r="AL473" s="13"/>
      <c r="AM473" s="13"/>
      <c r="AN473" s="13"/>
      <c r="AO473" s="13"/>
      <c r="AW473" s="121"/>
      <c r="AX473" s="121"/>
      <c r="AY473" s="121"/>
      <c r="AZ473" s="121"/>
      <c r="BA473" s="121"/>
      <c r="BB473" s="121"/>
      <c r="BC473" s="121"/>
      <c r="BD473" s="121"/>
      <c r="BE473" s="121"/>
      <c r="BF473" s="121"/>
      <c r="BG473" s="123"/>
      <c r="BH473" s="127"/>
      <c r="BI473" s="125"/>
      <c r="BJ473" s="126"/>
      <c r="BK473" s="30"/>
      <c r="BL473" s="127"/>
      <c r="BM473" s="128"/>
      <c r="BN473" s="123"/>
      <c r="BO473" s="128"/>
      <c r="BP473" s="13"/>
      <c r="BQ473" s="129"/>
      <c r="BR473" s="123"/>
      <c r="BS473" s="130"/>
      <c r="BT473" s="13"/>
      <c r="BU473" s="123"/>
      <c r="BV473" s="131"/>
      <c r="DI473" s="121"/>
      <c r="DJ473" s="13"/>
      <c r="DK473" s="13"/>
      <c r="DL473" s="13"/>
      <c r="DM473" s="13"/>
      <c r="DN473" s="13"/>
      <c r="DO473" s="13"/>
      <c r="DW473" s="121"/>
      <c r="DX473" s="121"/>
      <c r="DY473" s="121"/>
      <c r="DZ473" s="121"/>
      <c r="EA473" s="121"/>
      <c r="EB473" s="121"/>
      <c r="EC473" s="121"/>
      <c r="ED473" s="121"/>
      <c r="EE473" s="121"/>
      <c r="EF473" s="121"/>
      <c r="EG473" s="123"/>
      <c r="EH473" s="127"/>
      <c r="EI473" s="125"/>
      <c r="EJ473" s="126"/>
      <c r="EK473" s="30"/>
      <c r="EL473" s="127"/>
      <c r="EM473" s="128"/>
      <c r="EN473" s="123"/>
      <c r="EO473" s="128"/>
      <c r="EP473" s="13"/>
      <c r="EQ473" s="129"/>
      <c r="ER473" s="123"/>
      <c r="ES473" s="130"/>
      <c r="ET473" s="13"/>
      <c r="EU473" s="123"/>
      <c r="EV473" s="131"/>
    </row>
    <row r="474" spans="35:152">
      <c r="AI474" s="121"/>
      <c r="AJ474" s="13"/>
      <c r="AK474" s="13"/>
      <c r="AL474" s="13"/>
      <c r="AM474" s="13"/>
      <c r="AN474" s="13"/>
      <c r="AO474" s="13"/>
      <c r="AW474" s="121"/>
      <c r="AX474" s="121"/>
      <c r="AY474" s="121"/>
      <c r="AZ474" s="121"/>
      <c r="BA474" s="121"/>
      <c r="BB474" s="121"/>
      <c r="BC474" s="121"/>
      <c r="BD474" s="121"/>
      <c r="BE474" s="121"/>
      <c r="BF474" s="121"/>
      <c r="BG474" s="123"/>
      <c r="BH474" s="127"/>
      <c r="BI474" s="125"/>
      <c r="BJ474" s="126"/>
      <c r="BK474" s="30"/>
      <c r="BL474" s="127"/>
      <c r="BM474" s="128"/>
      <c r="BN474" s="123"/>
      <c r="BO474" s="128"/>
      <c r="BP474" s="13"/>
      <c r="BQ474" s="129"/>
      <c r="BR474" s="123"/>
      <c r="BS474" s="130"/>
      <c r="BT474" s="13"/>
      <c r="BU474" s="123"/>
      <c r="BV474" s="131"/>
      <c r="DI474" s="121"/>
      <c r="DJ474" s="13"/>
      <c r="DK474" s="13"/>
      <c r="DL474" s="13"/>
      <c r="DM474" s="13"/>
      <c r="DN474" s="13"/>
      <c r="DO474" s="13"/>
      <c r="DW474" s="121"/>
      <c r="DX474" s="121"/>
      <c r="DY474" s="121"/>
      <c r="DZ474" s="121"/>
      <c r="EA474" s="121"/>
      <c r="EB474" s="121"/>
      <c r="EC474" s="121"/>
      <c r="ED474" s="121"/>
      <c r="EE474" s="121"/>
      <c r="EF474" s="121"/>
      <c r="EG474" s="123"/>
      <c r="EH474" s="127"/>
      <c r="EI474" s="125"/>
      <c r="EJ474" s="126"/>
      <c r="EK474" s="30"/>
      <c r="EL474" s="127"/>
      <c r="EM474" s="128"/>
      <c r="EN474" s="123"/>
      <c r="EO474" s="128"/>
      <c r="EP474" s="13"/>
      <c r="EQ474" s="129"/>
      <c r="ER474" s="123"/>
      <c r="ES474" s="130"/>
      <c r="ET474" s="13"/>
      <c r="EU474" s="123"/>
      <c r="EV474" s="131"/>
    </row>
    <row r="475" spans="35:152">
      <c r="AI475" s="121"/>
      <c r="AJ475" s="13"/>
      <c r="AK475" s="13"/>
      <c r="AL475" s="13"/>
      <c r="AM475" s="13"/>
      <c r="AN475" s="13"/>
      <c r="AO475" s="13"/>
      <c r="AW475" s="121"/>
      <c r="AX475" s="121"/>
      <c r="AY475" s="121"/>
      <c r="AZ475" s="121"/>
      <c r="BA475" s="121"/>
      <c r="BB475" s="121"/>
      <c r="BC475" s="121"/>
      <c r="BD475" s="121"/>
      <c r="BE475" s="121"/>
      <c r="BF475" s="121"/>
      <c r="BG475" s="123"/>
      <c r="BH475" s="127"/>
      <c r="BI475" s="125"/>
      <c r="BJ475" s="126"/>
      <c r="BK475" s="30"/>
      <c r="BL475" s="127"/>
      <c r="BM475" s="128"/>
      <c r="BN475" s="123"/>
      <c r="BO475" s="128"/>
      <c r="BP475" s="13"/>
      <c r="BQ475" s="129"/>
      <c r="BR475" s="123"/>
      <c r="BS475" s="130"/>
      <c r="BT475" s="13"/>
      <c r="BU475" s="123"/>
      <c r="BV475" s="131"/>
      <c r="DI475" s="121"/>
      <c r="DJ475" s="13"/>
      <c r="DK475" s="13"/>
      <c r="DL475" s="13"/>
      <c r="DM475" s="13"/>
      <c r="DN475" s="13"/>
      <c r="DO475" s="13"/>
      <c r="DW475" s="121"/>
      <c r="DX475" s="121"/>
      <c r="DY475" s="121"/>
      <c r="DZ475" s="121"/>
      <c r="EA475" s="121"/>
      <c r="EB475" s="121"/>
      <c r="EC475" s="121"/>
      <c r="ED475" s="121"/>
      <c r="EE475" s="121"/>
      <c r="EF475" s="121"/>
      <c r="EG475" s="123"/>
      <c r="EH475" s="127"/>
      <c r="EI475" s="125"/>
      <c r="EJ475" s="126"/>
      <c r="EK475" s="30"/>
      <c r="EL475" s="127"/>
      <c r="EM475" s="128"/>
      <c r="EN475" s="123"/>
      <c r="EO475" s="128"/>
      <c r="EP475" s="13"/>
      <c r="EQ475" s="129"/>
      <c r="ER475" s="123"/>
      <c r="ES475" s="130"/>
      <c r="ET475" s="13"/>
      <c r="EU475" s="123"/>
      <c r="EV475" s="131"/>
    </row>
    <row r="476" spans="35:152">
      <c r="AI476" s="121"/>
      <c r="AJ476" s="13"/>
      <c r="AK476" s="13"/>
      <c r="AL476" s="13"/>
      <c r="AM476" s="13"/>
      <c r="AN476" s="13"/>
      <c r="AO476" s="13"/>
      <c r="AW476" s="121"/>
      <c r="AX476" s="121"/>
      <c r="AY476" s="121"/>
      <c r="AZ476" s="121"/>
      <c r="BA476" s="121"/>
      <c r="BB476" s="121"/>
      <c r="BC476" s="121"/>
      <c r="BD476" s="121"/>
      <c r="BE476" s="121"/>
      <c r="BF476" s="121"/>
      <c r="BG476" s="123"/>
      <c r="BH476" s="127"/>
      <c r="BI476" s="125"/>
      <c r="BJ476" s="126"/>
      <c r="BK476" s="30"/>
      <c r="BL476" s="127"/>
      <c r="BM476" s="128"/>
      <c r="BN476" s="123"/>
      <c r="BO476" s="128"/>
      <c r="BP476" s="13"/>
      <c r="BQ476" s="129"/>
      <c r="BR476" s="123"/>
      <c r="BS476" s="130"/>
      <c r="BT476" s="13"/>
      <c r="BU476" s="123"/>
      <c r="BV476" s="131"/>
      <c r="DI476" s="121"/>
      <c r="DJ476" s="13"/>
      <c r="DK476" s="13"/>
      <c r="DL476" s="13"/>
      <c r="DM476" s="13"/>
      <c r="DN476" s="13"/>
      <c r="DO476" s="13"/>
      <c r="DW476" s="121"/>
      <c r="DX476" s="121"/>
      <c r="DY476" s="121"/>
      <c r="DZ476" s="121"/>
      <c r="EA476" s="121"/>
      <c r="EB476" s="121"/>
      <c r="EC476" s="121"/>
      <c r="ED476" s="121"/>
      <c r="EE476" s="121"/>
      <c r="EF476" s="121"/>
      <c r="EG476" s="123"/>
      <c r="EH476" s="127"/>
      <c r="EI476" s="125"/>
      <c r="EJ476" s="126"/>
      <c r="EK476" s="30"/>
      <c r="EL476" s="127"/>
      <c r="EM476" s="128"/>
      <c r="EN476" s="123"/>
      <c r="EO476" s="128"/>
      <c r="EP476" s="13"/>
      <c r="EQ476" s="129"/>
      <c r="ER476" s="123"/>
      <c r="ES476" s="130"/>
      <c r="ET476" s="13"/>
      <c r="EU476" s="123"/>
      <c r="EV476" s="131"/>
    </row>
    <row r="477" spans="35:152">
      <c r="AI477" s="121"/>
      <c r="AJ477" s="13"/>
      <c r="AK477" s="13"/>
      <c r="AL477" s="13"/>
      <c r="AM477" s="13"/>
      <c r="AN477" s="13"/>
      <c r="AO477" s="13"/>
      <c r="AW477" s="121"/>
      <c r="AX477" s="121"/>
      <c r="AY477" s="121"/>
      <c r="AZ477" s="121"/>
      <c r="BA477" s="121"/>
      <c r="BB477" s="121"/>
      <c r="BC477" s="121"/>
      <c r="BD477" s="121"/>
      <c r="BE477" s="121"/>
      <c r="BF477" s="121"/>
      <c r="BG477" s="123"/>
      <c r="BH477" s="127"/>
      <c r="BI477" s="125"/>
      <c r="BJ477" s="126"/>
      <c r="BK477" s="30"/>
      <c r="BL477" s="127"/>
      <c r="BM477" s="128"/>
      <c r="BN477" s="123"/>
      <c r="BO477" s="128"/>
      <c r="BP477" s="13"/>
      <c r="BQ477" s="129"/>
      <c r="BR477" s="123"/>
      <c r="BS477" s="130"/>
      <c r="BT477" s="13"/>
      <c r="BU477" s="123"/>
      <c r="BV477" s="131"/>
      <c r="DI477" s="121"/>
      <c r="DJ477" s="13"/>
      <c r="DK477" s="13"/>
      <c r="DL477" s="13"/>
      <c r="DM477" s="13"/>
      <c r="DN477" s="13"/>
      <c r="DO477" s="13"/>
      <c r="DW477" s="121"/>
      <c r="DX477" s="121"/>
      <c r="DY477" s="121"/>
      <c r="DZ477" s="121"/>
      <c r="EA477" s="121"/>
      <c r="EB477" s="121"/>
      <c r="EC477" s="121"/>
      <c r="ED477" s="121"/>
      <c r="EE477" s="121"/>
      <c r="EF477" s="121"/>
      <c r="EG477" s="123"/>
      <c r="EH477" s="127"/>
      <c r="EI477" s="125"/>
      <c r="EJ477" s="126"/>
      <c r="EK477" s="30"/>
      <c r="EL477" s="127"/>
      <c r="EM477" s="128"/>
      <c r="EN477" s="123"/>
      <c r="EO477" s="128"/>
      <c r="EP477" s="13"/>
      <c r="EQ477" s="129"/>
      <c r="ER477" s="123"/>
      <c r="ES477" s="130"/>
      <c r="ET477" s="13"/>
      <c r="EU477" s="123"/>
      <c r="EV477" s="131"/>
    </row>
    <row r="478" spans="35:152">
      <c r="AI478" s="121"/>
      <c r="AJ478" s="13"/>
      <c r="AK478" s="13"/>
      <c r="AL478" s="13"/>
      <c r="AM478" s="13"/>
      <c r="AN478" s="13"/>
      <c r="AO478" s="13"/>
      <c r="AW478" s="121"/>
      <c r="AX478" s="121"/>
      <c r="AY478" s="121"/>
      <c r="AZ478" s="121"/>
      <c r="BA478" s="121"/>
      <c r="BB478" s="121"/>
      <c r="BC478" s="121"/>
      <c r="BD478" s="121"/>
      <c r="BE478" s="121"/>
      <c r="BF478" s="121"/>
      <c r="BG478" s="123"/>
      <c r="BH478" s="127"/>
      <c r="BI478" s="125"/>
      <c r="BJ478" s="126"/>
      <c r="BK478" s="30"/>
      <c r="BL478" s="127"/>
      <c r="BM478" s="128"/>
      <c r="BN478" s="123"/>
      <c r="BO478" s="128"/>
      <c r="BP478" s="13"/>
      <c r="BQ478" s="129"/>
      <c r="BR478" s="123"/>
      <c r="BS478" s="130"/>
      <c r="BT478" s="13"/>
      <c r="BU478" s="123"/>
      <c r="BV478" s="131"/>
      <c r="DI478" s="121"/>
      <c r="DJ478" s="13"/>
      <c r="DK478" s="13"/>
      <c r="DL478" s="13"/>
      <c r="DM478" s="13"/>
      <c r="DN478" s="13"/>
      <c r="DO478" s="13"/>
      <c r="DW478" s="121"/>
      <c r="DX478" s="121"/>
      <c r="DY478" s="121"/>
      <c r="DZ478" s="121"/>
      <c r="EA478" s="121"/>
      <c r="EB478" s="121"/>
      <c r="EC478" s="121"/>
      <c r="ED478" s="121"/>
      <c r="EE478" s="121"/>
      <c r="EF478" s="121"/>
      <c r="EG478" s="123"/>
      <c r="EH478" s="127"/>
      <c r="EI478" s="125"/>
      <c r="EJ478" s="126"/>
      <c r="EK478" s="30"/>
      <c r="EL478" s="127"/>
      <c r="EM478" s="128"/>
      <c r="EN478" s="123"/>
      <c r="EO478" s="128"/>
      <c r="EP478" s="13"/>
      <c r="EQ478" s="129"/>
      <c r="ER478" s="123"/>
      <c r="ES478" s="130"/>
      <c r="ET478" s="13"/>
      <c r="EU478" s="123"/>
      <c r="EV478" s="131"/>
    </row>
    <row r="479" spans="35:152">
      <c r="AI479" s="121"/>
      <c r="AJ479" s="13"/>
      <c r="AK479" s="13"/>
      <c r="AL479" s="13"/>
      <c r="AM479" s="13"/>
      <c r="AN479" s="13"/>
      <c r="AO479" s="13"/>
      <c r="AW479" s="121"/>
      <c r="AX479" s="121"/>
      <c r="AY479" s="121"/>
      <c r="AZ479" s="121"/>
      <c r="BA479" s="121"/>
      <c r="BB479" s="121"/>
      <c r="BC479" s="121"/>
      <c r="BD479" s="121"/>
      <c r="BE479" s="121"/>
      <c r="BF479" s="121"/>
      <c r="BG479" s="123"/>
      <c r="BH479" s="127"/>
      <c r="BI479" s="125"/>
      <c r="BJ479" s="126"/>
      <c r="BK479" s="30"/>
      <c r="BL479" s="127"/>
      <c r="BM479" s="128"/>
      <c r="BN479" s="123"/>
      <c r="BO479" s="128"/>
      <c r="BP479" s="13"/>
      <c r="BQ479" s="129"/>
      <c r="BR479" s="123"/>
      <c r="BS479" s="130"/>
      <c r="BT479" s="13"/>
      <c r="BU479" s="123"/>
      <c r="BV479" s="131"/>
      <c r="DI479" s="121"/>
      <c r="DJ479" s="13"/>
      <c r="DK479" s="13"/>
      <c r="DL479" s="13"/>
      <c r="DM479" s="13"/>
      <c r="DN479" s="13"/>
      <c r="DO479" s="13"/>
      <c r="DW479" s="121"/>
      <c r="DX479" s="121"/>
      <c r="DY479" s="121"/>
      <c r="DZ479" s="121"/>
      <c r="EA479" s="121"/>
      <c r="EB479" s="121"/>
      <c r="EC479" s="121"/>
      <c r="ED479" s="121"/>
      <c r="EE479" s="121"/>
      <c r="EF479" s="121"/>
      <c r="EG479" s="123"/>
      <c r="EH479" s="127"/>
      <c r="EI479" s="125"/>
      <c r="EJ479" s="126"/>
      <c r="EK479" s="30"/>
      <c r="EL479" s="127"/>
      <c r="EM479" s="128"/>
      <c r="EN479" s="123"/>
      <c r="EO479" s="128"/>
      <c r="EP479" s="13"/>
      <c r="EQ479" s="129"/>
      <c r="ER479" s="123"/>
      <c r="ES479" s="130"/>
      <c r="ET479" s="13"/>
      <c r="EU479" s="123"/>
      <c r="EV479" s="131"/>
    </row>
    <row r="480" spans="35:152">
      <c r="AI480" s="121"/>
      <c r="AJ480" s="13"/>
      <c r="AK480" s="13"/>
      <c r="AL480" s="13"/>
      <c r="AM480" s="13"/>
      <c r="AN480" s="13"/>
      <c r="AO480" s="13"/>
      <c r="AW480" s="121"/>
      <c r="AX480" s="121"/>
      <c r="AY480" s="121"/>
      <c r="AZ480" s="121"/>
      <c r="BA480" s="121"/>
      <c r="BB480" s="121"/>
      <c r="BC480" s="121"/>
      <c r="BD480" s="121"/>
      <c r="BE480" s="121"/>
      <c r="BF480" s="121"/>
      <c r="BG480" s="123"/>
      <c r="BH480" s="127"/>
      <c r="BI480" s="125"/>
      <c r="BJ480" s="126"/>
      <c r="BK480" s="30"/>
      <c r="BL480" s="127"/>
      <c r="BM480" s="128"/>
      <c r="BN480" s="123"/>
      <c r="BO480" s="128"/>
      <c r="BP480" s="13"/>
      <c r="BQ480" s="129"/>
      <c r="BR480" s="123"/>
      <c r="BS480" s="130"/>
      <c r="BT480" s="13"/>
      <c r="BU480" s="123"/>
      <c r="BV480" s="131"/>
      <c r="DI480" s="121"/>
      <c r="DJ480" s="13"/>
      <c r="DK480" s="13"/>
      <c r="DL480" s="13"/>
      <c r="DM480" s="13"/>
      <c r="DN480" s="13"/>
      <c r="DO480" s="13"/>
      <c r="DW480" s="121"/>
      <c r="DX480" s="121"/>
      <c r="DY480" s="121"/>
      <c r="DZ480" s="121"/>
      <c r="EA480" s="121"/>
      <c r="EB480" s="121"/>
      <c r="EC480" s="121"/>
      <c r="ED480" s="121"/>
      <c r="EE480" s="121"/>
      <c r="EF480" s="121"/>
      <c r="EG480" s="123"/>
      <c r="EH480" s="127"/>
      <c r="EI480" s="125"/>
      <c r="EJ480" s="126"/>
      <c r="EK480" s="30"/>
      <c r="EL480" s="127"/>
      <c r="EM480" s="128"/>
      <c r="EN480" s="123"/>
      <c r="EO480" s="128"/>
      <c r="EP480" s="13"/>
      <c r="EQ480" s="129"/>
      <c r="ER480" s="123"/>
      <c r="ES480" s="130"/>
      <c r="ET480" s="13"/>
      <c r="EU480" s="123"/>
      <c r="EV480" s="131"/>
    </row>
    <row r="481" spans="35:152">
      <c r="AI481" s="121"/>
      <c r="AJ481" s="13"/>
      <c r="AK481" s="13"/>
      <c r="AL481" s="13"/>
      <c r="AM481" s="13"/>
      <c r="AN481" s="13"/>
      <c r="AO481" s="13"/>
      <c r="AW481" s="121"/>
      <c r="AX481" s="121"/>
      <c r="AY481" s="121"/>
      <c r="AZ481" s="121"/>
      <c r="BA481" s="121"/>
      <c r="BB481" s="121"/>
      <c r="BC481" s="121"/>
      <c r="BD481" s="121"/>
      <c r="BE481" s="121"/>
      <c r="BF481" s="121"/>
      <c r="BG481" s="123"/>
      <c r="BH481" s="127"/>
      <c r="BI481" s="125"/>
      <c r="BJ481" s="126"/>
      <c r="BK481" s="30"/>
      <c r="BL481" s="127"/>
      <c r="BM481" s="128"/>
      <c r="BN481" s="123"/>
      <c r="BO481" s="128"/>
      <c r="BP481" s="13"/>
      <c r="BQ481" s="129"/>
      <c r="BR481" s="123"/>
      <c r="BS481" s="130"/>
      <c r="BT481" s="13"/>
      <c r="BU481" s="123"/>
      <c r="BV481" s="131"/>
      <c r="DI481" s="121"/>
      <c r="DJ481" s="13"/>
      <c r="DK481" s="13"/>
      <c r="DL481" s="13"/>
      <c r="DM481" s="13"/>
      <c r="DN481" s="13"/>
      <c r="DO481" s="13"/>
      <c r="DW481" s="121"/>
      <c r="DX481" s="121"/>
      <c r="DY481" s="121"/>
      <c r="DZ481" s="121"/>
      <c r="EA481" s="121"/>
      <c r="EB481" s="121"/>
      <c r="EC481" s="121"/>
      <c r="ED481" s="121"/>
      <c r="EE481" s="121"/>
      <c r="EF481" s="121"/>
      <c r="EG481" s="123"/>
      <c r="EH481" s="127"/>
      <c r="EI481" s="125"/>
      <c r="EJ481" s="126"/>
      <c r="EK481" s="30"/>
      <c r="EL481" s="127"/>
      <c r="EM481" s="128"/>
      <c r="EN481" s="123"/>
      <c r="EO481" s="128"/>
      <c r="EP481" s="13"/>
      <c r="EQ481" s="129"/>
      <c r="ER481" s="123"/>
      <c r="ES481" s="130"/>
      <c r="ET481" s="13"/>
      <c r="EU481" s="123"/>
      <c r="EV481" s="131"/>
    </row>
    <row r="482" spans="35:152">
      <c r="AI482" s="121"/>
      <c r="AJ482" s="13"/>
      <c r="AK482" s="13"/>
      <c r="AL482" s="13"/>
      <c r="AM482" s="13"/>
      <c r="AN482" s="13"/>
      <c r="AO482" s="13"/>
      <c r="AW482" s="121"/>
      <c r="AX482" s="121"/>
      <c r="AY482" s="121"/>
      <c r="AZ482" s="121"/>
      <c r="BA482" s="121"/>
      <c r="BB482" s="121"/>
      <c r="BC482" s="121"/>
      <c r="BD482" s="121"/>
      <c r="BE482" s="121"/>
      <c r="BF482" s="121"/>
      <c r="BG482" s="123"/>
      <c r="BH482" s="127"/>
      <c r="BI482" s="125"/>
      <c r="BJ482" s="126"/>
      <c r="BK482" s="30"/>
      <c r="BL482" s="127"/>
      <c r="BM482" s="128"/>
      <c r="BN482" s="123"/>
      <c r="BO482" s="128"/>
      <c r="BP482" s="13"/>
      <c r="BQ482" s="129"/>
      <c r="BR482" s="123"/>
      <c r="BS482" s="130"/>
      <c r="BT482" s="13"/>
      <c r="BU482" s="123"/>
      <c r="BV482" s="131"/>
      <c r="DI482" s="121"/>
      <c r="DJ482" s="13"/>
      <c r="DK482" s="13"/>
      <c r="DL482" s="13"/>
      <c r="DM482" s="13"/>
      <c r="DN482" s="13"/>
      <c r="DO482" s="13"/>
      <c r="DW482" s="121"/>
      <c r="DX482" s="121"/>
      <c r="DY482" s="121"/>
      <c r="DZ482" s="121"/>
      <c r="EA482" s="121"/>
      <c r="EB482" s="121"/>
      <c r="EC482" s="121"/>
      <c r="ED482" s="121"/>
      <c r="EE482" s="121"/>
      <c r="EF482" s="121"/>
      <c r="EG482" s="123"/>
      <c r="EH482" s="127"/>
      <c r="EI482" s="125"/>
      <c r="EJ482" s="126"/>
      <c r="EK482" s="30"/>
      <c r="EL482" s="127"/>
      <c r="EM482" s="128"/>
      <c r="EN482" s="123"/>
      <c r="EO482" s="128"/>
      <c r="EP482" s="13"/>
      <c r="EQ482" s="129"/>
      <c r="ER482" s="123"/>
      <c r="ES482" s="130"/>
      <c r="ET482" s="13"/>
      <c r="EU482" s="123"/>
      <c r="EV482" s="131"/>
    </row>
    <row r="483" spans="35:152">
      <c r="AI483" s="121"/>
      <c r="AJ483" s="13"/>
      <c r="AK483" s="13"/>
      <c r="AL483" s="13"/>
      <c r="AM483" s="13"/>
      <c r="AN483" s="13"/>
      <c r="AO483" s="13"/>
      <c r="AW483" s="121"/>
      <c r="AX483" s="121"/>
      <c r="AY483" s="121"/>
      <c r="AZ483" s="121"/>
      <c r="BA483" s="121"/>
      <c r="BB483" s="121"/>
      <c r="BC483" s="121"/>
      <c r="BD483" s="121"/>
      <c r="BE483" s="121"/>
      <c r="BF483" s="121"/>
      <c r="BG483" s="123"/>
      <c r="BH483" s="127"/>
      <c r="BI483" s="125"/>
      <c r="BJ483" s="126"/>
      <c r="BK483" s="30"/>
      <c r="BL483" s="127"/>
      <c r="BM483" s="128"/>
      <c r="BN483" s="123"/>
      <c r="BO483" s="128"/>
      <c r="BP483" s="13"/>
      <c r="BQ483" s="129"/>
      <c r="BR483" s="123"/>
      <c r="BS483" s="130"/>
      <c r="BT483" s="13"/>
      <c r="BU483" s="123"/>
      <c r="BV483" s="131"/>
      <c r="DI483" s="121"/>
      <c r="DJ483" s="13"/>
      <c r="DK483" s="13"/>
      <c r="DL483" s="13"/>
      <c r="DM483" s="13"/>
      <c r="DN483" s="13"/>
      <c r="DO483" s="13"/>
      <c r="DW483" s="121"/>
      <c r="DX483" s="121"/>
      <c r="DY483" s="121"/>
      <c r="DZ483" s="121"/>
      <c r="EA483" s="121"/>
      <c r="EB483" s="121"/>
      <c r="EC483" s="121"/>
      <c r="ED483" s="121"/>
      <c r="EE483" s="121"/>
      <c r="EF483" s="121"/>
      <c r="EG483" s="123"/>
      <c r="EH483" s="127"/>
      <c r="EI483" s="125"/>
      <c r="EJ483" s="126"/>
      <c r="EK483" s="30"/>
      <c r="EL483" s="127"/>
      <c r="EM483" s="128"/>
      <c r="EN483" s="123"/>
      <c r="EO483" s="128"/>
      <c r="EP483" s="13"/>
      <c r="EQ483" s="129"/>
      <c r="ER483" s="123"/>
      <c r="ES483" s="130"/>
      <c r="ET483" s="13"/>
      <c r="EU483" s="123"/>
      <c r="EV483" s="131"/>
    </row>
    <row r="484" spans="35:152">
      <c r="AI484" s="121"/>
      <c r="AJ484" s="13"/>
      <c r="AK484" s="13"/>
      <c r="AL484" s="13"/>
      <c r="AM484" s="13"/>
      <c r="AN484" s="13"/>
      <c r="AO484" s="13"/>
      <c r="AW484" s="121"/>
      <c r="AX484" s="121"/>
      <c r="AY484" s="121"/>
      <c r="AZ484" s="121"/>
      <c r="BA484" s="121"/>
      <c r="BB484" s="121"/>
      <c r="BC484" s="121"/>
      <c r="BD484" s="121"/>
      <c r="BE484" s="121"/>
      <c r="BF484" s="121"/>
      <c r="BG484" s="123"/>
      <c r="BH484" s="127"/>
      <c r="BI484" s="125"/>
      <c r="BJ484" s="126"/>
      <c r="BK484" s="30"/>
      <c r="BL484" s="127"/>
      <c r="BM484" s="128"/>
      <c r="BN484" s="123"/>
      <c r="BO484" s="128"/>
      <c r="BP484" s="13"/>
      <c r="BQ484" s="129"/>
      <c r="BR484" s="123"/>
      <c r="BS484" s="130"/>
      <c r="BT484" s="13"/>
      <c r="BU484" s="123"/>
      <c r="BV484" s="131"/>
      <c r="DI484" s="121"/>
      <c r="DJ484" s="13"/>
      <c r="DK484" s="13"/>
      <c r="DL484" s="13"/>
      <c r="DM484" s="13"/>
      <c r="DN484" s="13"/>
      <c r="DO484" s="13"/>
      <c r="DW484" s="121"/>
      <c r="DX484" s="121"/>
      <c r="DY484" s="121"/>
      <c r="DZ484" s="121"/>
      <c r="EA484" s="121"/>
      <c r="EB484" s="121"/>
      <c r="EC484" s="121"/>
      <c r="ED484" s="121"/>
      <c r="EE484" s="121"/>
      <c r="EF484" s="121"/>
      <c r="EG484" s="123"/>
      <c r="EH484" s="127"/>
      <c r="EI484" s="125"/>
      <c r="EJ484" s="126"/>
      <c r="EK484" s="30"/>
      <c r="EL484" s="127"/>
      <c r="EM484" s="128"/>
      <c r="EN484" s="123"/>
      <c r="EO484" s="128"/>
      <c r="EP484" s="13"/>
      <c r="EQ484" s="129"/>
      <c r="ER484" s="123"/>
      <c r="ES484" s="130"/>
      <c r="ET484" s="13"/>
      <c r="EU484" s="123"/>
      <c r="EV484" s="131"/>
    </row>
    <row r="485" spans="35:152">
      <c r="AI485" s="121"/>
      <c r="AJ485" s="13"/>
      <c r="AK485" s="13"/>
      <c r="AL485" s="13"/>
      <c r="AM485" s="13"/>
      <c r="AN485" s="13"/>
      <c r="AO485" s="13"/>
      <c r="AW485" s="121"/>
      <c r="AX485" s="121"/>
      <c r="AY485" s="121"/>
      <c r="AZ485" s="121"/>
      <c r="BA485" s="121"/>
      <c r="BB485" s="121"/>
      <c r="BC485" s="121"/>
      <c r="BD485" s="121"/>
      <c r="BE485" s="121"/>
      <c r="BF485" s="121"/>
      <c r="BG485" s="123"/>
      <c r="BH485" s="127"/>
      <c r="BI485" s="125"/>
      <c r="BJ485" s="126"/>
      <c r="BK485" s="30"/>
      <c r="BL485" s="127"/>
      <c r="BM485" s="128"/>
      <c r="BN485" s="123"/>
      <c r="BO485" s="128"/>
      <c r="BP485" s="13"/>
      <c r="BQ485" s="129"/>
      <c r="BR485" s="123"/>
      <c r="BS485" s="130"/>
      <c r="BT485" s="13"/>
      <c r="BU485" s="123"/>
      <c r="BV485" s="131"/>
      <c r="DI485" s="121"/>
      <c r="DJ485" s="13"/>
      <c r="DK485" s="13"/>
      <c r="DL485" s="13"/>
      <c r="DM485" s="13"/>
      <c r="DN485" s="13"/>
      <c r="DO485" s="13"/>
      <c r="DW485" s="121"/>
      <c r="DX485" s="121"/>
      <c r="DY485" s="121"/>
      <c r="DZ485" s="121"/>
      <c r="EA485" s="121"/>
      <c r="EB485" s="121"/>
      <c r="EC485" s="121"/>
      <c r="ED485" s="121"/>
      <c r="EE485" s="121"/>
      <c r="EF485" s="121"/>
      <c r="EG485" s="123"/>
      <c r="EH485" s="127"/>
      <c r="EI485" s="125"/>
      <c r="EJ485" s="126"/>
      <c r="EK485" s="30"/>
      <c r="EL485" s="127"/>
      <c r="EM485" s="128"/>
      <c r="EN485" s="123"/>
      <c r="EO485" s="128"/>
      <c r="EP485" s="13"/>
      <c r="EQ485" s="129"/>
      <c r="ER485" s="123"/>
      <c r="ES485" s="130"/>
      <c r="ET485" s="13"/>
      <c r="EU485" s="123"/>
      <c r="EV485" s="131"/>
    </row>
    <row r="486" spans="35:152">
      <c r="AI486" s="121"/>
      <c r="AJ486" s="13"/>
      <c r="AK486" s="13"/>
      <c r="AL486" s="13"/>
      <c r="AM486" s="13"/>
      <c r="AN486" s="13"/>
      <c r="AO486" s="13"/>
      <c r="AW486" s="121"/>
      <c r="AX486" s="121"/>
      <c r="AY486" s="121"/>
      <c r="AZ486" s="121"/>
      <c r="BA486" s="121"/>
      <c r="BB486" s="121"/>
      <c r="BC486" s="121"/>
      <c r="BD486" s="121"/>
      <c r="BE486" s="121"/>
      <c r="BF486" s="121"/>
      <c r="BG486" s="123"/>
      <c r="BH486" s="127"/>
      <c r="BI486" s="125"/>
      <c r="BJ486" s="126"/>
      <c r="BK486" s="30"/>
      <c r="BL486" s="127"/>
      <c r="BM486" s="128"/>
      <c r="BN486" s="123"/>
      <c r="BO486" s="128"/>
      <c r="BP486" s="13"/>
      <c r="BQ486" s="129"/>
      <c r="BR486" s="123"/>
      <c r="BS486" s="130"/>
      <c r="BT486" s="13"/>
      <c r="BU486" s="123"/>
      <c r="BV486" s="131"/>
      <c r="DI486" s="121"/>
      <c r="DJ486" s="13"/>
      <c r="DK486" s="13"/>
      <c r="DL486" s="13"/>
      <c r="DM486" s="13"/>
      <c r="DN486" s="13"/>
      <c r="DO486" s="13"/>
      <c r="DW486" s="121"/>
      <c r="DX486" s="121"/>
      <c r="DY486" s="121"/>
      <c r="DZ486" s="121"/>
      <c r="EA486" s="121"/>
      <c r="EB486" s="121"/>
      <c r="EC486" s="121"/>
      <c r="ED486" s="121"/>
      <c r="EE486" s="121"/>
      <c r="EF486" s="121"/>
      <c r="EG486" s="123"/>
      <c r="EH486" s="127"/>
      <c r="EI486" s="125"/>
      <c r="EJ486" s="126"/>
      <c r="EK486" s="30"/>
      <c r="EL486" s="127"/>
      <c r="EM486" s="128"/>
      <c r="EN486" s="123"/>
      <c r="EO486" s="128"/>
      <c r="EP486" s="13"/>
      <c r="EQ486" s="129"/>
      <c r="ER486" s="123"/>
      <c r="ES486" s="130"/>
      <c r="ET486" s="13"/>
      <c r="EU486" s="123"/>
      <c r="EV486" s="131"/>
    </row>
    <row r="487" spans="35:152">
      <c r="AI487" s="121"/>
      <c r="AJ487" s="13"/>
      <c r="AK487" s="13"/>
      <c r="AL487" s="13"/>
      <c r="AM487" s="13"/>
      <c r="AN487" s="13"/>
      <c r="AO487" s="13"/>
      <c r="AW487" s="121"/>
      <c r="AX487" s="121"/>
      <c r="AY487" s="121"/>
      <c r="AZ487" s="121"/>
      <c r="BA487" s="121"/>
      <c r="BB487" s="121"/>
      <c r="BC487" s="121"/>
      <c r="BD487" s="121"/>
      <c r="BE487" s="121"/>
      <c r="BF487" s="121"/>
      <c r="BG487" s="123"/>
      <c r="BH487" s="127"/>
      <c r="BI487" s="125"/>
      <c r="BJ487" s="126"/>
      <c r="BK487" s="30"/>
      <c r="BL487" s="127"/>
      <c r="BM487" s="128"/>
      <c r="BN487" s="123"/>
      <c r="BO487" s="128"/>
      <c r="BP487" s="13"/>
      <c r="BQ487" s="129"/>
      <c r="BR487" s="123"/>
      <c r="BS487" s="130"/>
      <c r="BT487" s="13"/>
      <c r="BU487" s="123"/>
      <c r="BV487" s="131"/>
      <c r="DI487" s="121"/>
      <c r="DJ487" s="13"/>
      <c r="DK487" s="13"/>
      <c r="DL487" s="13"/>
      <c r="DM487" s="13"/>
      <c r="DN487" s="13"/>
      <c r="DO487" s="13"/>
      <c r="DW487" s="121"/>
      <c r="DX487" s="121"/>
      <c r="DY487" s="121"/>
      <c r="DZ487" s="121"/>
      <c r="EA487" s="121"/>
      <c r="EB487" s="121"/>
      <c r="EC487" s="121"/>
      <c r="ED487" s="121"/>
      <c r="EE487" s="121"/>
      <c r="EF487" s="121"/>
      <c r="EG487" s="123"/>
      <c r="EH487" s="127"/>
      <c r="EI487" s="125"/>
      <c r="EJ487" s="126"/>
      <c r="EK487" s="30"/>
      <c r="EL487" s="127"/>
      <c r="EM487" s="128"/>
      <c r="EN487" s="123"/>
      <c r="EO487" s="128"/>
      <c r="EP487" s="13"/>
      <c r="EQ487" s="129"/>
      <c r="ER487" s="123"/>
      <c r="ES487" s="130"/>
      <c r="ET487" s="13"/>
      <c r="EU487" s="123"/>
      <c r="EV487" s="131"/>
    </row>
    <row r="488" spans="35:152">
      <c r="AI488" s="121"/>
      <c r="AJ488" s="13"/>
      <c r="AK488" s="13"/>
      <c r="AL488" s="13"/>
      <c r="AM488" s="13"/>
      <c r="AN488" s="13"/>
      <c r="AO488" s="13"/>
      <c r="AW488" s="121"/>
      <c r="AX488" s="121"/>
      <c r="AY488" s="121"/>
      <c r="AZ488" s="121"/>
      <c r="BA488" s="121"/>
      <c r="BB488" s="121"/>
      <c r="BC488" s="121"/>
      <c r="BD488" s="121"/>
      <c r="BE488" s="121"/>
      <c r="BF488" s="121"/>
      <c r="BG488" s="123"/>
      <c r="BH488" s="127"/>
      <c r="BI488" s="125"/>
      <c r="BJ488" s="126"/>
      <c r="BK488" s="30"/>
      <c r="BL488" s="127"/>
      <c r="BM488" s="128"/>
      <c r="BN488" s="123"/>
      <c r="BO488" s="128"/>
      <c r="BP488" s="13"/>
      <c r="BQ488" s="129"/>
      <c r="BR488" s="123"/>
      <c r="BS488" s="130"/>
      <c r="BT488" s="13"/>
      <c r="BU488" s="123"/>
      <c r="BV488" s="131"/>
      <c r="DI488" s="121"/>
      <c r="DJ488" s="13"/>
      <c r="DK488" s="13"/>
      <c r="DL488" s="13"/>
      <c r="DM488" s="13"/>
      <c r="DN488" s="13"/>
      <c r="DO488" s="13"/>
      <c r="DW488" s="121"/>
      <c r="DX488" s="121"/>
      <c r="DY488" s="121"/>
      <c r="DZ488" s="121"/>
      <c r="EA488" s="121"/>
      <c r="EB488" s="121"/>
      <c r="EC488" s="121"/>
      <c r="ED488" s="121"/>
      <c r="EE488" s="121"/>
      <c r="EF488" s="121"/>
      <c r="EG488" s="123"/>
      <c r="EH488" s="127"/>
      <c r="EI488" s="125"/>
      <c r="EJ488" s="126"/>
      <c r="EK488" s="30"/>
      <c r="EL488" s="127"/>
      <c r="EM488" s="128"/>
      <c r="EN488" s="123"/>
      <c r="EO488" s="128"/>
      <c r="EP488" s="13"/>
      <c r="EQ488" s="129"/>
      <c r="ER488" s="123"/>
      <c r="ES488" s="130"/>
      <c r="ET488" s="13"/>
      <c r="EU488" s="123"/>
      <c r="EV488" s="131"/>
    </row>
    <row r="489" spans="35:152">
      <c r="AI489" s="121"/>
      <c r="AJ489" s="13"/>
      <c r="AK489" s="13"/>
      <c r="AL489" s="13"/>
      <c r="AM489" s="13"/>
      <c r="AN489" s="13"/>
      <c r="AO489" s="13"/>
      <c r="AW489" s="121"/>
      <c r="AX489" s="121"/>
      <c r="AY489" s="121"/>
      <c r="AZ489" s="121"/>
      <c r="BA489" s="121"/>
      <c r="BB489" s="121"/>
      <c r="BC489" s="121"/>
      <c r="BD489" s="121"/>
      <c r="BE489" s="121"/>
      <c r="BF489" s="121"/>
      <c r="BG489" s="123"/>
      <c r="BH489" s="127"/>
      <c r="BI489" s="125"/>
      <c r="BJ489" s="126"/>
      <c r="BK489" s="30"/>
      <c r="BL489" s="127"/>
      <c r="BM489" s="128"/>
      <c r="BN489" s="123"/>
      <c r="BO489" s="128"/>
      <c r="BP489" s="13"/>
      <c r="BQ489" s="129"/>
      <c r="BR489" s="123"/>
      <c r="BS489" s="130"/>
      <c r="BT489" s="13"/>
      <c r="BU489" s="123"/>
      <c r="BV489" s="131"/>
      <c r="DI489" s="121"/>
      <c r="DJ489" s="13"/>
      <c r="DK489" s="13"/>
      <c r="DL489" s="13"/>
      <c r="DM489" s="13"/>
      <c r="DN489" s="13"/>
      <c r="DO489" s="13"/>
      <c r="DW489" s="121"/>
      <c r="DX489" s="121"/>
      <c r="DY489" s="121"/>
      <c r="DZ489" s="121"/>
      <c r="EA489" s="121"/>
      <c r="EB489" s="121"/>
      <c r="EC489" s="121"/>
      <c r="ED489" s="121"/>
      <c r="EE489" s="121"/>
      <c r="EF489" s="121"/>
      <c r="EG489" s="123"/>
      <c r="EH489" s="127"/>
      <c r="EI489" s="125"/>
      <c r="EJ489" s="126"/>
      <c r="EK489" s="30"/>
      <c r="EL489" s="127"/>
      <c r="EM489" s="128"/>
      <c r="EN489" s="123"/>
      <c r="EO489" s="128"/>
      <c r="EP489" s="13"/>
      <c r="EQ489" s="129"/>
      <c r="ER489" s="123"/>
      <c r="ES489" s="130"/>
      <c r="ET489" s="13"/>
      <c r="EU489" s="123"/>
      <c r="EV489" s="131"/>
    </row>
    <row r="490" spans="35:152">
      <c r="AI490" s="121"/>
      <c r="AJ490" s="13"/>
      <c r="AK490" s="13"/>
      <c r="AL490" s="13"/>
      <c r="AM490" s="13"/>
      <c r="AN490" s="13"/>
      <c r="AO490" s="13"/>
      <c r="AW490" s="121"/>
      <c r="AX490" s="121"/>
      <c r="AY490" s="121"/>
      <c r="AZ490" s="121"/>
      <c r="BA490" s="121"/>
      <c r="BB490" s="121"/>
      <c r="BC490" s="121"/>
      <c r="BD490" s="121"/>
      <c r="BE490" s="121"/>
      <c r="BF490" s="121"/>
      <c r="BG490" s="123"/>
      <c r="BH490" s="127"/>
      <c r="BI490" s="125"/>
      <c r="BJ490" s="126"/>
      <c r="BK490" s="30"/>
      <c r="BL490" s="127"/>
      <c r="BM490" s="128"/>
      <c r="BN490" s="123"/>
      <c r="BO490" s="128"/>
      <c r="BP490" s="13"/>
      <c r="BQ490" s="129"/>
      <c r="BR490" s="123"/>
      <c r="BS490" s="130"/>
      <c r="BT490" s="13"/>
      <c r="BU490" s="123"/>
      <c r="BV490" s="131"/>
      <c r="DI490" s="121"/>
      <c r="DJ490" s="13"/>
      <c r="DK490" s="13"/>
      <c r="DL490" s="13"/>
      <c r="DM490" s="13"/>
      <c r="DN490" s="13"/>
      <c r="DO490" s="13"/>
      <c r="DW490" s="121"/>
      <c r="DX490" s="121"/>
      <c r="DY490" s="121"/>
      <c r="DZ490" s="121"/>
      <c r="EA490" s="121"/>
      <c r="EB490" s="121"/>
      <c r="EC490" s="121"/>
      <c r="ED490" s="121"/>
      <c r="EE490" s="121"/>
      <c r="EF490" s="121"/>
      <c r="EG490" s="123"/>
      <c r="EH490" s="127"/>
      <c r="EI490" s="125"/>
      <c r="EJ490" s="126"/>
      <c r="EK490" s="30"/>
      <c r="EL490" s="127"/>
      <c r="EM490" s="128"/>
      <c r="EN490" s="123"/>
      <c r="EO490" s="128"/>
      <c r="EP490" s="13"/>
      <c r="EQ490" s="129"/>
      <c r="ER490" s="123"/>
      <c r="ES490" s="130"/>
      <c r="ET490" s="13"/>
      <c r="EU490" s="123"/>
      <c r="EV490" s="131"/>
    </row>
    <row r="491" spans="35:152">
      <c r="AI491" s="121"/>
      <c r="AJ491" s="13"/>
      <c r="AK491" s="13"/>
      <c r="AL491" s="13"/>
      <c r="AM491" s="13"/>
      <c r="AN491" s="13"/>
      <c r="AO491" s="13"/>
      <c r="AW491" s="121"/>
      <c r="AX491" s="121"/>
      <c r="AY491" s="121"/>
      <c r="AZ491" s="121"/>
      <c r="BA491" s="121"/>
      <c r="BB491" s="121"/>
      <c r="BC491" s="121"/>
      <c r="BD491" s="121"/>
      <c r="BE491" s="121"/>
      <c r="BF491" s="121"/>
      <c r="BG491" s="123"/>
      <c r="BH491" s="127"/>
      <c r="BI491" s="125"/>
      <c r="BJ491" s="126"/>
      <c r="BK491" s="30"/>
      <c r="BL491" s="127"/>
      <c r="BM491" s="128"/>
      <c r="BN491" s="123"/>
      <c r="BO491" s="128"/>
      <c r="BP491" s="13"/>
      <c r="BQ491" s="129"/>
      <c r="BR491" s="123"/>
      <c r="BS491" s="130"/>
      <c r="BT491" s="13"/>
      <c r="BU491" s="123"/>
      <c r="BV491" s="131"/>
      <c r="DI491" s="121"/>
      <c r="DJ491" s="13"/>
      <c r="DK491" s="13"/>
      <c r="DL491" s="13"/>
      <c r="DM491" s="13"/>
      <c r="DN491" s="13"/>
      <c r="DO491" s="13"/>
      <c r="DW491" s="121"/>
      <c r="DX491" s="121"/>
      <c r="DY491" s="121"/>
      <c r="DZ491" s="121"/>
      <c r="EA491" s="121"/>
      <c r="EB491" s="121"/>
      <c r="EC491" s="121"/>
      <c r="ED491" s="121"/>
      <c r="EE491" s="121"/>
      <c r="EF491" s="121"/>
      <c r="EG491" s="123"/>
      <c r="EH491" s="127"/>
      <c r="EI491" s="125"/>
      <c r="EJ491" s="126"/>
      <c r="EK491" s="30"/>
      <c r="EL491" s="127"/>
      <c r="EM491" s="128"/>
      <c r="EN491" s="123"/>
      <c r="EO491" s="128"/>
      <c r="EP491" s="13"/>
      <c r="EQ491" s="129"/>
      <c r="ER491" s="123"/>
      <c r="ES491" s="130"/>
      <c r="ET491" s="13"/>
      <c r="EU491" s="123"/>
      <c r="EV491" s="131"/>
    </row>
    <row r="492" spans="35:152">
      <c r="AI492" s="121"/>
      <c r="AJ492" s="13"/>
      <c r="AK492" s="13"/>
      <c r="AL492" s="13"/>
      <c r="AM492" s="13"/>
      <c r="AN492" s="13"/>
      <c r="AO492" s="13"/>
      <c r="AW492" s="121"/>
      <c r="AX492" s="121"/>
      <c r="AY492" s="121"/>
      <c r="AZ492" s="121"/>
      <c r="BA492" s="121"/>
      <c r="BB492" s="121"/>
      <c r="BC492" s="121"/>
      <c r="BD492" s="121"/>
      <c r="BE492" s="121"/>
      <c r="BF492" s="121"/>
      <c r="BG492" s="123"/>
      <c r="BH492" s="127"/>
      <c r="BI492" s="125"/>
      <c r="BJ492" s="126"/>
      <c r="BK492" s="30"/>
      <c r="BL492" s="127"/>
      <c r="BM492" s="128"/>
      <c r="BN492" s="123"/>
      <c r="BO492" s="128"/>
      <c r="BP492" s="13"/>
      <c r="BQ492" s="129"/>
      <c r="BR492" s="123"/>
      <c r="BS492" s="130"/>
      <c r="BT492" s="13"/>
      <c r="BU492" s="123"/>
      <c r="BV492" s="131"/>
      <c r="DI492" s="121"/>
      <c r="DJ492" s="13"/>
      <c r="DK492" s="13"/>
      <c r="DL492" s="13"/>
      <c r="DM492" s="13"/>
      <c r="DN492" s="13"/>
      <c r="DO492" s="13"/>
      <c r="DW492" s="121"/>
      <c r="DX492" s="121"/>
      <c r="DY492" s="121"/>
      <c r="DZ492" s="121"/>
      <c r="EA492" s="121"/>
      <c r="EB492" s="121"/>
      <c r="EC492" s="121"/>
      <c r="ED492" s="121"/>
      <c r="EE492" s="121"/>
      <c r="EF492" s="121"/>
      <c r="EG492" s="123"/>
      <c r="EH492" s="127"/>
      <c r="EI492" s="125"/>
      <c r="EJ492" s="126"/>
      <c r="EK492" s="30"/>
      <c r="EL492" s="127"/>
      <c r="EM492" s="128"/>
      <c r="EN492" s="123"/>
      <c r="EO492" s="128"/>
      <c r="EP492" s="13"/>
      <c r="EQ492" s="129"/>
      <c r="ER492" s="123"/>
      <c r="ES492" s="130"/>
      <c r="ET492" s="13"/>
      <c r="EU492" s="123"/>
      <c r="EV492" s="131"/>
    </row>
    <row r="493" spans="35:152">
      <c r="AI493" s="121"/>
      <c r="AJ493" s="13"/>
      <c r="AK493" s="13"/>
      <c r="AL493" s="13"/>
      <c r="AM493" s="13"/>
      <c r="AN493" s="13"/>
      <c r="AO493" s="13"/>
      <c r="AW493" s="121"/>
      <c r="AX493" s="121"/>
      <c r="AY493" s="121"/>
      <c r="AZ493" s="121"/>
      <c r="BA493" s="121"/>
      <c r="BB493" s="121"/>
      <c r="BC493" s="121"/>
      <c r="BD493" s="121"/>
      <c r="BE493" s="121"/>
      <c r="BF493" s="121"/>
      <c r="BG493" s="123"/>
      <c r="BH493" s="127"/>
      <c r="BI493" s="125"/>
      <c r="BJ493" s="126"/>
      <c r="BK493" s="30"/>
      <c r="BL493" s="127"/>
      <c r="BM493" s="128"/>
      <c r="BN493" s="123"/>
      <c r="BO493" s="128"/>
      <c r="BP493" s="13"/>
      <c r="BQ493" s="129"/>
      <c r="BR493" s="123"/>
      <c r="BS493" s="130"/>
      <c r="BT493" s="13"/>
      <c r="BU493" s="123"/>
      <c r="BV493" s="131"/>
      <c r="DI493" s="121"/>
      <c r="DJ493" s="13"/>
      <c r="DK493" s="13"/>
      <c r="DL493" s="13"/>
      <c r="DM493" s="13"/>
      <c r="DN493" s="13"/>
      <c r="DO493" s="13"/>
      <c r="DW493" s="121"/>
      <c r="DX493" s="121"/>
      <c r="DY493" s="121"/>
      <c r="DZ493" s="121"/>
      <c r="EA493" s="121"/>
      <c r="EB493" s="121"/>
      <c r="EC493" s="121"/>
      <c r="ED493" s="121"/>
      <c r="EE493" s="121"/>
      <c r="EF493" s="121"/>
      <c r="EG493" s="123"/>
      <c r="EH493" s="127"/>
      <c r="EI493" s="125"/>
      <c r="EJ493" s="126"/>
      <c r="EK493" s="30"/>
      <c r="EL493" s="127"/>
      <c r="EM493" s="128"/>
      <c r="EN493" s="123"/>
      <c r="EO493" s="128"/>
      <c r="EP493" s="13"/>
      <c r="EQ493" s="129"/>
      <c r="ER493" s="123"/>
      <c r="ES493" s="130"/>
      <c r="ET493" s="13"/>
      <c r="EU493" s="123"/>
      <c r="EV493" s="131"/>
    </row>
    <row r="494" spans="35:152">
      <c r="AI494" s="121"/>
      <c r="AJ494" s="13"/>
      <c r="AK494" s="13"/>
      <c r="AL494" s="13"/>
      <c r="AM494" s="13"/>
      <c r="AN494" s="13"/>
      <c r="AO494" s="13"/>
      <c r="AW494" s="121"/>
      <c r="AX494" s="121"/>
      <c r="AY494" s="121"/>
      <c r="AZ494" s="121"/>
      <c r="BA494" s="121"/>
      <c r="BB494" s="121"/>
      <c r="BC494" s="121"/>
      <c r="BD494" s="121"/>
      <c r="BE494" s="121"/>
      <c r="BF494" s="121"/>
      <c r="BG494" s="123"/>
      <c r="BH494" s="127"/>
      <c r="BI494" s="125"/>
      <c r="BJ494" s="126"/>
      <c r="BK494" s="30"/>
      <c r="BL494" s="127"/>
      <c r="BM494" s="128"/>
      <c r="BN494" s="123"/>
      <c r="BO494" s="128"/>
      <c r="BP494" s="13"/>
      <c r="BQ494" s="129"/>
      <c r="BR494" s="123"/>
      <c r="BS494" s="130"/>
      <c r="BT494" s="13"/>
      <c r="BU494" s="123"/>
      <c r="BV494" s="131"/>
      <c r="DI494" s="121"/>
      <c r="DJ494" s="13"/>
      <c r="DK494" s="13"/>
      <c r="DL494" s="13"/>
      <c r="DM494" s="13"/>
      <c r="DN494" s="13"/>
      <c r="DO494" s="13"/>
      <c r="DW494" s="121"/>
      <c r="DX494" s="121"/>
      <c r="DY494" s="121"/>
      <c r="DZ494" s="121"/>
      <c r="EA494" s="121"/>
      <c r="EB494" s="121"/>
      <c r="EC494" s="121"/>
      <c r="ED494" s="121"/>
      <c r="EE494" s="121"/>
      <c r="EF494" s="121"/>
      <c r="EG494" s="123"/>
      <c r="EH494" s="127"/>
      <c r="EI494" s="125"/>
      <c r="EJ494" s="126"/>
      <c r="EK494" s="30"/>
      <c r="EL494" s="127"/>
      <c r="EM494" s="128"/>
      <c r="EN494" s="123"/>
      <c r="EO494" s="128"/>
      <c r="EP494" s="13"/>
      <c r="EQ494" s="129"/>
      <c r="ER494" s="123"/>
      <c r="ES494" s="130"/>
      <c r="ET494" s="13"/>
      <c r="EU494" s="123"/>
      <c r="EV494" s="131"/>
    </row>
    <row r="495" spans="35:152">
      <c r="AI495" s="121"/>
      <c r="AJ495" s="13"/>
      <c r="AK495" s="13"/>
      <c r="AL495" s="13"/>
      <c r="AM495" s="13"/>
      <c r="AN495" s="13"/>
      <c r="AO495" s="13"/>
      <c r="AW495" s="121"/>
      <c r="AX495" s="121"/>
      <c r="AY495" s="121"/>
      <c r="AZ495" s="121"/>
      <c r="BA495" s="121"/>
      <c r="BB495" s="121"/>
      <c r="BC495" s="121"/>
      <c r="BD495" s="121"/>
      <c r="BE495" s="121"/>
      <c r="BF495" s="121"/>
      <c r="BG495" s="123"/>
      <c r="BH495" s="127"/>
      <c r="BI495" s="125"/>
      <c r="BJ495" s="126"/>
      <c r="BK495" s="30"/>
      <c r="BL495" s="127"/>
      <c r="BM495" s="128"/>
      <c r="BN495" s="123"/>
      <c r="BO495" s="128"/>
      <c r="BP495" s="13"/>
      <c r="BQ495" s="129"/>
      <c r="BR495" s="123"/>
      <c r="BS495" s="130"/>
      <c r="BT495" s="13"/>
      <c r="BU495" s="123"/>
      <c r="BV495" s="131"/>
      <c r="DI495" s="121"/>
      <c r="DJ495" s="13"/>
      <c r="DK495" s="13"/>
      <c r="DL495" s="13"/>
      <c r="DM495" s="13"/>
      <c r="DN495" s="13"/>
      <c r="DO495" s="13"/>
      <c r="DW495" s="121"/>
      <c r="DX495" s="121"/>
      <c r="DY495" s="121"/>
      <c r="DZ495" s="121"/>
      <c r="EA495" s="121"/>
      <c r="EB495" s="121"/>
      <c r="EC495" s="121"/>
      <c r="ED495" s="121"/>
      <c r="EE495" s="121"/>
      <c r="EF495" s="121"/>
      <c r="EG495" s="123"/>
      <c r="EH495" s="127"/>
      <c r="EI495" s="125"/>
      <c r="EJ495" s="126"/>
      <c r="EK495" s="30"/>
      <c r="EL495" s="127"/>
      <c r="EM495" s="128"/>
      <c r="EN495" s="123"/>
      <c r="EO495" s="128"/>
      <c r="EP495" s="13"/>
      <c r="EQ495" s="129"/>
      <c r="ER495" s="123"/>
      <c r="ES495" s="130"/>
      <c r="ET495" s="13"/>
      <c r="EU495" s="123"/>
      <c r="EV495" s="131"/>
    </row>
    <row r="496" spans="35:152">
      <c r="AI496" s="121"/>
      <c r="AJ496" s="13"/>
      <c r="AK496" s="13"/>
      <c r="AL496" s="13"/>
      <c r="AM496" s="13"/>
      <c r="AN496" s="13"/>
      <c r="AO496" s="13"/>
      <c r="AW496" s="121"/>
      <c r="AX496" s="121"/>
      <c r="AY496" s="121"/>
      <c r="AZ496" s="121"/>
      <c r="BA496" s="121"/>
      <c r="BB496" s="121"/>
      <c r="BC496" s="121"/>
      <c r="BD496" s="121"/>
      <c r="BE496" s="121"/>
      <c r="BF496" s="121"/>
      <c r="BG496" s="123"/>
      <c r="BH496" s="127"/>
      <c r="BI496" s="125"/>
      <c r="BJ496" s="126"/>
      <c r="BK496" s="30"/>
      <c r="BL496" s="127"/>
      <c r="BM496" s="128"/>
      <c r="BN496" s="123"/>
      <c r="BO496" s="128"/>
      <c r="BP496" s="13"/>
      <c r="BQ496" s="129"/>
      <c r="BR496" s="123"/>
      <c r="BS496" s="130"/>
      <c r="BT496" s="13"/>
      <c r="BU496" s="123"/>
      <c r="BV496" s="131"/>
      <c r="DI496" s="121"/>
      <c r="DJ496" s="13"/>
      <c r="DK496" s="13"/>
      <c r="DL496" s="13"/>
      <c r="DM496" s="13"/>
      <c r="DN496" s="13"/>
      <c r="DO496" s="13"/>
      <c r="DW496" s="121"/>
      <c r="DX496" s="121"/>
      <c r="DY496" s="121"/>
      <c r="DZ496" s="121"/>
      <c r="EA496" s="121"/>
      <c r="EB496" s="121"/>
      <c r="EC496" s="121"/>
      <c r="ED496" s="121"/>
      <c r="EE496" s="121"/>
      <c r="EF496" s="121"/>
      <c r="EG496" s="123"/>
      <c r="EH496" s="127"/>
      <c r="EI496" s="125"/>
      <c r="EJ496" s="126"/>
      <c r="EK496" s="30"/>
      <c r="EL496" s="127"/>
      <c r="EM496" s="128"/>
      <c r="EN496" s="123"/>
      <c r="EO496" s="128"/>
      <c r="EP496" s="13"/>
      <c r="EQ496" s="129"/>
      <c r="ER496" s="123"/>
      <c r="ES496" s="130"/>
      <c r="ET496" s="13"/>
      <c r="EU496" s="123"/>
      <c r="EV496" s="131"/>
    </row>
    <row r="497" spans="35:152">
      <c r="AI497" s="121"/>
      <c r="AJ497" s="13"/>
      <c r="AK497" s="13"/>
      <c r="AL497" s="13"/>
      <c r="AM497" s="13"/>
      <c r="AN497" s="13"/>
      <c r="AO497" s="13"/>
      <c r="AW497" s="121"/>
      <c r="AX497" s="121"/>
      <c r="AY497" s="121"/>
      <c r="AZ497" s="121"/>
      <c r="BA497" s="121"/>
      <c r="BB497" s="121"/>
      <c r="BC497" s="121"/>
      <c r="BD497" s="121"/>
      <c r="BE497" s="121"/>
      <c r="BF497" s="121"/>
      <c r="BG497" s="123"/>
      <c r="BH497" s="127"/>
      <c r="BI497" s="125"/>
      <c r="BJ497" s="126"/>
      <c r="BK497" s="30"/>
      <c r="BL497" s="127"/>
      <c r="BM497" s="128"/>
      <c r="BN497" s="123"/>
      <c r="BO497" s="128"/>
      <c r="BP497" s="13"/>
      <c r="BQ497" s="129"/>
      <c r="BR497" s="123"/>
      <c r="BS497" s="130"/>
      <c r="BT497" s="13"/>
      <c r="BU497" s="123"/>
      <c r="BV497" s="131"/>
      <c r="DI497" s="121"/>
      <c r="DJ497" s="13"/>
      <c r="DK497" s="13"/>
      <c r="DL497" s="13"/>
      <c r="DM497" s="13"/>
      <c r="DN497" s="13"/>
      <c r="DO497" s="13"/>
      <c r="DW497" s="121"/>
      <c r="DX497" s="121"/>
      <c r="DY497" s="121"/>
      <c r="DZ497" s="121"/>
      <c r="EA497" s="121"/>
      <c r="EB497" s="121"/>
      <c r="EC497" s="121"/>
      <c r="ED497" s="121"/>
      <c r="EE497" s="121"/>
      <c r="EF497" s="121"/>
      <c r="EG497" s="123"/>
      <c r="EH497" s="127"/>
      <c r="EI497" s="125"/>
      <c r="EJ497" s="126"/>
      <c r="EK497" s="30"/>
      <c r="EL497" s="127"/>
      <c r="EM497" s="128"/>
      <c r="EN497" s="123"/>
      <c r="EO497" s="128"/>
      <c r="EP497" s="13"/>
      <c r="EQ497" s="129"/>
      <c r="ER497" s="123"/>
      <c r="ES497" s="130"/>
      <c r="ET497" s="13"/>
      <c r="EU497" s="123"/>
      <c r="EV497" s="131"/>
    </row>
    <row r="498" spans="35:152">
      <c r="AI498" s="121"/>
      <c r="AJ498" s="13"/>
      <c r="AK498" s="13"/>
      <c r="AL498" s="13"/>
      <c r="AM498" s="13"/>
      <c r="AN498" s="13"/>
      <c r="AO498" s="13"/>
      <c r="AW498" s="121"/>
      <c r="AX498" s="121"/>
      <c r="AY498" s="121"/>
      <c r="AZ498" s="121"/>
      <c r="BA498" s="121"/>
      <c r="BB498" s="121"/>
      <c r="BC498" s="121"/>
      <c r="BD498" s="121"/>
      <c r="BE498" s="121"/>
      <c r="BF498" s="121"/>
      <c r="BG498" s="123"/>
      <c r="BH498" s="127"/>
      <c r="BI498" s="125"/>
      <c r="BJ498" s="126"/>
      <c r="BK498" s="30"/>
      <c r="BL498" s="127"/>
      <c r="BM498" s="128"/>
      <c r="BN498" s="123"/>
      <c r="BO498" s="128"/>
      <c r="BP498" s="13"/>
      <c r="BQ498" s="129"/>
      <c r="BR498" s="123"/>
      <c r="BS498" s="130"/>
      <c r="BT498" s="13"/>
      <c r="BU498" s="123"/>
      <c r="BV498" s="131"/>
      <c r="DI498" s="121"/>
      <c r="DJ498" s="13"/>
      <c r="DK498" s="13"/>
      <c r="DL498" s="13"/>
      <c r="DM498" s="13"/>
      <c r="DN498" s="13"/>
      <c r="DO498" s="13"/>
      <c r="DW498" s="121"/>
      <c r="DX498" s="121"/>
      <c r="DY498" s="121"/>
      <c r="DZ498" s="121"/>
      <c r="EA498" s="121"/>
      <c r="EB498" s="121"/>
      <c r="EC498" s="121"/>
      <c r="ED498" s="121"/>
      <c r="EE498" s="121"/>
      <c r="EF498" s="121"/>
      <c r="EG498" s="123"/>
      <c r="EH498" s="127"/>
      <c r="EI498" s="125"/>
      <c r="EJ498" s="126"/>
      <c r="EK498" s="30"/>
      <c r="EL498" s="127"/>
      <c r="EM498" s="128"/>
      <c r="EN498" s="123"/>
      <c r="EO498" s="128"/>
      <c r="EP498" s="13"/>
      <c r="EQ498" s="129"/>
      <c r="ER498" s="123"/>
      <c r="ES498" s="130"/>
      <c r="ET498" s="13"/>
      <c r="EU498" s="123"/>
      <c r="EV498" s="131"/>
    </row>
    <row r="499" spans="35:152">
      <c r="AI499" s="121"/>
      <c r="AJ499" s="13"/>
      <c r="AK499" s="13"/>
      <c r="AL499" s="13"/>
      <c r="AM499" s="13"/>
      <c r="AN499" s="13"/>
      <c r="AO499" s="13"/>
      <c r="AW499" s="121"/>
      <c r="AX499" s="121"/>
      <c r="AY499" s="121"/>
      <c r="AZ499" s="121"/>
      <c r="BA499" s="121"/>
      <c r="BB499" s="121"/>
      <c r="BC499" s="121"/>
      <c r="BD499" s="121"/>
      <c r="BE499" s="121"/>
      <c r="BF499" s="121"/>
      <c r="BG499" s="123"/>
      <c r="BH499" s="127"/>
      <c r="BI499" s="125"/>
      <c r="BJ499" s="126"/>
      <c r="BK499" s="30"/>
      <c r="BL499" s="127"/>
      <c r="BM499" s="128"/>
      <c r="BN499" s="123"/>
      <c r="BO499" s="128"/>
      <c r="BP499" s="13"/>
      <c r="BQ499" s="129"/>
      <c r="BR499" s="123"/>
      <c r="BS499" s="130"/>
      <c r="BT499" s="13"/>
      <c r="BU499" s="123"/>
      <c r="BV499" s="131"/>
      <c r="DI499" s="121"/>
      <c r="DJ499" s="13"/>
      <c r="DK499" s="13"/>
      <c r="DL499" s="13"/>
      <c r="DM499" s="13"/>
      <c r="DN499" s="13"/>
      <c r="DO499" s="13"/>
      <c r="DW499" s="121"/>
      <c r="DX499" s="121"/>
      <c r="DY499" s="121"/>
      <c r="DZ499" s="121"/>
      <c r="EA499" s="121"/>
      <c r="EB499" s="121"/>
      <c r="EC499" s="121"/>
      <c r="ED499" s="121"/>
      <c r="EE499" s="121"/>
      <c r="EF499" s="121"/>
      <c r="EG499" s="123"/>
      <c r="EH499" s="127"/>
      <c r="EI499" s="125"/>
      <c r="EJ499" s="126"/>
      <c r="EK499" s="30"/>
      <c r="EL499" s="127"/>
      <c r="EM499" s="128"/>
      <c r="EN499" s="123"/>
      <c r="EO499" s="128"/>
      <c r="EP499" s="13"/>
      <c r="EQ499" s="129"/>
      <c r="ER499" s="123"/>
      <c r="ES499" s="130"/>
      <c r="ET499" s="13"/>
      <c r="EU499" s="123"/>
      <c r="EV499" s="131"/>
    </row>
    <row r="500" spans="35:152">
      <c r="AI500" s="121"/>
      <c r="AJ500" s="13"/>
      <c r="AK500" s="13"/>
      <c r="AL500" s="13"/>
      <c r="AM500" s="13"/>
      <c r="AN500" s="13"/>
      <c r="AO500" s="13"/>
      <c r="AW500" s="121"/>
      <c r="AX500" s="121"/>
      <c r="AY500" s="121"/>
      <c r="AZ500" s="121"/>
      <c r="BA500" s="121"/>
      <c r="BB500" s="121"/>
      <c r="BC500" s="121"/>
      <c r="BD500" s="121"/>
      <c r="BE500" s="121"/>
      <c r="BF500" s="121"/>
      <c r="BG500" s="123"/>
      <c r="BH500" s="127"/>
      <c r="BI500" s="125"/>
      <c r="BJ500" s="126"/>
      <c r="BK500" s="30"/>
      <c r="BL500" s="127"/>
      <c r="BM500" s="128"/>
      <c r="BN500" s="123"/>
      <c r="BO500" s="128"/>
      <c r="BP500" s="13"/>
      <c r="BQ500" s="129"/>
      <c r="BR500" s="123"/>
      <c r="BS500" s="130"/>
      <c r="BT500" s="13"/>
      <c r="BU500" s="123"/>
      <c r="BV500" s="131"/>
      <c r="DI500" s="121"/>
      <c r="DJ500" s="13"/>
      <c r="DK500" s="13"/>
      <c r="DL500" s="13"/>
      <c r="DM500" s="13"/>
      <c r="DN500" s="13"/>
      <c r="DO500" s="13"/>
      <c r="DW500" s="121"/>
      <c r="DX500" s="121"/>
      <c r="DY500" s="121"/>
      <c r="DZ500" s="121"/>
      <c r="EA500" s="121"/>
      <c r="EB500" s="121"/>
      <c r="EC500" s="121"/>
      <c r="ED500" s="121"/>
      <c r="EE500" s="121"/>
      <c r="EF500" s="121"/>
      <c r="EG500" s="123"/>
      <c r="EH500" s="127"/>
      <c r="EI500" s="125"/>
      <c r="EJ500" s="126"/>
      <c r="EK500" s="30"/>
      <c r="EL500" s="127"/>
      <c r="EM500" s="128"/>
      <c r="EN500" s="123"/>
      <c r="EO500" s="128"/>
      <c r="EP500" s="13"/>
      <c r="EQ500" s="129"/>
      <c r="ER500" s="123"/>
      <c r="ES500" s="130"/>
      <c r="ET500" s="13"/>
      <c r="EU500" s="123"/>
      <c r="EV500" s="131"/>
    </row>
    <row r="501" spans="35:152">
      <c r="AI501" s="121"/>
      <c r="AJ501" s="13"/>
      <c r="AK501" s="13"/>
      <c r="AL501" s="13"/>
      <c r="AM501" s="13"/>
      <c r="AN501" s="13"/>
      <c r="AO501" s="13"/>
      <c r="AW501" s="121"/>
      <c r="AX501" s="121"/>
      <c r="AY501" s="121"/>
      <c r="AZ501" s="121"/>
      <c r="BA501" s="121"/>
      <c r="BB501" s="121"/>
      <c r="BC501" s="121"/>
      <c r="BD501" s="121"/>
      <c r="BE501" s="121"/>
      <c r="BF501" s="121"/>
      <c r="BG501" s="123"/>
      <c r="BH501" s="127"/>
      <c r="BI501" s="125"/>
      <c r="BJ501" s="126"/>
      <c r="BK501" s="30"/>
      <c r="BL501" s="127"/>
      <c r="BM501" s="128"/>
      <c r="BN501" s="123"/>
      <c r="BO501" s="128"/>
      <c r="BP501" s="13"/>
      <c r="BQ501" s="129"/>
      <c r="BR501" s="123"/>
      <c r="BS501" s="130"/>
      <c r="BT501" s="13"/>
      <c r="BU501" s="123"/>
      <c r="BV501" s="131"/>
      <c r="DI501" s="121"/>
      <c r="DJ501" s="13"/>
      <c r="DK501" s="13"/>
      <c r="DL501" s="13"/>
      <c r="DM501" s="13"/>
      <c r="DN501" s="13"/>
      <c r="DO501" s="13"/>
      <c r="DW501" s="121"/>
      <c r="DX501" s="121"/>
      <c r="DY501" s="121"/>
      <c r="DZ501" s="121"/>
      <c r="EA501" s="121"/>
      <c r="EB501" s="121"/>
      <c r="EC501" s="121"/>
      <c r="ED501" s="121"/>
      <c r="EE501" s="121"/>
      <c r="EF501" s="121"/>
      <c r="EG501" s="123"/>
      <c r="EH501" s="127"/>
      <c r="EI501" s="125"/>
      <c r="EJ501" s="126"/>
      <c r="EK501" s="30"/>
      <c r="EL501" s="127"/>
      <c r="EM501" s="128"/>
      <c r="EN501" s="123"/>
      <c r="EO501" s="128"/>
      <c r="EP501" s="13"/>
      <c r="EQ501" s="129"/>
      <c r="ER501" s="123"/>
      <c r="ES501" s="130"/>
      <c r="ET501" s="13"/>
      <c r="EU501" s="123"/>
      <c r="EV501" s="131"/>
    </row>
    <row r="502" spans="35:152">
      <c r="AI502" s="121"/>
      <c r="AJ502" s="13"/>
      <c r="AK502" s="13"/>
      <c r="AL502" s="13"/>
      <c r="AM502" s="13"/>
      <c r="AN502" s="13"/>
      <c r="AO502" s="13"/>
      <c r="AW502" s="121"/>
      <c r="AX502" s="121"/>
      <c r="AY502" s="121"/>
      <c r="AZ502" s="121"/>
      <c r="BA502" s="121"/>
      <c r="BB502" s="121"/>
      <c r="BC502" s="121"/>
      <c r="BD502" s="121"/>
      <c r="BE502" s="121"/>
      <c r="BF502" s="121"/>
      <c r="BG502" s="123"/>
      <c r="BH502" s="127"/>
      <c r="BI502" s="125"/>
      <c r="BJ502" s="126"/>
      <c r="BK502" s="30"/>
      <c r="BL502" s="127"/>
      <c r="BM502" s="128"/>
      <c r="BN502" s="123"/>
      <c r="BO502" s="128"/>
      <c r="BP502" s="13"/>
      <c r="BQ502" s="129"/>
      <c r="BR502" s="123"/>
      <c r="BS502" s="130"/>
      <c r="BT502" s="13"/>
      <c r="BU502" s="123"/>
      <c r="BV502" s="131"/>
      <c r="DI502" s="121"/>
      <c r="DJ502" s="13"/>
      <c r="DK502" s="13"/>
      <c r="DL502" s="13"/>
      <c r="DM502" s="13"/>
      <c r="DN502" s="13"/>
      <c r="DO502" s="13"/>
      <c r="DW502" s="121"/>
      <c r="DX502" s="121"/>
      <c r="DY502" s="121"/>
      <c r="DZ502" s="121"/>
      <c r="EA502" s="121"/>
      <c r="EB502" s="121"/>
      <c r="EC502" s="121"/>
      <c r="ED502" s="121"/>
      <c r="EE502" s="121"/>
      <c r="EF502" s="121"/>
      <c r="EG502" s="123"/>
      <c r="EH502" s="127"/>
      <c r="EI502" s="125"/>
      <c r="EJ502" s="126"/>
      <c r="EK502" s="30"/>
      <c r="EL502" s="127"/>
      <c r="EM502" s="128"/>
      <c r="EN502" s="123"/>
      <c r="EO502" s="128"/>
      <c r="EP502" s="13"/>
      <c r="EQ502" s="129"/>
      <c r="ER502" s="123"/>
      <c r="ES502" s="130"/>
      <c r="ET502" s="13"/>
      <c r="EU502" s="123"/>
      <c r="EV502" s="131"/>
    </row>
    <row r="503" spans="35:152">
      <c r="AI503" s="121"/>
      <c r="AJ503" s="13"/>
      <c r="AK503" s="13"/>
      <c r="AL503" s="13"/>
      <c r="AM503" s="13"/>
      <c r="AN503" s="13"/>
      <c r="AO503" s="13"/>
      <c r="AW503" s="121"/>
      <c r="AX503" s="121"/>
      <c r="AY503" s="121"/>
      <c r="AZ503" s="121"/>
      <c r="BA503" s="121"/>
      <c r="BB503" s="121"/>
      <c r="BC503" s="121"/>
      <c r="BD503" s="121"/>
      <c r="BE503" s="121"/>
      <c r="BF503" s="121"/>
      <c r="BG503" s="123"/>
      <c r="BH503" s="127"/>
      <c r="BI503" s="125"/>
      <c r="BJ503" s="126"/>
      <c r="BK503" s="30"/>
      <c r="BL503" s="127"/>
      <c r="BM503" s="128"/>
      <c r="BN503" s="123"/>
      <c r="BO503" s="128"/>
      <c r="BP503" s="13"/>
      <c r="BQ503" s="129"/>
      <c r="BR503" s="123"/>
      <c r="BS503" s="130"/>
      <c r="BT503" s="13"/>
      <c r="BU503" s="123"/>
      <c r="BV503" s="131"/>
      <c r="DI503" s="121"/>
      <c r="DJ503" s="13"/>
      <c r="DK503" s="13"/>
      <c r="DL503" s="13"/>
      <c r="DM503" s="13"/>
      <c r="DN503" s="13"/>
      <c r="DO503" s="13"/>
      <c r="DW503" s="121"/>
      <c r="DX503" s="121"/>
      <c r="DY503" s="121"/>
      <c r="DZ503" s="121"/>
      <c r="EA503" s="121"/>
      <c r="EB503" s="121"/>
      <c r="EC503" s="121"/>
      <c r="ED503" s="121"/>
      <c r="EE503" s="121"/>
      <c r="EF503" s="121"/>
      <c r="EG503" s="123"/>
      <c r="EH503" s="127"/>
      <c r="EI503" s="125"/>
      <c r="EJ503" s="126"/>
      <c r="EK503" s="30"/>
      <c r="EL503" s="127"/>
      <c r="EM503" s="128"/>
      <c r="EN503" s="123"/>
      <c r="EO503" s="128"/>
      <c r="EP503" s="13"/>
      <c r="EQ503" s="129"/>
      <c r="ER503" s="123"/>
      <c r="ES503" s="130"/>
      <c r="ET503" s="13"/>
      <c r="EU503" s="123"/>
      <c r="EV503" s="131"/>
    </row>
    <row r="504" spans="35:152">
      <c r="AI504" s="121"/>
      <c r="AJ504" s="13"/>
      <c r="AK504" s="13"/>
      <c r="AL504" s="13"/>
      <c r="AM504" s="13"/>
      <c r="AN504" s="13"/>
      <c r="AO504" s="13"/>
      <c r="AW504" s="121"/>
      <c r="AX504" s="121"/>
      <c r="AY504" s="121"/>
      <c r="AZ504" s="121"/>
      <c r="BA504" s="121"/>
      <c r="BB504" s="121"/>
      <c r="BC504" s="121"/>
      <c r="BD504" s="121"/>
      <c r="BE504" s="121"/>
      <c r="BF504" s="121"/>
      <c r="BG504" s="123"/>
      <c r="BH504" s="127"/>
      <c r="BI504" s="125"/>
      <c r="BJ504" s="126"/>
      <c r="BK504" s="30"/>
      <c r="BL504" s="127"/>
      <c r="BM504" s="128"/>
      <c r="BN504" s="123"/>
      <c r="BO504" s="128"/>
      <c r="BP504" s="13"/>
      <c r="BQ504" s="129"/>
      <c r="BR504" s="123"/>
      <c r="BS504" s="130"/>
      <c r="BT504" s="13"/>
      <c r="BU504" s="123"/>
      <c r="BV504" s="131"/>
      <c r="DI504" s="121"/>
      <c r="DJ504" s="13"/>
      <c r="DK504" s="13"/>
      <c r="DL504" s="13"/>
      <c r="DM504" s="13"/>
      <c r="DN504" s="13"/>
      <c r="DO504" s="13"/>
      <c r="DW504" s="121"/>
      <c r="DX504" s="121"/>
      <c r="DY504" s="121"/>
      <c r="DZ504" s="121"/>
      <c r="EA504" s="121"/>
      <c r="EB504" s="121"/>
      <c r="EC504" s="121"/>
      <c r="ED504" s="121"/>
      <c r="EE504" s="121"/>
      <c r="EF504" s="121"/>
      <c r="EG504" s="123"/>
      <c r="EH504" s="127"/>
      <c r="EI504" s="125"/>
      <c r="EJ504" s="126"/>
      <c r="EK504" s="30"/>
      <c r="EL504" s="127"/>
      <c r="EM504" s="128"/>
      <c r="EN504" s="123"/>
      <c r="EO504" s="128"/>
      <c r="EP504" s="13"/>
      <c r="EQ504" s="129"/>
      <c r="ER504" s="123"/>
      <c r="ES504" s="130"/>
      <c r="ET504" s="13"/>
      <c r="EU504" s="123"/>
      <c r="EV504" s="131"/>
    </row>
    <row r="505" spans="35:152">
      <c r="AI505" s="121"/>
      <c r="AJ505" s="13"/>
      <c r="AK505" s="13"/>
      <c r="AL505" s="13"/>
      <c r="AM505" s="13"/>
      <c r="AN505" s="13"/>
      <c r="AO505" s="13"/>
      <c r="AW505" s="121"/>
      <c r="AX505" s="121"/>
      <c r="AY505" s="121"/>
      <c r="AZ505" s="121"/>
      <c r="BA505" s="121"/>
      <c r="BB505" s="121"/>
      <c r="BC505" s="121"/>
      <c r="BD505" s="121"/>
      <c r="BE505" s="121"/>
      <c r="BF505" s="121"/>
      <c r="BG505" s="123"/>
      <c r="BH505" s="127"/>
      <c r="BI505" s="125"/>
      <c r="BJ505" s="126"/>
      <c r="BK505" s="30"/>
      <c r="BL505" s="127"/>
      <c r="BM505" s="128"/>
      <c r="BN505" s="123"/>
      <c r="BO505" s="128"/>
      <c r="BP505" s="13"/>
      <c r="BQ505" s="129"/>
      <c r="BR505" s="123"/>
      <c r="BS505" s="130"/>
      <c r="BT505" s="13"/>
      <c r="BU505" s="123"/>
      <c r="BV505" s="131"/>
      <c r="DI505" s="121"/>
      <c r="DJ505" s="13"/>
      <c r="DK505" s="13"/>
      <c r="DL505" s="13"/>
      <c r="DM505" s="13"/>
      <c r="DN505" s="13"/>
      <c r="DO505" s="13"/>
      <c r="DW505" s="121"/>
      <c r="DX505" s="121"/>
      <c r="DY505" s="121"/>
      <c r="DZ505" s="121"/>
      <c r="EA505" s="121"/>
      <c r="EB505" s="121"/>
      <c r="EC505" s="121"/>
      <c r="ED505" s="121"/>
      <c r="EE505" s="121"/>
      <c r="EF505" s="121"/>
      <c r="EG505" s="123"/>
      <c r="EH505" s="127"/>
      <c r="EI505" s="125"/>
      <c r="EJ505" s="126"/>
      <c r="EK505" s="30"/>
      <c r="EL505" s="127"/>
      <c r="EM505" s="128"/>
      <c r="EN505" s="123"/>
      <c r="EO505" s="128"/>
      <c r="EP505" s="13"/>
      <c r="EQ505" s="129"/>
      <c r="ER505" s="123"/>
      <c r="ES505" s="130"/>
      <c r="ET505" s="13"/>
      <c r="EU505" s="123"/>
      <c r="EV505" s="131"/>
    </row>
    <row r="506" spans="35:152">
      <c r="AI506" s="121"/>
      <c r="AJ506" s="13"/>
      <c r="AK506" s="13"/>
      <c r="AL506" s="13"/>
      <c r="AM506" s="13"/>
      <c r="AN506" s="13"/>
      <c r="AO506" s="13"/>
      <c r="AW506" s="121"/>
      <c r="AX506" s="121"/>
      <c r="AY506" s="121"/>
      <c r="AZ506" s="121"/>
      <c r="BA506" s="121"/>
      <c r="BB506" s="121"/>
      <c r="BC506" s="121"/>
      <c r="BD506" s="121"/>
      <c r="BE506" s="121"/>
      <c r="BF506" s="121"/>
      <c r="BG506" s="123"/>
      <c r="BH506" s="127"/>
      <c r="BI506" s="125"/>
      <c r="BJ506" s="126"/>
      <c r="BK506" s="30"/>
      <c r="BL506" s="127"/>
      <c r="BM506" s="128"/>
      <c r="BN506" s="123"/>
      <c r="BO506" s="128"/>
      <c r="BP506" s="13"/>
      <c r="BQ506" s="129"/>
      <c r="BR506" s="123"/>
      <c r="BS506" s="130"/>
      <c r="BT506" s="13"/>
      <c r="BU506" s="123"/>
      <c r="BV506" s="131"/>
      <c r="DI506" s="121"/>
      <c r="DJ506" s="13"/>
      <c r="DK506" s="13"/>
      <c r="DL506" s="13"/>
      <c r="DM506" s="13"/>
      <c r="DN506" s="13"/>
      <c r="DO506" s="13"/>
      <c r="DW506" s="121"/>
      <c r="DX506" s="121"/>
      <c r="DY506" s="121"/>
      <c r="DZ506" s="121"/>
      <c r="EA506" s="121"/>
      <c r="EB506" s="121"/>
      <c r="EC506" s="121"/>
      <c r="ED506" s="121"/>
      <c r="EE506" s="121"/>
      <c r="EF506" s="121"/>
      <c r="EG506" s="123"/>
      <c r="EH506" s="127"/>
      <c r="EI506" s="125"/>
      <c r="EJ506" s="126"/>
      <c r="EK506" s="30"/>
      <c r="EL506" s="127"/>
      <c r="EM506" s="128"/>
      <c r="EN506" s="123"/>
      <c r="EO506" s="128"/>
      <c r="EP506" s="13"/>
      <c r="EQ506" s="129"/>
      <c r="ER506" s="123"/>
      <c r="ES506" s="130"/>
      <c r="ET506" s="13"/>
      <c r="EU506" s="123"/>
      <c r="EV506" s="131"/>
    </row>
    <row r="507" spans="35:152">
      <c r="AI507" s="121"/>
      <c r="AJ507" s="13"/>
      <c r="AK507" s="13"/>
      <c r="AL507" s="13"/>
      <c r="AM507" s="13"/>
      <c r="AN507" s="13"/>
      <c r="AO507" s="13"/>
      <c r="AW507" s="121"/>
      <c r="AX507" s="121"/>
      <c r="AY507" s="121"/>
      <c r="AZ507" s="121"/>
      <c r="BA507" s="121"/>
      <c r="BB507" s="121"/>
      <c r="BC507" s="121"/>
      <c r="BD507" s="121"/>
      <c r="BE507" s="121"/>
      <c r="BF507" s="121"/>
      <c r="BG507" s="123"/>
      <c r="BH507" s="127"/>
      <c r="BI507" s="125"/>
      <c r="BJ507" s="126"/>
      <c r="BK507" s="30"/>
      <c r="BL507" s="127"/>
      <c r="BM507" s="128"/>
      <c r="BN507" s="123"/>
      <c r="BO507" s="128"/>
      <c r="BP507" s="13"/>
      <c r="BQ507" s="129"/>
      <c r="BR507" s="123"/>
      <c r="BS507" s="130"/>
      <c r="BT507" s="13"/>
      <c r="BU507" s="123"/>
      <c r="BV507" s="131"/>
      <c r="DI507" s="121"/>
      <c r="DJ507" s="13"/>
      <c r="DK507" s="13"/>
      <c r="DL507" s="13"/>
      <c r="DM507" s="13"/>
      <c r="DN507" s="13"/>
      <c r="DO507" s="13"/>
      <c r="DW507" s="121"/>
      <c r="DX507" s="121"/>
      <c r="DY507" s="121"/>
      <c r="DZ507" s="121"/>
      <c r="EA507" s="121"/>
      <c r="EB507" s="121"/>
      <c r="EC507" s="121"/>
      <c r="ED507" s="121"/>
      <c r="EE507" s="121"/>
      <c r="EF507" s="121"/>
      <c r="EG507" s="123"/>
      <c r="EH507" s="127"/>
      <c r="EI507" s="125"/>
      <c r="EJ507" s="126"/>
      <c r="EK507" s="30"/>
      <c r="EL507" s="127"/>
      <c r="EM507" s="128"/>
      <c r="EN507" s="123"/>
      <c r="EO507" s="128"/>
      <c r="EP507" s="13"/>
      <c r="EQ507" s="129"/>
      <c r="ER507" s="123"/>
      <c r="ES507" s="130"/>
      <c r="ET507" s="13"/>
      <c r="EU507" s="123"/>
      <c r="EV507" s="131"/>
    </row>
    <row r="508" spans="35:152">
      <c r="AI508" s="121"/>
      <c r="AJ508" s="13"/>
      <c r="AK508" s="13"/>
      <c r="AL508" s="13"/>
      <c r="AM508" s="13"/>
      <c r="AN508" s="13"/>
      <c r="AO508" s="13"/>
      <c r="AW508" s="121"/>
      <c r="AX508" s="121"/>
      <c r="AY508" s="121"/>
      <c r="AZ508" s="121"/>
      <c r="BA508" s="121"/>
      <c r="BB508" s="121"/>
      <c r="BC508" s="121"/>
      <c r="BD508" s="121"/>
      <c r="BE508" s="121"/>
      <c r="BF508" s="121"/>
      <c r="BG508" s="123"/>
      <c r="BH508" s="127"/>
      <c r="BI508" s="125"/>
      <c r="BJ508" s="126"/>
      <c r="BK508" s="30"/>
      <c r="BL508" s="127"/>
      <c r="BM508" s="128"/>
      <c r="BN508" s="123"/>
      <c r="BO508" s="128"/>
      <c r="BP508" s="13"/>
      <c r="BQ508" s="129"/>
      <c r="BR508" s="123"/>
      <c r="BS508" s="130"/>
      <c r="BT508" s="13"/>
      <c r="BU508" s="123"/>
      <c r="BV508" s="131"/>
      <c r="DI508" s="121"/>
      <c r="DJ508" s="13"/>
      <c r="DK508" s="13"/>
      <c r="DL508" s="13"/>
      <c r="DM508" s="13"/>
      <c r="DN508" s="13"/>
      <c r="DO508" s="13"/>
      <c r="DW508" s="121"/>
      <c r="DX508" s="121"/>
      <c r="DY508" s="121"/>
      <c r="DZ508" s="121"/>
      <c r="EA508" s="121"/>
      <c r="EB508" s="121"/>
      <c r="EC508" s="121"/>
      <c r="ED508" s="121"/>
      <c r="EE508" s="121"/>
      <c r="EF508" s="121"/>
      <c r="EG508" s="123"/>
      <c r="EH508" s="127"/>
      <c r="EI508" s="125"/>
      <c r="EJ508" s="126"/>
      <c r="EK508" s="30"/>
      <c r="EL508" s="127"/>
      <c r="EM508" s="128"/>
      <c r="EN508" s="123"/>
      <c r="EO508" s="128"/>
      <c r="EP508" s="13"/>
      <c r="EQ508" s="129"/>
      <c r="ER508" s="123"/>
      <c r="ES508" s="130"/>
      <c r="ET508" s="13"/>
      <c r="EU508" s="123"/>
      <c r="EV508" s="131"/>
    </row>
    <row r="509" spans="35:152">
      <c r="AI509" s="121"/>
      <c r="AJ509" s="13"/>
      <c r="AK509" s="13"/>
      <c r="AL509" s="13"/>
      <c r="AM509" s="13"/>
      <c r="AN509" s="13"/>
      <c r="AO509" s="13"/>
      <c r="AW509" s="121"/>
      <c r="AX509" s="121"/>
      <c r="AY509" s="121"/>
      <c r="AZ509" s="121"/>
      <c r="BA509" s="121"/>
      <c r="BB509" s="121"/>
      <c r="BC509" s="121"/>
      <c r="BD509" s="121"/>
      <c r="BE509" s="121"/>
      <c r="BF509" s="121"/>
      <c r="BG509" s="123"/>
      <c r="BH509" s="127"/>
      <c r="BI509" s="125"/>
      <c r="BJ509" s="126"/>
      <c r="BK509" s="30"/>
      <c r="BL509" s="127"/>
      <c r="BM509" s="128"/>
      <c r="BN509" s="123"/>
      <c r="BO509" s="128"/>
      <c r="BP509" s="13"/>
      <c r="BQ509" s="129"/>
      <c r="BR509" s="123"/>
      <c r="BS509" s="130"/>
      <c r="BT509" s="13"/>
      <c r="BU509" s="123"/>
      <c r="BV509" s="131"/>
      <c r="DI509" s="121"/>
      <c r="DJ509" s="13"/>
      <c r="DK509" s="13"/>
      <c r="DL509" s="13"/>
      <c r="DM509" s="13"/>
      <c r="DN509" s="13"/>
      <c r="DO509" s="13"/>
      <c r="DW509" s="121"/>
      <c r="DX509" s="121"/>
      <c r="DY509" s="121"/>
      <c r="DZ509" s="121"/>
      <c r="EA509" s="121"/>
      <c r="EB509" s="121"/>
      <c r="EC509" s="121"/>
      <c r="ED509" s="121"/>
      <c r="EE509" s="121"/>
      <c r="EF509" s="121"/>
      <c r="EG509" s="123"/>
      <c r="EH509" s="127"/>
      <c r="EI509" s="125"/>
      <c r="EJ509" s="126"/>
      <c r="EK509" s="30"/>
      <c r="EL509" s="127"/>
      <c r="EM509" s="128"/>
      <c r="EN509" s="123"/>
      <c r="EO509" s="128"/>
      <c r="EP509" s="13"/>
      <c r="EQ509" s="129"/>
      <c r="ER509" s="123"/>
      <c r="ES509" s="130"/>
      <c r="ET509" s="13"/>
      <c r="EU509" s="123"/>
      <c r="EV509" s="131"/>
    </row>
    <row r="510" spans="35:152">
      <c r="AI510" s="121"/>
      <c r="AJ510" s="13"/>
      <c r="AK510" s="13"/>
      <c r="AL510" s="13"/>
      <c r="AM510" s="13"/>
      <c r="AN510" s="13"/>
      <c r="AO510" s="13"/>
      <c r="AW510" s="121"/>
      <c r="AX510" s="121"/>
      <c r="AY510" s="121"/>
      <c r="AZ510" s="121"/>
      <c r="BA510" s="121"/>
      <c r="BB510" s="121"/>
      <c r="BC510" s="121"/>
      <c r="BD510" s="121"/>
      <c r="BE510" s="121"/>
      <c r="BF510" s="121"/>
      <c r="BG510" s="123"/>
      <c r="BH510" s="127"/>
      <c r="BI510" s="125"/>
      <c r="BJ510" s="126"/>
      <c r="BK510" s="30"/>
      <c r="BL510" s="127"/>
      <c r="BM510" s="128"/>
      <c r="BN510" s="123"/>
      <c r="BO510" s="128"/>
      <c r="BP510" s="13"/>
      <c r="BQ510" s="129"/>
      <c r="BR510" s="123"/>
      <c r="BS510" s="130"/>
      <c r="BT510" s="13"/>
      <c r="BU510" s="123"/>
      <c r="BV510" s="131"/>
      <c r="DI510" s="121"/>
      <c r="DJ510" s="13"/>
      <c r="DK510" s="13"/>
      <c r="DL510" s="13"/>
      <c r="DM510" s="13"/>
      <c r="DN510" s="13"/>
      <c r="DO510" s="13"/>
      <c r="DW510" s="121"/>
      <c r="DX510" s="121"/>
      <c r="DY510" s="121"/>
      <c r="DZ510" s="121"/>
      <c r="EA510" s="121"/>
      <c r="EB510" s="121"/>
      <c r="EC510" s="121"/>
      <c r="ED510" s="121"/>
      <c r="EE510" s="121"/>
      <c r="EF510" s="121"/>
      <c r="EG510" s="123"/>
      <c r="EH510" s="127"/>
      <c r="EI510" s="125"/>
      <c r="EJ510" s="126"/>
      <c r="EK510" s="30"/>
      <c r="EL510" s="127"/>
      <c r="EM510" s="128"/>
      <c r="EN510" s="123"/>
      <c r="EO510" s="128"/>
      <c r="EP510" s="13"/>
      <c r="EQ510" s="129"/>
      <c r="ER510" s="123"/>
      <c r="ES510" s="130"/>
      <c r="ET510" s="13"/>
      <c r="EU510" s="123"/>
      <c r="EV510" s="131"/>
    </row>
    <row r="511" spans="35:152">
      <c r="AI511" s="121"/>
      <c r="AJ511" s="13"/>
      <c r="AK511" s="13"/>
      <c r="AL511" s="13"/>
      <c r="AM511" s="13"/>
      <c r="AN511" s="13"/>
      <c r="AO511" s="13"/>
      <c r="AW511" s="121"/>
      <c r="AX511" s="121"/>
      <c r="AY511" s="121"/>
      <c r="AZ511" s="121"/>
      <c r="BA511" s="121"/>
      <c r="BB511" s="121"/>
      <c r="BC511" s="121"/>
      <c r="BD511" s="121"/>
      <c r="BE511" s="121"/>
      <c r="BF511" s="121"/>
      <c r="BG511" s="123"/>
      <c r="BH511" s="127"/>
      <c r="BI511" s="125"/>
      <c r="BJ511" s="126"/>
      <c r="BK511" s="30"/>
      <c r="BL511" s="127"/>
      <c r="BM511" s="128"/>
      <c r="BN511" s="123"/>
      <c r="BO511" s="128"/>
      <c r="BP511" s="13"/>
      <c r="BQ511" s="129"/>
      <c r="BR511" s="123"/>
      <c r="BS511" s="130"/>
      <c r="BT511" s="13"/>
      <c r="BU511" s="123"/>
      <c r="BV511" s="131"/>
      <c r="DI511" s="121"/>
      <c r="DJ511" s="13"/>
      <c r="DK511" s="13"/>
      <c r="DL511" s="13"/>
      <c r="DM511" s="13"/>
      <c r="DN511" s="13"/>
      <c r="DO511" s="13"/>
      <c r="DW511" s="121"/>
      <c r="DX511" s="121"/>
      <c r="DY511" s="121"/>
      <c r="DZ511" s="121"/>
      <c r="EA511" s="121"/>
      <c r="EB511" s="121"/>
      <c r="EC511" s="121"/>
      <c r="ED511" s="121"/>
      <c r="EE511" s="121"/>
      <c r="EF511" s="121"/>
      <c r="EG511" s="123"/>
      <c r="EH511" s="127"/>
      <c r="EI511" s="125"/>
      <c r="EJ511" s="126"/>
      <c r="EK511" s="30"/>
      <c r="EL511" s="127"/>
      <c r="EM511" s="128"/>
      <c r="EN511" s="123"/>
      <c r="EO511" s="128"/>
      <c r="EP511" s="13"/>
      <c r="EQ511" s="129"/>
      <c r="ER511" s="123"/>
      <c r="ES511" s="130"/>
      <c r="ET511" s="13"/>
      <c r="EU511" s="123"/>
      <c r="EV511" s="131"/>
    </row>
    <row r="512" spans="35:152">
      <c r="AI512" s="121"/>
      <c r="AJ512" s="13"/>
      <c r="AK512" s="13"/>
      <c r="AL512" s="13"/>
      <c r="AM512" s="13"/>
      <c r="AN512" s="13"/>
      <c r="AO512" s="13"/>
      <c r="AW512" s="121"/>
      <c r="AX512" s="121"/>
      <c r="AY512" s="121"/>
      <c r="AZ512" s="121"/>
      <c r="BA512" s="121"/>
      <c r="BB512" s="121"/>
      <c r="BC512" s="121"/>
      <c r="BD512" s="121"/>
      <c r="BE512" s="121"/>
      <c r="BF512" s="121"/>
      <c r="BG512" s="123"/>
      <c r="BH512" s="127"/>
      <c r="BI512" s="125"/>
      <c r="BJ512" s="126"/>
      <c r="BK512" s="30"/>
      <c r="BL512" s="127"/>
      <c r="BM512" s="128"/>
      <c r="BN512" s="123"/>
      <c r="BO512" s="128"/>
      <c r="BP512" s="13"/>
      <c r="BQ512" s="129"/>
      <c r="BR512" s="123"/>
      <c r="BS512" s="130"/>
      <c r="BT512" s="13"/>
      <c r="BU512" s="123"/>
      <c r="BV512" s="131"/>
      <c r="DI512" s="121"/>
      <c r="DJ512" s="13"/>
      <c r="DK512" s="13"/>
      <c r="DL512" s="13"/>
      <c r="DM512" s="13"/>
      <c r="DN512" s="13"/>
      <c r="DO512" s="13"/>
      <c r="DW512" s="121"/>
      <c r="DX512" s="121"/>
      <c r="DY512" s="121"/>
      <c r="DZ512" s="121"/>
      <c r="EA512" s="121"/>
      <c r="EB512" s="121"/>
      <c r="EC512" s="121"/>
      <c r="ED512" s="121"/>
      <c r="EE512" s="121"/>
      <c r="EF512" s="121"/>
      <c r="EG512" s="123"/>
      <c r="EH512" s="127"/>
      <c r="EI512" s="125"/>
      <c r="EJ512" s="126"/>
      <c r="EK512" s="30"/>
      <c r="EL512" s="127"/>
      <c r="EM512" s="128"/>
      <c r="EN512" s="123"/>
      <c r="EO512" s="128"/>
      <c r="EP512" s="13"/>
      <c r="EQ512" s="129"/>
      <c r="ER512" s="123"/>
      <c r="ES512" s="130"/>
      <c r="ET512" s="13"/>
      <c r="EU512" s="123"/>
      <c r="EV512" s="131"/>
    </row>
    <row r="513" spans="35:152">
      <c r="AI513" s="121"/>
      <c r="AJ513" s="13"/>
      <c r="AK513" s="13"/>
      <c r="AL513" s="13"/>
      <c r="AM513" s="13"/>
      <c r="AN513" s="13"/>
      <c r="AO513" s="13"/>
      <c r="AW513" s="121"/>
      <c r="AX513" s="121"/>
      <c r="AY513" s="121"/>
      <c r="AZ513" s="121"/>
      <c r="BA513" s="121"/>
      <c r="BB513" s="121"/>
      <c r="BC513" s="121"/>
      <c r="BD513" s="121"/>
      <c r="BE513" s="121"/>
      <c r="BF513" s="121"/>
      <c r="BG513" s="123"/>
      <c r="BH513" s="127"/>
      <c r="BI513" s="125"/>
      <c r="BJ513" s="126"/>
      <c r="BK513" s="30"/>
      <c r="BL513" s="127"/>
      <c r="BM513" s="128"/>
      <c r="BN513" s="123"/>
      <c r="BO513" s="128"/>
      <c r="BP513" s="13"/>
      <c r="BQ513" s="129"/>
      <c r="BR513" s="123"/>
      <c r="BS513" s="130"/>
      <c r="BT513" s="13"/>
      <c r="BU513" s="123"/>
      <c r="BV513" s="131"/>
      <c r="DI513" s="121"/>
      <c r="DJ513" s="13"/>
      <c r="DK513" s="13"/>
      <c r="DL513" s="13"/>
      <c r="DM513" s="13"/>
      <c r="DN513" s="13"/>
      <c r="DO513" s="13"/>
      <c r="DW513" s="121"/>
      <c r="DX513" s="121"/>
      <c r="DY513" s="121"/>
      <c r="DZ513" s="121"/>
      <c r="EA513" s="121"/>
      <c r="EB513" s="121"/>
      <c r="EC513" s="121"/>
      <c r="ED513" s="121"/>
      <c r="EE513" s="121"/>
      <c r="EF513" s="121"/>
      <c r="EG513" s="123"/>
      <c r="EH513" s="127"/>
      <c r="EI513" s="125"/>
      <c r="EJ513" s="126"/>
      <c r="EK513" s="30"/>
      <c r="EL513" s="127"/>
      <c r="EM513" s="128"/>
      <c r="EN513" s="123"/>
      <c r="EO513" s="128"/>
      <c r="EP513" s="13"/>
      <c r="EQ513" s="129"/>
      <c r="ER513" s="123"/>
      <c r="ES513" s="130"/>
      <c r="ET513" s="13"/>
      <c r="EU513" s="123"/>
      <c r="EV513" s="131"/>
    </row>
    <row r="514" spans="35:152">
      <c r="AI514" s="121"/>
      <c r="AJ514" s="13"/>
      <c r="AK514" s="13"/>
      <c r="AL514" s="13"/>
      <c r="AM514" s="13"/>
      <c r="AN514" s="13"/>
      <c r="AO514" s="13"/>
      <c r="AW514" s="121"/>
      <c r="AX514" s="121"/>
      <c r="AY514" s="121"/>
      <c r="AZ514" s="121"/>
      <c r="BA514" s="121"/>
      <c r="BB514" s="121"/>
      <c r="BC514" s="121"/>
      <c r="BD514" s="121"/>
      <c r="BE514" s="121"/>
      <c r="BF514" s="121"/>
      <c r="BG514" s="123"/>
      <c r="BH514" s="127"/>
      <c r="BI514" s="125"/>
      <c r="BJ514" s="126"/>
      <c r="BK514" s="30"/>
      <c r="BL514" s="127"/>
      <c r="BM514" s="128"/>
      <c r="BN514" s="123"/>
      <c r="BO514" s="128"/>
      <c r="BP514" s="13"/>
      <c r="BQ514" s="129"/>
      <c r="BR514" s="123"/>
      <c r="BS514" s="130"/>
      <c r="BT514" s="13"/>
      <c r="BU514" s="123"/>
      <c r="BV514" s="131"/>
      <c r="DI514" s="121"/>
      <c r="DJ514" s="13"/>
      <c r="DK514" s="13"/>
      <c r="DL514" s="13"/>
      <c r="DM514" s="13"/>
      <c r="DN514" s="13"/>
      <c r="DO514" s="13"/>
      <c r="DW514" s="121"/>
      <c r="DX514" s="121"/>
      <c r="DY514" s="121"/>
      <c r="DZ514" s="121"/>
      <c r="EA514" s="121"/>
      <c r="EB514" s="121"/>
      <c r="EC514" s="121"/>
      <c r="ED514" s="121"/>
      <c r="EE514" s="121"/>
      <c r="EF514" s="121"/>
      <c r="EG514" s="123"/>
      <c r="EH514" s="127"/>
      <c r="EI514" s="125"/>
      <c r="EJ514" s="126"/>
      <c r="EK514" s="30"/>
      <c r="EL514" s="127"/>
      <c r="EM514" s="128"/>
      <c r="EN514" s="123"/>
      <c r="EO514" s="128"/>
      <c r="EP514" s="13"/>
      <c r="EQ514" s="129"/>
      <c r="ER514" s="123"/>
      <c r="ES514" s="130"/>
      <c r="ET514" s="13"/>
      <c r="EU514" s="123"/>
      <c r="EV514" s="131"/>
    </row>
    <row r="515" spans="35:152">
      <c r="AI515" s="121"/>
      <c r="AJ515" s="13"/>
      <c r="AK515" s="13"/>
      <c r="AL515" s="13"/>
      <c r="AM515" s="13"/>
      <c r="AN515" s="13"/>
      <c r="AO515" s="13"/>
      <c r="AW515" s="121"/>
      <c r="AX515" s="121"/>
      <c r="AY515" s="121"/>
      <c r="AZ515" s="121"/>
      <c r="BA515" s="121"/>
      <c r="BB515" s="121"/>
      <c r="BC515" s="121"/>
      <c r="BD515" s="121"/>
      <c r="BE515" s="121"/>
      <c r="BF515" s="121"/>
      <c r="BG515" s="123"/>
      <c r="BH515" s="127"/>
      <c r="BI515" s="125"/>
      <c r="BJ515" s="126"/>
      <c r="BK515" s="30"/>
      <c r="BL515" s="127"/>
      <c r="BM515" s="128"/>
      <c r="BN515" s="123"/>
      <c r="BO515" s="128"/>
      <c r="BP515" s="13"/>
      <c r="BQ515" s="129"/>
      <c r="BR515" s="123"/>
      <c r="BS515" s="130"/>
      <c r="BT515" s="13"/>
      <c r="BU515" s="123"/>
      <c r="BV515" s="131"/>
      <c r="DI515" s="121"/>
      <c r="DJ515" s="13"/>
      <c r="DK515" s="13"/>
      <c r="DL515" s="13"/>
      <c r="DM515" s="13"/>
      <c r="DN515" s="13"/>
      <c r="DO515" s="13"/>
      <c r="DW515" s="121"/>
      <c r="DX515" s="121"/>
      <c r="DY515" s="121"/>
      <c r="DZ515" s="121"/>
      <c r="EA515" s="121"/>
      <c r="EB515" s="121"/>
      <c r="EC515" s="121"/>
      <c r="ED515" s="121"/>
      <c r="EE515" s="121"/>
      <c r="EF515" s="121"/>
      <c r="EG515" s="123"/>
      <c r="EH515" s="127"/>
      <c r="EI515" s="125"/>
      <c r="EJ515" s="126"/>
      <c r="EK515" s="30"/>
      <c r="EL515" s="127"/>
      <c r="EM515" s="128"/>
      <c r="EN515" s="123"/>
      <c r="EO515" s="128"/>
      <c r="EP515" s="13"/>
      <c r="EQ515" s="129"/>
      <c r="ER515" s="123"/>
      <c r="ES515" s="130"/>
      <c r="ET515" s="13"/>
      <c r="EU515" s="123"/>
      <c r="EV515" s="131"/>
    </row>
    <row r="516" spans="35:152">
      <c r="AI516" s="121"/>
      <c r="AJ516" s="13"/>
      <c r="AK516" s="13"/>
      <c r="AL516" s="13"/>
      <c r="AM516" s="13"/>
      <c r="AN516" s="13"/>
      <c r="AO516" s="13"/>
      <c r="AW516" s="121"/>
      <c r="AX516" s="121"/>
      <c r="AY516" s="121"/>
      <c r="AZ516" s="121"/>
      <c r="BA516" s="121"/>
      <c r="BB516" s="121"/>
      <c r="BC516" s="121"/>
      <c r="BD516" s="121"/>
      <c r="BE516" s="121"/>
      <c r="BF516" s="121"/>
      <c r="BG516" s="123"/>
      <c r="BH516" s="127"/>
      <c r="BI516" s="125"/>
      <c r="BJ516" s="126"/>
      <c r="BK516" s="30"/>
      <c r="BL516" s="127"/>
      <c r="BM516" s="128"/>
      <c r="BN516" s="123"/>
      <c r="BO516" s="128"/>
      <c r="BP516" s="13"/>
      <c r="BQ516" s="129"/>
      <c r="BR516" s="123"/>
      <c r="BS516" s="130"/>
      <c r="BT516" s="13"/>
      <c r="BU516" s="123"/>
      <c r="BV516" s="131"/>
      <c r="DI516" s="121"/>
      <c r="DJ516" s="13"/>
      <c r="DK516" s="13"/>
      <c r="DL516" s="13"/>
      <c r="DM516" s="13"/>
      <c r="DN516" s="13"/>
      <c r="DO516" s="13"/>
      <c r="DW516" s="121"/>
      <c r="DX516" s="121"/>
      <c r="DY516" s="121"/>
      <c r="DZ516" s="121"/>
      <c r="EA516" s="121"/>
      <c r="EB516" s="121"/>
      <c r="EC516" s="121"/>
      <c r="ED516" s="121"/>
      <c r="EE516" s="121"/>
      <c r="EF516" s="121"/>
      <c r="EG516" s="123"/>
      <c r="EH516" s="127"/>
      <c r="EI516" s="125"/>
      <c r="EJ516" s="126"/>
      <c r="EK516" s="30"/>
      <c r="EL516" s="127"/>
      <c r="EM516" s="128"/>
      <c r="EN516" s="123"/>
      <c r="EO516" s="128"/>
      <c r="EP516" s="13"/>
      <c r="EQ516" s="129"/>
      <c r="ER516" s="123"/>
      <c r="ES516" s="130"/>
      <c r="ET516" s="13"/>
      <c r="EU516" s="123"/>
      <c r="EV516" s="131"/>
    </row>
    <row r="517" spans="35:152">
      <c r="AI517" s="121"/>
      <c r="AJ517" s="13"/>
      <c r="AK517" s="13"/>
      <c r="AL517" s="13"/>
      <c r="AM517" s="13"/>
      <c r="AN517" s="13"/>
      <c r="AO517" s="13"/>
      <c r="AW517" s="121"/>
      <c r="AX517" s="121"/>
      <c r="AY517" s="121"/>
      <c r="AZ517" s="121"/>
      <c r="BA517" s="121"/>
      <c r="BB517" s="121"/>
      <c r="BC517" s="121"/>
      <c r="BD517" s="121"/>
      <c r="BE517" s="121"/>
      <c r="BF517" s="121"/>
      <c r="BG517" s="123"/>
      <c r="BH517" s="127"/>
      <c r="BI517" s="125"/>
      <c r="BJ517" s="126"/>
      <c r="BK517" s="30"/>
      <c r="BL517" s="127"/>
      <c r="BM517" s="128"/>
      <c r="BN517" s="123"/>
      <c r="BO517" s="128"/>
      <c r="BP517" s="13"/>
      <c r="BQ517" s="129"/>
      <c r="BR517" s="123"/>
      <c r="BS517" s="130"/>
      <c r="BT517" s="13"/>
      <c r="BU517" s="123"/>
      <c r="BV517" s="131"/>
      <c r="DI517" s="121"/>
      <c r="DJ517" s="13"/>
      <c r="DK517" s="13"/>
      <c r="DL517" s="13"/>
      <c r="DM517" s="13"/>
      <c r="DN517" s="13"/>
      <c r="DO517" s="13"/>
      <c r="DW517" s="121"/>
      <c r="DX517" s="121"/>
      <c r="DY517" s="121"/>
      <c r="DZ517" s="121"/>
      <c r="EA517" s="121"/>
      <c r="EB517" s="121"/>
      <c r="EC517" s="121"/>
      <c r="ED517" s="121"/>
      <c r="EE517" s="121"/>
      <c r="EF517" s="121"/>
      <c r="EG517" s="123"/>
      <c r="EH517" s="127"/>
      <c r="EI517" s="125"/>
      <c r="EJ517" s="126"/>
      <c r="EK517" s="30"/>
      <c r="EL517" s="127"/>
      <c r="EM517" s="128"/>
      <c r="EN517" s="123"/>
      <c r="EO517" s="128"/>
      <c r="EP517" s="13"/>
      <c r="EQ517" s="129"/>
      <c r="ER517" s="123"/>
      <c r="ES517" s="130"/>
      <c r="ET517" s="13"/>
      <c r="EU517" s="123"/>
      <c r="EV517" s="131"/>
    </row>
    <row r="518" spans="35:152">
      <c r="AI518" s="121"/>
      <c r="AJ518" s="13"/>
      <c r="AK518" s="13"/>
      <c r="AL518" s="13"/>
      <c r="AM518" s="13"/>
      <c r="AN518" s="13"/>
      <c r="AO518" s="13"/>
      <c r="AW518" s="121"/>
      <c r="AX518" s="121"/>
      <c r="AY518" s="121"/>
      <c r="AZ518" s="121"/>
      <c r="BA518" s="121"/>
      <c r="BB518" s="121"/>
      <c r="BC518" s="121"/>
      <c r="BD518" s="121"/>
      <c r="BE518" s="121"/>
      <c r="BF518" s="121"/>
      <c r="BG518" s="123"/>
      <c r="BH518" s="127"/>
      <c r="BI518" s="125"/>
      <c r="BJ518" s="126"/>
      <c r="BK518" s="30"/>
      <c r="BL518" s="127"/>
      <c r="BM518" s="128"/>
      <c r="BN518" s="123"/>
      <c r="BO518" s="128"/>
      <c r="BP518" s="13"/>
      <c r="BQ518" s="129"/>
      <c r="BR518" s="123"/>
      <c r="BS518" s="130"/>
      <c r="BT518" s="13"/>
      <c r="BU518" s="123"/>
      <c r="BV518" s="131"/>
      <c r="DI518" s="121"/>
      <c r="DJ518" s="13"/>
      <c r="DK518" s="13"/>
      <c r="DL518" s="13"/>
      <c r="DM518" s="13"/>
      <c r="DN518" s="13"/>
      <c r="DO518" s="13"/>
      <c r="DW518" s="121"/>
      <c r="DX518" s="121"/>
      <c r="DY518" s="121"/>
      <c r="DZ518" s="121"/>
      <c r="EA518" s="121"/>
      <c r="EB518" s="121"/>
      <c r="EC518" s="121"/>
      <c r="ED518" s="121"/>
      <c r="EE518" s="121"/>
      <c r="EF518" s="121"/>
      <c r="EG518" s="123"/>
      <c r="EH518" s="127"/>
      <c r="EI518" s="125"/>
      <c r="EJ518" s="126"/>
      <c r="EK518" s="30"/>
      <c r="EL518" s="127"/>
      <c r="EM518" s="128"/>
      <c r="EN518" s="123"/>
      <c r="EO518" s="128"/>
      <c r="EP518" s="13"/>
      <c r="EQ518" s="129"/>
      <c r="ER518" s="123"/>
      <c r="ES518" s="130"/>
      <c r="ET518" s="13"/>
      <c r="EU518" s="123"/>
      <c r="EV518" s="131"/>
    </row>
    <row r="519" spans="35:152">
      <c r="AI519" s="121"/>
      <c r="AJ519" s="13"/>
      <c r="AK519" s="13"/>
      <c r="AL519" s="13"/>
      <c r="AM519" s="13"/>
      <c r="AN519" s="13"/>
      <c r="AO519" s="13"/>
      <c r="AW519" s="121"/>
      <c r="AX519" s="121"/>
      <c r="AY519" s="121"/>
      <c r="AZ519" s="121"/>
      <c r="BA519" s="121"/>
      <c r="BB519" s="121"/>
      <c r="BC519" s="121"/>
      <c r="BD519" s="121"/>
      <c r="BE519" s="121"/>
      <c r="BF519" s="121"/>
      <c r="BG519" s="123"/>
      <c r="BH519" s="127"/>
      <c r="BI519" s="125"/>
      <c r="BJ519" s="126"/>
      <c r="BK519" s="30"/>
      <c r="BL519" s="127"/>
      <c r="BM519" s="128"/>
      <c r="BN519" s="123"/>
      <c r="BO519" s="128"/>
      <c r="BP519" s="13"/>
      <c r="BQ519" s="129"/>
      <c r="BR519" s="123"/>
      <c r="BS519" s="130"/>
      <c r="BT519" s="13"/>
      <c r="BU519" s="123"/>
      <c r="BV519" s="131"/>
      <c r="DI519" s="121"/>
      <c r="DJ519" s="13"/>
      <c r="DK519" s="13"/>
      <c r="DL519" s="13"/>
      <c r="DM519" s="13"/>
      <c r="DN519" s="13"/>
      <c r="DO519" s="13"/>
      <c r="DW519" s="121"/>
      <c r="DX519" s="121"/>
      <c r="DY519" s="121"/>
      <c r="DZ519" s="121"/>
      <c r="EA519" s="121"/>
      <c r="EB519" s="121"/>
      <c r="EC519" s="121"/>
      <c r="ED519" s="121"/>
      <c r="EE519" s="121"/>
      <c r="EF519" s="121"/>
      <c r="EG519" s="123"/>
      <c r="EH519" s="127"/>
      <c r="EI519" s="125"/>
      <c r="EJ519" s="126"/>
      <c r="EK519" s="30"/>
      <c r="EL519" s="127"/>
      <c r="EM519" s="128"/>
      <c r="EN519" s="123"/>
      <c r="EO519" s="128"/>
      <c r="EP519" s="13"/>
      <c r="EQ519" s="129"/>
      <c r="ER519" s="123"/>
      <c r="ES519" s="130"/>
      <c r="ET519" s="13"/>
      <c r="EU519" s="123"/>
      <c r="EV519" s="131"/>
    </row>
    <row r="520" spans="35:152">
      <c r="AI520" s="121"/>
      <c r="AJ520" s="13"/>
      <c r="AK520" s="13"/>
      <c r="AL520" s="13"/>
      <c r="AM520" s="13"/>
      <c r="AN520" s="13"/>
      <c r="AO520" s="13"/>
      <c r="AW520" s="121"/>
      <c r="AX520" s="121"/>
      <c r="AY520" s="121"/>
      <c r="AZ520" s="121"/>
      <c r="BA520" s="121"/>
      <c r="BB520" s="121"/>
      <c r="BC520" s="121"/>
      <c r="BD520" s="121"/>
      <c r="BE520" s="121"/>
      <c r="BF520" s="121"/>
      <c r="BG520" s="123"/>
      <c r="BH520" s="127"/>
      <c r="BI520" s="125"/>
      <c r="BJ520" s="126"/>
      <c r="BK520" s="30"/>
      <c r="BL520" s="127"/>
      <c r="BM520" s="128"/>
      <c r="BN520" s="123"/>
      <c r="BO520" s="128"/>
      <c r="BP520" s="13"/>
      <c r="BQ520" s="129"/>
      <c r="BR520" s="123"/>
      <c r="BS520" s="130"/>
      <c r="BT520" s="13"/>
      <c r="BU520" s="123"/>
      <c r="BV520" s="131"/>
      <c r="DI520" s="121"/>
      <c r="DJ520" s="13"/>
      <c r="DK520" s="13"/>
      <c r="DL520" s="13"/>
      <c r="DM520" s="13"/>
      <c r="DN520" s="13"/>
      <c r="DO520" s="13"/>
      <c r="DW520" s="121"/>
      <c r="DX520" s="121"/>
      <c r="DY520" s="121"/>
      <c r="DZ520" s="121"/>
      <c r="EA520" s="121"/>
      <c r="EB520" s="121"/>
      <c r="EC520" s="121"/>
      <c r="ED520" s="121"/>
      <c r="EE520" s="121"/>
      <c r="EF520" s="121"/>
      <c r="EG520" s="123"/>
      <c r="EH520" s="127"/>
      <c r="EI520" s="125"/>
      <c r="EJ520" s="126"/>
      <c r="EK520" s="30"/>
      <c r="EL520" s="127"/>
      <c r="EM520" s="128"/>
      <c r="EN520" s="123"/>
      <c r="EO520" s="128"/>
      <c r="EP520" s="13"/>
      <c r="EQ520" s="129"/>
      <c r="ER520" s="123"/>
      <c r="ES520" s="130"/>
      <c r="ET520" s="13"/>
      <c r="EU520" s="123"/>
      <c r="EV520" s="131"/>
    </row>
    <row r="521" spans="35:152">
      <c r="AI521" s="121"/>
      <c r="AJ521" s="13"/>
      <c r="AK521" s="13"/>
      <c r="AL521" s="13"/>
      <c r="AM521" s="13"/>
      <c r="AN521" s="13"/>
      <c r="AO521" s="13"/>
      <c r="AW521" s="121"/>
      <c r="AX521" s="121"/>
      <c r="AY521" s="121"/>
      <c r="AZ521" s="121"/>
      <c r="BA521" s="121"/>
      <c r="BB521" s="121"/>
      <c r="BC521" s="121"/>
      <c r="BD521" s="121"/>
      <c r="BE521" s="121"/>
      <c r="BF521" s="121"/>
      <c r="BG521" s="123"/>
      <c r="BH521" s="127"/>
      <c r="BI521" s="125"/>
      <c r="BJ521" s="126"/>
      <c r="BK521" s="30"/>
      <c r="BL521" s="127"/>
      <c r="BM521" s="128"/>
      <c r="BN521" s="123"/>
      <c r="BO521" s="128"/>
      <c r="BP521" s="13"/>
      <c r="BQ521" s="129"/>
      <c r="BR521" s="123"/>
      <c r="BS521" s="130"/>
      <c r="BT521" s="13"/>
      <c r="BU521" s="123"/>
      <c r="BV521" s="131"/>
      <c r="DI521" s="121"/>
      <c r="DJ521" s="13"/>
      <c r="DK521" s="13"/>
      <c r="DL521" s="13"/>
      <c r="DM521" s="13"/>
      <c r="DN521" s="13"/>
      <c r="DO521" s="13"/>
      <c r="DW521" s="121"/>
      <c r="DX521" s="121"/>
      <c r="DY521" s="121"/>
      <c r="DZ521" s="121"/>
      <c r="EA521" s="121"/>
      <c r="EB521" s="121"/>
      <c r="EC521" s="121"/>
      <c r="ED521" s="121"/>
      <c r="EE521" s="121"/>
      <c r="EF521" s="121"/>
      <c r="EG521" s="123"/>
      <c r="EH521" s="127"/>
      <c r="EI521" s="125"/>
      <c r="EJ521" s="126"/>
      <c r="EK521" s="30"/>
      <c r="EL521" s="127"/>
      <c r="EM521" s="128"/>
      <c r="EN521" s="123"/>
      <c r="EO521" s="128"/>
      <c r="EP521" s="13"/>
      <c r="EQ521" s="129"/>
      <c r="ER521" s="123"/>
      <c r="ES521" s="130"/>
      <c r="ET521" s="13"/>
      <c r="EU521" s="123"/>
      <c r="EV521" s="131"/>
    </row>
    <row r="522" spans="35:152">
      <c r="AI522" s="121"/>
      <c r="AJ522" s="13"/>
      <c r="AK522" s="13"/>
      <c r="AL522" s="13"/>
      <c r="AM522" s="13"/>
      <c r="AN522" s="13"/>
      <c r="AO522" s="13"/>
      <c r="AW522" s="121"/>
      <c r="AX522" s="121"/>
      <c r="AY522" s="121"/>
      <c r="AZ522" s="121"/>
      <c r="BA522" s="121"/>
      <c r="BB522" s="121"/>
      <c r="BC522" s="121"/>
      <c r="BD522" s="121"/>
      <c r="BE522" s="121"/>
      <c r="BF522" s="121"/>
      <c r="BG522" s="123"/>
      <c r="BH522" s="127"/>
      <c r="BI522" s="125"/>
      <c r="BJ522" s="126"/>
      <c r="BK522" s="30"/>
      <c r="BL522" s="127"/>
      <c r="BM522" s="128"/>
      <c r="BN522" s="123"/>
      <c r="BO522" s="128"/>
      <c r="BP522" s="13"/>
      <c r="BQ522" s="129"/>
      <c r="BR522" s="123"/>
      <c r="BS522" s="130"/>
      <c r="BT522" s="13"/>
      <c r="BU522" s="123"/>
      <c r="BV522" s="131"/>
      <c r="DI522" s="121"/>
      <c r="DJ522" s="13"/>
      <c r="DK522" s="13"/>
      <c r="DL522" s="13"/>
      <c r="DM522" s="13"/>
      <c r="DN522" s="13"/>
      <c r="DO522" s="13"/>
      <c r="DW522" s="121"/>
      <c r="DX522" s="121"/>
      <c r="DY522" s="121"/>
      <c r="DZ522" s="121"/>
      <c r="EA522" s="121"/>
      <c r="EB522" s="121"/>
      <c r="EC522" s="121"/>
      <c r="ED522" s="121"/>
      <c r="EE522" s="121"/>
      <c r="EF522" s="121"/>
      <c r="EG522" s="123"/>
      <c r="EH522" s="127"/>
      <c r="EI522" s="125"/>
      <c r="EJ522" s="126"/>
      <c r="EK522" s="30"/>
      <c r="EL522" s="127"/>
      <c r="EM522" s="128"/>
      <c r="EN522" s="123"/>
      <c r="EO522" s="128"/>
      <c r="EP522" s="13"/>
      <c r="EQ522" s="129"/>
      <c r="ER522" s="123"/>
      <c r="ES522" s="130"/>
      <c r="ET522" s="13"/>
      <c r="EU522" s="123"/>
      <c r="EV522" s="131"/>
    </row>
    <row r="523" spans="35:152">
      <c r="AI523" s="121"/>
      <c r="AJ523" s="13"/>
      <c r="AK523" s="13"/>
      <c r="AL523" s="13"/>
      <c r="AM523" s="13"/>
      <c r="AN523" s="13"/>
      <c r="AO523" s="13"/>
      <c r="AW523" s="121"/>
      <c r="AX523" s="121"/>
      <c r="AY523" s="121"/>
      <c r="AZ523" s="121"/>
      <c r="BA523" s="121"/>
      <c r="BB523" s="121"/>
      <c r="BC523" s="121"/>
      <c r="BD523" s="121"/>
      <c r="BE523" s="121"/>
      <c r="BF523" s="121"/>
      <c r="BG523" s="123"/>
      <c r="BH523" s="127"/>
      <c r="BI523" s="125"/>
      <c r="BJ523" s="126"/>
      <c r="BK523" s="30"/>
      <c r="BL523" s="127"/>
      <c r="BM523" s="128"/>
      <c r="BN523" s="123"/>
      <c r="BO523" s="128"/>
      <c r="BP523" s="13"/>
      <c r="BQ523" s="129"/>
      <c r="BR523" s="123"/>
      <c r="BS523" s="130"/>
      <c r="BT523" s="13"/>
      <c r="BU523" s="123"/>
      <c r="BV523" s="131"/>
      <c r="DI523" s="121"/>
      <c r="DJ523" s="13"/>
      <c r="DK523" s="13"/>
      <c r="DL523" s="13"/>
      <c r="DM523" s="13"/>
      <c r="DN523" s="13"/>
      <c r="DO523" s="13"/>
      <c r="DW523" s="121"/>
      <c r="DX523" s="121"/>
      <c r="DY523" s="121"/>
      <c r="DZ523" s="121"/>
      <c r="EA523" s="121"/>
      <c r="EB523" s="121"/>
      <c r="EC523" s="121"/>
      <c r="ED523" s="121"/>
      <c r="EE523" s="121"/>
      <c r="EF523" s="121"/>
      <c r="EG523" s="123"/>
      <c r="EH523" s="127"/>
      <c r="EI523" s="125"/>
      <c r="EJ523" s="126"/>
      <c r="EK523" s="30"/>
      <c r="EL523" s="127"/>
      <c r="EM523" s="128"/>
      <c r="EN523" s="123"/>
      <c r="EO523" s="128"/>
      <c r="EP523" s="13"/>
      <c r="EQ523" s="129"/>
      <c r="ER523" s="123"/>
      <c r="ES523" s="130"/>
      <c r="ET523" s="13"/>
      <c r="EU523" s="123"/>
      <c r="EV523" s="131"/>
    </row>
    <row r="524" spans="35:152">
      <c r="AI524" s="121"/>
      <c r="AJ524" s="13"/>
      <c r="AK524" s="13"/>
      <c r="AL524" s="13"/>
      <c r="AM524" s="13"/>
      <c r="AN524" s="13"/>
      <c r="AO524" s="13"/>
      <c r="AW524" s="121"/>
      <c r="AX524" s="121"/>
      <c r="AY524" s="121"/>
      <c r="AZ524" s="121"/>
      <c r="BA524" s="121"/>
      <c r="BB524" s="121"/>
      <c r="BC524" s="121"/>
      <c r="BD524" s="121"/>
      <c r="BE524" s="121"/>
      <c r="BF524" s="121"/>
      <c r="BG524" s="123"/>
      <c r="BH524" s="127"/>
      <c r="BI524" s="125"/>
      <c r="BJ524" s="126"/>
      <c r="BK524" s="30"/>
      <c r="BL524" s="127"/>
      <c r="BM524" s="128"/>
      <c r="BN524" s="123"/>
      <c r="BO524" s="128"/>
      <c r="BP524" s="13"/>
      <c r="BQ524" s="129"/>
      <c r="BR524" s="123"/>
      <c r="BS524" s="130"/>
      <c r="BT524" s="13"/>
      <c r="BU524" s="123"/>
      <c r="BV524" s="131"/>
      <c r="DI524" s="121"/>
      <c r="DJ524" s="13"/>
      <c r="DK524" s="13"/>
      <c r="DL524" s="13"/>
      <c r="DM524" s="13"/>
      <c r="DN524" s="13"/>
      <c r="DO524" s="13"/>
      <c r="DW524" s="121"/>
      <c r="DX524" s="121"/>
      <c r="DY524" s="121"/>
      <c r="DZ524" s="121"/>
      <c r="EA524" s="121"/>
      <c r="EB524" s="121"/>
      <c r="EC524" s="121"/>
      <c r="ED524" s="121"/>
      <c r="EE524" s="121"/>
      <c r="EF524" s="121"/>
      <c r="EG524" s="123"/>
      <c r="EH524" s="127"/>
      <c r="EI524" s="125"/>
      <c r="EJ524" s="126"/>
      <c r="EK524" s="30"/>
      <c r="EL524" s="127"/>
      <c r="EM524" s="128"/>
      <c r="EN524" s="123"/>
      <c r="EO524" s="128"/>
      <c r="EP524" s="13"/>
      <c r="EQ524" s="129"/>
      <c r="ER524" s="123"/>
      <c r="ES524" s="130"/>
      <c r="ET524" s="13"/>
      <c r="EU524" s="123"/>
      <c r="EV524" s="131"/>
    </row>
    <row r="525" spans="35:152">
      <c r="AI525" s="121"/>
      <c r="AJ525" s="13"/>
      <c r="AK525" s="13"/>
      <c r="AL525" s="13"/>
      <c r="AM525" s="13"/>
      <c r="AN525" s="13"/>
      <c r="AO525" s="13"/>
      <c r="AW525" s="121"/>
      <c r="AX525" s="121"/>
      <c r="AY525" s="121"/>
      <c r="AZ525" s="121"/>
      <c r="BA525" s="121"/>
      <c r="BB525" s="121"/>
      <c r="BC525" s="121"/>
      <c r="BD525" s="121"/>
      <c r="BE525" s="121"/>
      <c r="BF525" s="121"/>
      <c r="BG525" s="123"/>
      <c r="BH525" s="127"/>
      <c r="BI525" s="125"/>
      <c r="BJ525" s="126"/>
      <c r="BK525" s="30"/>
      <c r="BL525" s="127"/>
      <c r="BM525" s="128"/>
      <c r="BN525" s="123"/>
      <c r="BO525" s="128"/>
      <c r="BP525" s="13"/>
      <c r="BQ525" s="129"/>
      <c r="BR525" s="123"/>
      <c r="BS525" s="130"/>
      <c r="BT525" s="13"/>
      <c r="BU525" s="123"/>
      <c r="BV525" s="131"/>
      <c r="DI525" s="121"/>
      <c r="DJ525" s="13"/>
      <c r="DK525" s="13"/>
      <c r="DL525" s="13"/>
      <c r="DM525" s="13"/>
      <c r="DN525" s="13"/>
      <c r="DO525" s="13"/>
      <c r="DW525" s="121"/>
      <c r="DX525" s="121"/>
      <c r="DY525" s="121"/>
      <c r="DZ525" s="121"/>
      <c r="EA525" s="121"/>
      <c r="EB525" s="121"/>
      <c r="EC525" s="121"/>
      <c r="ED525" s="121"/>
      <c r="EE525" s="121"/>
      <c r="EF525" s="121"/>
      <c r="EG525" s="123"/>
      <c r="EH525" s="127"/>
      <c r="EI525" s="125"/>
      <c r="EJ525" s="126"/>
      <c r="EK525" s="30"/>
      <c r="EL525" s="127"/>
      <c r="EM525" s="128"/>
      <c r="EN525" s="123"/>
      <c r="EO525" s="128"/>
      <c r="EP525" s="13"/>
      <c r="EQ525" s="129"/>
      <c r="ER525" s="123"/>
      <c r="ES525" s="130"/>
      <c r="ET525" s="13"/>
      <c r="EU525" s="123"/>
      <c r="EV525" s="131"/>
    </row>
    <row r="526" spans="35:152">
      <c r="AI526" s="121"/>
      <c r="AJ526" s="13"/>
      <c r="AK526" s="13"/>
      <c r="AL526" s="13"/>
      <c r="AM526" s="13"/>
      <c r="AN526" s="13"/>
      <c r="AO526" s="13"/>
      <c r="AW526" s="121"/>
      <c r="AX526" s="121"/>
      <c r="AY526" s="121"/>
      <c r="AZ526" s="121"/>
      <c r="BA526" s="121"/>
      <c r="BB526" s="121"/>
      <c r="BC526" s="121"/>
      <c r="BD526" s="121"/>
      <c r="BE526" s="121"/>
      <c r="BF526" s="121"/>
      <c r="BG526" s="123"/>
      <c r="BH526" s="127"/>
      <c r="BI526" s="125"/>
      <c r="BJ526" s="126"/>
      <c r="BK526" s="30"/>
      <c r="BL526" s="127"/>
      <c r="BM526" s="128"/>
      <c r="BN526" s="123"/>
      <c r="BO526" s="128"/>
      <c r="BP526" s="13"/>
      <c r="BQ526" s="129"/>
      <c r="BR526" s="123"/>
      <c r="BS526" s="130"/>
      <c r="BT526" s="13"/>
      <c r="BU526" s="123"/>
      <c r="BV526" s="131"/>
      <c r="DI526" s="121"/>
      <c r="DJ526" s="13"/>
      <c r="DK526" s="13"/>
      <c r="DL526" s="13"/>
      <c r="DM526" s="13"/>
      <c r="DN526" s="13"/>
      <c r="DO526" s="13"/>
      <c r="DW526" s="121"/>
      <c r="DX526" s="121"/>
      <c r="DY526" s="121"/>
      <c r="DZ526" s="121"/>
      <c r="EA526" s="121"/>
      <c r="EB526" s="121"/>
      <c r="EC526" s="121"/>
      <c r="ED526" s="121"/>
      <c r="EE526" s="121"/>
      <c r="EF526" s="121"/>
      <c r="EG526" s="123"/>
      <c r="EH526" s="127"/>
      <c r="EI526" s="125"/>
      <c r="EJ526" s="126"/>
      <c r="EK526" s="30"/>
      <c r="EL526" s="127"/>
      <c r="EM526" s="128"/>
      <c r="EN526" s="123"/>
      <c r="EO526" s="128"/>
      <c r="EP526" s="13"/>
      <c r="EQ526" s="129"/>
      <c r="ER526" s="123"/>
      <c r="ES526" s="130"/>
      <c r="ET526" s="13"/>
      <c r="EU526" s="123"/>
      <c r="EV526" s="131"/>
    </row>
    <row r="527" spans="35:152">
      <c r="AI527" s="121"/>
      <c r="AJ527" s="13"/>
      <c r="AK527" s="13"/>
      <c r="AL527" s="13"/>
      <c r="AM527" s="13"/>
      <c r="AN527" s="13"/>
      <c r="AO527" s="13"/>
      <c r="AW527" s="121"/>
      <c r="AX527" s="121"/>
      <c r="AY527" s="121"/>
      <c r="AZ527" s="121"/>
      <c r="BA527" s="121"/>
      <c r="BB527" s="121"/>
      <c r="BC527" s="121"/>
      <c r="BD527" s="121"/>
      <c r="BE527" s="121"/>
      <c r="BF527" s="121"/>
      <c r="BG527" s="123"/>
      <c r="BH527" s="127"/>
      <c r="BI527" s="125"/>
      <c r="BJ527" s="126"/>
      <c r="BK527" s="30"/>
      <c r="BL527" s="127"/>
      <c r="BM527" s="128"/>
      <c r="BN527" s="123"/>
      <c r="BO527" s="128"/>
      <c r="BP527" s="13"/>
      <c r="BQ527" s="129"/>
      <c r="BR527" s="123"/>
      <c r="BS527" s="130"/>
      <c r="BT527" s="13"/>
      <c r="BU527" s="123"/>
      <c r="BV527" s="131"/>
      <c r="DI527" s="121"/>
      <c r="DJ527" s="13"/>
      <c r="DK527" s="13"/>
      <c r="DL527" s="13"/>
      <c r="DM527" s="13"/>
      <c r="DN527" s="13"/>
      <c r="DO527" s="13"/>
      <c r="DW527" s="121"/>
      <c r="DX527" s="121"/>
      <c r="DY527" s="121"/>
      <c r="DZ527" s="121"/>
      <c r="EA527" s="121"/>
      <c r="EB527" s="121"/>
      <c r="EC527" s="121"/>
      <c r="ED527" s="121"/>
      <c r="EE527" s="121"/>
      <c r="EF527" s="121"/>
      <c r="EG527" s="123"/>
      <c r="EH527" s="127"/>
      <c r="EI527" s="125"/>
      <c r="EJ527" s="126"/>
      <c r="EK527" s="30"/>
      <c r="EL527" s="127"/>
      <c r="EM527" s="128"/>
      <c r="EN527" s="123"/>
      <c r="EO527" s="128"/>
      <c r="EP527" s="13"/>
      <c r="EQ527" s="129"/>
      <c r="ER527" s="123"/>
      <c r="ES527" s="130"/>
      <c r="ET527" s="13"/>
      <c r="EU527" s="123"/>
      <c r="EV527" s="131"/>
    </row>
    <row r="528" spans="35:152">
      <c r="AI528" s="121"/>
      <c r="AJ528" s="13"/>
      <c r="AK528" s="13"/>
      <c r="AL528" s="13"/>
      <c r="AM528" s="13"/>
      <c r="AN528" s="13"/>
      <c r="AO528" s="13"/>
      <c r="AW528" s="121"/>
      <c r="AX528" s="121"/>
      <c r="AY528" s="121"/>
      <c r="AZ528" s="121"/>
      <c r="BA528" s="121"/>
      <c r="BB528" s="121"/>
      <c r="BC528" s="121"/>
      <c r="BD528" s="121"/>
      <c r="BE528" s="121"/>
      <c r="BF528" s="121"/>
      <c r="BG528" s="123"/>
      <c r="BH528" s="127"/>
      <c r="BI528" s="125"/>
      <c r="BJ528" s="126"/>
      <c r="BK528" s="30"/>
      <c r="BL528" s="127"/>
      <c r="BM528" s="128"/>
      <c r="BN528" s="123"/>
      <c r="BO528" s="128"/>
      <c r="BP528" s="13"/>
      <c r="BQ528" s="129"/>
      <c r="BR528" s="123"/>
      <c r="BS528" s="130"/>
      <c r="BT528" s="13"/>
      <c r="BU528" s="123"/>
      <c r="BV528" s="131"/>
      <c r="DI528" s="121"/>
      <c r="DJ528" s="13"/>
      <c r="DK528" s="13"/>
      <c r="DL528" s="13"/>
      <c r="DM528" s="13"/>
      <c r="DN528" s="13"/>
      <c r="DO528" s="13"/>
      <c r="DW528" s="121"/>
      <c r="DX528" s="121"/>
      <c r="DY528" s="121"/>
      <c r="DZ528" s="121"/>
      <c r="EA528" s="121"/>
      <c r="EB528" s="121"/>
      <c r="EC528" s="121"/>
      <c r="ED528" s="121"/>
      <c r="EE528" s="121"/>
      <c r="EF528" s="121"/>
      <c r="EG528" s="123"/>
      <c r="EH528" s="127"/>
      <c r="EI528" s="125"/>
      <c r="EJ528" s="126"/>
      <c r="EK528" s="30"/>
      <c r="EL528" s="127"/>
      <c r="EM528" s="128"/>
      <c r="EN528" s="123"/>
      <c r="EO528" s="128"/>
      <c r="EP528" s="13"/>
      <c r="EQ528" s="129"/>
      <c r="ER528" s="123"/>
      <c r="ES528" s="130"/>
      <c r="ET528" s="13"/>
      <c r="EU528" s="123"/>
      <c r="EV528" s="131"/>
    </row>
    <row r="529" spans="35:152">
      <c r="AI529" s="121"/>
      <c r="AJ529" s="13"/>
      <c r="AK529" s="13"/>
      <c r="AL529" s="13"/>
      <c r="AM529" s="13"/>
      <c r="AN529" s="13"/>
      <c r="AO529" s="13"/>
      <c r="AW529" s="121"/>
      <c r="AX529" s="121"/>
      <c r="AY529" s="121"/>
      <c r="AZ529" s="121"/>
      <c r="BA529" s="121"/>
      <c r="BB529" s="121"/>
      <c r="BC529" s="121"/>
      <c r="BD529" s="121"/>
      <c r="BE529" s="121"/>
      <c r="BF529" s="121"/>
      <c r="BG529" s="123"/>
      <c r="BH529" s="127"/>
      <c r="BI529" s="125"/>
      <c r="BJ529" s="126"/>
      <c r="BK529" s="30"/>
      <c r="BL529" s="127"/>
      <c r="BM529" s="128"/>
      <c r="BN529" s="123"/>
      <c r="BO529" s="128"/>
      <c r="BP529" s="13"/>
      <c r="BQ529" s="129"/>
      <c r="BR529" s="123"/>
      <c r="BS529" s="130"/>
      <c r="BT529" s="13"/>
      <c r="BU529" s="123"/>
      <c r="BV529" s="131"/>
      <c r="DI529" s="121"/>
      <c r="DJ529" s="13"/>
      <c r="DK529" s="13"/>
      <c r="DL529" s="13"/>
      <c r="DM529" s="13"/>
      <c r="DN529" s="13"/>
      <c r="DO529" s="13"/>
      <c r="DW529" s="121"/>
      <c r="DX529" s="121"/>
      <c r="DY529" s="121"/>
      <c r="DZ529" s="121"/>
      <c r="EA529" s="121"/>
      <c r="EB529" s="121"/>
      <c r="EC529" s="121"/>
      <c r="ED529" s="121"/>
      <c r="EE529" s="121"/>
      <c r="EF529" s="121"/>
      <c r="EG529" s="123"/>
      <c r="EH529" s="127"/>
      <c r="EI529" s="125"/>
      <c r="EJ529" s="126"/>
      <c r="EK529" s="30"/>
      <c r="EL529" s="127"/>
      <c r="EM529" s="128"/>
      <c r="EN529" s="123"/>
      <c r="EO529" s="128"/>
      <c r="EP529" s="13"/>
      <c r="EQ529" s="129"/>
      <c r="ER529" s="123"/>
      <c r="ES529" s="130"/>
      <c r="ET529" s="13"/>
      <c r="EU529" s="123"/>
      <c r="EV529" s="131"/>
    </row>
    <row r="530" spans="35:152">
      <c r="AI530" s="121"/>
      <c r="AJ530" s="13"/>
      <c r="AK530" s="13"/>
      <c r="AL530" s="13"/>
      <c r="AM530" s="13"/>
      <c r="AN530" s="13"/>
      <c r="AO530" s="13"/>
      <c r="AW530" s="121"/>
      <c r="AX530" s="121"/>
      <c r="AY530" s="121"/>
      <c r="AZ530" s="121"/>
      <c r="BA530" s="121"/>
      <c r="BB530" s="121"/>
      <c r="BC530" s="121"/>
      <c r="BD530" s="121"/>
      <c r="BE530" s="121"/>
      <c r="BF530" s="121"/>
      <c r="BG530" s="123"/>
      <c r="BH530" s="127"/>
      <c r="BI530" s="125"/>
      <c r="BJ530" s="126"/>
      <c r="BK530" s="30"/>
      <c r="BL530" s="127"/>
      <c r="BM530" s="128"/>
      <c r="BN530" s="123"/>
      <c r="BO530" s="128"/>
      <c r="BP530" s="13"/>
      <c r="BQ530" s="129"/>
      <c r="BR530" s="123"/>
      <c r="BS530" s="130"/>
      <c r="BT530" s="13"/>
      <c r="BU530" s="123"/>
      <c r="BV530" s="131"/>
      <c r="DI530" s="121"/>
      <c r="DJ530" s="13"/>
      <c r="DK530" s="13"/>
      <c r="DL530" s="13"/>
      <c r="DM530" s="13"/>
      <c r="DN530" s="13"/>
      <c r="DO530" s="13"/>
      <c r="DW530" s="121"/>
      <c r="DX530" s="121"/>
      <c r="DY530" s="121"/>
      <c r="DZ530" s="121"/>
      <c r="EA530" s="121"/>
      <c r="EB530" s="121"/>
      <c r="EC530" s="121"/>
      <c r="ED530" s="121"/>
      <c r="EE530" s="121"/>
      <c r="EF530" s="121"/>
      <c r="EG530" s="123"/>
      <c r="EH530" s="127"/>
      <c r="EI530" s="125"/>
      <c r="EJ530" s="126"/>
      <c r="EK530" s="30"/>
      <c r="EL530" s="127"/>
      <c r="EM530" s="128"/>
      <c r="EN530" s="123"/>
      <c r="EO530" s="128"/>
      <c r="EP530" s="13"/>
      <c r="EQ530" s="129"/>
      <c r="ER530" s="123"/>
      <c r="ES530" s="130"/>
      <c r="ET530" s="13"/>
      <c r="EU530" s="123"/>
      <c r="EV530" s="131"/>
    </row>
    <row r="531" spans="35:152">
      <c r="AI531" s="121"/>
      <c r="AJ531" s="13"/>
      <c r="AK531" s="13"/>
      <c r="AL531" s="13"/>
      <c r="AM531" s="13"/>
      <c r="AN531" s="13"/>
      <c r="AO531" s="13"/>
      <c r="AW531" s="121"/>
      <c r="AX531" s="121"/>
      <c r="AY531" s="121"/>
      <c r="AZ531" s="121"/>
      <c r="BA531" s="121"/>
      <c r="BB531" s="121"/>
      <c r="BC531" s="121"/>
      <c r="BD531" s="121"/>
      <c r="BE531" s="121"/>
      <c r="BF531" s="121"/>
      <c r="BG531" s="123"/>
      <c r="BH531" s="127"/>
      <c r="BI531" s="125"/>
      <c r="BJ531" s="126"/>
      <c r="BK531" s="30"/>
      <c r="BL531" s="127"/>
      <c r="BM531" s="128"/>
      <c r="BN531" s="123"/>
      <c r="BO531" s="128"/>
      <c r="BP531" s="13"/>
      <c r="BQ531" s="129"/>
      <c r="BR531" s="123"/>
      <c r="BS531" s="130"/>
      <c r="BT531" s="13"/>
      <c r="BU531" s="123"/>
      <c r="BV531" s="131"/>
      <c r="DI531" s="121"/>
      <c r="DJ531" s="13"/>
      <c r="DK531" s="13"/>
      <c r="DL531" s="13"/>
      <c r="DM531" s="13"/>
      <c r="DN531" s="13"/>
      <c r="DO531" s="13"/>
      <c r="DW531" s="121"/>
      <c r="DX531" s="121"/>
      <c r="DY531" s="121"/>
      <c r="DZ531" s="121"/>
      <c r="EA531" s="121"/>
      <c r="EB531" s="121"/>
      <c r="EC531" s="121"/>
      <c r="ED531" s="121"/>
      <c r="EE531" s="121"/>
      <c r="EF531" s="121"/>
      <c r="EG531" s="123"/>
      <c r="EH531" s="127"/>
      <c r="EI531" s="125"/>
      <c r="EJ531" s="126"/>
      <c r="EK531" s="30"/>
      <c r="EL531" s="127"/>
      <c r="EM531" s="128"/>
      <c r="EN531" s="123"/>
      <c r="EO531" s="128"/>
      <c r="EP531" s="13"/>
      <c r="EQ531" s="129"/>
      <c r="ER531" s="123"/>
      <c r="ES531" s="130"/>
      <c r="ET531" s="13"/>
      <c r="EU531" s="123"/>
      <c r="EV531" s="131"/>
    </row>
    <row r="532" spans="35:152">
      <c r="AI532" s="121"/>
      <c r="AJ532" s="13"/>
      <c r="AK532" s="13"/>
      <c r="AL532" s="13"/>
      <c r="AM532" s="13"/>
      <c r="AN532" s="13"/>
      <c r="AO532" s="13"/>
      <c r="AW532" s="121"/>
      <c r="AX532" s="121"/>
      <c r="AY532" s="121"/>
      <c r="AZ532" s="121"/>
      <c r="BA532" s="121"/>
      <c r="BB532" s="121"/>
      <c r="BC532" s="121"/>
      <c r="BD532" s="121"/>
      <c r="BE532" s="121"/>
      <c r="BF532" s="121"/>
      <c r="BG532" s="123"/>
      <c r="BH532" s="127"/>
      <c r="BI532" s="125"/>
      <c r="BJ532" s="126"/>
      <c r="BK532" s="30"/>
      <c r="BL532" s="127"/>
      <c r="BM532" s="128"/>
      <c r="BN532" s="123"/>
      <c r="BO532" s="128"/>
      <c r="BP532" s="13"/>
      <c r="BQ532" s="129"/>
      <c r="BR532" s="123"/>
      <c r="BS532" s="130"/>
      <c r="BT532" s="13"/>
      <c r="BU532" s="123"/>
      <c r="BV532" s="131"/>
      <c r="DI532" s="121"/>
      <c r="DJ532" s="13"/>
      <c r="DK532" s="13"/>
      <c r="DL532" s="13"/>
      <c r="DM532" s="13"/>
      <c r="DN532" s="13"/>
      <c r="DO532" s="13"/>
      <c r="DW532" s="121"/>
      <c r="DX532" s="121"/>
      <c r="DY532" s="121"/>
      <c r="DZ532" s="121"/>
      <c r="EA532" s="121"/>
      <c r="EB532" s="121"/>
      <c r="EC532" s="121"/>
      <c r="ED532" s="121"/>
      <c r="EE532" s="121"/>
      <c r="EF532" s="121"/>
      <c r="EG532" s="123"/>
      <c r="EH532" s="127"/>
      <c r="EI532" s="125"/>
      <c r="EJ532" s="126"/>
      <c r="EK532" s="30"/>
      <c r="EL532" s="127"/>
      <c r="EM532" s="128"/>
      <c r="EN532" s="123"/>
      <c r="EO532" s="128"/>
      <c r="EP532" s="13"/>
      <c r="EQ532" s="129"/>
      <c r="ER532" s="123"/>
      <c r="ES532" s="130"/>
      <c r="ET532" s="13"/>
      <c r="EU532" s="123"/>
      <c r="EV532" s="131"/>
    </row>
    <row r="533" spans="35:152">
      <c r="AI533" s="121"/>
      <c r="AJ533" s="13"/>
      <c r="AK533" s="13"/>
      <c r="AL533" s="13"/>
      <c r="AM533" s="13"/>
      <c r="AN533" s="13"/>
      <c r="AO533" s="13"/>
      <c r="AW533" s="121"/>
      <c r="AX533" s="121"/>
      <c r="AY533" s="121"/>
      <c r="AZ533" s="121"/>
      <c r="BA533" s="121"/>
      <c r="BB533" s="121"/>
      <c r="BC533" s="121"/>
      <c r="BD533" s="121"/>
      <c r="BE533" s="121"/>
      <c r="BF533" s="121"/>
      <c r="BG533" s="123"/>
      <c r="BH533" s="127"/>
      <c r="BI533" s="125"/>
      <c r="BJ533" s="126"/>
      <c r="BK533" s="30"/>
      <c r="BL533" s="127"/>
      <c r="BM533" s="128"/>
      <c r="BN533" s="123"/>
      <c r="BO533" s="128"/>
      <c r="BP533" s="13"/>
      <c r="BQ533" s="129"/>
      <c r="BR533" s="123"/>
      <c r="BS533" s="130"/>
      <c r="BT533" s="13"/>
      <c r="BU533" s="123"/>
      <c r="BV533" s="131"/>
      <c r="DI533" s="121"/>
      <c r="DJ533" s="13"/>
      <c r="DK533" s="13"/>
      <c r="DL533" s="13"/>
      <c r="DM533" s="13"/>
      <c r="DN533" s="13"/>
      <c r="DO533" s="13"/>
      <c r="DW533" s="121"/>
      <c r="DX533" s="121"/>
      <c r="DY533" s="121"/>
      <c r="DZ533" s="121"/>
      <c r="EA533" s="121"/>
      <c r="EB533" s="121"/>
      <c r="EC533" s="121"/>
      <c r="ED533" s="121"/>
      <c r="EE533" s="121"/>
      <c r="EF533" s="121"/>
      <c r="EG533" s="123"/>
      <c r="EH533" s="127"/>
      <c r="EI533" s="125"/>
      <c r="EJ533" s="126"/>
      <c r="EK533" s="30"/>
      <c r="EL533" s="127"/>
      <c r="EM533" s="128"/>
      <c r="EN533" s="123"/>
      <c r="EO533" s="128"/>
      <c r="EP533" s="13"/>
      <c r="EQ533" s="129"/>
      <c r="ER533" s="123"/>
      <c r="ES533" s="130"/>
      <c r="ET533" s="13"/>
      <c r="EU533" s="123"/>
      <c r="EV533" s="131"/>
    </row>
    <row r="534" spans="35:152">
      <c r="AI534" s="121"/>
      <c r="AJ534" s="13"/>
      <c r="AK534" s="13"/>
      <c r="AL534" s="13"/>
      <c r="AM534" s="13"/>
      <c r="AN534" s="13"/>
      <c r="AO534" s="13"/>
      <c r="AW534" s="121"/>
      <c r="AX534" s="121"/>
      <c r="AY534" s="121"/>
      <c r="AZ534" s="121"/>
      <c r="BA534" s="121"/>
      <c r="BB534" s="121"/>
      <c r="BC534" s="121"/>
      <c r="BD534" s="121"/>
      <c r="BE534" s="121"/>
      <c r="BF534" s="121"/>
      <c r="BG534" s="123"/>
      <c r="BH534" s="127"/>
      <c r="BI534" s="125"/>
      <c r="BJ534" s="126"/>
      <c r="BK534" s="30"/>
      <c r="BL534" s="127"/>
      <c r="BM534" s="128"/>
      <c r="BN534" s="123"/>
      <c r="BO534" s="128"/>
      <c r="BP534" s="13"/>
      <c r="BQ534" s="129"/>
      <c r="BR534" s="123"/>
      <c r="BS534" s="130"/>
      <c r="BT534" s="13"/>
      <c r="BU534" s="123"/>
      <c r="BV534" s="131"/>
      <c r="DI534" s="121"/>
      <c r="DJ534" s="13"/>
      <c r="DK534" s="13"/>
      <c r="DL534" s="13"/>
      <c r="DM534" s="13"/>
      <c r="DN534" s="13"/>
      <c r="DO534" s="13"/>
      <c r="DW534" s="121"/>
      <c r="DX534" s="121"/>
      <c r="DY534" s="121"/>
      <c r="DZ534" s="121"/>
      <c r="EA534" s="121"/>
      <c r="EB534" s="121"/>
      <c r="EC534" s="121"/>
      <c r="ED534" s="121"/>
      <c r="EE534" s="121"/>
      <c r="EF534" s="121"/>
      <c r="EG534" s="123"/>
      <c r="EH534" s="127"/>
      <c r="EI534" s="125"/>
      <c r="EJ534" s="126"/>
      <c r="EK534" s="30"/>
      <c r="EL534" s="127"/>
      <c r="EM534" s="128"/>
      <c r="EN534" s="123"/>
      <c r="EO534" s="128"/>
      <c r="EP534" s="13"/>
      <c r="EQ534" s="129"/>
      <c r="ER534" s="123"/>
      <c r="ES534" s="130"/>
      <c r="ET534" s="13"/>
      <c r="EU534" s="123"/>
      <c r="EV534" s="131"/>
    </row>
    <row r="535" spans="35:152">
      <c r="AI535" s="121"/>
      <c r="AJ535" s="13"/>
      <c r="AK535" s="13"/>
      <c r="AL535" s="13"/>
      <c r="AM535" s="13"/>
      <c r="AN535" s="13"/>
      <c r="AO535" s="13"/>
      <c r="AW535" s="121"/>
      <c r="AX535" s="121"/>
      <c r="AY535" s="121"/>
      <c r="AZ535" s="121"/>
      <c r="BA535" s="121"/>
      <c r="BB535" s="121"/>
      <c r="BC535" s="121"/>
      <c r="BD535" s="121"/>
      <c r="BE535" s="121"/>
      <c r="BF535" s="121"/>
      <c r="BG535" s="123"/>
      <c r="BH535" s="127"/>
      <c r="BI535" s="125"/>
      <c r="BJ535" s="126"/>
      <c r="BK535" s="30"/>
      <c r="BL535" s="127"/>
      <c r="BM535" s="128"/>
      <c r="BN535" s="123"/>
      <c r="BO535" s="128"/>
      <c r="BP535" s="13"/>
      <c r="BQ535" s="129"/>
      <c r="BR535" s="123"/>
      <c r="BS535" s="130"/>
      <c r="BT535" s="13"/>
      <c r="BU535" s="123"/>
      <c r="BV535" s="131"/>
      <c r="DI535" s="121"/>
      <c r="DJ535" s="13"/>
      <c r="DK535" s="13"/>
      <c r="DL535" s="13"/>
      <c r="DM535" s="13"/>
      <c r="DN535" s="13"/>
      <c r="DO535" s="13"/>
      <c r="DW535" s="121"/>
      <c r="DX535" s="121"/>
      <c r="DY535" s="121"/>
      <c r="DZ535" s="121"/>
      <c r="EA535" s="121"/>
      <c r="EB535" s="121"/>
      <c r="EC535" s="121"/>
      <c r="ED535" s="121"/>
      <c r="EE535" s="121"/>
      <c r="EF535" s="121"/>
      <c r="EG535" s="123"/>
      <c r="EH535" s="127"/>
      <c r="EI535" s="125"/>
      <c r="EJ535" s="126"/>
      <c r="EK535" s="30"/>
      <c r="EL535" s="127"/>
      <c r="EM535" s="128"/>
      <c r="EN535" s="123"/>
      <c r="EO535" s="128"/>
      <c r="EP535" s="13"/>
      <c r="EQ535" s="129"/>
      <c r="ER535" s="123"/>
      <c r="ES535" s="130"/>
      <c r="ET535" s="13"/>
      <c r="EU535" s="123"/>
      <c r="EV535" s="131"/>
    </row>
    <row r="536" spans="35:152">
      <c r="AI536" s="121"/>
      <c r="AJ536" s="13"/>
      <c r="AK536" s="13"/>
      <c r="AL536" s="13"/>
      <c r="AM536" s="13"/>
      <c r="AN536" s="13"/>
      <c r="AO536" s="13"/>
      <c r="AW536" s="121"/>
      <c r="AX536" s="121"/>
      <c r="AY536" s="121"/>
      <c r="AZ536" s="121"/>
      <c r="BA536" s="121"/>
      <c r="BB536" s="121"/>
      <c r="BC536" s="121"/>
      <c r="BD536" s="121"/>
      <c r="BE536" s="121"/>
      <c r="BF536" s="121"/>
      <c r="BG536" s="123"/>
      <c r="BH536" s="127"/>
      <c r="BI536" s="125"/>
      <c r="BJ536" s="126"/>
      <c r="BK536" s="30"/>
      <c r="BL536" s="127"/>
      <c r="BM536" s="128"/>
      <c r="BN536" s="123"/>
      <c r="BO536" s="128"/>
      <c r="BP536" s="13"/>
      <c r="BQ536" s="129"/>
      <c r="BR536" s="123"/>
      <c r="BS536" s="130"/>
      <c r="BT536" s="13"/>
      <c r="BU536" s="123"/>
      <c r="BV536" s="131"/>
      <c r="DI536" s="121"/>
      <c r="DJ536" s="13"/>
      <c r="DK536" s="13"/>
      <c r="DL536" s="13"/>
      <c r="DM536" s="13"/>
      <c r="DN536" s="13"/>
      <c r="DO536" s="13"/>
      <c r="DW536" s="121"/>
      <c r="DX536" s="121"/>
      <c r="DY536" s="121"/>
      <c r="DZ536" s="121"/>
      <c r="EA536" s="121"/>
      <c r="EB536" s="121"/>
      <c r="EC536" s="121"/>
      <c r="ED536" s="121"/>
      <c r="EE536" s="121"/>
      <c r="EF536" s="121"/>
      <c r="EG536" s="123"/>
      <c r="EH536" s="127"/>
      <c r="EI536" s="125"/>
      <c r="EJ536" s="126"/>
      <c r="EK536" s="30"/>
      <c r="EL536" s="127"/>
      <c r="EM536" s="128"/>
      <c r="EN536" s="123"/>
      <c r="EO536" s="128"/>
      <c r="EP536" s="13"/>
      <c r="EQ536" s="129"/>
      <c r="ER536" s="123"/>
      <c r="ES536" s="130"/>
      <c r="ET536" s="13"/>
      <c r="EU536" s="123"/>
      <c r="EV536" s="131"/>
    </row>
    <row r="537" spans="35:152">
      <c r="AI537" s="121"/>
      <c r="AJ537" s="13"/>
      <c r="AK537" s="13"/>
      <c r="AL537" s="13"/>
      <c r="AM537" s="13"/>
      <c r="AN537" s="13"/>
      <c r="AO537" s="13"/>
      <c r="AW537" s="121"/>
      <c r="AX537" s="121"/>
      <c r="AY537" s="121"/>
      <c r="AZ537" s="121"/>
      <c r="BA537" s="121"/>
      <c r="BB537" s="121"/>
      <c r="BC537" s="121"/>
      <c r="BD537" s="121"/>
      <c r="BE537" s="121"/>
      <c r="BF537" s="121"/>
      <c r="BG537" s="123"/>
      <c r="BH537" s="127"/>
      <c r="BI537" s="125"/>
      <c r="BJ537" s="126"/>
      <c r="BK537" s="30"/>
      <c r="BL537" s="127"/>
      <c r="BM537" s="128"/>
      <c r="BN537" s="123"/>
      <c r="BO537" s="128"/>
      <c r="BP537" s="13"/>
      <c r="BQ537" s="129"/>
      <c r="BR537" s="123"/>
      <c r="BS537" s="130"/>
      <c r="BT537" s="13"/>
      <c r="BU537" s="123"/>
      <c r="BV537" s="131"/>
      <c r="DI537" s="121"/>
      <c r="DJ537" s="13"/>
      <c r="DK537" s="13"/>
      <c r="DL537" s="13"/>
      <c r="DM537" s="13"/>
      <c r="DN537" s="13"/>
      <c r="DO537" s="13"/>
      <c r="DW537" s="121"/>
      <c r="DX537" s="121"/>
      <c r="DY537" s="121"/>
      <c r="DZ537" s="121"/>
      <c r="EA537" s="121"/>
      <c r="EB537" s="121"/>
      <c r="EC537" s="121"/>
      <c r="ED537" s="121"/>
      <c r="EE537" s="121"/>
      <c r="EF537" s="121"/>
      <c r="EG537" s="123"/>
      <c r="EH537" s="127"/>
      <c r="EI537" s="125"/>
      <c r="EJ537" s="126"/>
      <c r="EK537" s="30"/>
      <c r="EL537" s="127"/>
      <c r="EM537" s="128"/>
      <c r="EN537" s="123"/>
      <c r="EO537" s="128"/>
      <c r="EP537" s="13"/>
      <c r="EQ537" s="129"/>
      <c r="ER537" s="123"/>
      <c r="ES537" s="130"/>
      <c r="ET537" s="13"/>
      <c r="EU537" s="123"/>
      <c r="EV537" s="131"/>
    </row>
    <row r="538" spans="35:152">
      <c r="AI538" s="121"/>
      <c r="AJ538" s="13"/>
      <c r="AK538" s="13"/>
      <c r="AL538" s="13"/>
      <c r="AM538" s="13"/>
      <c r="AN538" s="13"/>
      <c r="AO538" s="13"/>
      <c r="AW538" s="121"/>
      <c r="AX538" s="121"/>
      <c r="AY538" s="121"/>
      <c r="AZ538" s="121"/>
      <c r="BA538" s="121"/>
      <c r="BB538" s="121"/>
      <c r="BC538" s="121"/>
      <c r="BD538" s="121"/>
      <c r="BE538" s="121"/>
      <c r="BF538" s="121"/>
      <c r="BG538" s="123"/>
      <c r="BH538" s="127"/>
      <c r="BI538" s="125"/>
      <c r="BJ538" s="126"/>
      <c r="BK538" s="30"/>
      <c r="BL538" s="127"/>
      <c r="BM538" s="128"/>
      <c r="BN538" s="123"/>
      <c r="BO538" s="128"/>
      <c r="BP538" s="13"/>
      <c r="BQ538" s="129"/>
      <c r="BR538" s="123"/>
      <c r="BS538" s="130"/>
      <c r="BT538" s="13"/>
      <c r="BU538" s="123"/>
      <c r="BV538" s="131"/>
      <c r="DI538" s="121"/>
      <c r="DJ538" s="13"/>
      <c r="DK538" s="13"/>
      <c r="DL538" s="13"/>
      <c r="DM538" s="13"/>
      <c r="DN538" s="13"/>
      <c r="DO538" s="13"/>
      <c r="DW538" s="121"/>
      <c r="DX538" s="121"/>
      <c r="DY538" s="121"/>
      <c r="DZ538" s="121"/>
      <c r="EA538" s="121"/>
      <c r="EB538" s="121"/>
      <c r="EC538" s="121"/>
      <c r="ED538" s="121"/>
      <c r="EE538" s="121"/>
      <c r="EF538" s="121"/>
      <c r="EG538" s="123"/>
      <c r="EH538" s="127"/>
      <c r="EI538" s="125"/>
      <c r="EJ538" s="126"/>
      <c r="EK538" s="30"/>
      <c r="EL538" s="127"/>
      <c r="EM538" s="128"/>
      <c r="EN538" s="123"/>
      <c r="EO538" s="128"/>
      <c r="EP538" s="13"/>
      <c r="EQ538" s="129"/>
      <c r="ER538" s="123"/>
      <c r="ES538" s="130"/>
      <c r="ET538" s="13"/>
      <c r="EU538" s="123"/>
      <c r="EV538" s="131"/>
    </row>
    <row r="539" spans="35:152">
      <c r="AI539" s="121"/>
      <c r="AJ539" s="13"/>
      <c r="AK539" s="13"/>
      <c r="AL539" s="13"/>
      <c r="AM539" s="13"/>
      <c r="AN539" s="13"/>
      <c r="AO539" s="13"/>
      <c r="AW539" s="121"/>
      <c r="AX539" s="121"/>
      <c r="AY539" s="121"/>
      <c r="AZ539" s="121"/>
      <c r="BA539" s="121"/>
      <c r="BB539" s="121"/>
      <c r="BC539" s="121"/>
      <c r="BD539" s="121"/>
      <c r="BE539" s="121"/>
      <c r="BF539" s="121"/>
      <c r="BG539" s="123"/>
      <c r="BH539" s="127"/>
      <c r="BI539" s="125"/>
      <c r="BJ539" s="126"/>
      <c r="BK539" s="30"/>
      <c r="BL539" s="127"/>
      <c r="BM539" s="128"/>
      <c r="BN539" s="123"/>
      <c r="BO539" s="128"/>
      <c r="BP539" s="13"/>
      <c r="BQ539" s="129"/>
      <c r="BR539" s="123"/>
      <c r="BS539" s="130"/>
      <c r="BT539" s="13"/>
      <c r="BU539" s="123"/>
      <c r="BV539" s="131"/>
      <c r="DI539" s="121"/>
      <c r="DJ539" s="13"/>
      <c r="DK539" s="13"/>
      <c r="DL539" s="13"/>
      <c r="DM539" s="13"/>
      <c r="DN539" s="13"/>
      <c r="DO539" s="13"/>
      <c r="DW539" s="121"/>
      <c r="DX539" s="121"/>
      <c r="DY539" s="121"/>
      <c r="DZ539" s="121"/>
      <c r="EA539" s="121"/>
      <c r="EB539" s="121"/>
      <c r="EC539" s="121"/>
      <c r="ED539" s="121"/>
      <c r="EE539" s="121"/>
      <c r="EF539" s="121"/>
      <c r="EG539" s="123"/>
      <c r="EH539" s="127"/>
      <c r="EI539" s="125"/>
      <c r="EJ539" s="126"/>
      <c r="EK539" s="30"/>
      <c r="EL539" s="127"/>
      <c r="EM539" s="128"/>
      <c r="EN539" s="123"/>
      <c r="EO539" s="128"/>
      <c r="EP539" s="13"/>
      <c r="EQ539" s="129"/>
      <c r="ER539" s="123"/>
      <c r="ES539" s="130"/>
      <c r="ET539" s="13"/>
      <c r="EU539" s="123"/>
      <c r="EV539" s="131"/>
    </row>
    <row r="540" spans="35:152">
      <c r="AI540" s="121"/>
      <c r="AJ540" s="13"/>
      <c r="AK540" s="13"/>
      <c r="AL540" s="13"/>
      <c r="AM540" s="13"/>
      <c r="AN540" s="13"/>
      <c r="AO540" s="13"/>
      <c r="AW540" s="121"/>
      <c r="AX540" s="121"/>
      <c r="AY540" s="121"/>
      <c r="AZ540" s="121"/>
      <c r="BA540" s="121"/>
      <c r="BB540" s="121"/>
      <c r="BC540" s="121"/>
      <c r="BD540" s="121"/>
      <c r="BE540" s="121"/>
      <c r="BF540" s="121"/>
      <c r="BG540" s="123"/>
      <c r="BH540" s="127"/>
      <c r="BI540" s="125"/>
      <c r="BJ540" s="126"/>
      <c r="BK540" s="30"/>
      <c r="BL540" s="127"/>
      <c r="BM540" s="128"/>
      <c r="BN540" s="123"/>
      <c r="BO540" s="128"/>
      <c r="BP540" s="13"/>
      <c r="BQ540" s="129"/>
      <c r="BR540" s="123"/>
      <c r="BS540" s="130"/>
      <c r="BT540" s="13"/>
      <c r="BU540" s="123"/>
      <c r="BV540" s="131"/>
      <c r="DI540" s="121"/>
      <c r="DJ540" s="13"/>
      <c r="DK540" s="13"/>
      <c r="DL540" s="13"/>
      <c r="DM540" s="13"/>
      <c r="DN540" s="13"/>
      <c r="DO540" s="13"/>
      <c r="DW540" s="121"/>
      <c r="DX540" s="121"/>
      <c r="DY540" s="121"/>
      <c r="DZ540" s="121"/>
      <c r="EA540" s="121"/>
      <c r="EB540" s="121"/>
      <c r="EC540" s="121"/>
      <c r="ED540" s="121"/>
      <c r="EE540" s="121"/>
      <c r="EF540" s="121"/>
      <c r="EG540" s="123"/>
      <c r="EH540" s="127"/>
      <c r="EI540" s="125"/>
      <c r="EJ540" s="126"/>
      <c r="EK540" s="30"/>
      <c r="EL540" s="127"/>
      <c r="EM540" s="128"/>
      <c r="EN540" s="123"/>
      <c r="EO540" s="128"/>
      <c r="EP540" s="13"/>
      <c r="EQ540" s="129"/>
      <c r="ER540" s="123"/>
      <c r="ES540" s="130"/>
      <c r="ET540" s="13"/>
      <c r="EU540" s="123"/>
      <c r="EV540" s="131"/>
    </row>
    <row r="541" spans="35:152">
      <c r="AI541" s="121"/>
      <c r="AJ541" s="13"/>
      <c r="AK541" s="13"/>
      <c r="AL541" s="13"/>
      <c r="AM541" s="13"/>
      <c r="AN541" s="13"/>
      <c r="AO541" s="13"/>
      <c r="AW541" s="121"/>
      <c r="AX541" s="121"/>
      <c r="AY541" s="121"/>
      <c r="AZ541" s="121"/>
      <c r="BA541" s="121"/>
      <c r="BB541" s="121"/>
      <c r="BC541" s="121"/>
      <c r="BD541" s="121"/>
      <c r="BE541" s="121"/>
      <c r="BF541" s="121"/>
      <c r="BG541" s="123"/>
      <c r="BH541" s="127"/>
      <c r="BI541" s="125"/>
      <c r="BJ541" s="126"/>
      <c r="BK541" s="30"/>
      <c r="BL541" s="127"/>
      <c r="BM541" s="128"/>
      <c r="BN541" s="123"/>
      <c r="BO541" s="128"/>
      <c r="BP541" s="13"/>
      <c r="BQ541" s="129"/>
      <c r="BR541" s="123"/>
      <c r="BS541" s="130"/>
      <c r="BT541" s="13"/>
      <c r="BU541" s="123"/>
      <c r="BV541" s="131"/>
      <c r="DI541" s="121"/>
      <c r="DJ541" s="13"/>
      <c r="DK541" s="13"/>
      <c r="DL541" s="13"/>
      <c r="DM541" s="13"/>
      <c r="DN541" s="13"/>
      <c r="DO541" s="13"/>
      <c r="DW541" s="121"/>
      <c r="DX541" s="121"/>
      <c r="DY541" s="121"/>
      <c r="DZ541" s="121"/>
      <c r="EA541" s="121"/>
      <c r="EB541" s="121"/>
      <c r="EC541" s="121"/>
      <c r="ED541" s="121"/>
      <c r="EE541" s="121"/>
      <c r="EF541" s="121"/>
      <c r="EG541" s="123"/>
      <c r="EH541" s="127"/>
      <c r="EI541" s="125"/>
      <c r="EJ541" s="126"/>
      <c r="EK541" s="30"/>
      <c r="EL541" s="127"/>
      <c r="EM541" s="128"/>
      <c r="EN541" s="123"/>
      <c r="EO541" s="128"/>
      <c r="EP541" s="13"/>
      <c r="EQ541" s="129"/>
      <c r="ER541" s="123"/>
      <c r="ES541" s="130"/>
      <c r="ET541" s="13"/>
      <c r="EU541" s="123"/>
      <c r="EV541" s="131"/>
    </row>
    <row r="542" spans="35:152">
      <c r="AI542" s="121"/>
      <c r="AJ542" s="13"/>
      <c r="AK542" s="13"/>
      <c r="AL542" s="13"/>
      <c r="AM542" s="13"/>
      <c r="AN542" s="13"/>
      <c r="AO542" s="13"/>
      <c r="AW542" s="121"/>
      <c r="AX542" s="121"/>
      <c r="AY542" s="121"/>
      <c r="AZ542" s="121"/>
      <c r="BA542" s="121"/>
      <c r="BB542" s="121"/>
      <c r="BC542" s="121"/>
      <c r="BD542" s="121"/>
      <c r="BE542" s="121"/>
      <c r="BF542" s="121"/>
      <c r="BG542" s="123"/>
      <c r="BH542" s="127"/>
      <c r="BI542" s="125"/>
      <c r="BJ542" s="126"/>
      <c r="BK542" s="30"/>
      <c r="BL542" s="127"/>
      <c r="BM542" s="128"/>
      <c r="BN542" s="123"/>
      <c r="BO542" s="128"/>
      <c r="BP542" s="13"/>
      <c r="BQ542" s="129"/>
      <c r="BR542" s="123"/>
      <c r="BS542" s="130"/>
      <c r="BT542" s="13"/>
      <c r="BU542" s="123"/>
      <c r="BV542" s="131"/>
      <c r="DI542" s="121"/>
      <c r="DJ542" s="13"/>
      <c r="DK542" s="13"/>
      <c r="DL542" s="13"/>
      <c r="DM542" s="13"/>
      <c r="DN542" s="13"/>
      <c r="DO542" s="13"/>
      <c r="DW542" s="121"/>
      <c r="DX542" s="121"/>
      <c r="DY542" s="121"/>
      <c r="DZ542" s="121"/>
      <c r="EA542" s="121"/>
      <c r="EB542" s="121"/>
      <c r="EC542" s="121"/>
      <c r="ED542" s="121"/>
      <c r="EE542" s="121"/>
      <c r="EF542" s="121"/>
      <c r="EG542" s="123"/>
      <c r="EH542" s="127"/>
      <c r="EI542" s="125"/>
      <c r="EJ542" s="126"/>
      <c r="EK542" s="30"/>
      <c r="EL542" s="127"/>
      <c r="EM542" s="128"/>
      <c r="EN542" s="123"/>
      <c r="EO542" s="128"/>
      <c r="EP542" s="13"/>
      <c r="EQ542" s="129"/>
      <c r="ER542" s="123"/>
      <c r="ES542" s="130"/>
      <c r="ET542" s="13"/>
      <c r="EU542" s="123"/>
      <c r="EV542" s="131"/>
    </row>
    <row r="543" spans="35:152">
      <c r="AI543" s="121"/>
      <c r="AJ543" s="13"/>
      <c r="AK543" s="13"/>
      <c r="AL543" s="13"/>
      <c r="AM543" s="13"/>
      <c r="AN543" s="13"/>
      <c r="AO543" s="13"/>
      <c r="AW543" s="121"/>
      <c r="AX543" s="121"/>
      <c r="AY543" s="121"/>
      <c r="AZ543" s="121"/>
      <c r="BA543" s="121"/>
      <c r="BB543" s="121"/>
      <c r="BC543" s="121"/>
      <c r="BD543" s="121"/>
      <c r="BE543" s="121"/>
      <c r="BF543" s="121"/>
      <c r="BG543" s="123"/>
      <c r="BH543" s="127"/>
      <c r="BI543" s="125"/>
      <c r="BJ543" s="126"/>
      <c r="BK543" s="30"/>
      <c r="BL543" s="127"/>
      <c r="BM543" s="128"/>
      <c r="BN543" s="123"/>
      <c r="BO543" s="128"/>
      <c r="BP543" s="13"/>
      <c r="BQ543" s="129"/>
      <c r="BR543" s="123"/>
      <c r="BS543" s="130"/>
      <c r="BT543" s="13"/>
      <c r="BU543" s="123"/>
      <c r="BV543" s="131"/>
      <c r="DI543" s="121"/>
      <c r="DJ543" s="13"/>
      <c r="DK543" s="13"/>
      <c r="DL543" s="13"/>
      <c r="DM543" s="13"/>
      <c r="DN543" s="13"/>
      <c r="DO543" s="13"/>
      <c r="DW543" s="121"/>
      <c r="DX543" s="121"/>
      <c r="DY543" s="121"/>
      <c r="DZ543" s="121"/>
      <c r="EA543" s="121"/>
      <c r="EB543" s="121"/>
      <c r="EC543" s="121"/>
      <c r="ED543" s="121"/>
      <c r="EE543" s="121"/>
      <c r="EF543" s="121"/>
      <c r="EG543" s="123"/>
      <c r="EH543" s="127"/>
      <c r="EI543" s="125"/>
      <c r="EJ543" s="126"/>
      <c r="EK543" s="30"/>
      <c r="EL543" s="127"/>
      <c r="EM543" s="128"/>
      <c r="EN543" s="123"/>
      <c r="EO543" s="128"/>
      <c r="EP543" s="13"/>
      <c r="EQ543" s="129"/>
      <c r="ER543" s="123"/>
      <c r="ES543" s="130"/>
      <c r="ET543" s="13"/>
      <c r="EU543" s="123"/>
      <c r="EV543" s="131"/>
    </row>
    <row r="544" spans="35:152">
      <c r="AI544" s="121"/>
      <c r="AJ544" s="13"/>
      <c r="AK544" s="13"/>
      <c r="AL544" s="13"/>
      <c r="AM544" s="13"/>
      <c r="AN544" s="13"/>
      <c r="AO544" s="13"/>
      <c r="AW544" s="121"/>
      <c r="AX544" s="121"/>
      <c r="AY544" s="121"/>
      <c r="AZ544" s="121"/>
      <c r="BA544" s="121"/>
      <c r="BB544" s="121"/>
      <c r="BC544" s="121"/>
      <c r="BD544" s="121"/>
      <c r="BE544" s="121"/>
      <c r="BF544" s="121"/>
      <c r="BG544" s="123"/>
      <c r="BH544" s="127"/>
      <c r="BI544" s="125"/>
      <c r="BJ544" s="126"/>
      <c r="BK544" s="30"/>
      <c r="BL544" s="127"/>
      <c r="BM544" s="128"/>
      <c r="BN544" s="123"/>
      <c r="BO544" s="128"/>
      <c r="BP544" s="13"/>
      <c r="BQ544" s="129"/>
      <c r="BR544" s="123"/>
      <c r="BS544" s="130"/>
      <c r="BT544" s="13"/>
      <c r="BU544" s="123"/>
      <c r="BV544" s="131"/>
      <c r="DI544" s="121"/>
      <c r="DJ544" s="13"/>
      <c r="DK544" s="13"/>
      <c r="DL544" s="13"/>
      <c r="DM544" s="13"/>
      <c r="DN544" s="13"/>
      <c r="DO544" s="13"/>
      <c r="DW544" s="121"/>
      <c r="DX544" s="121"/>
      <c r="DY544" s="121"/>
      <c r="DZ544" s="121"/>
      <c r="EA544" s="121"/>
      <c r="EB544" s="121"/>
      <c r="EC544" s="121"/>
      <c r="ED544" s="121"/>
      <c r="EE544" s="121"/>
      <c r="EF544" s="121"/>
      <c r="EG544" s="123"/>
      <c r="EH544" s="127"/>
      <c r="EI544" s="125"/>
      <c r="EJ544" s="126"/>
      <c r="EK544" s="30"/>
      <c r="EL544" s="127"/>
      <c r="EM544" s="128"/>
      <c r="EN544" s="123"/>
      <c r="EO544" s="128"/>
      <c r="EP544" s="13"/>
      <c r="EQ544" s="129"/>
      <c r="ER544" s="123"/>
      <c r="ES544" s="130"/>
      <c r="ET544" s="13"/>
      <c r="EU544" s="123"/>
      <c r="EV544" s="131"/>
    </row>
    <row r="545" spans="35:152">
      <c r="AI545" s="121"/>
      <c r="AJ545" s="13"/>
      <c r="AK545" s="13"/>
      <c r="AL545" s="13"/>
      <c r="AM545" s="13"/>
      <c r="AN545" s="13"/>
      <c r="AO545" s="13"/>
      <c r="AW545" s="121"/>
      <c r="AX545" s="121"/>
      <c r="AY545" s="121"/>
      <c r="AZ545" s="121"/>
      <c r="BA545" s="121"/>
      <c r="BB545" s="121"/>
      <c r="BC545" s="121"/>
      <c r="BD545" s="121"/>
      <c r="BE545" s="121"/>
      <c r="BF545" s="121"/>
      <c r="BG545" s="123"/>
      <c r="BH545" s="127"/>
      <c r="BI545" s="125"/>
      <c r="BJ545" s="126"/>
      <c r="BK545" s="30"/>
      <c r="BL545" s="127"/>
      <c r="BM545" s="128"/>
      <c r="BN545" s="123"/>
      <c r="BO545" s="128"/>
      <c r="BP545" s="13"/>
      <c r="BQ545" s="129"/>
      <c r="BR545" s="123"/>
      <c r="BS545" s="130"/>
      <c r="BT545" s="13"/>
      <c r="BU545" s="123"/>
      <c r="BV545" s="131"/>
      <c r="DI545" s="121"/>
      <c r="DJ545" s="13"/>
      <c r="DK545" s="13"/>
      <c r="DL545" s="13"/>
      <c r="DM545" s="13"/>
      <c r="DN545" s="13"/>
      <c r="DO545" s="13"/>
      <c r="DW545" s="121"/>
      <c r="DX545" s="121"/>
      <c r="DY545" s="121"/>
      <c r="DZ545" s="121"/>
      <c r="EA545" s="121"/>
      <c r="EB545" s="121"/>
      <c r="EC545" s="121"/>
      <c r="ED545" s="121"/>
      <c r="EE545" s="121"/>
      <c r="EF545" s="121"/>
      <c r="EG545" s="123"/>
      <c r="EH545" s="127"/>
      <c r="EI545" s="125"/>
      <c r="EJ545" s="126"/>
      <c r="EK545" s="30"/>
      <c r="EL545" s="127"/>
      <c r="EM545" s="128"/>
      <c r="EN545" s="123"/>
      <c r="EO545" s="128"/>
      <c r="EP545" s="13"/>
      <c r="EQ545" s="129"/>
      <c r="ER545" s="123"/>
      <c r="ES545" s="130"/>
      <c r="ET545" s="13"/>
      <c r="EU545" s="123"/>
      <c r="EV545" s="131"/>
    </row>
    <row r="546" spans="35:152">
      <c r="AI546" s="121"/>
      <c r="AJ546" s="13"/>
      <c r="AK546" s="13"/>
      <c r="AL546" s="13"/>
      <c r="AM546" s="13"/>
      <c r="AN546" s="13"/>
      <c r="AO546" s="13"/>
      <c r="AW546" s="121"/>
      <c r="AX546" s="121"/>
      <c r="AY546" s="121"/>
      <c r="AZ546" s="121"/>
      <c r="BA546" s="121"/>
      <c r="BB546" s="121"/>
      <c r="BC546" s="121"/>
      <c r="BD546" s="121"/>
      <c r="BE546" s="121"/>
      <c r="BF546" s="121"/>
      <c r="BG546" s="123"/>
      <c r="BH546" s="127"/>
      <c r="BI546" s="125"/>
      <c r="BJ546" s="126"/>
      <c r="BK546" s="30"/>
      <c r="BL546" s="127"/>
      <c r="BM546" s="128"/>
      <c r="BN546" s="123"/>
      <c r="BO546" s="128"/>
      <c r="BP546" s="13"/>
      <c r="BQ546" s="129"/>
      <c r="BR546" s="123"/>
      <c r="BS546" s="130"/>
      <c r="BT546" s="13"/>
      <c r="BU546" s="123"/>
      <c r="BV546" s="131"/>
      <c r="DI546" s="121"/>
      <c r="DJ546" s="13"/>
      <c r="DK546" s="13"/>
      <c r="DL546" s="13"/>
      <c r="DM546" s="13"/>
      <c r="DN546" s="13"/>
      <c r="DO546" s="13"/>
      <c r="DW546" s="121"/>
      <c r="DX546" s="121"/>
      <c r="DY546" s="121"/>
      <c r="DZ546" s="121"/>
      <c r="EA546" s="121"/>
      <c r="EB546" s="121"/>
      <c r="EC546" s="121"/>
      <c r="ED546" s="121"/>
      <c r="EE546" s="121"/>
      <c r="EF546" s="121"/>
      <c r="EG546" s="123"/>
      <c r="EH546" s="127"/>
      <c r="EI546" s="125"/>
      <c r="EJ546" s="126"/>
      <c r="EK546" s="30"/>
      <c r="EL546" s="127"/>
      <c r="EM546" s="128"/>
      <c r="EN546" s="123"/>
      <c r="EO546" s="128"/>
      <c r="EP546" s="13"/>
      <c r="EQ546" s="129"/>
      <c r="ER546" s="123"/>
      <c r="ES546" s="130"/>
      <c r="ET546" s="13"/>
      <c r="EU546" s="123"/>
      <c r="EV546" s="131"/>
    </row>
    <row r="547" spans="35:152">
      <c r="AI547" s="121"/>
      <c r="AJ547" s="13"/>
      <c r="AK547" s="13"/>
      <c r="AL547" s="13"/>
      <c r="AM547" s="13"/>
      <c r="AN547" s="13"/>
      <c r="AO547" s="13"/>
      <c r="AW547" s="121"/>
      <c r="AX547" s="121"/>
      <c r="AY547" s="121"/>
      <c r="AZ547" s="121"/>
      <c r="BA547" s="121"/>
      <c r="BB547" s="121"/>
      <c r="BC547" s="121"/>
      <c r="BD547" s="121"/>
      <c r="BE547" s="121"/>
      <c r="BF547" s="121"/>
      <c r="BG547" s="123"/>
      <c r="BH547" s="127"/>
      <c r="BI547" s="125"/>
      <c r="BJ547" s="126"/>
      <c r="BK547" s="30"/>
      <c r="BL547" s="127"/>
      <c r="BM547" s="128"/>
      <c r="BN547" s="123"/>
      <c r="BO547" s="128"/>
      <c r="BP547" s="13"/>
      <c r="BQ547" s="129"/>
      <c r="BR547" s="123"/>
      <c r="BS547" s="130"/>
      <c r="BT547" s="13"/>
      <c r="BU547" s="123"/>
      <c r="BV547" s="131"/>
      <c r="DI547" s="121"/>
      <c r="DJ547" s="13"/>
      <c r="DK547" s="13"/>
      <c r="DL547" s="13"/>
      <c r="DM547" s="13"/>
      <c r="DN547" s="13"/>
      <c r="DO547" s="13"/>
      <c r="DW547" s="121"/>
      <c r="DX547" s="121"/>
      <c r="DY547" s="121"/>
      <c r="DZ547" s="121"/>
      <c r="EA547" s="121"/>
      <c r="EB547" s="121"/>
      <c r="EC547" s="121"/>
      <c r="ED547" s="121"/>
      <c r="EE547" s="121"/>
      <c r="EF547" s="121"/>
      <c r="EG547" s="123"/>
      <c r="EH547" s="127"/>
      <c r="EI547" s="125"/>
      <c r="EJ547" s="126"/>
      <c r="EK547" s="30"/>
      <c r="EL547" s="127"/>
      <c r="EM547" s="128"/>
      <c r="EN547" s="123"/>
      <c r="EO547" s="128"/>
      <c r="EP547" s="13"/>
      <c r="EQ547" s="129"/>
      <c r="ER547" s="123"/>
      <c r="ES547" s="130"/>
      <c r="ET547" s="13"/>
      <c r="EU547" s="123"/>
      <c r="EV547" s="131"/>
    </row>
    <row r="548" spans="35:152">
      <c r="AI548" s="121"/>
      <c r="AJ548" s="13"/>
      <c r="AK548" s="13"/>
      <c r="AL548" s="13"/>
      <c r="AM548" s="13"/>
      <c r="AN548" s="13"/>
      <c r="AO548" s="13"/>
      <c r="AW548" s="121"/>
      <c r="AX548" s="121"/>
      <c r="AY548" s="121"/>
      <c r="AZ548" s="121"/>
      <c r="BA548" s="121"/>
      <c r="BB548" s="121"/>
      <c r="BC548" s="121"/>
      <c r="BD548" s="121"/>
      <c r="BE548" s="121"/>
      <c r="BF548" s="121"/>
      <c r="BG548" s="123"/>
      <c r="BH548" s="127"/>
      <c r="BI548" s="125"/>
      <c r="BJ548" s="126"/>
      <c r="BK548" s="30"/>
      <c r="BL548" s="127"/>
      <c r="BM548" s="128"/>
      <c r="BN548" s="123"/>
      <c r="BO548" s="128"/>
      <c r="BP548" s="13"/>
      <c r="BQ548" s="129"/>
      <c r="BR548" s="123"/>
      <c r="BS548" s="130"/>
      <c r="BT548" s="13"/>
      <c r="BU548" s="123"/>
      <c r="BV548" s="131"/>
      <c r="DI548" s="121"/>
      <c r="DJ548" s="13"/>
      <c r="DK548" s="13"/>
      <c r="DL548" s="13"/>
      <c r="DM548" s="13"/>
      <c r="DN548" s="13"/>
      <c r="DO548" s="13"/>
      <c r="DW548" s="121"/>
      <c r="DX548" s="121"/>
      <c r="DY548" s="121"/>
      <c r="DZ548" s="121"/>
      <c r="EA548" s="121"/>
      <c r="EB548" s="121"/>
      <c r="EC548" s="121"/>
      <c r="ED548" s="121"/>
      <c r="EE548" s="121"/>
      <c r="EF548" s="121"/>
      <c r="EG548" s="123"/>
      <c r="EH548" s="127"/>
      <c r="EI548" s="125"/>
      <c r="EJ548" s="126"/>
      <c r="EK548" s="30"/>
      <c r="EL548" s="127"/>
      <c r="EM548" s="128"/>
      <c r="EN548" s="123"/>
      <c r="EO548" s="128"/>
      <c r="EP548" s="13"/>
      <c r="EQ548" s="129"/>
      <c r="ER548" s="123"/>
      <c r="ES548" s="130"/>
      <c r="ET548" s="13"/>
      <c r="EU548" s="123"/>
      <c r="EV548" s="131"/>
    </row>
    <row r="549" spans="35:152">
      <c r="AI549" s="121"/>
      <c r="AJ549" s="13"/>
      <c r="AK549" s="13"/>
      <c r="AL549" s="13"/>
      <c r="AM549" s="13"/>
      <c r="AN549" s="13"/>
      <c r="AO549" s="13"/>
      <c r="AW549" s="121"/>
      <c r="AX549" s="121"/>
      <c r="AY549" s="121"/>
      <c r="AZ549" s="121"/>
      <c r="BA549" s="121"/>
      <c r="BB549" s="121"/>
      <c r="BC549" s="121"/>
      <c r="BD549" s="121"/>
      <c r="BE549" s="121"/>
      <c r="BF549" s="121"/>
      <c r="BG549" s="123"/>
      <c r="BH549" s="127"/>
      <c r="BI549" s="125"/>
      <c r="BJ549" s="126"/>
      <c r="BK549" s="30"/>
      <c r="BL549" s="127"/>
      <c r="BM549" s="128"/>
      <c r="BN549" s="123"/>
      <c r="BO549" s="128"/>
      <c r="BP549" s="13"/>
      <c r="BQ549" s="129"/>
      <c r="BR549" s="123"/>
      <c r="BS549" s="130"/>
      <c r="BT549" s="13"/>
      <c r="BU549" s="123"/>
      <c r="BV549" s="131"/>
      <c r="DI549" s="121"/>
      <c r="DJ549" s="13"/>
      <c r="DK549" s="13"/>
      <c r="DL549" s="13"/>
      <c r="DM549" s="13"/>
      <c r="DN549" s="13"/>
      <c r="DO549" s="13"/>
      <c r="DW549" s="121"/>
      <c r="DX549" s="121"/>
      <c r="DY549" s="121"/>
      <c r="DZ549" s="121"/>
      <c r="EA549" s="121"/>
      <c r="EB549" s="121"/>
      <c r="EC549" s="121"/>
      <c r="ED549" s="121"/>
      <c r="EE549" s="121"/>
      <c r="EF549" s="121"/>
      <c r="EG549" s="123"/>
      <c r="EH549" s="127"/>
      <c r="EI549" s="125"/>
      <c r="EJ549" s="126"/>
      <c r="EK549" s="30"/>
      <c r="EL549" s="127"/>
      <c r="EM549" s="128"/>
      <c r="EN549" s="123"/>
      <c r="EO549" s="128"/>
      <c r="EP549" s="13"/>
      <c r="EQ549" s="129"/>
      <c r="ER549" s="123"/>
      <c r="ES549" s="130"/>
      <c r="ET549" s="13"/>
      <c r="EU549" s="123"/>
      <c r="EV549" s="131"/>
    </row>
    <row r="550" spans="35:152">
      <c r="AI550" s="121"/>
      <c r="AJ550" s="13"/>
      <c r="AK550" s="13"/>
      <c r="AL550" s="13"/>
      <c r="AM550" s="13"/>
      <c r="AN550" s="13"/>
      <c r="AO550" s="13"/>
      <c r="AW550" s="121"/>
      <c r="AX550" s="121"/>
      <c r="AY550" s="121"/>
      <c r="AZ550" s="121"/>
      <c r="BA550" s="121"/>
      <c r="BB550" s="121"/>
      <c r="BC550" s="121"/>
      <c r="BD550" s="121"/>
      <c r="BE550" s="121"/>
      <c r="BF550" s="121"/>
      <c r="BG550" s="123"/>
      <c r="BH550" s="127"/>
      <c r="BI550" s="125"/>
      <c r="BJ550" s="126"/>
      <c r="BK550" s="30"/>
      <c r="BL550" s="127"/>
      <c r="BM550" s="128"/>
      <c r="BN550" s="123"/>
      <c r="BO550" s="128"/>
      <c r="BP550" s="13"/>
      <c r="BQ550" s="129"/>
      <c r="BR550" s="123"/>
      <c r="BS550" s="130"/>
      <c r="BT550" s="13"/>
      <c r="BU550" s="123"/>
      <c r="BV550" s="131"/>
      <c r="DI550" s="121"/>
      <c r="DJ550" s="13"/>
      <c r="DK550" s="13"/>
      <c r="DL550" s="13"/>
      <c r="DM550" s="13"/>
      <c r="DN550" s="13"/>
      <c r="DO550" s="13"/>
      <c r="DW550" s="121"/>
      <c r="DX550" s="121"/>
      <c r="DY550" s="121"/>
      <c r="DZ550" s="121"/>
      <c r="EA550" s="121"/>
      <c r="EB550" s="121"/>
      <c r="EC550" s="121"/>
      <c r="ED550" s="121"/>
      <c r="EE550" s="121"/>
      <c r="EF550" s="121"/>
      <c r="EG550" s="123"/>
      <c r="EH550" s="127"/>
      <c r="EI550" s="125"/>
      <c r="EJ550" s="126"/>
      <c r="EK550" s="30"/>
      <c r="EL550" s="127"/>
      <c r="EM550" s="128"/>
      <c r="EN550" s="123"/>
      <c r="EO550" s="128"/>
      <c r="EP550" s="13"/>
      <c r="EQ550" s="129"/>
      <c r="ER550" s="123"/>
      <c r="ES550" s="130"/>
      <c r="ET550" s="13"/>
      <c r="EU550" s="123"/>
      <c r="EV550" s="131"/>
    </row>
    <row r="551" spans="35:152">
      <c r="AI551" s="121"/>
      <c r="AJ551" s="13"/>
      <c r="AK551" s="13"/>
      <c r="AL551" s="13"/>
      <c r="AM551" s="13"/>
      <c r="AN551" s="13"/>
      <c r="AO551" s="13"/>
      <c r="AW551" s="121"/>
      <c r="AX551" s="121"/>
      <c r="AY551" s="121"/>
      <c r="AZ551" s="121"/>
      <c r="BA551" s="121"/>
      <c r="BB551" s="121"/>
      <c r="BC551" s="121"/>
      <c r="BD551" s="121"/>
      <c r="BE551" s="121"/>
      <c r="BF551" s="121"/>
      <c r="BG551" s="123"/>
      <c r="BH551" s="127"/>
      <c r="BI551" s="125"/>
      <c r="BJ551" s="126"/>
      <c r="BK551" s="30"/>
      <c r="BL551" s="127"/>
      <c r="BM551" s="128"/>
      <c r="BN551" s="123"/>
      <c r="BO551" s="128"/>
      <c r="BP551" s="13"/>
      <c r="BQ551" s="129"/>
      <c r="BR551" s="123"/>
      <c r="BS551" s="130"/>
      <c r="BT551" s="13"/>
      <c r="BU551" s="123"/>
      <c r="BV551" s="131"/>
      <c r="DI551" s="121"/>
      <c r="DJ551" s="13"/>
      <c r="DK551" s="13"/>
      <c r="DL551" s="13"/>
      <c r="DM551" s="13"/>
      <c r="DN551" s="13"/>
      <c r="DO551" s="13"/>
      <c r="DW551" s="121"/>
      <c r="DX551" s="121"/>
      <c r="DY551" s="121"/>
      <c r="DZ551" s="121"/>
      <c r="EA551" s="121"/>
      <c r="EB551" s="121"/>
      <c r="EC551" s="121"/>
      <c r="ED551" s="121"/>
      <c r="EE551" s="121"/>
      <c r="EF551" s="121"/>
      <c r="EG551" s="123"/>
      <c r="EH551" s="127"/>
      <c r="EI551" s="125"/>
      <c r="EJ551" s="126"/>
      <c r="EK551" s="30"/>
      <c r="EL551" s="127"/>
      <c r="EM551" s="128"/>
      <c r="EN551" s="123"/>
      <c r="EO551" s="128"/>
      <c r="EP551" s="13"/>
      <c r="EQ551" s="129"/>
      <c r="ER551" s="123"/>
      <c r="ES551" s="130"/>
      <c r="ET551" s="13"/>
      <c r="EU551" s="123"/>
      <c r="EV551" s="131"/>
    </row>
    <row r="552" spans="35:152">
      <c r="AI552" s="121"/>
      <c r="AJ552" s="13"/>
      <c r="AK552" s="13"/>
      <c r="AL552" s="13"/>
      <c r="AM552" s="13"/>
      <c r="AN552" s="13"/>
      <c r="AO552" s="13"/>
      <c r="AW552" s="121"/>
      <c r="AX552" s="121"/>
      <c r="AY552" s="121"/>
      <c r="AZ552" s="121"/>
      <c r="BA552" s="121"/>
      <c r="BB552" s="121"/>
      <c r="BC552" s="121"/>
      <c r="BD552" s="121"/>
      <c r="BE552" s="121"/>
      <c r="BF552" s="121"/>
      <c r="BG552" s="123"/>
      <c r="BH552" s="127"/>
      <c r="BI552" s="125"/>
      <c r="BJ552" s="126"/>
      <c r="BK552" s="30"/>
      <c r="BL552" s="127"/>
      <c r="BM552" s="128"/>
      <c r="BN552" s="123"/>
      <c r="BO552" s="128"/>
      <c r="BP552" s="13"/>
      <c r="BQ552" s="129"/>
      <c r="BR552" s="123"/>
      <c r="BS552" s="130"/>
      <c r="BT552" s="13"/>
      <c r="BU552" s="123"/>
      <c r="BV552" s="131"/>
      <c r="DI552" s="121"/>
      <c r="DJ552" s="13"/>
      <c r="DK552" s="13"/>
      <c r="DL552" s="13"/>
      <c r="DM552" s="13"/>
      <c r="DN552" s="13"/>
      <c r="DO552" s="13"/>
      <c r="DW552" s="121"/>
      <c r="DX552" s="121"/>
      <c r="DY552" s="121"/>
      <c r="DZ552" s="121"/>
      <c r="EA552" s="121"/>
      <c r="EB552" s="121"/>
      <c r="EC552" s="121"/>
      <c r="ED552" s="121"/>
      <c r="EE552" s="121"/>
      <c r="EF552" s="121"/>
      <c r="EG552" s="123"/>
      <c r="EH552" s="127"/>
      <c r="EI552" s="125"/>
      <c r="EJ552" s="126"/>
      <c r="EK552" s="30"/>
      <c r="EL552" s="127"/>
      <c r="EM552" s="128"/>
      <c r="EN552" s="123"/>
      <c r="EO552" s="128"/>
      <c r="EP552" s="13"/>
      <c r="EQ552" s="129"/>
      <c r="ER552" s="123"/>
      <c r="ES552" s="130"/>
      <c r="ET552" s="13"/>
      <c r="EU552" s="123"/>
      <c r="EV552" s="131"/>
    </row>
    <row r="553" spans="35:152">
      <c r="AI553" s="121"/>
      <c r="AJ553" s="13"/>
      <c r="AK553" s="13"/>
      <c r="AL553" s="13"/>
      <c r="AM553" s="13"/>
      <c r="AN553" s="13"/>
      <c r="AO553" s="13"/>
      <c r="AW553" s="121"/>
      <c r="AX553" s="121"/>
      <c r="AY553" s="121"/>
      <c r="AZ553" s="121"/>
      <c r="BA553" s="121"/>
      <c r="BB553" s="121"/>
      <c r="BC553" s="121"/>
      <c r="BD553" s="121"/>
      <c r="BE553" s="121"/>
      <c r="BF553" s="121"/>
      <c r="BG553" s="123"/>
      <c r="BH553" s="127"/>
      <c r="BI553" s="125"/>
      <c r="BJ553" s="126"/>
      <c r="BK553" s="30"/>
      <c r="BL553" s="127"/>
      <c r="BM553" s="128"/>
      <c r="BN553" s="123"/>
      <c r="BO553" s="128"/>
      <c r="BP553" s="13"/>
      <c r="BQ553" s="129"/>
      <c r="BR553" s="123"/>
      <c r="BS553" s="130"/>
      <c r="BT553" s="13"/>
      <c r="BU553" s="123"/>
      <c r="BV553" s="131"/>
      <c r="DI553" s="121"/>
      <c r="DJ553" s="13"/>
      <c r="DK553" s="13"/>
      <c r="DL553" s="13"/>
      <c r="DM553" s="13"/>
      <c r="DN553" s="13"/>
      <c r="DO553" s="13"/>
      <c r="DW553" s="121"/>
      <c r="DX553" s="121"/>
      <c r="DY553" s="121"/>
      <c r="DZ553" s="121"/>
      <c r="EA553" s="121"/>
      <c r="EB553" s="121"/>
      <c r="EC553" s="121"/>
      <c r="ED553" s="121"/>
      <c r="EE553" s="121"/>
      <c r="EF553" s="121"/>
      <c r="EG553" s="123"/>
      <c r="EH553" s="127"/>
      <c r="EI553" s="125"/>
      <c r="EJ553" s="126"/>
      <c r="EK553" s="30"/>
      <c r="EL553" s="127"/>
      <c r="EM553" s="128"/>
      <c r="EN553" s="123"/>
      <c r="EO553" s="128"/>
      <c r="EP553" s="13"/>
      <c r="EQ553" s="129"/>
      <c r="ER553" s="123"/>
      <c r="ES553" s="130"/>
      <c r="ET553" s="13"/>
      <c r="EU553" s="123"/>
      <c r="EV553" s="131"/>
    </row>
    <row r="554" spans="35:152">
      <c r="AI554" s="121"/>
      <c r="AJ554" s="13"/>
      <c r="AK554" s="13"/>
      <c r="AL554" s="13"/>
      <c r="AM554" s="13"/>
      <c r="AN554" s="13"/>
      <c r="AO554" s="13"/>
      <c r="AW554" s="121"/>
      <c r="AX554" s="121"/>
      <c r="AY554" s="121"/>
      <c r="AZ554" s="121"/>
      <c r="BA554" s="121"/>
      <c r="BB554" s="121"/>
      <c r="BC554" s="121"/>
      <c r="BD554" s="121"/>
      <c r="BE554" s="121"/>
      <c r="BF554" s="121"/>
      <c r="BG554" s="123"/>
      <c r="BH554" s="127"/>
      <c r="BI554" s="125"/>
      <c r="BJ554" s="126"/>
      <c r="BK554" s="30"/>
      <c r="BL554" s="127"/>
      <c r="BM554" s="128"/>
      <c r="BN554" s="123"/>
      <c r="BO554" s="128"/>
      <c r="BP554" s="13"/>
      <c r="BQ554" s="129"/>
      <c r="BR554" s="123"/>
      <c r="BS554" s="130"/>
      <c r="BT554" s="13"/>
      <c r="BU554" s="123"/>
      <c r="BV554" s="131"/>
      <c r="DI554" s="121"/>
      <c r="DJ554" s="13"/>
      <c r="DK554" s="13"/>
      <c r="DL554" s="13"/>
      <c r="DM554" s="13"/>
      <c r="DN554" s="13"/>
      <c r="DO554" s="13"/>
      <c r="DW554" s="121"/>
      <c r="DX554" s="121"/>
      <c r="DY554" s="121"/>
      <c r="DZ554" s="121"/>
      <c r="EA554" s="121"/>
      <c r="EB554" s="121"/>
      <c r="EC554" s="121"/>
      <c r="ED554" s="121"/>
      <c r="EE554" s="121"/>
      <c r="EF554" s="121"/>
      <c r="EG554" s="123"/>
      <c r="EH554" s="127"/>
      <c r="EI554" s="125"/>
      <c r="EJ554" s="126"/>
      <c r="EK554" s="30"/>
      <c r="EL554" s="127"/>
      <c r="EM554" s="128"/>
      <c r="EN554" s="123"/>
      <c r="EO554" s="128"/>
      <c r="EP554" s="13"/>
      <c r="EQ554" s="129"/>
      <c r="ER554" s="123"/>
      <c r="ES554" s="130"/>
      <c r="ET554" s="13"/>
      <c r="EU554" s="123"/>
      <c r="EV554" s="131"/>
    </row>
    <row r="555" spans="35:152">
      <c r="AI555" s="121"/>
      <c r="AJ555" s="13"/>
      <c r="AK555" s="13"/>
      <c r="AL555" s="13"/>
      <c r="AM555" s="13"/>
      <c r="AN555" s="13"/>
      <c r="AO555" s="13"/>
      <c r="AW555" s="121"/>
      <c r="AX555" s="121"/>
      <c r="AY555" s="121"/>
      <c r="AZ555" s="121"/>
      <c r="BA555" s="121"/>
      <c r="BB555" s="121"/>
      <c r="BC555" s="121"/>
      <c r="BD555" s="121"/>
      <c r="BE555" s="121"/>
      <c r="BF555" s="121"/>
      <c r="BG555" s="123"/>
      <c r="BH555" s="127"/>
      <c r="BI555" s="125"/>
      <c r="BJ555" s="126"/>
      <c r="BK555" s="30"/>
      <c r="BL555" s="127"/>
      <c r="BM555" s="128"/>
      <c r="BN555" s="123"/>
      <c r="BO555" s="128"/>
      <c r="BP555" s="13"/>
      <c r="BQ555" s="129"/>
      <c r="BR555" s="123"/>
      <c r="BS555" s="130"/>
      <c r="BT555" s="13"/>
      <c r="BU555" s="123"/>
      <c r="BV555" s="131"/>
      <c r="DI555" s="121"/>
      <c r="DJ555" s="13"/>
      <c r="DK555" s="13"/>
      <c r="DL555" s="13"/>
      <c r="DM555" s="13"/>
      <c r="DN555" s="13"/>
      <c r="DO555" s="13"/>
      <c r="DW555" s="121"/>
      <c r="DX555" s="121"/>
      <c r="DY555" s="121"/>
      <c r="DZ555" s="121"/>
      <c r="EA555" s="121"/>
      <c r="EB555" s="121"/>
      <c r="EC555" s="121"/>
      <c r="ED555" s="121"/>
      <c r="EE555" s="121"/>
      <c r="EF555" s="121"/>
      <c r="EG555" s="123"/>
      <c r="EH555" s="127"/>
      <c r="EI555" s="125"/>
      <c r="EJ555" s="126"/>
      <c r="EK555" s="30"/>
      <c r="EL555" s="127"/>
      <c r="EM555" s="128"/>
      <c r="EN555" s="123"/>
      <c r="EO555" s="128"/>
      <c r="EP555" s="13"/>
      <c r="EQ555" s="129"/>
      <c r="ER555" s="123"/>
      <c r="ES555" s="130"/>
      <c r="ET555" s="13"/>
      <c r="EU555" s="123"/>
      <c r="EV555" s="131"/>
    </row>
    <row r="556" spans="35:152">
      <c r="AI556" s="121"/>
      <c r="AJ556" s="13"/>
      <c r="AK556" s="13"/>
      <c r="AL556" s="13"/>
      <c r="AM556" s="13"/>
      <c r="AN556" s="13"/>
      <c r="AO556" s="13"/>
      <c r="AW556" s="121"/>
      <c r="AX556" s="121"/>
      <c r="AY556" s="121"/>
      <c r="AZ556" s="121"/>
      <c r="BA556" s="121"/>
      <c r="BB556" s="121"/>
      <c r="BC556" s="121"/>
      <c r="BD556" s="121"/>
      <c r="BE556" s="121"/>
      <c r="BF556" s="121"/>
      <c r="BG556" s="123"/>
      <c r="BH556" s="127"/>
      <c r="BI556" s="125"/>
      <c r="BJ556" s="126"/>
      <c r="BK556" s="30"/>
      <c r="BL556" s="127"/>
      <c r="BM556" s="128"/>
      <c r="BN556" s="123"/>
      <c r="BO556" s="128"/>
      <c r="BP556" s="13"/>
      <c r="BQ556" s="129"/>
      <c r="BR556" s="123"/>
      <c r="BS556" s="130"/>
      <c r="BT556" s="13"/>
      <c r="BU556" s="123"/>
      <c r="BV556" s="131"/>
      <c r="DI556" s="121"/>
      <c r="DJ556" s="13"/>
      <c r="DK556" s="13"/>
      <c r="DL556" s="13"/>
      <c r="DM556" s="13"/>
      <c r="DN556" s="13"/>
      <c r="DO556" s="13"/>
      <c r="DW556" s="121"/>
      <c r="DX556" s="121"/>
      <c r="DY556" s="121"/>
      <c r="DZ556" s="121"/>
      <c r="EA556" s="121"/>
      <c r="EB556" s="121"/>
      <c r="EC556" s="121"/>
      <c r="ED556" s="121"/>
      <c r="EE556" s="121"/>
      <c r="EF556" s="121"/>
      <c r="EG556" s="123"/>
      <c r="EH556" s="127"/>
      <c r="EI556" s="125"/>
      <c r="EJ556" s="126"/>
      <c r="EK556" s="30"/>
      <c r="EL556" s="127"/>
      <c r="EM556" s="128"/>
      <c r="EN556" s="123"/>
      <c r="EO556" s="128"/>
      <c r="EP556" s="13"/>
      <c r="EQ556" s="129"/>
      <c r="ER556" s="123"/>
      <c r="ES556" s="130"/>
      <c r="ET556" s="13"/>
      <c r="EU556" s="123"/>
      <c r="EV556" s="131"/>
    </row>
    <row r="557" spans="35:152">
      <c r="AI557" s="121"/>
      <c r="AJ557" s="13"/>
      <c r="AK557" s="13"/>
      <c r="AL557" s="13"/>
      <c r="AM557" s="13"/>
      <c r="AN557" s="13"/>
      <c r="AO557" s="13"/>
      <c r="AW557" s="121"/>
      <c r="AX557" s="121"/>
      <c r="AY557" s="121"/>
      <c r="AZ557" s="121"/>
      <c r="BA557" s="121"/>
      <c r="BB557" s="121"/>
      <c r="BC557" s="121"/>
      <c r="BD557" s="121"/>
      <c r="BE557" s="121"/>
      <c r="BF557" s="121"/>
      <c r="BG557" s="123"/>
      <c r="BH557" s="127"/>
      <c r="BI557" s="125"/>
      <c r="BJ557" s="126"/>
      <c r="BK557" s="30"/>
      <c r="BL557" s="127"/>
      <c r="BM557" s="128"/>
      <c r="BN557" s="123"/>
      <c r="BO557" s="128"/>
      <c r="BP557" s="13"/>
      <c r="BQ557" s="129"/>
      <c r="BR557" s="123"/>
      <c r="BS557" s="130"/>
      <c r="BT557" s="13"/>
      <c r="BU557" s="123"/>
      <c r="BV557" s="131"/>
      <c r="DI557" s="121"/>
      <c r="DJ557" s="13"/>
      <c r="DK557" s="13"/>
      <c r="DL557" s="13"/>
      <c r="DM557" s="13"/>
      <c r="DN557" s="13"/>
      <c r="DO557" s="13"/>
      <c r="DW557" s="121"/>
      <c r="DX557" s="121"/>
      <c r="DY557" s="121"/>
      <c r="DZ557" s="121"/>
      <c r="EA557" s="121"/>
      <c r="EB557" s="121"/>
      <c r="EC557" s="121"/>
      <c r="ED557" s="121"/>
      <c r="EE557" s="121"/>
      <c r="EF557" s="121"/>
      <c r="EG557" s="123"/>
      <c r="EH557" s="127"/>
      <c r="EI557" s="125"/>
      <c r="EJ557" s="126"/>
      <c r="EK557" s="30"/>
      <c r="EL557" s="127"/>
      <c r="EM557" s="128"/>
      <c r="EN557" s="123"/>
      <c r="EO557" s="128"/>
      <c r="EP557" s="13"/>
      <c r="EQ557" s="129"/>
      <c r="ER557" s="123"/>
      <c r="ES557" s="130"/>
      <c r="ET557" s="13"/>
      <c r="EU557" s="123"/>
      <c r="EV557" s="131"/>
    </row>
    <row r="558" spans="35:152">
      <c r="AI558" s="121"/>
      <c r="AJ558" s="13"/>
      <c r="AK558" s="13"/>
      <c r="AL558" s="13"/>
      <c r="AM558" s="13"/>
      <c r="AN558" s="13"/>
      <c r="AO558" s="13"/>
      <c r="AW558" s="121"/>
      <c r="AX558" s="121"/>
      <c r="AY558" s="121"/>
      <c r="AZ558" s="121"/>
      <c r="BA558" s="121"/>
      <c r="BB558" s="121"/>
      <c r="BC558" s="121"/>
      <c r="BD558" s="121"/>
      <c r="BE558" s="121"/>
      <c r="BF558" s="121"/>
      <c r="BG558" s="123"/>
      <c r="BH558" s="127"/>
      <c r="BI558" s="125"/>
      <c r="BJ558" s="126"/>
      <c r="BK558" s="30"/>
      <c r="BL558" s="127"/>
      <c r="BM558" s="128"/>
      <c r="BN558" s="123"/>
      <c r="BO558" s="128"/>
      <c r="BP558" s="13"/>
      <c r="BQ558" s="129"/>
      <c r="BR558" s="123"/>
      <c r="BS558" s="130"/>
      <c r="BT558" s="13"/>
      <c r="BU558" s="123"/>
      <c r="BV558" s="131"/>
      <c r="DI558" s="121"/>
      <c r="DJ558" s="13"/>
      <c r="DK558" s="13"/>
      <c r="DL558" s="13"/>
      <c r="DM558" s="13"/>
      <c r="DN558" s="13"/>
      <c r="DO558" s="13"/>
      <c r="DW558" s="121"/>
      <c r="DX558" s="121"/>
      <c r="DY558" s="121"/>
      <c r="DZ558" s="121"/>
      <c r="EA558" s="121"/>
      <c r="EB558" s="121"/>
      <c r="EC558" s="121"/>
      <c r="ED558" s="121"/>
      <c r="EE558" s="121"/>
      <c r="EF558" s="121"/>
      <c r="EG558" s="123"/>
      <c r="EH558" s="127"/>
      <c r="EI558" s="125"/>
      <c r="EJ558" s="126"/>
      <c r="EK558" s="30"/>
      <c r="EL558" s="127"/>
      <c r="EM558" s="128"/>
      <c r="EN558" s="123"/>
      <c r="EO558" s="128"/>
      <c r="EP558" s="13"/>
      <c r="EQ558" s="129"/>
      <c r="ER558" s="123"/>
      <c r="ES558" s="130"/>
      <c r="ET558" s="13"/>
      <c r="EU558" s="123"/>
      <c r="EV558" s="131"/>
    </row>
    <row r="559" spans="35:152">
      <c r="AI559" s="121"/>
      <c r="AJ559" s="13"/>
      <c r="AK559" s="13"/>
      <c r="AL559" s="13"/>
      <c r="AM559" s="13"/>
      <c r="AN559" s="13"/>
      <c r="AO559" s="13"/>
      <c r="AW559" s="121"/>
      <c r="AX559" s="121"/>
      <c r="AY559" s="121"/>
      <c r="AZ559" s="121"/>
      <c r="BA559" s="121"/>
      <c r="BB559" s="121"/>
      <c r="BC559" s="121"/>
      <c r="BD559" s="121"/>
      <c r="BE559" s="121"/>
      <c r="BF559" s="121"/>
      <c r="BG559" s="123"/>
      <c r="BH559" s="127"/>
      <c r="BI559" s="125"/>
      <c r="BJ559" s="126"/>
      <c r="BK559" s="30"/>
      <c r="BL559" s="127"/>
      <c r="BM559" s="128"/>
      <c r="BN559" s="123"/>
      <c r="BO559" s="128"/>
      <c r="BP559" s="13"/>
      <c r="BQ559" s="129"/>
      <c r="BR559" s="123"/>
      <c r="BS559" s="130"/>
      <c r="BT559" s="13"/>
      <c r="BU559" s="123"/>
      <c r="BV559" s="131"/>
      <c r="DI559" s="121"/>
      <c r="DJ559" s="13"/>
      <c r="DK559" s="13"/>
      <c r="DL559" s="13"/>
      <c r="DM559" s="13"/>
      <c r="DN559" s="13"/>
      <c r="DO559" s="13"/>
      <c r="DW559" s="121"/>
      <c r="DX559" s="121"/>
      <c r="DY559" s="121"/>
      <c r="DZ559" s="121"/>
      <c r="EA559" s="121"/>
      <c r="EB559" s="121"/>
      <c r="EC559" s="121"/>
      <c r="ED559" s="121"/>
      <c r="EE559" s="121"/>
      <c r="EF559" s="121"/>
      <c r="EG559" s="123"/>
      <c r="EH559" s="127"/>
      <c r="EI559" s="125"/>
      <c r="EJ559" s="126"/>
      <c r="EK559" s="30"/>
      <c r="EL559" s="127"/>
      <c r="EM559" s="128"/>
      <c r="EN559" s="123"/>
      <c r="EO559" s="128"/>
      <c r="EP559" s="13"/>
      <c r="EQ559" s="129"/>
      <c r="ER559" s="123"/>
      <c r="ES559" s="130"/>
      <c r="ET559" s="13"/>
      <c r="EU559" s="123"/>
      <c r="EV559" s="131"/>
    </row>
    <row r="560" spans="35:152">
      <c r="AI560" s="121"/>
      <c r="AJ560" s="13"/>
      <c r="AK560" s="13"/>
      <c r="AL560" s="13"/>
      <c r="AM560" s="13"/>
      <c r="AN560" s="13"/>
      <c r="AO560" s="13"/>
      <c r="AW560" s="121"/>
      <c r="AX560" s="121"/>
      <c r="AY560" s="121"/>
      <c r="AZ560" s="121"/>
      <c r="BA560" s="121"/>
      <c r="BB560" s="121"/>
      <c r="BC560" s="121"/>
      <c r="BD560" s="121"/>
      <c r="BE560" s="121"/>
      <c r="BF560" s="121"/>
      <c r="BG560" s="123"/>
      <c r="BH560" s="127"/>
      <c r="BI560" s="125"/>
      <c r="BJ560" s="126"/>
      <c r="BK560" s="30"/>
      <c r="BL560" s="127"/>
      <c r="BM560" s="128"/>
      <c r="BN560" s="123"/>
      <c r="BO560" s="128"/>
      <c r="BP560" s="13"/>
      <c r="BQ560" s="129"/>
      <c r="BR560" s="123"/>
      <c r="BS560" s="130"/>
      <c r="BT560" s="13"/>
      <c r="BU560" s="123"/>
      <c r="BV560" s="131"/>
      <c r="DI560" s="121"/>
      <c r="DJ560" s="13"/>
      <c r="DK560" s="13"/>
      <c r="DL560" s="13"/>
      <c r="DM560" s="13"/>
      <c r="DN560" s="13"/>
      <c r="DO560" s="13"/>
      <c r="DW560" s="121"/>
      <c r="DX560" s="121"/>
      <c r="DY560" s="121"/>
      <c r="DZ560" s="121"/>
      <c r="EA560" s="121"/>
      <c r="EB560" s="121"/>
      <c r="EC560" s="121"/>
      <c r="ED560" s="121"/>
      <c r="EE560" s="121"/>
      <c r="EF560" s="121"/>
      <c r="EG560" s="123"/>
      <c r="EH560" s="127"/>
      <c r="EI560" s="125"/>
      <c r="EJ560" s="126"/>
      <c r="EK560" s="30"/>
      <c r="EL560" s="127"/>
      <c r="EM560" s="128"/>
      <c r="EN560" s="123"/>
      <c r="EO560" s="128"/>
      <c r="EP560" s="13"/>
      <c r="EQ560" s="129"/>
      <c r="ER560" s="123"/>
      <c r="ES560" s="130"/>
      <c r="ET560" s="13"/>
      <c r="EU560" s="123"/>
      <c r="EV560" s="131"/>
    </row>
    <row r="561" spans="35:152">
      <c r="AI561" s="121"/>
      <c r="AJ561" s="13"/>
      <c r="AK561" s="13"/>
      <c r="AL561" s="13"/>
      <c r="AM561" s="13"/>
      <c r="AN561" s="13"/>
      <c r="AO561" s="13"/>
      <c r="AW561" s="121"/>
      <c r="AX561" s="121"/>
      <c r="AY561" s="121"/>
      <c r="AZ561" s="121"/>
      <c r="BA561" s="121"/>
      <c r="BB561" s="121"/>
      <c r="BC561" s="121"/>
      <c r="BD561" s="121"/>
      <c r="BE561" s="121"/>
      <c r="BF561" s="121"/>
      <c r="BG561" s="123"/>
      <c r="BH561" s="127"/>
      <c r="BI561" s="125"/>
      <c r="BJ561" s="126"/>
      <c r="BK561" s="30"/>
      <c r="BL561" s="127"/>
      <c r="BM561" s="128"/>
      <c r="BN561" s="123"/>
      <c r="BO561" s="128"/>
      <c r="BP561" s="13"/>
      <c r="BQ561" s="129"/>
      <c r="BR561" s="123"/>
      <c r="BS561" s="130"/>
      <c r="BT561" s="13"/>
      <c r="BU561" s="123"/>
      <c r="BV561" s="131"/>
      <c r="DI561" s="121"/>
      <c r="DJ561" s="13"/>
      <c r="DK561" s="13"/>
      <c r="DL561" s="13"/>
      <c r="DM561" s="13"/>
      <c r="DN561" s="13"/>
      <c r="DO561" s="13"/>
      <c r="DW561" s="121"/>
      <c r="DX561" s="121"/>
      <c r="DY561" s="121"/>
      <c r="DZ561" s="121"/>
      <c r="EA561" s="121"/>
      <c r="EB561" s="121"/>
      <c r="EC561" s="121"/>
      <c r="ED561" s="121"/>
      <c r="EE561" s="121"/>
      <c r="EF561" s="121"/>
      <c r="EG561" s="123"/>
      <c r="EH561" s="127"/>
      <c r="EI561" s="125"/>
      <c r="EJ561" s="126"/>
      <c r="EK561" s="30"/>
      <c r="EL561" s="127"/>
      <c r="EM561" s="128"/>
      <c r="EN561" s="123"/>
      <c r="EO561" s="128"/>
      <c r="EP561" s="13"/>
      <c r="EQ561" s="129"/>
      <c r="ER561" s="123"/>
      <c r="ES561" s="130"/>
      <c r="ET561" s="13"/>
      <c r="EU561" s="123"/>
      <c r="EV561" s="131"/>
    </row>
    <row r="562" spans="35:152">
      <c r="AI562" s="121"/>
      <c r="AJ562" s="13"/>
      <c r="AK562" s="13"/>
      <c r="AL562" s="13"/>
      <c r="AM562" s="13"/>
      <c r="AN562" s="13"/>
      <c r="AO562" s="13"/>
      <c r="AW562" s="121"/>
      <c r="AX562" s="121"/>
      <c r="AY562" s="121"/>
      <c r="AZ562" s="121"/>
      <c r="BA562" s="121"/>
      <c r="BB562" s="121"/>
      <c r="BC562" s="121"/>
      <c r="BD562" s="121"/>
      <c r="BE562" s="121"/>
      <c r="BF562" s="121"/>
      <c r="BG562" s="123"/>
      <c r="BH562" s="127"/>
      <c r="BI562" s="125"/>
      <c r="BJ562" s="126"/>
      <c r="BK562" s="30"/>
      <c r="BL562" s="127"/>
      <c r="BM562" s="128"/>
      <c r="BN562" s="123"/>
      <c r="BO562" s="128"/>
      <c r="BP562" s="13"/>
      <c r="BQ562" s="129"/>
      <c r="BR562" s="123"/>
      <c r="BS562" s="130"/>
      <c r="BT562" s="13"/>
      <c r="BU562" s="123"/>
      <c r="BV562" s="131"/>
      <c r="DI562" s="121"/>
      <c r="DJ562" s="13"/>
      <c r="DK562" s="13"/>
      <c r="DL562" s="13"/>
      <c r="DM562" s="13"/>
      <c r="DN562" s="13"/>
      <c r="DO562" s="13"/>
      <c r="DW562" s="121"/>
      <c r="DX562" s="121"/>
      <c r="DY562" s="121"/>
      <c r="DZ562" s="121"/>
      <c r="EA562" s="121"/>
      <c r="EB562" s="121"/>
      <c r="EC562" s="121"/>
      <c r="ED562" s="121"/>
      <c r="EE562" s="121"/>
      <c r="EF562" s="121"/>
      <c r="EG562" s="123"/>
      <c r="EH562" s="127"/>
      <c r="EI562" s="125"/>
      <c r="EJ562" s="126"/>
      <c r="EK562" s="30"/>
      <c r="EL562" s="127"/>
      <c r="EM562" s="128"/>
      <c r="EN562" s="123"/>
      <c r="EO562" s="128"/>
      <c r="EP562" s="13"/>
      <c r="EQ562" s="129"/>
      <c r="ER562" s="123"/>
      <c r="ES562" s="130"/>
      <c r="ET562" s="13"/>
      <c r="EU562" s="123"/>
      <c r="EV562" s="131"/>
    </row>
    <row r="563" spans="35:152">
      <c r="AI563" s="121"/>
      <c r="AJ563" s="13"/>
      <c r="AK563" s="13"/>
      <c r="AL563" s="13"/>
      <c r="AM563" s="13"/>
      <c r="AN563" s="13"/>
      <c r="AO563" s="13"/>
      <c r="AW563" s="121"/>
      <c r="AX563" s="121"/>
      <c r="AY563" s="121"/>
      <c r="AZ563" s="121"/>
      <c r="BA563" s="121"/>
      <c r="BB563" s="121"/>
      <c r="BC563" s="121"/>
      <c r="BD563" s="121"/>
      <c r="BE563" s="121"/>
      <c r="BF563" s="121"/>
      <c r="BG563" s="123"/>
      <c r="BH563" s="127"/>
      <c r="BI563" s="125"/>
      <c r="BJ563" s="126"/>
      <c r="BK563" s="30"/>
      <c r="BL563" s="127"/>
      <c r="BM563" s="128"/>
      <c r="BN563" s="123"/>
      <c r="BO563" s="128"/>
      <c r="BP563" s="13"/>
      <c r="BQ563" s="129"/>
      <c r="BR563" s="123"/>
      <c r="BS563" s="130"/>
      <c r="BT563" s="13"/>
      <c r="BU563" s="123"/>
      <c r="BV563" s="131"/>
      <c r="DI563" s="121"/>
      <c r="DJ563" s="13"/>
      <c r="DK563" s="13"/>
      <c r="DL563" s="13"/>
      <c r="DM563" s="13"/>
      <c r="DN563" s="13"/>
      <c r="DO563" s="13"/>
      <c r="DW563" s="121"/>
      <c r="DX563" s="121"/>
      <c r="DY563" s="121"/>
      <c r="DZ563" s="121"/>
      <c r="EA563" s="121"/>
      <c r="EB563" s="121"/>
      <c r="EC563" s="121"/>
      <c r="ED563" s="121"/>
      <c r="EE563" s="121"/>
      <c r="EF563" s="121"/>
      <c r="EG563" s="123"/>
      <c r="EH563" s="127"/>
      <c r="EI563" s="125"/>
      <c r="EJ563" s="126"/>
      <c r="EK563" s="30"/>
      <c r="EL563" s="127"/>
      <c r="EM563" s="128"/>
      <c r="EN563" s="123"/>
      <c r="EO563" s="128"/>
      <c r="EP563" s="13"/>
      <c r="EQ563" s="129"/>
      <c r="ER563" s="123"/>
      <c r="ES563" s="130"/>
      <c r="ET563" s="13"/>
      <c r="EU563" s="123"/>
      <c r="EV563" s="131"/>
    </row>
    <row r="564" spans="35:152">
      <c r="AI564" s="121"/>
      <c r="AJ564" s="13"/>
      <c r="AK564" s="13"/>
      <c r="AL564" s="13"/>
      <c r="AM564" s="13"/>
      <c r="AN564" s="13"/>
      <c r="AO564" s="13"/>
      <c r="AW564" s="121"/>
      <c r="AX564" s="121"/>
      <c r="AY564" s="121"/>
      <c r="AZ564" s="121"/>
      <c r="BA564" s="121"/>
      <c r="BB564" s="121"/>
      <c r="BC564" s="121"/>
      <c r="BD564" s="121"/>
      <c r="BE564" s="121"/>
      <c r="BF564" s="121"/>
      <c r="BG564" s="123"/>
      <c r="BH564" s="127"/>
      <c r="BI564" s="125"/>
      <c r="BJ564" s="126"/>
      <c r="BK564" s="30"/>
      <c r="BL564" s="127"/>
      <c r="BM564" s="128"/>
      <c r="BN564" s="123"/>
      <c r="BO564" s="128"/>
      <c r="BP564" s="13"/>
      <c r="BQ564" s="129"/>
      <c r="BR564" s="123"/>
      <c r="BS564" s="130"/>
      <c r="BT564" s="13"/>
      <c r="BU564" s="123"/>
      <c r="BV564" s="131"/>
      <c r="DI564" s="121"/>
      <c r="DJ564" s="13"/>
      <c r="DK564" s="13"/>
      <c r="DL564" s="13"/>
      <c r="DM564" s="13"/>
      <c r="DN564" s="13"/>
      <c r="DO564" s="13"/>
      <c r="DW564" s="121"/>
      <c r="DX564" s="121"/>
      <c r="DY564" s="121"/>
      <c r="DZ564" s="121"/>
      <c r="EA564" s="121"/>
      <c r="EB564" s="121"/>
      <c r="EC564" s="121"/>
      <c r="ED564" s="121"/>
      <c r="EE564" s="121"/>
      <c r="EF564" s="121"/>
      <c r="EG564" s="123"/>
      <c r="EH564" s="127"/>
      <c r="EI564" s="125"/>
      <c r="EJ564" s="126"/>
      <c r="EK564" s="30"/>
      <c r="EL564" s="127"/>
      <c r="EM564" s="128"/>
      <c r="EN564" s="123"/>
      <c r="EO564" s="128"/>
      <c r="EP564" s="13"/>
      <c r="EQ564" s="129"/>
      <c r="ER564" s="123"/>
      <c r="ES564" s="130"/>
      <c r="ET564" s="13"/>
      <c r="EU564" s="123"/>
      <c r="EV564" s="131"/>
    </row>
    <row r="565" spans="35:152">
      <c r="AI565" s="121"/>
      <c r="AJ565" s="13"/>
      <c r="AK565" s="13"/>
      <c r="AL565" s="13"/>
      <c r="AM565" s="13"/>
      <c r="AN565" s="13"/>
      <c r="AO565" s="13"/>
      <c r="AW565" s="121"/>
      <c r="AX565" s="121"/>
      <c r="AY565" s="121"/>
      <c r="AZ565" s="121"/>
      <c r="BA565" s="121"/>
      <c r="BB565" s="121"/>
      <c r="BC565" s="121"/>
      <c r="BD565" s="121"/>
      <c r="BE565" s="121"/>
      <c r="BF565" s="121"/>
      <c r="BG565" s="123"/>
      <c r="BH565" s="127"/>
      <c r="BI565" s="125"/>
      <c r="BJ565" s="126"/>
      <c r="BK565" s="30"/>
      <c r="BL565" s="127"/>
      <c r="BM565" s="128"/>
      <c r="BN565" s="123"/>
      <c r="BO565" s="128"/>
      <c r="BP565" s="13"/>
      <c r="BQ565" s="129"/>
      <c r="BR565" s="123"/>
      <c r="BS565" s="130"/>
      <c r="BT565" s="13"/>
      <c r="BU565" s="123"/>
      <c r="BV565" s="131"/>
      <c r="DI565" s="121"/>
      <c r="DJ565" s="13"/>
      <c r="DK565" s="13"/>
      <c r="DL565" s="13"/>
      <c r="DM565" s="13"/>
      <c r="DN565" s="13"/>
      <c r="DO565" s="13"/>
      <c r="DW565" s="121"/>
      <c r="DX565" s="121"/>
      <c r="DY565" s="121"/>
      <c r="DZ565" s="121"/>
      <c r="EA565" s="121"/>
      <c r="EB565" s="121"/>
      <c r="EC565" s="121"/>
      <c r="ED565" s="121"/>
      <c r="EE565" s="121"/>
      <c r="EF565" s="121"/>
      <c r="EG565" s="123"/>
      <c r="EH565" s="127"/>
      <c r="EI565" s="125"/>
      <c r="EJ565" s="126"/>
      <c r="EK565" s="30"/>
      <c r="EL565" s="127"/>
      <c r="EM565" s="128"/>
      <c r="EN565" s="123"/>
      <c r="EO565" s="128"/>
      <c r="EP565" s="13"/>
      <c r="EQ565" s="129"/>
      <c r="ER565" s="123"/>
      <c r="ES565" s="130"/>
      <c r="ET565" s="13"/>
      <c r="EU565" s="123"/>
      <c r="EV565" s="131"/>
    </row>
    <row r="566" spans="35:152">
      <c r="AI566" s="121"/>
      <c r="AJ566" s="13"/>
      <c r="AK566" s="13"/>
      <c r="AL566" s="13"/>
      <c r="AM566" s="13"/>
      <c r="AN566" s="13"/>
      <c r="AO566" s="13"/>
      <c r="AW566" s="121"/>
      <c r="AX566" s="121"/>
      <c r="AY566" s="121"/>
      <c r="AZ566" s="121"/>
      <c r="BA566" s="121"/>
      <c r="BB566" s="121"/>
      <c r="BC566" s="121"/>
      <c r="BD566" s="121"/>
      <c r="BE566" s="121"/>
      <c r="BF566" s="121"/>
      <c r="BG566" s="123"/>
      <c r="BH566" s="127"/>
      <c r="BI566" s="125"/>
      <c r="BJ566" s="126"/>
      <c r="BK566" s="30"/>
      <c r="BL566" s="127"/>
      <c r="BM566" s="128"/>
      <c r="BN566" s="123"/>
      <c r="BO566" s="128"/>
      <c r="BP566" s="13"/>
      <c r="BQ566" s="129"/>
      <c r="BR566" s="123"/>
      <c r="BS566" s="130"/>
      <c r="BT566" s="13"/>
      <c r="BU566" s="123"/>
      <c r="BV566" s="131"/>
      <c r="DI566" s="121"/>
      <c r="DJ566" s="13"/>
      <c r="DK566" s="13"/>
      <c r="DL566" s="13"/>
      <c r="DM566" s="13"/>
      <c r="DN566" s="13"/>
      <c r="DO566" s="13"/>
      <c r="DW566" s="121"/>
      <c r="DX566" s="121"/>
      <c r="DY566" s="121"/>
      <c r="DZ566" s="121"/>
      <c r="EA566" s="121"/>
      <c r="EB566" s="121"/>
      <c r="EC566" s="121"/>
      <c r="ED566" s="121"/>
      <c r="EE566" s="121"/>
      <c r="EF566" s="121"/>
      <c r="EG566" s="123"/>
      <c r="EH566" s="127"/>
      <c r="EI566" s="125"/>
      <c r="EJ566" s="126"/>
      <c r="EK566" s="30"/>
      <c r="EL566" s="127"/>
      <c r="EM566" s="128"/>
      <c r="EN566" s="123"/>
      <c r="EO566" s="128"/>
      <c r="EP566" s="13"/>
      <c r="EQ566" s="129"/>
      <c r="ER566" s="123"/>
      <c r="ES566" s="130"/>
      <c r="ET566" s="13"/>
      <c r="EU566" s="123"/>
      <c r="EV566" s="131"/>
    </row>
    <row r="567" spans="35:152">
      <c r="AI567" s="121"/>
      <c r="AJ567" s="13"/>
      <c r="AK567" s="13"/>
      <c r="AL567" s="13"/>
      <c r="AM567" s="13"/>
      <c r="AN567" s="13"/>
      <c r="AO567" s="13"/>
      <c r="AW567" s="121"/>
      <c r="AX567" s="121"/>
      <c r="AY567" s="121"/>
      <c r="AZ567" s="121"/>
      <c r="BA567" s="121"/>
      <c r="BB567" s="121"/>
      <c r="BC567" s="121"/>
      <c r="BD567" s="121"/>
      <c r="BE567" s="121"/>
      <c r="BF567" s="121"/>
      <c r="BG567" s="123"/>
      <c r="BH567" s="127"/>
      <c r="BI567" s="125"/>
      <c r="BJ567" s="126"/>
      <c r="BK567" s="30"/>
      <c r="BL567" s="127"/>
      <c r="BM567" s="128"/>
      <c r="BN567" s="123"/>
      <c r="BO567" s="128"/>
      <c r="BP567" s="13"/>
      <c r="BQ567" s="129"/>
      <c r="BR567" s="123"/>
      <c r="BS567" s="130"/>
      <c r="BT567" s="13"/>
      <c r="BU567" s="123"/>
      <c r="BV567" s="131"/>
      <c r="DI567" s="121"/>
      <c r="DJ567" s="13"/>
      <c r="DK567" s="13"/>
      <c r="DL567" s="13"/>
      <c r="DM567" s="13"/>
      <c r="DN567" s="13"/>
      <c r="DO567" s="13"/>
      <c r="DW567" s="121"/>
      <c r="DX567" s="121"/>
      <c r="DY567" s="121"/>
      <c r="DZ567" s="121"/>
      <c r="EA567" s="121"/>
      <c r="EB567" s="121"/>
      <c r="EC567" s="121"/>
      <c r="ED567" s="121"/>
      <c r="EE567" s="121"/>
      <c r="EF567" s="121"/>
      <c r="EG567" s="123"/>
      <c r="EH567" s="127"/>
      <c r="EI567" s="125"/>
      <c r="EJ567" s="126"/>
      <c r="EK567" s="30"/>
      <c r="EL567" s="127"/>
      <c r="EM567" s="128"/>
      <c r="EN567" s="123"/>
      <c r="EO567" s="128"/>
      <c r="EP567" s="13"/>
      <c r="EQ567" s="129"/>
      <c r="ER567" s="123"/>
      <c r="ES567" s="130"/>
      <c r="ET567" s="13"/>
      <c r="EU567" s="123"/>
      <c r="EV567" s="131"/>
    </row>
    <row r="568" spans="35:152">
      <c r="AI568" s="121"/>
      <c r="AJ568" s="13"/>
      <c r="AK568" s="13"/>
      <c r="AL568" s="13"/>
      <c r="AM568" s="13"/>
      <c r="AN568" s="13"/>
      <c r="AO568" s="13"/>
      <c r="AW568" s="121"/>
      <c r="AX568" s="121"/>
      <c r="AY568" s="121"/>
      <c r="AZ568" s="121"/>
      <c r="BA568" s="121"/>
      <c r="BB568" s="121"/>
      <c r="BC568" s="121"/>
      <c r="BD568" s="121"/>
      <c r="BE568" s="121"/>
      <c r="BF568" s="121"/>
      <c r="BG568" s="123"/>
      <c r="BH568" s="127"/>
      <c r="BI568" s="125"/>
      <c r="BJ568" s="126"/>
      <c r="BK568" s="30"/>
      <c r="BL568" s="127"/>
      <c r="BM568" s="128"/>
      <c r="BN568" s="123"/>
      <c r="BO568" s="128"/>
      <c r="BP568" s="13"/>
      <c r="BQ568" s="129"/>
      <c r="BR568" s="123"/>
      <c r="BS568" s="130"/>
      <c r="BT568" s="13"/>
      <c r="BU568" s="123"/>
      <c r="BV568" s="131"/>
      <c r="DI568" s="121"/>
      <c r="DJ568" s="13"/>
      <c r="DK568" s="13"/>
      <c r="DL568" s="13"/>
      <c r="DM568" s="13"/>
      <c r="DN568" s="13"/>
      <c r="DO568" s="13"/>
      <c r="DW568" s="121"/>
      <c r="DX568" s="121"/>
      <c r="DY568" s="121"/>
      <c r="DZ568" s="121"/>
      <c r="EA568" s="121"/>
      <c r="EB568" s="121"/>
      <c r="EC568" s="121"/>
      <c r="ED568" s="121"/>
      <c r="EE568" s="121"/>
      <c r="EF568" s="121"/>
      <c r="EG568" s="123"/>
      <c r="EH568" s="127"/>
      <c r="EI568" s="125"/>
      <c r="EJ568" s="126"/>
      <c r="EK568" s="30"/>
      <c r="EL568" s="127"/>
      <c r="EM568" s="128"/>
      <c r="EN568" s="123"/>
      <c r="EO568" s="128"/>
      <c r="EP568" s="13"/>
      <c r="EQ568" s="129"/>
      <c r="ER568" s="123"/>
      <c r="ES568" s="130"/>
      <c r="ET568" s="13"/>
      <c r="EU568" s="123"/>
      <c r="EV568" s="131"/>
    </row>
    <row r="569" spans="35:152">
      <c r="AI569" s="121"/>
      <c r="AJ569" s="13"/>
      <c r="AK569" s="13"/>
      <c r="AL569" s="13"/>
      <c r="AM569" s="13"/>
      <c r="AN569" s="13"/>
      <c r="AO569" s="13"/>
      <c r="AW569" s="121"/>
      <c r="AX569" s="121"/>
      <c r="AY569" s="121"/>
      <c r="AZ569" s="121"/>
      <c r="BA569" s="121"/>
      <c r="BB569" s="121"/>
      <c r="BC569" s="121"/>
      <c r="BD569" s="121"/>
      <c r="BE569" s="121"/>
      <c r="BF569" s="121"/>
      <c r="BG569" s="123"/>
      <c r="BH569" s="127"/>
      <c r="BI569" s="125"/>
      <c r="BJ569" s="126"/>
      <c r="BK569" s="30"/>
      <c r="BL569" s="127"/>
      <c r="BM569" s="128"/>
      <c r="BN569" s="123"/>
      <c r="BO569" s="128"/>
      <c r="BP569" s="13"/>
      <c r="BQ569" s="129"/>
      <c r="BR569" s="123"/>
      <c r="BS569" s="130"/>
      <c r="BT569" s="13"/>
      <c r="BU569" s="123"/>
      <c r="BV569" s="131"/>
      <c r="DI569" s="121"/>
      <c r="DJ569" s="13"/>
      <c r="DK569" s="13"/>
      <c r="DL569" s="13"/>
      <c r="DM569" s="13"/>
      <c r="DN569" s="13"/>
      <c r="DO569" s="13"/>
      <c r="DW569" s="121"/>
      <c r="DX569" s="121"/>
      <c r="DY569" s="121"/>
      <c r="DZ569" s="121"/>
      <c r="EA569" s="121"/>
      <c r="EB569" s="121"/>
      <c r="EC569" s="121"/>
      <c r="ED569" s="121"/>
      <c r="EE569" s="121"/>
      <c r="EF569" s="121"/>
      <c r="EG569" s="123"/>
      <c r="EH569" s="127"/>
      <c r="EI569" s="125"/>
      <c r="EJ569" s="126"/>
      <c r="EK569" s="30"/>
      <c r="EL569" s="127"/>
      <c r="EM569" s="128"/>
      <c r="EN569" s="123"/>
      <c r="EO569" s="128"/>
      <c r="EP569" s="13"/>
      <c r="EQ569" s="129"/>
      <c r="ER569" s="123"/>
      <c r="ES569" s="130"/>
      <c r="ET569" s="13"/>
      <c r="EU569" s="123"/>
      <c r="EV569" s="131"/>
    </row>
    <row r="570" spans="35:152">
      <c r="AI570" s="121"/>
      <c r="AJ570" s="13"/>
      <c r="AK570" s="13"/>
      <c r="AL570" s="13"/>
      <c r="AM570" s="13"/>
      <c r="AN570" s="13"/>
      <c r="AO570" s="13"/>
      <c r="AW570" s="121"/>
      <c r="AX570" s="121"/>
      <c r="AY570" s="121"/>
      <c r="AZ570" s="121"/>
      <c r="BA570" s="121"/>
      <c r="BB570" s="121"/>
      <c r="BC570" s="121"/>
      <c r="BD570" s="121"/>
      <c r="BE570" s="121"/>
      <c r="BF570" s="121"/>
      <c r="BG570" s="123"/>
      <c r="BH570" s="127"/>
      <c r="BI570" s="125"/>
      <c r="BJ570" s="126"/>
      <c r="BK570" s="30"/>
      <c r="BL570" s="127"/>
      <c r="BM570" s="128"/>
      <c r="BN570" s="123"/>
      <c r="BO570" s="128"/>
      <c r="BP570" s="13"/>
      <c r="BQ570" s="129"/>
      <c r="BR570" s="123"/>
      <c r="BS570" s="130"/>
      <c r="BT570" s="13"/>
      <c r="BU570" s="123"/>
      <c r="BV570" s="131"/>
      <c r="DI570" s="121"/>
      <c r="DJ570" s="13"/>
      <c r="DK570" s="13"/>
      <c r="DL570" s="13"/>
      <c r="DM570" s="13"/>
      <c r="DN570" s="13"/>
      <c r="DO570" s="13"/>
      <c r="DW570" s="121"/>
      <c r="DX570" s="121"/>
      <c r="DY570" s="121"/>
      <c r="DZ570" s="121"/>
      <c r="EA570" s="121"/>
      <c r="EB570" s="121"/>
      <c r="EC570" s="121"/>
      <c r="ED570" s="121"/>
      <c r="EE570" s="121"/>
      <c r="EF570" s="121"/>
      <c r="EG570" s="123"/>
      <c r="EH570" s="127"/>
      <c r="EI570" s="125"/>
      <c r="EJ570" s="126"/>
      <c r="EK570" s="30"/>
      <c r="EL570" s="127"/>
      <c r="EM570" s="128"/>
      <c r="EN570" s="123"/>
      <c r="EO570" s="128"/>
      <c r="EP570" s="13"/>
      <c r="EQ570" s="129"/>
      <c r="ER570" s="123"/>
      <c r="ES570" s="130"/>
      <c r="ET570" s="13"/>
      <c r="EU570" s="123"/>
      <c r="EV570" s="131"/>
    </row>
    <row r="571" spans="35:152">
      <c r="AI571" s="121"/>
      <c r="AJ571" s="13"/>
      <c r="AK571" s="13"/>
      <c r="AL571" s="13"/>
      <c r="AM571" s="13"/>
      <c r="AN571" s="13"/>
      <c r="AO571" s="13"/>
      <c r="AW571" s="121"/>
      <c r="AX571" s="121"/>
      <c r="AY571" s="121"/>
      <c r="AZ571" s="121"/>
      <c r="BA571" s="121"/>
      <c r="BB571" s="121"/>
      <c r="BC571" s="121"/>
      <c r="BD571" s="121"/>
      <c r="BE571" s="121"/>
      <c r="BF571" s="121"/>
      <c r="BG571" s="123"/>
      <c r="BH571" s="127"/>
      <c r="BI571" s="125"/>
      <c r="BJ571" s="126"/>
      <c r="BK571" s="30"/>
      <c r="BL571" s="127"/>
      <c r="BM571" s="128"/>
      <c r="BN571" s="123"/>
      <c r="BO571" s="128"/>
      <c r="BP571" s="13"/>
      <c r="BQ571" s="129"/>
      <c r="BR571" s="123"/>
      <c r="BS571" s="130"/>
      <c r="BT571" s="13"/>
      <c r="BU571" s="123"/>
      <c r="BV571" s="131"/>
      <c r="DI571" s="121"/>
      <c r="DJ571" s="13"/>
      <c r="DK571" s="13"/>
      <c r="DL571" s="13"/>
      <c r="DM571" s="13"/>
      <c r="DN571" s="13"/>
      <c r="DO571" s="13"/>
      <c r="DW571" s="121"/>
      <c r="DX571" s="121"/>
      <c r="DY571" s="121"/>
      <c r="DZ571" s="121"/>
      <c r="EA571" s="121"/>
      <c r="EB571" s="121"/>
      <c r="EC571" s="121"/>
      <c r="ED571" s="121"/>
      <c r="EE571" s="121"/>
      <c r="EF571" s="121"/>
      <c r="EG571" s="123"/>
      <c r="EH571" s="127"/>
      <c r="EI571" s="125"/>
      <c r="EJ571" s="126"/>
      <c r="EK571" s="30"/>
      <c r="EL571" s="127"/>
      <c r="EM571" s="128"/>
      <c r="EN571" s="123"/>
      <c r="EO571" s="128"/>
      <c r="EP571" s="13"/>
      <c r="EQ571" s="129"/>
      <c r="ER571" s="123"/>
      <c r="ES571" s="130"/>
      <c r="ET571" s="13"/>
      <c r="EU571" s="123"/>
      <c r="EV571" s="131"/>
    </row>
    <row r="572" spans="35:152">
      <c r="AI572" s="121"/>
      <c r="AJ572" s="13"/>
      <c r="AK572" s="13"/>
      <c r="AL572" s="13"/>
      <c r="AM572" s="13"/>
      <c r="AN572" s="13"/>
      <c r="AO572" s="13"/>
      <c r="AW572" s="121"/>
      <c r="AX572" s="121"/>
      <c r="AY572" s="121"/>
      <c r="AZ572" s="121"/>
      <c r="BA572" s="121"/>
      <c r="BB572" s="121"/>
      <c r="BC572" s="121"/>
      <c r="BD572" s="121"/>
      <c r="BE572" s="121"/>
      <c r="BF572" s="121"/>
      <c r="BG572" s="123"/>
      <c r="BH572" s="127"/>
      <c r="BI572" s="125"/>
      <c r="BJ572" s="126"/>
      <c r="BK572" s="30"/>
      <c r="BL572" s="127"/>
      <c r="BM572" s="128"/>
      <c r="BN572" s="123"/>
      <c r="BO572" s="128"/>
      <c r="BP572" s="13"/>
      <c r="BQ572" s="129"/>
      <c r="BR572" s="123"/>
      <c r="BS572" s="130"/>
      <c r="BT572" s="13"/>
      <c r="BU572" s="123"/>
      <c r="BV572" s="131"/>
      <c r="DI572" s="121"/>
      <c r="DJ572" s="13"/>
      <c r="DK572" s="13"/>
      <c r="DL572" s="13"/>
      <c r="DM572" s="13"/>
      <c r="DN572" s="13"/>
      <c r="DO572" s="13"/>
      <c r="DW572" s="121"/>
      <c r="DX572" s="121"/>
      <c r="DY572" s="121"/>
      <c r="DZ572" s="121"/>
      <c r="EA572" s="121"/>
      <c r="EB572" s="121"/>
      <c r="EC572" s="121"/>
      <c r="ED572" s="121"/>
      <c r="EE572" s="121"/>
      <c r="EF572" s="121"/>
      <c r="EG572" s="123"/>
      <c r="EH572" s="127"/>
      <c r="EI572" s="125"/>
      <c r="EJ572" s="126"/>
      <c r="EK572" s="30"/>
      <c r="EL572" s="127"/>
      <c r="EM572" s="128"/>
      <c r="EN572" s="123"/>
      <c r="EO572" s="128"/>
      <c r="EP572" s="13"/>
      <c r="EQ572" s="129"/>
      <c r="ER572" s="123"/>
      <c r="ES572" s="130"/>
      <c r="ET572" s="13"/>
      <c r="EU572" s="123"/>
      <c r="EV572" s="131"/>
    </row>
    <row r="573" spans="35:152">
      <c r="AI573" s="121"/>
      <c r="AJ573" s="13"/>
      <c r="AK573" s="13"/>
      <c r="AL573" s="13"/>
      <c r="AM573" s="13"/>
      <c r="AN573" s="13"/>
      <c r="AO573" s="13"/>
      <c r="AW573" s="121"/>
      <c r="AX573" s="121"/>
      <c r="AY573" s="121"/>
      <c r="AZ573" s="121"/>
      <c r="BA573" s="121"/>
      <c r="BB573" s="121"/>
      <c r="BC573" s="121"/>
      <c r="BD573" s="121"/>
      <c r="BE573" s="121"/>
      <c r="BF573" s="121"/>
      <c r="BG573" s="123"/>
      <c r="BH573" s="127"/>
      <c r="BI573" s="125"/>
      <c r="BJ573" s="126"/>
      <c r="BK573" s="30"/>
      <c r="BL573" s="127"/>
      <c r="BM573" s="128"/>
      <c r="BN573" s="123"/>
      <c r="BO573" s="128"/>
      <c r="BP573" s="13"/>
      <c r="BQ573" s="129"/>
      <c r="BR573" s="123"/>
      <c r="BS573" s="130"/>
      <c r="BT573" s="13"/>
      <c r="BU573" s="123"/>
      <c r="BV573" s="131"/>
      <c r="DI573" s="121"/>
      <c r="DJ573" s="13"/>
      <c r="DK573" s="13"/>
      <c r="DL573" s="13"/>
      <c r="DM573" s="13"/>
      <c r="DN573" s="13"/>
      <c r="DO573" s="13"/>
      <c r="DW573" s="121"/>
      <c r="DX573" s="121"/>
      <c r="DY573" s="121"/>
      <c r="DZ573" s="121"/>
      <c r="EA573" s="121"/>
      <c r="EB573" s="121"/>
      <c r="EC573" s="121"/>
      <c r="ED573" s="121"/>
      <c r="EE573" s="121"/>
      <c r="EF573" s="121"/>
      <c r="EG573" s="123"/>
      <c r="EH573" s="127"/>
      <c r="EI573" s="125"/>
      <c r="EJ573" s="126"/>
      <c r="EK573" s="30"/>
      <c r="EL573" s="127"/>
      <c r="EM573" s="128"/>
      <c r="EN573" s="123"/>
      <c r="EO573" s="128"/>
      <c r="EP573" s="13"/>
      <c r="EQ573" s="129"/>
      <c r="ER573" s="123"/>
      <c r="ES573" s="130"/>
      <c r="ET573" s="13"/>
      <c r="EU573" s="123"/>
      <c r="EV573" s="131"/>
    </row>
    <row r="574" spans="35:152">
      <c r="AI574" s="121"/>
      <c r="AJ574" s="13"/>
      <c r="AK574" s="13"/>
      <c r="AL574" s="13"/>
      <c r="AM574" s="13"/>
      <c r="AN574" s="13"/>
      <c r="AO574" s="13"/>
      <c r="AW574" s="121"/>
      <c r="AX574" s="121"/>
      <c r="AY574" s="121"/>
      <c r="AZ574" s="121"/>
      <c r="BA574" s="121"/>
      <c r="BB574" s="121"/>
      <c r="BC574" s="121"/>
      <c r="BD574" s="121"/>
      <c r="BE574" s="121"/>
      <c r="BF574" s="121"/>
      <c r="BG574" s="123"/>
      <c r="BH574" s="127"/>
      <c r="BI574" s="125"/>
      <c r="BJ574" s="126"/>
      <c r="BK574" s="30"/>
      <c r="BL574" s="127"/>
      <c r="BM574" s="128"/>
      <c r="BN574" s="123"/>
      <c r="BO574" s="128"/>
      <c r="BP574" s="13"/>
      <c r="BQ574" s="129"/>
      <c r="BR574" s="123"/>
      <c r="BS574" s="130"/>
      <c r="BT574" s="13"/>
      <c r="BU574" s="123"/>
      <c r="BV574" s="131"/>
      <c r="DI574" s="121"/>
      <c r="DJ574" s="13"/>
      <c r="DK574" s="13"/>
      <c r="DL574" s="13"/>
      <c r="DM574" s="13"/>
      <c r="DN574" s="13"/>
      <c r="DO574" s="13"/>
      <c r="DW574" s="121"/>
      <c r="DX574" s="121"/>
      <c r="DY574" s="121"/>
      <c r="DZ574" s="121"/>
      <c r="EA574" s="121"/>
      <c r="EB574" s="121"/>
      <c r="EC574" s="121"/>
      <c r="ED574" s="121"/>
      <c r="EE574" s="121"/>
      <c r="EF574" s="121"/>
      <c r="EG574" s="123"/>
      <c r="EH574" s="127"/>
      <c r="EI574" s="125"/>
      <c r="EJ574" s="126"/>
      <c r="EK574" s="30"/>
      <c r="EL574" s="127"/>
      <c r="EM574" s="128"/>
      <c r="EN574" s="123"/>
      <c r="EO574" s="128"/>
      <c r="EP574" s="13"/>
      <c r="EQ574" s="129"/>
      <c r="ER574" s="123"/>
      <c r="ES574" s="130"/>
      <c r="ET574" s="13"/>
      <c r="EU574" s="123"/>
      <c r="EV574" s="131"/>
    </row>
    <row r="575" spans="35:152">
      <c r="AI575" s="121"/>
      <c r="AJ575" s="13"/>
      <c r="AK575" s="13"/>
      <c r="AL575" s="13"/>
      <c r="AM575" s="13"/>
      <c r="AN575" s="13"/>
      <c r="AO575" s="13"/>
      <c r="AW575" s="121"/>
      <c r="AX575" s="121"/>
      <c r="AY575" s="121"/>
      <c r="AZ575" s="121"/>
      <c r="BA575" s="121"/>
      <c r="BB575" s="121"/>
      <c r="BC575" s="121"/>
      <c r="BD575" s="121"/>
      <c r="BE575" s="121"/>
      <c r="BF575" s="121"/>
      <c r="BG575" s="123"/>
      <c r="BH575" s="127"/>
      <c r="BI575" s="125"/>
      <c r="BJ575" s="126"/>
      <c r="BK575" s="30"/>
      <c r="BL575" s="127"/>
      <c r="BM575" s="128"/>
      <c r="BN575" s="123"/>
      <c r="BO575" s="128"/>
      <c r="BP575" s="13"/>
      <c r="BQ575" s="129"/>
      <c r="BR575" s="123"/>
      <c r="BS575" s="130"/>
      <c r="BT575" s="13"/>
      <c r="BU575" s="123"/>
      <c r="BV575" s="131"/>
      <c r="DI575" s="121"/>
      <c r="DJ575" s="13"/>
      <c r="DK575" s="13"/>
      <c r="DL575" s="13"/>
      <c r="DM575" s="13"/>
      <c r="DN575" s="13"/>
      <c r="DO575" s="13"/>
      <c r="DW575" s="121"/>
      <c r="DX575" s="121"/>
      <c r="DY575" s="121"/>
      <c r="DZ575" s="121"/>
      <c r="EA575" s="121"/>
      <c r="EB575" s="121"/>
      <c r="EC575" s="121"/>
      <c r="ED575" s="121"/>
      <c r="EE575" s="121"/>
      <c r="EF575" s="121"/>
      <c r="EG575" s="123"/>
      <c r="EH575" s="127"/>
      <c r="EI575" s="125"/>
      <c r="EJ575" s="126"/>
      <c r="EK575" s="30"/>
      <c r="EL575" s="127"/>
      <c r="EM575" s="128"/>
      <c r="EN575" s="123"/>
      <c r="EO575" s="128"/>
      <c r="EP575" s="13"/>
      <c r="EQ575" s="129"/>
      <c r="ER575" s="123"/>
      <c r="ES575" s="130"/>
      <c r="ET575" s="13"/>
      <c r="EU575" s="123"/>
      <c r="EV575" s="131"/>
    </row>
    <row r="576" spans="35:152">
      <c r="AI576" s="121"/>
      <c r="AJ576" s="13"/>
      <c r="AK576" s="13"/>
      <c r="AL576" s="13"/>
      <c r="AM576" s="13"/>
      <c r="AN576" s="13"/>
      <c r="AO576" s="13"/>
      <c r="AW576" s="121"/>
      <c r="AX576" s="121"/>
      <c r="AY576" s="121"/>
      <c r="AZ576" s="121"/>
      <c r="BA576" s="121"/>
      <c r="BB576" s="121"/>
      <c r="BC576" s="121"/>
      <c r="BD576" s="121"/>
      <c r="BE576" s="121"/>
      <c r="BF576" s="121"/>
      <c r="BG576" s="123"/>
      <c r="BH576" s="127"/>
      <c r="BI576" s="125"/>
      <c r="BJ576" s="126"/>
      <c r="BK576" s="30"/>
      <c r="BL576" s="127"/>
      <c r="BM576" s="128"/>
      <c r="BN576" s="123"/>
      <c r="BO576" s="128"/>
      <c r="BP576" s="13"/>
      <c r="BQ576" s="129"/>
      <c r="BR576" s="123"/>
      <c r="BS576" s="130"/>
      <c r="BT576" s="13"/>
      <c r="BU576" s="123"/>
      <c r="BV576" s="131"/>
      <c r="DI576" s="121"/>
      <c r="DJ576" s="13"/>
      <c r="DK576" s="13"/>
      <c r="DL576" s="13"/>
      <c r="DM576" s="13"/>
      <c r="DN576" s="13"/>
      <c r="DO576" s="13"/>
      <c r="DW576" s="121"/>
      <c r="DX576" s="121"/>
      <c r="DY576" s="121"/>
      <c r="DZ576" s="121"/>
      <c r="EA576" s="121"/>
      <c r="EB576" s="121"/>
      <c r="EC576" s="121"/>
      <c r="ED576" s="121"/>
      <c r="EE576" s="121"/>
      <c r="EF576" s="121"/>
      <c r="EG576" s="123"/>
      <c r="EH576" s="127"/>
      <c r="EI576" s="125"/>
      <c r="EJ576" s="126"/>
      <c r="EK576" s="30"/>
      <c r="EL576" s="127"/>
      <c r="EM576" s="128"/>
      <c r="EN576" s="123"/>
      <c r="EO576" s="128"/>
      <c r="EP576" s="13"/>
      <c r="EQ576" s="129"/>
      <c r="ER576" s="123"/>
      <c r="ES576" s="130"/>
      <c r="ET576" s="13"/>
      <c r="EU576" s="123"/>
      <c r="EV576" s="131"/>
    </row>
    <row r="577" spans="35:152">
      <c r="AI577" s="121"/>
      <c r="AJ577" s="13"/>
      <c r="AK577" s="13"/>
      <c r="AL577" s="13"/>
      <c r="AM577" s="13"/>
      <c r="AN577" s="13"/>
      <c r="AO577" s="13"/>
      <c r="AW577" s="121"/>
      <c r="AX577" s="121"/>
      <c r="AY577" s="121"/>
      <c r="AZ577" s="121"/>
      <c r="BA577" s="121"/>
      <c r="BB577" s="121"/>
      <c r="BC577" s="121"/>
      <c r="BD577" s="121"/>
      <c r="BE577" s="121"/>
      <c r="BF577" s="121"/>
      <c r="BG577" s="123"/>
      <c r="BH577" s="127"/>
      <c r="BI577" s="125"/>
      <c r="BJ577" s="126"/>
      <c r="BK577" s="30"/>
      <c r="BL577" s="127"/>
      <c r="BM577" s="128"/>
      <c r="BN577" s="123"/>
      <c r="BO577" s="128"/>
      <c r="BP577" s="13"/>
      <c r="BQ577" s="129"/>
      <c r="BR577" s="123"/>
      <c r="BS577" s="130"/>
      <c r="BT577" s="13"/>
      <c r="BU577" s="123"/>
      <c r="BV577" s="131"/>
      <c r="DI577" s="121"/>
      <c r="DJ577" s="13"/>
      <c r="DK577" s="13"/>
      <c r="DL577" s="13"/>
      <c r="DM577" s="13"/>
      <c r="DN577" s="13"/>
      <c r="DO577" s="13"/>
      <c r="DW577" s="121"/>
      <c r="DX577" s="121"/>
      <c r="DY577" s="121"/>
      <c r="DZ577" s="121"/>
      <c r="EA577" s="121"/>
      <c r="EB577" s="121"/>
      <c r="EC577" s="121"/>
      <c r="ED577" s="121"/>
      <c r="EE577" s="121"/>
      <c r="EF577" s="121"/>
      <c r="EG577" s="123"/>
      <c r="EH577" s="127"/>
      <c r="EI577" s="125"/>
      <c r="EJ577" s="126"/>
      <c r="EK577" s="30"/>
      <c r="EL577" s="127"/>
      <c r="EM577" s="128"/>
      <c r="EN577" s="123"/>
      <c r="EO577" s="128"/>
      <c r="EP577" s="13"/>
      <c r="EQ577" s="129"/>
      <c r="ER577" s="123"/>
      <c r="ES577" s="130"/>
      <c r="ET577" s="13"/>
      <c r="EU577" s="123"/>
      <c r="EV577" s="131"/>
    </row>
    <row r="578" spans="35:152">
      <c r="AI578" s="121"/>
      <c r="AJ578" s="13"/>
      <c r="AK578" s="13"/>
      <c r="AL578" s="13"/>
      <c r="AM578" s="13"/>
      <c r="AN578" s="13"/>
      <c r="AO578" s="13"/>
      <c r="AW578" s="121"/>
      <c r="AX578" s="121"/>
      <c r="AY578" s="121"/>
      <c r="AZ578" s="121"/>
      <c r="BA578" s="121"/>
      <c r="BB578" s="121"/>
      <c r="BC578" s="121"/>
      <c r="BD578" s="121"/>
      <c r="BE578" s="121"/>
      <c r="BF578" s="121"/>
      <c r="BG578" s="123"/>
      <c r="BH578" s="127"/>
      <c r="BI578" s="125"/>
      <c r="BJ578" s="126"/>
      <c r="BK578" s="30"/>
      <c r="BL578" s="127"/>
      <c r="BM578" s="128"/>
      <c r="BN578" s="123"/>
      <c r="BO578" s="128"/>
      <c r="BP578" s="13"/>
      <c r="BQ578" s="129"/>
      <c r="BR578" s="123"/>
      <c r="BS578" s="130"/>
      <c r="BT578" s="13"/>
      <c r="BU578" s="123"/>
      <c r="BV578" s="131"/>
      <c r="DI578" s="121"/>
      <c r="DJ578" s="13"/>
      <c r="DK578" s="13"/>
      <c r="DL578" s="13"/>
      <c r="DM578" s="13"/>
      <c r="DN578" s="13"/>
      <c r="DO578" s="13"/>
      <c r="DW578" s="121"/>
      <c r="DX578" s="121"/>
      <c r="DY578" s="121"/>
      <c r="DZ578" s="121"/>
      <c r="EA578" s="121"/>
      <c r="EB578" s="121"/>
      <c r="EC578" s="121"/>
      <c r="ED578" s="121"/>
      <c r="EE578" s="121"/>
      <c r="EF578" s="121"/>
      <c r="EG578" s="123"/>
      <c r="EH578" s="127"/>
      <c r="EI578" s="125"/>
      <c r="EJ578" s="126"/>
      <c r="EK578" s="30"/>
      <c r="EL578" s="127"/>
      <c r="EM578" s="128"/>
      <c r="EN578" s="123"/>
      <c r="EO578" s="128"/>
      <c r="EP578" s="13"/>
      <c r="EQ578" s="129"/>
      <c r="ER578" s="123"/>
      <c r="ES578" s="130"/>
      <c r="ET578" s="13"/>
      <c r="EU578" s="123"/>
      <c r="EV578" s="131"/>
    </row>
    <row r="579" spans="35:152">
      <c r="AI579" s="121"/>
      <c r="AJ579" s="13"/>
      <c r="AK579" s="13"/>
      <c r="AL579" s="13"/>
      <c r="AM579" s="13"/>
      <c r="AN579" s="13"/>
      <c r="AO579" s="13"/>
      <c r="AW579" s="121"/>
      <c r="AX579" s="121"/>
      <c r="AY579" s="121"/>
      <c r="AZ579" s="121"/>
      <c r="BA579" s="121"/>
      <c r="BB579" s="121"/>
      <c r="BC579" s="121"/>
      <c r="BD579" s="121"/>
      <c r="BE579" s="121"/>
      <c r="BF579" s="121"/>
      <c r="BG579" s="123"/>
      <c r="BH579" s="127"/>
      <c r="BI579" s="125"/>
      <c r="BJ579" s="126"/>
      <c r="BK579" s="30"/>
      <c r="BL579" s="127"/>
      <c r="BM579" s="128"/>
      <c r="BN579" s="123"/>
      <c r="BO579" s="128"/>
      <c r="BP579" s="13"/>
      <c r="BQ579" s="129"/>
      <c r="BR579" s="123"/>
      <c r="BS579" s="130"/>
      <c r="BT579" s="13"/>
      <c r="BU579" s="123"/>
      <c r="BV579" s="131"/>
      <c r="DI579" s="121"/>
      <c r="DJ579" s="13"/>
      <c r="DK579" s="13"/>
      <c r="DL579" s="13"/>
      <c r="DM579" s="13"/>
      <c r="DN579" s="13"/>
      <c r="DO579" s="13"/>
      <c r="DW579" s="121"/>
      <c r="DX579" s="121"/>
      <c r="DY579" s="121"/>
      <c r="DZ579" s="121"/>
      <c r="EA579" s="121"/>
      <c r="EB579" s="121"/>
      <c r="EC579" s="121"/>
      <c r="ED579" s="121"/>
      <c r="EE579" s="121"/>
      <c r="EF579" s="121"/>
      <c r="EG579" s="123"/>
      <c r="EH579" s="127"/>
      <c r="EI579" s="125"/>
      <c r="EJ579" s="126"/>
      <c r="EK579" s="30"/>
      <c r="EL579" s="127"/>
      <c r="EM579" s="128"/>
      <c r="EN579" s="123"/>
      <c r="EO579" s="128"/>
      <c r="EP579" s="13"/>
      <c r="EQ579" s="129"/>
      <c r="ER579" s="123"/>
      <c r="ES579" s="130"/>
      <c r="ET579" s="13"/>
      <c r="EU579" s="123"/>
      <c r="EV579" s="131"/>
    </row>
    <row r="580" spans="35:152">
      <c r="AI580" s="121"/>
      <c r="AJ580" s="13"/>
      <c r="AK580" s="13"/>
      <c r="AL580" s="13"/>
      <c r="AM580" s="13"/>
      <c r="AN580" s="13"/>
      <c r="AO580" s="13"/>
      <c r="AW580" s="121"/>
      <c r="AX580" s="121"/>
      <c r="AY580" s="121"/>
      <c r="AZ580" s="121"/>
      <c r="BA580" s="121"/>
      <c r="BB580" s="121"/>
      <c r="BC580" s="121"/>
      <c r="BD580" s="121"/>
      <c r="BE580" s="121"/>
      <c r="BF580" s="121"/>
      <c r="BG580" s="123"/>
      <c r="BH580" s="127"/>
      <c r="BI580" s="125"/>
      <c r="BJ580" s="126"/>
      <c r="BK580" s="30"/>
      <c r="BL580" s="127"/>
      <c r="BM580" s="128"/>
      <c r="BN580" s="123"/>
      <c r="BO580" s="128"/>
      <c r="BP580" s="13"/>
      <c r="BQ580" s="129"/>
      <c r="BR580" s="123"/>
      <c r="BS580" s="130"/>
      <c r="BT580" s="13"/>
      <c r="BU580" s="123"/>
      <c r="BV580" s="131"/>
      <c r="DI580" s="121"/>
      <c r="DJ580" s="13"/>
      <c r="DK580" s="13"/>
      <c r="DL580" s="13"/>
      <c r="DM580" s="13"/>
      <c r="DN580" s="13"/>
      <c r="DO580" s="13"/>
      <c r="DW580" s="121"/>
      <c r="DX580" s="121"/>
      <c r="DY580" s="121"/>
      <c r="DZ580" s="121"/>
      <c r="EA580" s="121"/>
      <c r="EB580" s="121"/>
      <c r="EC580" s="121"/>
      <c r="ED580" s="121"/>
      <c r="EE580" s="121"/>
      <c r="EF580" s="121"/>
      <c r="EG580" s="123"/>
      <c r="EH580" s="127"/>
      <c r="EI580" s="125"/>
      <c r="EJ580" s="126"/>
      <c r="EK580" s="30"/>
      <c r="EL580" s="127"/>
      <c r="EM580" s="128"/>
      <c r="EN580" s="123"/>
      <c r="EO580" s="128"/>
      <c r="EP580" s="13"/>
      <c r="EQ580" s="129"/>
      <c r="ER580" s="123"/>
      <c r="ES580" s="130"/>
      <c r="ET580" s="13"/>
      <c r="EU580" s="123"/>
      <c r="EV580" s="131"/>
    </row>
    <row r="581" spans="35:152">
      <c r="AI581" s="121"/>
      <c r="AJ581" s="13"/>
      <c r="AK581" s="13"/>
      <c r="AL581" s="13"/>
      <c r="AM581" s="13"/>
      <c r="AN581" s="13"/>
      <c r="AO581" s="13"/>
      <c r="AW581" s="121"/>
      <c r="AX581" s="121"/>
      <c r="AY581" s="121"/>
      <c r="AZ581" s="121"/>
      <c r="BA581" s="121"/>
      <c r="BB581" s="121"/>
      <c r="BC581" s="121"/>
      <c r="BD581" s="121"/>
      <c r="BE581" s="121"/>
      <c r="BF581" s="121"/>
      <c r="BG581" s="123"/>
      <c r="BH581" s="127"/>
      <c r="BI581" s="125"/>
      <c r="BJ581" s="126"/>
      <c r="BK581" s="30"/>
      <c r="BL581" s="127"/>
      <c r="BM581" s="128"/>
      <c r="BN581" s="123"/>
      <c r="BO581" s="128"/>
      <c r="BP581" s="13"/>
      <c r="BQ581" s="129"/>
      <c r="BR581" s="123"/>
      <c r="BS581" s="130"/>
      <c r="BT581" s="13"/>
      <c r="BU581" s="123"/>
      <c r="BV581" s="131"/>
      <c r="DI581" s="121"/>
      <c r="DJ581" s="13"/>
      <c r="DK581" s="13"/>
      <c r="DL581" s="13"/>
      <c r="DM581" s="13"/>
      <c r="DN581" s="13"/>
      <c r="DO581" s="13"/>
      <c r="DW581" s="121"/>
      <c r="DX581" s="121"/>
      <c r="DY581" s="121"/>
      <c r="DZ581" s="121"/>
      <c r="EA581" s="121"/>
      <c r="EB581" s="121"/>
      <c r="EC581" s="121"/>
      <c r="ED581" s="121"/>
      <c r="EE581" s="121"/>
      <c r="EF581" s="121"/>
      <c r="EG581" s="123"/>
      <c r="EH581" s="127"/>
      <c r="EI581" s="125"/>
      <c r="EJ581" s="126"/>
      <c r="EK581" s="30"/>
      <c r="EL581" s="127"/>
      <c r="EM581" s="128"/>
      <c r="EN581" s="123"/>
      <c r="EO581" s="128"/>
      <c r="EP581" s="13"/>
      <c r="EQ581" s="129"/>
      <c r="ER581" s="123"/>
      <c r="ES581" s="130"/>
      <c r="ET581" s="13"/>
      <c r="EU581" s="123"/>
      <c r="EV581" s="131"/>
    </row>
    <row r="582" spans="35:152">
      <c r="AI582" s="121"/>
      <c r="AJ582" s="13"/>
      <c r="AK582" s="13"/>
      <c r="AL582" s="13"/>
      <c r="AM582" s="13"/>
      <c r="AN582" s="13"/>
      <c r="AO582" s="13"/>
      <c r="AW582" s="121"/>
      <c r="AX582" s="121"/>
      <c r="AY582" s="121"/>
      <c r="AZ582" s="121"/>
      <c r="BA582" s="121"/>
      <c r="BB582" s="121"/>
      <c r="BC582" s="121"/>
      <c r="BD582" s="121"/>
      <c r="BE582" s="121"/>
      <c r="BF582" s="121"/>
      <c r="BG582" s="123"/>
      <c r="BH582" s="127"/>
      <c r="BI582" s="125"/>
      <c r="BJ582" s="126"/>
      <c r="BK582" s="30"/>
      <c r="BL582" s="127"/>
      <c r="BM582" s="128"/>
      <c r="BN582" s="123"/>
      <c r="BO582" s="128"/>
      <c r="BP582" s="13"/>
      <c r="BQ582" s="129"/>
      <c r="BR582" s="123"/>
      <c r="BS582" s="130"/>
      <c r="BT582" s="13"/>
      <c r="BU582" s="123"/>
      <c r="BV582" s="131"/>
      <c r="DI582" s="121"/>
      <c r="DJ582" s="13"/>
      <c r="DK582" s="13"/>
      <c r="DL582" s="13"/>
      <c r="DM582" s="13"/>
      <c r="DN582" s="13"/>
      <c r="DO582" s="13"/>
      <c r="DW582" s="121"/>
      <c r="DX582" s="121"/>
      <c r="DY582" s="121"/>
      <c r="DZ582" s="121"/>
      <c r="EA582" s="121"/>
      <c r="EB582" s="121"/>
      <c r="EC582" s="121"/>
      <c r="ED582" s="121"/>
      <c r="EE582" s="121"/>
      <c r="EF582" s="121"/>
      <c r="EG582" s="123"/>
      <c r="EH582" s="127"/>
      <c r="EI582" s="125"/>
      <c r="EJ582" s="126"/>
      <c r="EK582" s="30"/>
      <c r="EL582" s="127"/>
      <c r="EM582" s="128"/>
      <c r="EN582" s="123"/>
      <c r="EO582" s="128"/>
      <c r="EP582" s="13"/>
      <c r="EQ582" s="129"/>
      <c r="ER582" s="123"/>
      <c r="ES582" s="130"/>
      <c r="ET582" s="13"/>
      <c r="EU582" s="123"/>
      <c r="EV582" s="131"/>
    </row>
    <row r="583" spans="35:152">
      <c r="AI583" s="121"/>
      <c r="AJ583" s="13"/>
      <c r="AK583" s="13"/>
      <c r="AL583" s="13"/>
      <c r="AM583" s="13"/>
      <c r="AN583" s="13"/>
      <c r="AO583" s="13"/>
      <c r="AW583" s="121"/>
      <c r="AX583" s="121"/>
      <c r="AY583" s="121"/>
      <c r="AZ583" s="121"/>
      <c r="BA583" s="121"/>
      <c r="BB583" s="121"/>
      <c r="BC583" s="121"/>
      <c r="BD583" s="121"/>
      <c r="BE583" s="121"/>
      <c r="BF583" s="121"/>
      <c r="BG583" s="123"/>
      <c r="BH583" s="127"/>
      <c r="BI583" s="125"/>
      <c r="BJ583" s="126"/>
      <c r="BK583" s="30"/>
      <c r="BL583" s="127"/>
      <c r="BM583" s="128"/>
      <c r="BN583" s="123"/>
      <c r="BO583" s="128"/>
      <c r="BP583" s="13"/>
      <c r="BQ583" s="129"/>
      <c r="BR583" s="123"/>
      <c r="BS583" s="130"/>
      <c r="BT583" s="13"/>
      <c r="BU583" s="123"/>
      <c r="BV583" s="131"/>
      <c r="DI583" s="121"/>
      <c r="DJ583" s="13"/>
      <c r="DK583" s="13"/>
      <c r="DL583" s="13"/>
      <c r="DM583" s="13"/>
      <c r="DN583" s="13"/>
      <c r="DO583" s="13"/>
      <c r="DW583" s="121"/>
      <c r="DX583" s="121"/>
      <c r="DY583" s="121"/>
      <c r="DZ583" s="121"/>
      <c r="EA583" s="121"/>
      <c r="EB583" s="121"/>
      <c r="EC583" s="121"/>
      <c r="ED583" s="121"/>
      <c r="EE583" s="121"/>
      <c r="EF583" s="121"/>
      <c r="EG583" s="123"/>
      <c r="EH583" s="127"/>
      <c r="EI583" s="125"/>
      <c r="EJ583" s="126"/>
      <c r="EK583" s="30"/>
      <c r="EL583" s="127"/>
      <c r="EM583" s="128"/>
      <c r="EN583" s="123"/>
      <c r="EO583" s="128"/>
      <c r="EP583" s="13"/>
      <c r="EQ583" s="129"/>
      <c r="ER583" s="123"/>
      <c r="ES583" s="130"/>
      <c r="ET583" s="13"/>
      <c r="EU583" s="123"/>
      <c r="EV583" s="131"/>
    </row>
    <row r="584" spans="35:152">
      <c r="AI584" s="121"/>
      <c r="AJ584" s="13"/>
      <c r="AK584" s="13"/>
      <c r="AL584" s="13"/>
      <c r="AM584" s="13"/>
      <c r="AN584" s="13"/>
      <c r="AO584" s="13"/>
      <c r="AW584" s="121"/>
      <c r="AX584" s="121"/>
      <c r="AY584" s="121"/>
      <c r="AZ584" s="121"/>
      <c r="BA584" s="121"/>
      <c r="BB584" s="121"/>
      <c r="BC584" s="121"/>
      <c r="BD584" s="121"/>
      <c r="BE584" s="121"/>
      <c r="BF584" s="121"/>
      <c r="BG584" s="123"/>
      <c r="BH584" s="127"/>
      <c r="BI584" s="125"/>
      <c r="BJ584" s="126"/>
      <c r="BK584" s="30"/>
      <c r="BL584" s="127"/>
      <c r="BM584" s="128"/>
      <c r="BN584" s="123"/>
      <c r="BO584" s="128"/>
      <c r="BP584" s="13"/>
      <c r="BQ584" s="129"/>
      <c r="BR584" s="123"/>
      <c r="BS584" s="130"/>
      <c r="BT584" s="13"/>
      <c r="BU584" s="123"/>
      <c r="BV584" s="131"/>
      <c r="DI584" s="121"/>
      <c r="DJ584" s="13"/>
      <c r="DK584" s="13"/>
      <c r="DL584" s="13"/>
      <c r="DM584" s="13"/>
      <c r="DN584" s="13"/>
      <c r="DO584" s="13"/>
      <c r="DW584" s="121"/>
      <c r="DX584" s="121"/>
      <c r="DY584" s="121"/>
      <c r="DZ584" s="121"/>
      <c r="EA584" s="121"/>
      <c r="EB584" s="121"/>
      <c r="EC584" s="121"/>
      <c r="ED584" s="121"/>
      <c r="EE584" s="121"/>
      <c r="EF584" s="121"/>
      <c r="EG584" s="123"/>
      <c r="EH584" s="127"/>
      <c r="EI584" s="125"/>
      <c r="EJ584" s="126"/>
      <c r="EK584" s="30"/>
      <c r="EL584" s="127"/>
      <c r="EM584" s="128"/>
      <c r="EN584" s="123"/>
      <c r="EO584" s="128"/>
      <c r="EP584" s="13"/>
      <c r="EQ584" s="129"/>
      <c r="ER584" s="123"/>
      <c r="ES584" s="130"/>
      <c r="ET584" s="13"/>
      <c r="EU584" s="123"/>
      <c r="EV584" s="131"/>
    </row>
    <row r="585" spans="35:152">
      <c r="AI585" s="121"/>
      <c r="AJ585" s="13"/>
      <c r="AK585" s="13"/>
      <c r="AL585" s="13"/>
      <c r="AM585" s="13"/>
      <c r="AN585" s="13"/>
      <c r="AO585" s="13"/>
      <c r="AW585" s="121"/>
      <c r="AX585" s="121"/>
      <c r="AY585" s="121"/>
      <c r="AZ585" s="121"/>
      <c r="BA585" s="121"/>
      <c r="BB585" s="121"/>
      <c r="BC585" s="121"/>
      <c r="BD585" s="121"/>
      <c r="BE585" s="121"/>
      <c r="BF585" s="121"/>
      <c r="BG585" s="123"/>
      <c r="BH585" s="127"/>
      <c r="BI585" s="125"/>
      <c r="BJ585" s="126"/>
      <c r="BK585" s="30"/>
      <c r="BL585" s="127"/>
      <c r="BM585" s="128"/>
      <c r="BN585" s="123"/>
      <c r="BO585" s="128"/>
      <c r="BP585" s="13"/>
      <c r="BQ585" s="129"/>
      <c r="BR585" s="123"/>
      <c r="BS585" s="130"/>
      <c r="BT585" s="13"/>
      <c r="BU585" s="123"/>
      <c r="BV585" s="131"/>
      <c r="DI585" s="121"/>
      <c r="DJ585" s="13"/>
      <c r="DK585" s="13"/>
      <c r="DL585" s="13"/>
      <c r="DM585" s="13"/>
      <c r="DN585" s="13"/>
      <c r="DO585" s="13"/>
      <c r="DW585" s="121"/>
      <c r="DX585" s="121"/>
      <c r="DY585" s="121"/>
      <c r="DZ585" s="121"/>
      <c r="EA585" s="121"/>
      <c r="EB585" s="121"/>
      <c r="EC585" s="121"/>
      <c r="ED585" s="121"/>
      <c r="EE585" s="121"/>
      <c r="EF585" s="121"/>
      <c r="EG585" s="123"/>
      <c r="EH585" s="127"/>
      <c r="EI585" s="125"/>
      <c r="EJ585" s="126"/>
      <c r="EK585" s="30"/>
      <c r="EL585" s="127"/>
      <c r="EM585" s="128"/>
      <c r="EN585" s="123"/>
      <c r="EO585" s="128"/>
      <c r="EP585" s="13"/>
      <c r="EQ585" s="129"/>
      <c r="ER585" s="123"/>
      <c r="ES585" s="130"/>
      <c r="ET585" s="13"/>
      <c r="EU585" s="123"/>
      <c r="EV585" s="131"/>
    </row>
    <row r="586" spans="35:152">
      <c r="AI586" s="121"/>
      <c r="AJ586" s="13"/>
      <c r="AK586" s="13"/>
      <c r="AL586" s="13"/>
      <c r="AM586" s="13"/>
      <c r="AN586" s="13"/>
      <c r="AO586" s="13"/>
      <c r="AW586" s="121"/>
      <c r="AX586" s="121"/>
      <c r="AY586" s="121"/>
      <c r="AZ586" s="121"/>
      <c r="BA586" s="121"/>
      <c r="BB586" s="121"/>
      <c r="BC586" s="121"/>
      <c r="BD586" s="121"/>
      <c r="BE586" s="121"/>
      <c r="BF586" s="121"/>
      <c r="BG586" s="123"/>
      <c r="BH586" s="127"/>
      <c r="BI586" s="125"/>
      <c r="BJ586" s="126"/>
      <c r="BK586" s="30"/>
      <c r="BL586" s="127"/>
      <c r="BM586" s="128"/>
      <c r="BN586" s="123"/>
      <c r="BO586" s="128"/>
      <c r="BP586" s="13"/>
      <c r="BQ586" s="129"/>
      <c r="BR586" s="123"/>
      <c r="BS586" s="130"/>
      <c r="BT586" s="13"/>
      <c r="BU586" s="123"/>
      <c r="BV586" s="131"/>
      <c r="DI586" s="121"/>
      <c r="DJ586" s="13"/>
      <c r="DK586" s="13"/>
      <c r="DL586" s="13"/>
      <c r="DM586" s="13"/>
      <c r="DN586" s="13"/>
      <c r="DO586" s="13"/>
      <c r="DW586" s="121"/>
      <c r="DX586" s="121"/>
      <c r="DY586" s="121"/>
      <c r="DZ586" s="121"/>
      <c r="EA586" s="121"/>
      <c r="EB586" s="121"/>
      <c r="EC586" s="121"/>
      <c r="ED586" s="121"/>
      <c r="EE586" s="121"/>
      <c r="EF586" s="121"/>
      <c r="EG586" s="123"/>
      <c r="EH586" s="127"/>
      <c r="EI586" s="125"/>
      <c r="EJ586" s="126"/>
      <c r="EK586" s="30"/>
      <c r="EL586" s="127"/>
      <c r="EM586" s="128"/>
      <c r="EN586" s="123"/>
      <c r="EO586" s="128"/>
      <c r="EP586" s="13"/>
      <c r="EQ586" s="129"/>
      <c r="ER586" s="123"/>
      <c r="ES586" s="130"/>
      <c r="ET586" s="13"/>
      <c r="EU586" s="123"/>
      <c r="EV586" s="131"/>
    </row>
    <row r="587" spans="35:152">
      <c r="AI587" s="121"/>
      <c r="AJ587" s="13"/>
      <c r="AK587" s="13"/>
      <c r="AL587" s="13"/>
      <c r="AM587" s="13"/>
      <c r="AN587" s="13"/>
      <c r="AO587" s="13"/>
      <c r="AW587" s="121"/>
      <c r="AX587" s="121"/>
      <c r="AY587" s="121"/>
      <c r="AZ587" s="121"/>
      <c r="BA587" s="121"/>
      <c r="BB587" s="121"/>
      <c r="BC587" s="121"/>
      <c r="BD587" s="121"/>
      <c r="BE587" s="121"/>
      <c r="BF587" s="121"/>
      <c r="BG587" s="123"/>
      <c r="BH587" s="127"/>
      <c r="BI587" s="125"/>
      <c r="BJ587" s="126"/>
      <c r="BK587" s="30"/>
      <c r="BL587" s="127"/>
      <c r="BM587" s="128"/>
      <c r="BN587" s="123"/>
      <c r="BO587" s="128"/>
      <c r="BP587" s="13"/>
      <c r="BQ587" s="129"/>
      <c r="BR587" s="123"/>
      <c r="BS587" s="130"/>
      <c r="BT587" s="13"/>
      <c r="BU587" s="123"/>
      <c r="BV587" s="131"/>
      <c r="DI587" s="121"/>
      <c r="DJ587" s="13"/>
      <c r="DK587" s="13"/>
      <c r="DL587" s="13"/>
      <c r="DM587" s="13"/>
      <c r="DN587" s="13"/>
      <c r="DO587" s="13"/>
      <c r="DW587" s="121"/>
      <c r="DX587" s="121"/>
      <c r="DY587" s="121"/>
      <c r="DZ587" s="121"/>
      <c r="EA587" s="121"/>
      <c r="EB587" s="121"/>
      <c r="EC587" s="121"/>
      <c r="ED587" s="121"/>
      <c r="EE587" s="121"/>
      <c r="EF587" s="121"/>
      <c r="EG587" s="123"/>
      <c r="EH587" s="127"/>
      <c r="EI587" s="125"/>
      <c r="EJ587" s="126"/>
      <c r="EK587" s="30"/>
      <c r="EL587" s="127"/>
      <c r="EM587" s="128"/>
      <c r="EN587" s="123"/>
      <c r="EO587" s="128"/>
      <c r="EP587" s="13"/>
      <c r="EQ587" s="129"/>
      <c r="ER587" s="123"/>
      <c r="ES587" s="130"/>
      <c r="ET587" s="13"/>
      <c r="EU587" s="123"/>
      <c r="EV587" s="131"/>
    </row>
    <row r="588" spans="35:152">
      <c r="AI588" s="121"/>
      <c r="AJ588" s="13"/>
      <c r="AK588" s="13"/>
      <c r="AL588" s="13"/>
      <c r="AM588" s="13"/>
      <c r="AN588" s="13"/>
      <c r="AO588" s="13"/>
      <c r="AW588" s="121"/>
      <c r="AX588" s="121"/>
      <c r="AY588" s="121"/>
      <c r="AZ588" s="121"/>
      <c r="BA588" s="121"/>
      <c r="BB588" s="121"/>
      <c r="BC588" s="121"/>
      <c r="BD588" s="121"/>
      <c r="BE588" s="121"/>
      <c r="BF588" s="121"/>
      <c r="BG588" s="123"/>
      <c r="BH588" s="127"/>
      <c r="BI588" s="125"/>
      <c r="BJ588" s="126"/>
      <c r="BK588" s="30"/>
      <c r="BL588" s="127"/>
      <c r="BM588" s="128"/>
      <c r="BN588" s="123"/>
      <c r="BO588" s="128"/>
      <c r="BP588" s="13"/>
      <c r="BQ588" s="129"/>
      <c r="BR588" s="123"/>
      <c r="BS588" s="130"/>
      <c r="BT588" s="13"/>
      <c r="BU588" s="123"/>
      <c r="BV588" s="131"/>
      <c r="DI588" s="121"/>
      <c r="DJ588" s="13"/>
      <c r="DK588" s="13"/>
      <c r="DL588" s="13"/>
      <c r="DM588" s="13"/>
      <c r="DN588" s="13"/>
      <c r="DO588" s="13"/>
      <c r="DW588" s="121"/>
      <c r="DX588" s="121"/>
      <c r="DY588" s="121"/>
      <c r="DZ588" s="121"/>
      <c r="EA588" s="121"/>
      <c r="EB588" s="121"/>
      <c r="EC588" s="121"/>
      <c r="ED588" s="121"/>
      <c r="EE588" s="121"/>
      <c r="EF588" s="121"/>
      <c r="EG588" s="123"/>
      <c r="EH588" s="127"/>
      <c r="EI588" s="125"/>
      <c r="EJ588" s="126"/>
      <c r="EK588" s="30"/>
      <c r="EL588" s="127"/>
      <c r="EM588" s="128"/>
      <c r="EN588" s="123"/>
      <c r="EO588" s="128"/>
      <c r="EP588" s="13"/>
      <c r="EQ588" s="129"/>
      <c r="ER588" s="123"/>
      <c r="ES588" s="130"/>
      <c r="ET588" s="13"/>
      <c r="EU588" s="123"/>
      <c r="EV588" s="131"/>
    </row>
    <row r="589" spans="35:152">
      <c r="AI589" s="121"/>
      <c r="AJ589" s="13"/>
      <c r="AK589" s="13"/>
      <c r="AL589" s="13"/>
      <c r="AM589" s="13"/>
      <c r="AN589" s="13"/>
      <c r="AO589" s="13"/>
      <c r="AW589" s="121"/>
      <c r="AX589" s="121"/>
      <c r="AY589" s="121"/>
      <c r="AZ589" s="121"/>
      <c r="BA589" s="121"/>
      <c r="BB589" s="121"/>
      <c r="BC589" s="121"/>
      <c r="BD589" s="121"/>
      <c r="BE589" s="121"/>
      <c r="BF589" s="121"/>
      <c r="BG589" s="123"/>
      <c r="BH589" s="127"/>
      <c r="BI589" s="125"/>
      <c r="BJ589" s="126"/>
      <c r="BK589" s="30"/>
      <c r="BL589" s="127"/>
      <c r="BM589" s="128"/>
      <c r="BN589" s="123"/>
      <c r="BO589" s="128"/>
      <c r="BP589" s="13"/>
      <c r="BQ589" s="129"/>
      <c r="BR589" s="123"/>
      <c r="BS589" s="130"/>
      <c r="BT589" s="13"/>
      <c r="BU589" s="123"/>
      <c r="BV589" s="131"/>
      <c r="DI589" s="121"/>
      <c r="DJ589" s="13"/>
      <c r="DK589" s="13"/>
      <c r="DL589" s="13"/>
      <c r="DM589" s="13"/>
      <c r="DN589" s="13"/>
      <c r="DO589" s="13"/>
      <c r="DW589" s="121"/>
      <c r="DX589" s="121"/>
      <c r="DY589" s="121"/>
      <c r="DZ589" s="121"/>
      <c r="EA589" s="121"/>
      <c r="EB589" s="121"/>
      <c r="EC589" s="121"/>
      <c r="ED589" s="121"/>
      <c r="EE589" s="121"/>
      <c r="EF589" s="121"/>
      <c r="EG589" s="123"/>
      <c r="EH589" s="127"/>
      <c r="EI589" s="125"/>
      <c r="EJ589" s="126"/>
      <c r="EK589" s="30"/>
      <c r="EL589" s="127"/>
      <c r="EM589" s="128"/>
      <c r="EN589" s="123"/>
      <c r="EO589" s="128"/>
      <c r="EP589" s="13"/>
      <c r="EQ589" s="129"/>
      <c r="ER589" s="123"/>
      <c r="ES589" s="130"/>
      <c r="ET589" s="13"/>
      <c r="EU589" s="123"/>
      <c r="EV589" s="131"/>
    </row>
    <row r="590" spans="35:152">
      <c r="AI590" s="121"/>
      <c r="AJ590" s="13"/>
      <c r="AK590" s="13"/>
      <c r="AL590" s="13"/>
      <c r="AM590" s="13"/>
      <c r="AN590" s="13"/>
      <c r="AO590" s="13"/>
      <c r="AW590" s="121"/>
      <c r="AX590" s="121"/>
      <c r="AY590" s="121"/>
      <c r="AZ590" s="121"/>
      <c r="BA590" s="121"/>
      <c r="BB590" s="121"/>
      <c r="BC590" s="121"/>
      <c r="BD590" s="121"/>
      <c r="BE590" s="121"/>
      <c r="BF590" s="121"/>
      <c r="BG590" s="123"/>
      <c r="BH590" s="127"/>
      <c r="BI590" s="125"/>
      <c r="BJ590" s="126"/>
      <c r="BK590" s="30"/>
      <c r="BL590" s="127"/>
      <c r="BM590" s="128"/>
      <c r="BN590" s="123"/>
      <c r="BO590" s="128"/>
      <c r="BP590" s="13"/>
      <c r="BQ590" s="129"/>
      <c r="BR590" s="123"/>
      <c r="BS590" s="130"/>
      <c r="BT590" s="13"/>
      <c r="BU590" s="123"/>
      <c r="BV590" s="131"/>
      <c r="DI590" s="121"/>
      <c r="DJ590" s="13"/>
      <c r="DK590" s="13"/>
      <c r="DL590" s="13"/>
      <c r="DM590" s="13"/>
      <c r="DN590" s="13"/>
      <c r="DO590" s="13"/>
      <c r="DW590" s="121"/>
      <c r="DX590" s="121"/>
      <c r="DY590" s="121"/>
      <c r="DZ590" s="121"/>
      <c r="EA590" s="121"/>
      <c r="EB590" s="121"/>
      <c r="EC590" s="121"/>
      <c r="ED590" s="121"/>
      <c r="EE590" s="121"/>
      <c r="EF590" s="121"/>
      <c r="EG590" s="123"/>
      <c r="EH590" s="127"/>
      <c r="EI590" s="125"/>
      <c r="EJ590" s="126"/>
      <c r="EK590" s="30"/>
      <c r="EL590" s="127"/>
      <c r="EM590" s="128"/>
      <c r="EN590" s="123"/>
      <c r="EO590" s="128"/>
      <c r="EP590" s="13"/>
      <c r="EQ590" s="129"/>
      <c r="ER590" s="123"/>
      <c r="ES590" s="130"/>
      <c r="ET590" s="13"/>
      <c r="EU590" s="123"/>
      <c r="EV590" s="131"/>
    </row>
    <row r="591" spans="35:152">
      <c r="AI591" s="121"/>
      <c r="AJ591" s="13"/>
      <c r="AK591" s="13"/>
      <c r="AL591" s="13"/>
      <c r="AM591" s="13"/>
      <c r="AN591" s="13"/>
      <c r="AO591" s="13"/>
      <c r="AW591" s="121"/>
      <c r="AX591" s="121"/>
      <c r="AY591" s="121"/>
      <c r="AZ591" s="121"/>
      <c r="BA591" s="121"/>
      <c r="BB591" s="121"/>
      <c r="BC591" s="121"/>
      <c r="BD591" s="121"/>
      <c r="BE591" s="121"/>
      <c r="BF591" s="121"/>
      <c r="BG591" s="123"/>
      <c r="BH591" s="127"/>
      <c r="BI591" s="125"/>
      <c r="BJ591" s="126"/>
      <c r="BK591" s="30"/>
      <c r="BL591" s="127"/>
      <c r="BM591" s="128"/>
      <c r="BN591" s="123"/>
      <c r="BO591" s="128"/>
      <c r="BP591" s="13"/>
      <c r="BQ591" s="129"/>
      <c r="BR591" s="123"/>
      <c r="BS591" s="130"/>
      <c r="BT591" s="13"/>
      <c r="BU591" s="123"/>
      <c r="BV591" s="131"/>
      <c r="DI591" s="121"/>
      <c r="DJ591" s="13"/>
      <c r="DK591" s="13"/>
      <c r="DL591" s="13"/>
      <c r="DM591" s="13"/>
      <c r="DN591" s="13"/>
      <c r="DO591" s="13"/>
      <c r="DW591" s="121"/>
      <c r="DX591" s="121"/>
      <c r="DY591" s="121"/>
      <c r="DZ591" s="121"/>
      <c r="EA591" s="121"/>
      <c r="EB591" s="121"/>
      <c r="EC591" s="121"/>
      <c r="ED591" s="121"/>
      <c r="EE591" s="121"/>
      <c r="EF591" s="121"/>
      <c r="EG591" s="123"/>
      <c r="EH591" s="127"/>
      <c r="EI591" s="125"/>
      <c r="EJ591" s="126"/>
      <c r="EK591" s="30"/>
      <c r="EL591" s="127"/>
      <c r="EM591" s="128"/>
      <c r="EN591" s="123"/>
      <c r="EO591" s="128"/>
      <c r="EP591" s="13"/>
      <c r="EQ591" s="129"/>
      <c r="ER591" s="123"/>
      <c r="ES591" s="130"/>
      <c r="ET591" s="13"/>
      <c r="EU591" s="123"/>
      <c r="EV591" s="131"/>
    </row>
    <row r="592" spans="35:152">
      <c r="AI592" s="121"/>
      <c r="AJ592" s="13"/>
      <c r="AK592" s="13"/>
      <c r="AL592" s="13"/>
      <c r="AM592" s="13"/>
      <c r="AN592" s="13"/>
      <c r="AO592" s="13"/>
      <c r="AW592" s="121"/>
      <c r="AX592" s="121"/>
      <c r="AY592" s="121"/>
      <c r="AZ592" s="121"/>
      <c r="BA592" s="121"/>
      <c r="BB592" s="121"/>
      <c r="BC592" s="121"/>
      <c r="BD592" s="121"/>
      <c r="BE592" s="121"/>
      <c r="BF592" s="121"/>
      <c r="BG592" s="123"/>
      <c r="BH592" s="127"/>
      <c r="BI592" s="125"/>
      <c r="BJ592" s="126"/>
      <c r="BK592" s="30"/>
      <c r="BL592" s="127"/>
      <c r="BM592" s="128"/>
      <c r="BN592" s="123"/>
      <c r="BO592" s="128"/>
      <c r="BP592" s="13"/>
      <c r="BQ592" s="129"/>
      <c r="BR592" s="123"/>
      <c r="BS592" s="130"/>
      <c r="BT592" s="13"/>
      <c r="BU592" s="123"/>
      <c r="BV592" s="131"/>
      <c r="DI592" s="121"/>
      <c r="DJ592" s="13"/>
      <c r="DK592" s="13"/>
      <c r="DL592" s="13"/>
      <c r="DM592" s="13"/>
      <c r="DN592" s="13"/>
      <c r="DO592" s="13"/>
      <c r="DW592" s="121"/>
      <c r="DX592" s="121"/>
      <c r="DY592" s="121"/>
      <c r="DZ592" s="121"/>
      <c r="EA592" s="121"/>
      <c r="EB592" s="121"/>
      <c r="EC592" s="121"/>
      <c r="ED592" s="121"/>
      <c r="EE592" s="121"/>
      <c r="EF592" s="121"/>
      <c r="EG592" s="123"/>
      <c r="EH592" s="127"/>
      <c r="EI592" s="125"/>
      <c r="EJ592" s="126"/>
      <c r="EK592" s="30"/>
      <c r="EL592" s="127"/>
      <c r="EM592" s="128"/>
      <c r="EN592" s="123"/>
      <c r="EO592" s="128"/>
      <c r="EP592" s="13"/>
      <c r="EQ592" s="129"/>
      <c r="ER592" s="123"/>
      <c r="ES592" s="130"/>
      <c r="ET592" s="13"/>
      <c r="EU592" s="123"/>
      <c r="EV592" s="131"/>
    </row>
    <row r="593" spans="35:152">
      <c r="AI593" s="121"/>
      <c r="AJ593" s="13"/>
      <c r="AK593" s="13"/>
      <c r="AL593" s="13"/>
      <c r="AM593" s="13"/>
      <c r="AN593" s="13"/>
      <c r="AO593" s="13"/>
      <c r="AW593" s="121"/>
      <c r="AX593" s="121"/>
      <c r="AY593" s="121"/>
      <c r="AZ593" s="121"/>
      <c r="BA593" s="121"/>
      <c r="BB593" s="121"/>
      <c r="BC593" s="121"/>
      <c r="BD593" s="121"/>
      <c r="BE593" s="121"/>
      <c r="BF593" s="121"/>
      <c r="BG593" s="123"/>
      <c r="BH593" s="127"/>
      <c r="BI593" s="125"/>
      <c r="BJ593" s="126"/>
      <c r="BK593" s="30"/>
      <c r="BL593" s="127"/>
      <c r="BM593" s="128"/>
      <c r="BN593" s="123"/>
      <c r="BO593" s="128"/>
      <c r="BP593" s="13"/>
      <c r="BQ593" s="129"/>
      <c r="BR593" s="123"/>
      <c r="BS593" s="130"/>
      <c r="BT593" s="13"/>
      <c r="BU593" s="123"/>
      <c r="BV593" s="131"/>
      <c r="DI593" s="121"/>
      <c r="DJ593" s="13"/>
      <c r="DK593" s="13"/>
      <c r="DL593" s="13"/>
      <c r="DM593" s="13"/>
      <c r="DN593" s="13"/>
      <c r="DO593" s="13"/>
      <c r="DW593" s="121"/>
      <c r="DX593" s="121"/>
      <c r="DY593" s="121"/>
      <c r="DZ593" s="121"/>
      <c r="EA593" s="121"/>
      <c r="EB593" s="121"/>
      <c r="EC593" s="121"/>
      <c r="ED593" s="121"/>
      <c r="EE593" s="121"/>
      <c r="EF593" s="121"/>
      <c r="EG593" s="123"/>
      <c r="EH593" s="127"/>
      <c r="EI593" s="125"/>
      <c r="EJ593" s="126"/>
      <c r="EK593" s="30"/>
      <c r="EL593" s="127"/>
      <c r="EM593" s="128"/>
      <c r="EN593" s="123"/>
      <c r="EO593" s="128"/>
      <c r="EP593" s="13"/>
      <c r="EQ593" s="129"/>
      <c r="ER593" s="123"/>
      <c r="ES593" s="130"/>
      <c r="ET593" s="13"/>
      <c r="EU593" s="123"/>
      <c r="EV593" s="131"/>
    </row>
    <row r="594" spans="35:152">
      <c r="AI594" s="121"/>
      <c r="AJ594" s="13"/>
      <c r="AK594" s="13"/>
      <c r="AL594" s="13"/>
      <c r="AM594" s="13"/>
      <c r="AN594" s="13"/>
      <c r="AO594" s="13"/>
      <c r="AW594" s="121"/>
      <c r="AX594" s="121"/>
      <c r="AY594" s="121"/>
      <c r="AZ594" s="121"/>
      <c r="BA594" s="121"/>
      <c r="BB594" s="121"/>
      <c r="BC594" s="121"/>
      <c r="BD594" s="121"/>
      <c r="BE594" s="121"/>
      <c r="BF594" s="121"/>
      <c r="BG594" s="123"/>
      <c r="BH594" s="127"/>
      <c r="BI594" s="125"/>
      <c r="BJ594" s="126"/>
      <c r="BK594" s="30"/>
      <c r="BL594" s="127"/>
      <c r="BM594" s="128"/>
      <c r="BN594" s="123"/>
      <c r="BO594" s="128"/>
      <c r="BP594" s="13"/>
      <c r="BQ594" s="129"/>
      <c r="BR594" s="123"/>
      <c r="BS594" s="130"/>
      <c r="BT594" s="13"/>
      <c r="BU594" s="123"/>
      <c r="BV594" s="131"/>
      <c r="DI594" s="121"/>
      <c r="DJ594" s="13"/>
      <c r="DK594" s="13"/>
      <c r="DL594" s="13"/>
      <c r="DM594" s="13"/>
      <c r="DN594" s="13"/>
      <c r="DO594" s="13"/>
      <c r="DW594" s="121"/>
      <c r="DX594" s="121"/>
      <c r="DY594" s="121"/>
      <c r="DZ594" s="121"/>
      <c r="EA594" s="121"/>
      <c r="EB594" s="121"/>
      <c r="EC594" s="121"/>
      <c r="ED594" s="121"/>
      <c r="EE594" s="121"/>
      <c r="EF594" s="121"/>
      <c r="EG594" s="123"/>
      <c r="EH594" s="127"/>
      <c r="EI594" s="125"/>
      <c r="EJ594" s="126"/>
      <c r="EK594" s="30"/>
      <c r="EL594" s="127"/>
      <c r="EM594" s="128"/>
      <c r="EN594" s="123"/>
      <c r="EO594" s="128"/>
      <c r="EP594" s="13"/>
      <c r="EQ594" s="129"/>
      <c r="ER594" s="123"/>
      <c r="ES594" s="130"/>
      <c r="ET594" s="13"/>
      <c r="EU594" s="123"/>
      <c r="EV594" s="131"/>
    </row>
    <row r="595" spans="35:152">
      <c r="AI595" s="121"/>
      <c r="AJ595" s="13"/>
      <c r="AK595" s="13"/>
      <c r="AL595" s="13"/>
      <c r="AM595" s="13"/>
      <c r="AN595" s="13"/>
      <c r="AO595" s="13"/>
      <c r="AW595" s="121"/>
      <c r="AX595" s="121"/>
      <c r="AY595" s="121"/>
      <c r="AZ595" s="121"/>
      <c r="BA595" s="121"/>
      <c r="BB595" s="121"/>
      <c r="BC595" s="121"/>
      <c r="BD595" s="121"/>
      <c r="BE595" s="121"/>
      <c r="BF595" s="121"/>
      <c r="BG595" s="123"/>
      <c r="BH595" s="127"/>
      <c r="BI595" s="125"/>
      <c r="BJ595" s="126"/>
      <c r="BK595" s="30"/>
      <c r="BL595" s="127"/>
      <c r="BM595" s="128"/>
      <c r="BN595" s="123"/>
      <c r="BO595" s="128"/>
      <c r="BP595" s="13"/>
      <c r="BQ595" s="129"/>
      <c r="BR595" s="123"/>
      <c r="BS595" s="130"/>
      <c r="BT595" s="13"/>
      <c r="BU595" s="123"/>
      <c r="BV595" s="131"/>
      <c r="DI595" s="121"/>
      <c r="DJ595" s="13"/>
      <c r="DK595" s="13"/>
      <c r="DL595" s="13"/>
      <c r="DM595" s="13"/>
      <c r="DN595" s="13"/>
      <c r="DO595" s="13"/>
      <c r="DW595" s="121"/>
      <c r="DX595" s="121"/>
      <c r="DY595" s="121"/>
      <c r="DZ595" s="121"/>
      <c r="EA595" s="121"/>
      <c r="EB595" s="121"/>
      <c r="EC595" s="121"/>
      <c r="ED595" s="121"/>
      <c r="EE595" s="121"/>
      <c r="EF595" s="121"/>
      <c r="EG595" s="123"/>
      <c r="EH595" s="127"/>
      <c r="EI595" s="125"/>
      <c r="EJ595" s="126"/>
      <c r="EK595" s="30"/>
      <c r="EL595" s="127"/>
      <c r="EM595" s="128"/>
      <c r="EN595" s="123"/>
      <c r="EO595" s="128"/>
      <c r="EP595" s="13"/>
      <c r="EQ595" s="129"/>
      <c r="ER595" s="123"/>
      <c r="ES595" s="130"/>
      <c r="ET595" s="13"/>
      <c r="EU595" s="123"/>
      <c r="EV595" s="131"/>
    </row>
    <row r="596" spans="35:152">
      <c r="AI596" s="121"/>
      <c r="AJ596" s="13"/>
      <c r="AK596" s="13"/>
      <c r="AL596" s="13"/>
      <c r="AM596" s="13"/>
      <c r="AN596" s="13"/>
      <c r="AO596" s="13"/>
      <c r="AW596" s="121"/>
      <c r="AX596" s="121"/>
      <c r="AY596" s="121"/>
      <c r="AZ596" s="121"/>
      <c r="BA596" s="121"/>
      <c r="BB596" s="121"/>
      <c r="BC596" s="121"/>
      <c r="BD596" s="121"/>
      <c r="BE596" s="121"/>
      <c r="BF596" s="121"/>
      <c r="BG596" s="123"/>
      <c r="BH596" s="127"/>
      <c r="BI596" s="125"/>
      <c r="BJ596" s="126"/>
      <c r="BK596" s="30"/>
      <c r="BL596" s="127"/>
      <c r="BM596" s="128"/>
      <c r="BN596" s="123"/>
      <c r="BO596" s="128"/>
      <c r="BP596" s="13"/>
      <c r="BQ596" s="129"/>
      <c r="BR596" s="123"/>
      <c r="BS596" s="130"/>
      <c r="BT596" s="13"/>
      <c r="BU596" s="123"/>
      <c r="BV596" s="131"/>
      <c r="DI596" s="121"/>
      <c r="DJ596" s="13"/>
      <c r="DK596" s="13"/>
      <c r="DL596" s="13"/>
      <c r="DM596" s="13"/>
      <c r="DN596" s="13"/>
      <c r="DO596" s="13"/>
      <c r="DW596" s="121"/>
      <c r="DX596" s="121"/>
      <c r="DY596" s="121"/>
      <c r="DZ596" s="121"/>
      <c r="EA596" s="121"/>
      <c r="EB596" s="121"/>
      <c r="EC596" s="121"/>
      <c r="ED596" s="121"/>
      <c r="EE596" s="121"/>
      <c r="EF596" s="121"/>
      <c r="EG596" s="123"/>
      <c r="EH596" s="127"/>
      <c r="EI596" s="125"/>
      <c r="EJ596" s="126"/>
      <c r="EK596" s="30"/>
      <c r="EL596" s="127"/>
      <c r="EM596" s="128"/>
      <c r="EN596" s="123"/>
      <c r="EO596" s="128"/>
      <c r="EP596" s="13"/>
      <c r="EQ596" s="129"/>
      <c r="ER596" s="123"/>
      <c r="ES596" s="130"/>
      <c r="ET596" s="13"/>
      <c r="EU596" s="123"/>
      <c r="EV596" s="131"/>
    </row>
    <row r="597" spans="35:152">
      <c r="AI597" s="121"/>
      <c r="AJ597" s="13"/>
      <c r="AK597" s="13"/>
      <c r="AL597" s="13"/>
      <c r="AM597" s="13"/>
      <c r="AN597" s="13"/>
      <c r="AO597" s="13"/>
      <c r="AW597" s="121"/>
      <c r="AX597" s="121"/>
      <c r="AY597" s="121"/>
      <c r="AZ597" s="121"/>
      <c r="BA597" s="121"/>
      <c r="BB597" s="121"/>
      <c r="BC597" s="121"/>
      <c r="BD597" s="121"/>
      <c r="BE597" s="121"/>
      <c r="BF597" s="121"/>
      <c r="BG597" s="123"/>
      <c r="BH597" s="127"/>
      <c r="BI597" s="125"/>
      <c r="BJ597" s="126"/>
      <c r="BK597" s="30"/>
      <c r="BL597" s="127"/>
      <c r="BM597" s="128"/>
      <c r="BN597" s="123"/>
      <c r="BO597" s="128"/>
      <c r="BP597" s="13"/>
      <c r="BQ597" s="129"/>
      <c r="BR597" s="123"/>
      <c r="BS597" s="130"/>
      <c r="BT597" s="13"/>
      <c r="BU597" s="123"/>
      <c r="BV597" s="131"/>
      <c r="DI597" s="121"/>
      <c r="DJ597" s="13"/>
      <c r="DK597" s="13"/>
      <c r="DL597" s="13"/>
      <c r="DM597" s="13"/>
      <c r="DN597" s="13"/>
      <c r="DO597" s="13"/>
      <c r="DW597" s="121"/>
      <c r="DX597" s="121"/>
      <c r="DY597" s="121"/>
      <c r="DZ597" s="121"/>
      <c r="EA597" s="121"/>
      <c r="EB597" s="121"/>
      <c r="EC597" s="121"/>
      <c r="ED597" s="121"/>
      <c r="EE597" s="121"/>
      <c r="EF597" s="121"/>
      <c r="EG597" s="123"/>
      <c r="EH597" s="127"/>
      <c r="EI597" s="125"/>
      <c r="EJ597" s="126"/>
      <c r="EK597" s="30"/>
      <c r="EL597" s="127"/>
      <c r="EM597" s="128"/>
      <c r="EN597" s="123"/>
      <c r="EO597" s="128"/>
      <c r="EP597" s="13"/>
      <c r="EQ597" s="129"/>
      <c r="ER597" s="123"/>
      <c r="ES597" s="130"/>
      <c r="ET597" s="13"/>
      <c r="EU597" s="123"/>
      <c r="EV597" s="131"/>
    </row>
    <row r="598" spans="35:152">
      <c r="AI598" s="121"/>
      <c r="AJ598" s="13"/>
      <c r="AK598" s="13"/>
      <c r="AL598" s="13"/>
      <c r="AM598" s="13"/>
      <c r="AN598" s="13"/>
      <c r="AO598" s="13"/>
      <c r="AW598" s="121"/>
      <c r="AX598" s="121"/>
      <c r="AY598" s="121"/>
      <c r="AZ598" s="121"/>
      <c r="BA598" s="121"/>
      <c r="BB598" s="121"/>
      <c r="BC598" s="121"/>
      <c r="BD598" s="121"/>
      <c r="BE598" s="121"/>
      <c r="BF598" s="121"/>
      <c r="BG598" s="123"/>
      <c r="BH598" s="127"/>
      <c r="BI598" s="125"/>
      <c r="BJ598" s="126"/>
      <c r="BK598" s="30"/>
      <c r="BL598" s="127"/>
      <c r="BM598" s="128"/>
      <c r="BN598" s="123"/>
      <c r="BO598" s="128"/>
      <c r="BP598" s="13"/>
      <c r="BQ598" s="129"/>
      <c r="BR598" s="123"/>
      <c r="BS598" s="130"/>
      <c r="BT598" s="13"/>
      <c r="BU598" s="123"/>
      <c r="BV598" s="131"/>
      <c r="DI598" s="121"/>
      <c r="DJ598" s="13"/>
      <c r="DK598" s="13"/>
      <c r="DL598" s="13"/>
      <c r="DM598" s="13"/>
      <c r="DN598" s="13"/>
      <c r="DO598" s="13"/>
      <c r="DW598" s="121"/>
      <c r="DX598" s="121"/>
      <c r="DY598" s="121"/>
      <c r="DZ598" s="121"/>
      <c r="EA598" s="121"/>
      <c r="EB598" s="121"/>
      <c r="EC598" s="121"/>
      <c r="ED598" s="121"/>
      <c r="EE598" s="121"/>
      <c r="EF598" s="121"/>
      <c r="EG598" s="123"/>
      <c r="EH598" s="127"/>
      <c r="EI598" s="125"/>
      <c r="EJ598" s="126"/>
      <c r="EK598" s="30"/>
      <c r="EL598" s="127"/>
      <c r="EM598" s="128"/>
      <c r="EN598" s="123"/>
      <c r="EO598" s="128"/>
      <c r="EP598" s="13"/>
      <c r="EQ598" s="129"/>
      <c r="ER598" s="123"/>
      <c r="ES598" s="130"/>
      <c r="ET598" s="13"/>
      <c r="EU598" s="123"/>
      <c r="EV598" s="131"/>
    </row>
    <row r="599" spans="35:152">
      <c r="AI599" s="121"/>
      <c r="AJ599" s="13"/>
      <c r="AK599" s="13"/>
      <c r="AL599" s="13"/>
      <c r="AM599" s="13"/>
      <c r="AN599" s="13"/>
      <c r="AO599" s="13"/>
      <c r="AW599" s="121"/>
      <c r="AX599" s="121"/>
      <c r="AY599" s="121"/>
      <c r="AZ599" s="121"/>
      <c r="BA599" s="121"/>
      <c r="BB599" s="121"/>
      <c r="BC599" s="121"/>
      <c r="BD599" s="121"/>
      <c r="BE599" s="121"/>
      <c r="BF599" s="121"/>
      <c r="BG599" s="123"/>
      <c r="BH599" s="127"/>
      <c r="BI599" s="125"/>
      <c r="BJ599" s="126"/>
      <c r="BK599" s="30"/>
      <c r="BL599" s="127"/>
      <c r="BM599" s="128"/>
      <c r="BN599" s="123"/>
      <c r="BO599" s="128"/>
      <c r="BP599" s="13"/>
      <c r="BQ599" s="129"/>
      <c r="BR599" s="123"/>
      <c r="BS599" s="130"/>
      <c r="BT599" s="13"/>
      <c r="BU599" s="123"/>
      <c r="BV599" s="131"/>
      <c r="DI599" s="121"/>
      <c r="DJ599" s="13"/>
      <c r="DK599" s="13"/>
      <c r="DL599" s="13"/>
      <c r="DM599" s="13"/>
      <c r="DN599" s="13"/>
      <c r="DO599" s="13"/>
      <c r="DW599" s="121"/>
      <c r="DX599" s="121"/>
      <c r="DY599" s="121"/>
      <c r="DZ599" s="121"/>
      <c r="EA599" s="121"/>
      <c r="EB599" s="121"/>
      <c r="EC599" s="121"/>
      <c r="ED599" s="121"/>
      <c r="EE599" s="121"/>
      <c r="EF599" s="121"/>
      <c r="EG599" s="123"/>
      <c r="EH599" s="127"/>
      <c r="EI599" s="125"/>
      <c r="EJ599" s="126"/>
      <c r="EK599" s="30"/>
      <c r="EL599" s="127"/>
      <c r="EM599" s="128"/>
      <c r="EN599" s="123"/>
      <c r="EO599" s="128"/>
      <c r="EP599" s="13"/>
      <c r="EQ599" s="129"/>
      <c r="ER599" s="123"/>
      <c r="ES599" s="130"/>
      <c r="ET599" s="13"/>
      <c r="EU599" s="123"/>
      <c r="EV599" s="131"/>
    </row>
    <row r="600" spans="35:152">
      <c r="AI600" s="121"/>
      <c r="AJ600" s="13"/>
      <c r="AK600" s="13"/>
      <c r="AL600" s="13"/>
      <c r="AM600" s="13"/>
      <c r="AN600" s="13"/>
      <c r="AO600" s="13"/>
      <c r="AW600" s="121"/>
      <c r="AX600" s="121"/>
      <c r="AY600" s="121"/>
      <c r="AZ600" s="121"/>
      <c r="BA600" s="121"/>
      <c r="BB600" s="121"/>
      <c r="BC600" s="121"/>
      <c r="BD600" s="121"/>
      <c r="BE600" s="121"/>
      <c r="BF600" s="121"/>
      <c r="BG600" s="123"/>
      <c r="BH600" s="127"/>
      <c r="BI600" s="125"/>
      <c r="BJ600" s="126"/>
      <c r="BK600" s="30"/>
      <c r="BL600" s="127"/>
      <c r="BM600" s="128"/>
      <c r="BN600" s="123"/>
      <c r="BO600" s="128"/>
      <c r="BP600" s="13"/>
      <c r="BQ600" s="129"/>
      <c r="BR600" s="123"/>
      <c r="BS600" s="130"/>
      <c r="BT600" s="13"/>
      <c r="BU600" s="123"/>
      <c r="BV600" s="131"/>
      <c r="DI600" s="121"/>
      <c r="DJ600" s="13"/>
      <c r="DK600" s="13"/>
      <c r="DL600" s="13"/>
      <c r="DM600" s="13"/>
      <c r="DN600" s="13"/>
      <c r="DO600" s="13"/>
      <c r="DW600" s="121"/>
      <c r="DX600" s="121"/>
      <c r="DY600" s="121"/>
      <c r="DZ600" s="121"/>
      <c r="EA600" s="121"/>
      <c r="EB600" s="121"/>
      <c r="EC600" s="121"/>
      <c r="ED600" s="121"/>
      <c r="EE600" s="121"/>
      <c r="EF600" s="121"/>
      <c r="EG600" s="123"/>
      <c r="EH600" s="127"/>
      <c r="EI600" s="125"/>
      <c r="EJ600" s="126"/>
      <c r="EK600" s="30"/>
      <c r="EL600" s="127"/>
      <c r="EM600" s="128"/>
      <c r="EN600" s="123"/>
      <c r="EO600" s="128"/>
      <c r="EP600" s="13"/>
      <c r="EQ600" s="129"/>
      <c r="ER600" s="123"/>
      <c r="ES600" s="130"/>
      <c r="ET600" s="13"/>
      <c r="EU600" s="123"/>
      <c r="EV600" s="131"/>
    </row>
    <row r="601" spans="35:152">
      <c r="AI601" s="121"/>
      <c r="AJ601" s="13"/>
      <c r="AK601" s="13"/>
      <c r="AL601" s="13"/>
      <c r="AM601" s="13"/>
      <c r="AN601" s="13"/>
      <c r="AO601" s="13"/>
      <c r="AW601" s="121"/>
      <c r="AX601" s="121"/>
      <c r="AY601" s="121"/>
      <c r="AZ601" s="121"/>
      <c r="BA601" s="121"/>
      <c r="BB601" s="121"/>
      <c r="BC601" s="121"/>
      <c r="BD601" s="121"/>
      <c r="BE601" s="121"/>
      <c r="BF601" s="121"/>
      <c r="BG601" s="123"/>
      <c r="BH601" s="127"/>
      <c r="BI601" s="125"/>
      <c r="BJ601" s="126"/>
      <c r="BK601" s="30"/>
      <c r="BL601" s="127"/>
      <c r="BM601" s="128"/>
      <c r="BN601" s="123"/>
      <c r="BO601" s="128"/>
      <c r="BP601" s="13"/>
      <c r="BQ601" s="129"/>
      <c r="BR601" s="123"/>
      <c r="BS601" s="130"/>
      <c r="BT601" s="13"/>
      <c r="BU601" s="123"/>
      <c r="BV601" s="131"/>
      <c r="DI601" s="121"/>
      <c r="DJ601" s="13"/>
      <c r="DK601" s="13"/>
      <c r="DL601" s="13"/>
      <c r="DM601" s="13"/>
      <c r="DN601" s="13"/>
      <c r="DO601" s="13"/>
      <c r="DW601" s="121"/>
      <c r="DX601" s="121"/>
      <c r="DY601" s="121"/>
      <c r="DZ601" s="121"/>
      <c r="EA601" s="121"/>
      <c r="EB601" s="121"/>
      <c r="EC601" s="121"/>
      <c r="ED601" s="121"/>
      <c r="EE601" s="121"/>
      <c r="EF601" s="121"/>
      <c r="EG601" s="123"/>
      <c r="EH601" s="127"/>
      <c r="EI601" s="125"/>
      <c r="EJ601" s="126"/>
      <c r="EK601" s="30"/>
      <c r="EL601" s="127"/>
      <c r="EM601" s="128"/>
      <c r="EN601" s="123"/>
      <c r="EO601" s="128"/>
      <c r="EP601" s="13"/>
      <c r="EQ601" s="129"/>
      <c r="ER601" s="123"/>
      <c r="ES601" s="130"/>
      <c r="ET601" s="13"/>
      <c r="EU601" s="123"/>
      <c r="EV601" s="131"/>
    </row>
    <row r="602" spans="35:152">
      <c r="AI602" s="121"/>
      <c r="AJ602" s="13"/>
      <c r="AK602" s="13"/>
      <c r="AL602" s="13"/>
      <c r="AM602" s="13"/>
      <c r="AN602" s="13"/>
      <c r="AO602" s="13"/>
      <c r="AW602" s="121"/>
      <c r="AX602" s="121"/>
      <c r="AY602" s="121"/>
      <c r="AZ602" s="121"/>
      <c r="BA602" s="121"/>
      <c r="BB602" s="121"/>
      <c r="BC602" s="121"/>
      <c r="BD602" s="121"/>
      <c r="BE602" s="121"/>
      <c r="BF602" s="121"/>
      <c r="BG602" s="123"/>
      <c r="BH602" s="127"/>
      <c r="BI602" s="125"/>
      <c r="BJ602" s="126"/>
      <c r="BK602" s="30"/>
      <c r="BL602" s="127"/>
      <c r="BM602" s="128"/>
      <c r="BN602" s="123"/>
      <c r="BO602" s="128"/>
      <c r="BP602" s="13"/>
      <c r="BQ602" s="129"/>
      <c r="BR602" s="123"/>
      <c r="BS602" s="130"/>
      <c r="BT602" s="13"/>
      <c r="BU602" s="123"/>
      <c r="BV602" s="131"/>
      <c r="DI602" s="121"/>
      <c r="DJ602" s="13"/>
      <c r="DK602" s="13"/>
      <c r="DL602" s="13"/>
      <c r="DM602" s="13"/>
      <c r="DN602" s="13"/>
      <c r="DO602" s="13"/>
      <c r="DW602" s="121"/>
      <c r="DX602" s="121"/>
      <c r="DY602" s="121"/>
      <c r="DZ602" s="121"/>
      <c r="EA602" s="121"/>
      <c r="EB602" s="121"/>
      <c r="EC602" s="121"/>
      <c r="ED602" s="121"/>
      <c r="EE602" s="121"/>
      <c r="EF602" s="121"/>
      <c r="EG602" s="123"/>
      <c r="EH602" s="127"/>
      <c r="EI602" s="125"/>
      <c r="EJ602" s="126"/>
      <c r="EK602" s="30"/>
      <c r="EL602" s="127"/>
      <c r="EM602" s="128"/>
      <c r="EN602" s="123"/>
      <c r="EO602" s="128"/>
      <c r="EP602" s="13"/>
      <c r="EQ602" s="129"/>
      <c r="ER602" s="123"/>
      <c r="ES602" s="130"/>
      <c r="ET602" s="13"/>
      <c r="EU602" s="123"/>
      <c r="EV602" s="131"/>
    </row>
    <row r="603" spans="35:152">
      <c r="AI603" s="121"/>
      <c r="AJ603" s="13"/>
      <c r="AK603" s="13"/>
      <c r="AL603" s="13"/>
      <c r="AM603" s="13"/>
      <c r="AN603" s="13"/>
      <c r="AO603" s="13"/>
      <c r="AW603" s="121"/>
      <c r="AX603" s="121"/>
      <c r="AY603" s="121"/>
      <c r="AZ603" s="121"/>
      <c r="BA603" s="121"/>
      <c r="BB603" s="121"/>
      <c r="BC603" s="121"/>
      <c r="BD603" s="121"/>
      <c r="BE603" s="121"/>
      <c r="BF603" s="121"/>
      <c r="BG603" s="123"/>
      <c r="BH603" s="127"/>
      <c r="BI603" s="125"/>
      <c r="BJ603" s="126"/>
      <c r="BK603" s="30"/>
      <c r="BL603" s="127"/>
      <c r="BM603" s="128"/>
      <c r="BN603" s="123"/>
      <c r="BO603" s="128"/>
      <c r="BP603" s="13"/>
      <c r="BQ603" s="129"/>
      <c r="BR603" s="123"/>
      <c r="BS603" s="130"/>
      <c r="BT603" s="13"/>
      <c r="BU603" s="123"/>
      <c r="BV603" s="131"/>
      <c r="DI603" s="121"/>
      <c r="DJ603" s="13"/>
      <c r="DK603" s="13"/>
      <c r="DL603" s="13"/>
      <c r="DM603" s="13"/>
      <c r="DN603" s="13"/>
      <c r="DO603" s="13"/>
      <c r="DW603" s="121"/>
      <c r="DX603" s="121"/>
      <c r="DY603" s="121"/>
      <c r="DZ603" s="121"/>
      <c r="EA603" s="121"/>
      <c r="EB603" s="121"/>
      <c r="EC603" s="121"/>
      <c r="ED603" s="121"/>
      <c r="EE603" s="121"/>
      <c r="EF603" s="121"/>
      <c r="EG603" s="123"/>
      <c r="EH603" s="127"/>
      <c r="EI603" s="125"/>
      <c r="EJ603" s="126"/>
      <c r="EK603" s="30"/>
      <c r="EL603" s="127"/>
      <c r="EM603" s="128"/>
      <c r="EN603" s="123"/>
      <c r="EO603" s="128"/>
      <c r="EP603" s="13"/>
      <c r="EQ603" s="129"/>
      <c r="ER603" s="123"/>
      <c r="ES603" s="130"/>
      <c r="ET603" s="13"/>
      <c r="EU603" s="123"/>
      <c r="EV603" s="131"/>
    </row>
    <row r="604" spans="35:152">
      <c r="AI604" s="121"/>
      <c r="AJ604" s="13"/>
      <c r="AK604" s="13"/>
      <c r="AL604" s="13"/>
      <c r="AM604" s="13"/>
      <c r="AN604" s="13"/>
      <c r="AO604" s="13"/>
      <c r="AW604" s="121"/>
      <c r="AX604" s="121"/>
      <c r="AY604" s="121"/>
      <c r="AZ604" s="121"/>
      <c r="BA604" s="121"/>
      <c r="BB604" s="121"/>
      <c r="BC604" s="121"/>
      <c r="BD604" s="121"/>
      <c r="BE604" s="121"/>
      <c r="BF604" s="121"/>
      <c r="BG604" s="123"/>
      <c r="BH604" s="127"/>
      <c r="BI604" s="125"/>
      <c r="BJ604" s="126"/>
      <c r="BK604" s="30"/>
      <c r="BL604" s="127"/>
      <c r="BM604" s="128"/>
      <c r="BN604" s="123"/>
      <c r="BO604" s="128"/>
      <c r="BP604" s="13"/>
      <c r="BQ604" s="129"/>
      <c r="BR604" s="123"/>
      <c r="BS604" s="130"/>
      <c r="BT604" s="13"/>
      <c r="BU604" s="123"/>
      <c r="BV604" s="131"/>
      <c r="DI604" s="121"/>
      <c r="DJ604" s="13"/>
      <c r="DK604" s="13"/>
      <c r="DL604" s="13"/>
      <c r="DM604" s="13"/>
      <c r="DN604" s="13"/>
      <c r="DO604" s="13"/>
      <c r="DW604" s="121"/>
      <c r="DX604" s="121"/>
      <c r="DY604" s="121"/>
      <c r="DZ604" s="121"/>
      <c r="EA604" s="121"/>
      <c r="EB604" s="121"/>
      <c r="EC604" s="121"/>
      <c r="ED604" s="121"/>
      <c r="EE604" s="121"/>
      <c r="EF604" s="121"/>
      <c r="EG604" s="123"/>
      <c r="EH604" s="127"/>
      <c r="EI604" s="125"/>
      <c r="EJ604" s="126"/>
      <c r="EK604" s="30"/>
      <c r="EL604" s="127"/>
      <c r="EM604" s="128"/>
      <c r="EN604" s="123"/>
      <c r="EO604" s="128"/>
      <c r="EP604" s="13"/>
      <c r="EQ604" s="129"/>
      <c r="ER604" s="123"/>
      <c r="ES604" s="130"/>
      <c r="ET604" s="13"/>
      <c r="EU604" s="123"/>
      <c r="EV604" s="131"/>
    </row>
    <row r="605" spans="35:152">
      <c r="AI605" s="121"/>
      <c r="AJ605" s="13"/>
      <c r="AK605" s="13"/>
      <c r="AL605" s="13"/>
      <c r="AM605" s="13"/>
      <c r="AN605" s="13"/>
      <c r="AO605" s="13"/>
      <c r="AW605" s="121"/>
      <c r="AX605" s="121"/>
      <c r="AY605" s="121"/>
      <c r="AZ605" s="121"/>
      <c r="BA605" s="121"/>
      <c r="BB605" s="121"/>
      <c r="BC605" s="121"/>
      <c r="BD605" s="121"/>
      <c r="BE605" s="121"/>
      <c r="BF605" s="121"/>
      <c r="BG605" s="123"/>
      <c r="BH605" s="127"/>
      <c r="BI605" s="125"/>
      <c r="BJ605" s="126"/>
      <c r="BK605" s="30"/>
      <c r="BL605" s="127"/>
      <c r="BM605" s="128"/>
      <c r="BN605" s="123"/>
      <c r="BO605" s="128"/>
      <c r="BP605" s="13"/>
      <c r="BQ605" s="129"/>
      <c r="BR605" s="123"/>
      <c r="BS605" s="130"/>
      <c r="BT605" s="13"/>
      <c r="BU605" s="123"/>
      <c r="BV605" s="131"/>
      <c r="DI605" s="121"/>
      <c r="DJ605" s="13"/>
      <c r="DK605" s="13"/>
      <c r="DL605" s="13"/>
      <c r="DM605" s="13"/>
      <c r="DN605" s="13"/>
      <c r="DO605" s="13"/>
      <c r="DW605" s="121"/>
      <c r="DX605" s="121"/>
      <c r="DY605" s="121"/>
      <c r="DZ605" s="121"/>
      <c r="EA605" s="121"/>
      <c r="EB605" s="121"/>
      <c r="EC605" s="121"/>
      <c r="ED605" s="121"/>
      <c r="EE605" s="121"/>
      <c r="EF605" s="121"/>
      <c r="EG605" s="123"/>
      <c r="EH605" s="127"/>
      <c r="EI605" s="125"/>
      <c r="EJ605" s="126"/>
      <c r="EK605" s="30"/>
      <c r="EL605" s="127"/>
      <c r="EM605" s="128"/>
      <c r="EN605" s="123"/>
      <c r="EO605" s="128"/>
      <c r="EP605" s="13"/>
      <c r="EQ605" s="129"/>
      <c r="ER605" s="123"/>
      <c r="ES605" s="130"/>
      <c r="ET605" s="13"/>
      <c r="EU605" s="123"/>
      <c r="EV605" s="131"/>
    </row>
    <row r="606" spans="35:152">
      <c r="AI606" s="121"/>
      <c r="AJ606" s="13"/>
      <c r="AK606" s="13"/>
      <c r="AL606" s="13"/>
      <c r="AM606" s="13"/>
      <c r="AN606" s="13"/>
      <c r="AO606" s="13"/>
      <c r="AW606" s="121"/>
      <c r="AX606" s="121"/>
      <c r="AY606" s="121"/>
      <c r="AZ606" s="121"/>
      <c r="BA606" s="121"/>
      <c r="BB606" s="121"/>
      <c r="BC606" s="121"/>
      <c r="BD606" s="121"/>
      <c r="BE606" s="121"/>
      <c r="BF606" s="121"/>
      <c r="BG606" s="123"/>
      <c r="BH606" s="127"/>
      <c r="BI606" s="125"/>
      <c r="BJ606" s="126"/>
      <c r="BK606" s="30"/>
      <c r="BL606" s="127"/>
      <c r="BM606" s="128"/>
      <c r="BN606" s="123"/>
      <c r="BO606" s="128"/>
      <c r="BP606" s="13"/>
      <c r="BQ606" s="129"/>
      <c r="BR606" s="123"/>
      <c r="BS606" s="130"/>
      <c r="BT606" s="13"/>
      <c r="BU606" s="123"/>
      <c r="BV606" s="131"/>
      <c r="DI606" s="121"/>
      <c r="DJ606" s="13"/>
      <c r="DK606" s="13"/>
      <c r="DL606" s="13"/>
      <c r="DM606" s="13"/>
      <c r="DN606" s="13"/>
      <c r="DO606" s="13"/>
      <c r="DW606" s="121"/>
      <c r="DX606" s="121"/>
      <c r="DY606" s="121"/>
      <c r="DZ606" s="121"/>
      <c r="EA606" s="121"/>
      <c r="EB606" s="121"/>
      <c r="EC606" s="121"/>
      <c r="ED606" s="121"/>
      <c r="EE606" s="121"/>
      <c r="EF606" s="121"/>
      <c r="EG606" s="123"/>
      <c r="EH606" s="127"/>
      <c r="EI606" s="125"/>
      <c r="EJ606" s="126"/>
      <c r="EK606" s="30"/>
      <c r="EL606" s="127"/>
      <c r="EM606" s="128"/>
      <c r="EN606" s="123"/>
      <c r="EO606" s="128"/>
      <c r="EP606" s="13"/>
      <c r="EQ606" s="129"/>
      <c r="ER606" s="123"/>
      <c r="ES606" s="130"/>
      <c r="ET606" s="13"/>
      <c r="EU606" s="123"/>
      <c r="EV606" s="131"/>
    </row>
    <row r="607" spans="35:152">
      <c r="AI607" s="121"/>
      <c r="AJ607" s="13"/>
      <c r="AK607" s="13"/>
      <c r="AL607" s="13"/>
      <c r="AM607" s="13"/>
      <c r="AN607" s="13"/>
      <c r="AO607" s="13"/>
      <c r="AW607" s="121"/>
      <c r="AX607" s="121"/>
      <c r="AY607" s="121"/>
      <c r="AZ607" s="121"/>
      <c r="BA607" s="121"/>
      <c r="BB607" s="121"/>
      <c r="BC607" s="121"/>
      <c r="BD607" s="121"/>
      <c r="BE607" s="121"/>
      <c r="BF607" s="121"/>
      <c r="BG607" s="123"/>
      <c r="BH607" s="127"/>
      <c r="BI607" s="125"/>
      <c r="BJ607" s="126"/>
      <c r="BK607" s="30"/>
      <c r="BL607" s="127"/>
      <c r="BM607" s="128"/>
      <c r="BN607" s="123"/>
      <c r="BO607" s="128"/>
      <c r="BP607" s="13"/>
      <c r="BQ607" s="129"/>
      <c r="BR607" s="123"/>
      <c r="BS607" s="130"/>
      <c r="BT607" s="13"/>
      <c r="BU607" s="123"/>
      <c r="BV607" s="131"/>
      <c r="DI607" s="121"/>
      <c r="DJ607" s="13"/>
      <c r="DK607" s="13"/>
      <c r="DL607" s="13"/>
      <c r="DM607" s="13"/>
      <c r="DN607" s="13"/>
      <c r="DO607" s="13"/>
      <c r="DW607" s="121"/>
      <c r="DX607" s="121"/>
      <c r="DY607" s="121"/>
      <c r="DZ607" s="121"/>
      <c r="EA607" s="121"/>
      <c r="EB607" s="121"/>
      <c r="EC607" s="121"/>
      <c r="ED607" s="121"/>
      <c r="EE607" s="121"/>
      <c r="EF607" s="121"/>
      <c r="EG607" s="123"/>
      <c r="EH607" s="127"/>
      <c r="EI607" s="125"/>
      <c r="EJ607" s="126"/>
      <c r="EK607" s="30"/>
      <c r="EL607" s="127"/>
      <c r="EM607" s="128"/>
      <c r="EN607" s="123"/>
      <c r="EO607" s="128"/>
      <c r="EP607" s="13"/>
      <c r="EQ607" s="129"/>
      <c r="ER607" s="123"/>
      <c r="ES607" s="130"/>
      <c r="ET607" s="13"/>
      <c r="EU607" s="123"/>
      <c r="EV607" s="131"/>
    </row>
    <row r="608" spans="35:152">
      <c r="AI608" s="121"/>
      <c r="AJ608" s="13"/>
      <c r="AK608" s="13"/>
      <c r="AL608" s="13"/>
      <c r="AM608" s="13"/>
      <c r="AN608" s="13"/>
      <c r="AO608" s="13"/>
      <c r="AW608" s="121"/>
      <c r="AX608" s="121"/>
      <c r="AY608" s="121"/>
      <c r="AZ608" s="121"/>
      <c r="BA608" s="121"/>
      <c r="BB608" s="121"/>
      <c r="BC608" s="121"/>
      <c r="BD608" s="121"/>
      <c r="BE608" s="121"/>
      <c r="BF608" s="121"/>
      <c r="BG608" s="123"/>
      <c r="BH608" s="127"/>
      <c r="BI608" s="125"/>
      <c r="BJ608" s="126"/>
      <c r="BK608" s="30"/>
      <c r="BL608" s="127"/>
      <c r="BM608" s="128"/>
      <c r="BN608" s="123"/>
      <c r="BO608" s="128"/>
      <c r="BP608" s="13"/>
      <c r="BQ608" s="129"/>
      <c r="BR608" s="123"/>
      <c r="BS608" s="130"/>
      <c r="BT608" s="13"/>
      <c r="BU608" s="123"/>
      <c r="BV608" s="131"/>
      <c r="DI608" s="121"/>
      <c r="DJ608" s="13"/>
      <c r="DK608" s="13"/>
      <c r="DL608" s="13"/>
      <c r="DM608" s="13"/>
      <c r="DN608" s="13"/>
      <c r="DO608" s="13"/>
      <c r="DW608" s="121"/>
      <c r="DX608" s="121"/>
      <c r="DY608" s="121"/>
      <c r="DZ608" s="121"/>
      <c r="EA608" s="121"/>
      <c r="EB608" s="121"/>
      <c r="EC608" s="121"/>
      <c r="ED608" s="121"/>
      <c r="EE608" s="121"/>
      <c r="EF608" s="121"/>
      <c r="EG608" s="123"/>
      <c r="EH608" s="127"/>
      <c r="EI608" s="125"/>
      <c r="EJ608" s="126"/>
      <c r="EK608" s="30"/>
      <c r="EL608" s="127"/>
      <c r="EM608" s="128"/>
      <c r="EN608" s="123"/>
      <c r="EO608" s="128"/>
      <c r="EP608" s="13"/>
      <c r="EQ608" s="129"/>
      <c r="ER608" s="123"/>
      <c r="ES608" s="130"/>
      <c r="ET608" s="13"/>
      <c r="EU608" s="123"/>
      <c r="EV608" s="131"/>
    </row>
    <row r="609" spans="35:152">
      <c r="AI609" s="121"/>
      <c r="AJ609" s="13"/>
      <c r="AK609" s="13"/>
      <c r="AL609" s="13"/>
      <c r="AM609" s="13"/>
      <c r="AN609" s="13"/>
      <c r="AO609" s="13"/>
      <c r="AW609" s="121"/>
      <c r="AX609" s="121"/>
      <c r="AY609" s="121"/>
      <c r="AZ609" s="121"/>
      <c r="BA609" s="121"/>
      <c r="BB609" s="121"/>
      <c r="BC609" s="121"/>
      <c r="BD609" s="121"/>
      <c r="BE609" s="121"/>
      <c r="BF609" s="121"/>
      <c r="BG609" s="123"/>
      <c r="BH609" s="127"/>
      <c r="BI609" s="125"/>
      <c r="BJ609" s="126"/>
      <c r="BK609" s="30"/>
      <c r="BL609" s="127"/>
      <c r="BM609" s="128"/>
      <c r="BN609" s="123"/>
      <c r="BO609" s="128"/>
      <c r="BP609" s="13"/>
      <c r="BQ609" s="129"/>
      <c r="BR609" s="123"/>
      <c r="BS609" s="130"/>
      <c r="BT609" s="13"/>
      <c r="BU609" s="123"/>
      <c r="BV609" s="131"/>
      <c r="DI609" s="121"/>
      <c r="DJ609" s="13"/>
      <c r="DK609" s="13"/>
      <c r="DL609" s="13"/>
      <c r="DM609" s="13"/>
      <c r="DN609" s="13"/>
      <c r="DO609" s="13"/>
      <c r="DW609" s="121"/>
      <c r="DX609" s="121"/>
      <c r="DY609" s="121"/>
      <c r="DZ609" s="121"/>
      <c r="EA609" s="121"/>
      <c r="EB609" s="121"/>
      <c r="EC609" s="121"/>
      <c r="ED609" s="121"/>
      <c r="EE609" s="121"/>
      <c r="EF609" s="121"/>
      <c r="EG609" s="123"/>
      <c r="EH609" s="127"/>
      <c r="EI609" s="125"/>
      <c r="EJ609" s="126"/>
      <c r="EK609" s="30"/>
      <c r="EL609" s="127"/>
      <c r="EM609" s="128"/>
      <c r="EN609" s="123"/>
      <c r="EO609" s="128"/>
      <c r="EP609" s="13"/>
      <c r="EQ609" s="129"/>
      <c r="ER609" s="123"/>
      <c r="ES609" s="130"/>
      <c r="ET609" s="13"/>
      <c r="EU609" s="123"/>
      <c r="EV609" s="131"/>
    </row>
    <row r="610" spans="35:152">
      <c r="AI610" s="121"/>
      <c r="AJ610" s="13"/>
      <c r="AK610" s="13"/>
      <c r="AL610" s="13"/>
      <c r="AM610" s="13"/>
      <c r="AN610" s="13"/>
      <c r="AO610" s="13"/>
      <c r="AW610" s="121"/>
      <c r="AX610" s="121"/>
      <c r="AY610" s="121"/>
      <c r="AZ610" s="121"/>
      <c r="BA610" s="121"/>
      <c r="BB610" s="121"/>
      <c r="BC610" s="121"/>
      <c r="BD610" s="121"/>
      <c r="BE610" s="121"/>
      <c r="BF610" s="121"/>
      <c r="BG610" s="123"/>
      <c r="BH610" s="127"/>
      <c r="BI610" s="125"/>
      <c r="BJ610" s="126"/>
      <c r="BK610" s="30"/>
      <c r="BL610" s="127"/>
      <c r="BM610" s="128"/>
      <c r="BN610" s="123"/>
      <c r="BO610" s="128"/>
      <c r="BP610" s="13"/>
      <c r="BQ610" s="129"/>
      <c r="BR610" s="123"/>
      <c r="BS610" s="130"/>
      <c r="BT610" s="13"/>
      <c r="BU610" s="123"/>
      <c r="BV610" s="131"/>
      <c r="DI610" s="121"/>
      <c r="DJ610" s="13"/>
      <c r="DK610" s="13"/>
      <c r="DL610" s="13"/>
      <c r="DM610" s="13"/>
      <c r="DN610" s="13"/>
      <c r="DO610" s="13"/>
      <c r="DW610" s="121"/>
      <c r="DX610" s="121"/>
      <c r="DY610" s="121"/>
      <c r="DZ610" s="121"/>
      <c r="EA610" s="121"/>
      <c r="EB610" s="121"/>
      <c r="EC610" s="121"/>
      <c r="ED610" s="121"/>
      <c r="EE610" s="121"/>
      <c r="EF610" s="121"/>
      <c r="EG610" s="123"/>
      <c r="EH610" s="127"/>
      <c r="EI610" s="125"/>
      <c r="EJ610" s="126"/>
      <c r="EK610" s="30"/>
      <c r="EL610" s="127"/>
      <c r="EM610" s="128"/>
      <c r="EN610" s="123"/>
      <c r="EO610" s="128"/>
      <c r="EP610" s="13"/>
      <c r="EQ610" s="129"/>
      <c r="ER610" s="123"/>
      <c r="ES610" s="130"/>
      <c r="ET610" s="13"/>
      <c r="EU610" s="123"/>
      <c r="EV610" s="131"/>
    </row>
    <row r="611" spans="35:152">
      <c r="AI611" s="121"/>
      <c r="AJ611" s="13"/>
      <c r="AK611" s="13"/>
      <c r="AL611" s="13"/>
      <c r="AM611" s="13"/>
      <c r="AN611" s="13"/>
      <c r="AO611" s="13"/>
      <c r="AW611" s="121"/>
      <c r="AX611" s="121"/>
      <c r="AY611" s="121"/>
      <c r="AZ611" s="121"/>
      <c r="BA611" s="121"/>
      <c r="BB611" s="121"/>
      <c r="BC611" s="121"/>
      <c r="BD611" s="121"/>
      <c r="BE611" s="121"/>
      <c r="BF611" s="121"/>
      <c r="BG611" s="123"/>
      <c r="BH611" s="127"/>
      <c r="BI611" s="125"/>
      <c r="BJ611" s="126"/>
      <c r="BK611" s="30"/>
      <c r="BL611" s="127"/>
      <c r="BM611" s="128"/>
      <c r="BN611" s="123"/>
      <c r="BO611" s="128"/>
      <c r="BP611" s="13"/>
      <c r="BQ611" s="129"/>
      <c r="BR611" s="123"/>
      <c r="BS611" s="130"/>
      <c r="BT611" s="13"/>
      <c r="BU611" s="123"/>
      <c r="BV611" s="131"/>
      <c r="DI611" s="121"/>
      <c r="DJ611" s="13"/>
      <c r="DK611" s="13"/>
      <c r="DL611" s="13"/>
      <c r="DM611" s="13"/>
      <c r="DN611" s="13"/>
      <c r="DO611" s="13"/>
      <c r="DW611" s="121"/>
      <c r="DX611" s="121"/>
      <c r="DY611" s="121"/>
      <c r="DZ611" s="121"/>
      <c r="EA611" s="121"/>
      <c r="EB611" s="121"/>
      <c r="EC611" s="121"/>
      <c r="ED611" s="121"/>
      <c r="EE611" s="121"/>
      <c r="EF611" s="121"/>
      <c r="EG611" s="123"/>
      <c r="EH611" s="127"/>
      <c r="EI611" s="125"/>
      <c r="EJ611" s="126"/>
      <c r="EK611" s="30"/>
      <c r="EL611" s="127"/>
      <c r="EM611" s="128"/>
      <c r="EN611" s="123"/>
      <c r="EO611" s="128"/>
      <c r="EP611" s="13"/>
      <c r="EQ611" s="129"/>
      <c r="ER611" s="123"/>
      <c r="ES611" s="130"/>
      <c r="ET611" s="13"/>
      <c r="EU611" s="123"/>
      <c r="EV611" s="131"/>
    </row>
    <row r="612" spans="35:152">
      <c r="AI612" s="121"/>
      <c r="AJ612" s="13"/>
      <c r="AK612" s="13"/>
      <c r="AL612" s="13"/>
      <c r="AM612" s="13"/>
      <c r="AN612" s="13"/>
      <c r="AO612" s="13"/>
      <c r="AW612" s="121"/>
      <c r="AX612" s="121"/>
      <c r="AY612" s="121"/>
      <c r="AZ612" s="121"/>
      <c r="BA612" s="121"/>
      <c r="BB612" s="121"/>
      <c r="BC612" s="121"/>
      <c r="BD612" s="121"/>
      <c r="BE612" s="121"/>
      <c r="BF612" s="121"/>
      <c r="BG612" s="123"/>
      <c r="BH612" s="127"/>
      <c r="BI612" s="125"/>
      <c r="BJ612" s="126"/>
      <c r="BK612" s="30"/>
      <c r="BL612" s="127"/>
      <c r="BM612" s="128"/>
      <c r="BN612" s="123"/>
      <c r="BO612" s="128"/>
      <c r="BP612" s="13"/>
      <c r="BQ612" s="129"/>
      <c r="BR612" s="123"/>
      <c r="BS612" s="130"/>
      <c r="BT612" s="13"/>
      <c r="BU612" s="123"/>
      <c r="BV612" s="131"/>
      <c r="DI612" s="121"/>
      <c r="DJ612" s="13"/>
      <c r="DK612" s="13"/>
      <c r="DL612" s="13"/>
      <c r="DM612" s="13"/>
      <c r="DN612" s="13"/>
      <c r="DO612" s="13"/>
      <c r="DW612" s="121"/>
      <c r="DX612" s="121"/>
      <c r="DY612" s="121"/>
      <c r="DZ612" s="121"/>
      <c r="EA612" s="121"/>
      <c r="EB612" s="121"/>
      <c r="EC612" s="121"/>
      <c r="ED612" s="121"/>
      <c r="EE612" s="121"/>
      <c r="EF612" s="121"/>
      <c r="EG612" s="123"/>
      <c r="EH612" s="127"/>
      <c r="EI612" s="125"/>
      <c r="EJ612" s="126"/>
      <c r="EK612" s="30"/>
      <c r="EL612" s="127"/>
      <c r="EM612" s="128"/>
      <c r="EN612" s="123"/>
      <c r="EO612" s="128"/>
      <c r="EP612" s="13"/>
      <c r="EQ612" s="129"/>
      <c r="ER612" s="123"/>
      <c r="ES612" s="130"/>
      <c r="ET612" s="13"/>
      <c r="EU612" s="123"/>
      <c r="EV612" s="131"/>
    </row>
    <row r="613" spans="35:152">
      <c r="AI613" s="121"/>
      <c r="AJ613" s="13"/>
      <c r="AK613" s="13"/>
      <c r="AL613" s="13"/>
      <c r="AM613" s="13"/>
      <c r="AN613" s="13"/>
      <c r="AO613" s="13"/>
      <c r="AW613" s="121"/>
      <c r="AX613" s="121"/>
      <c r="AY613" s="121"/>
      <c r="AZ613" s="121"/>
      <c r="BA613" s="121"/>
      <c r="BB613" s="121"/>
      <c r="BC613" s="121"/>
      <c r="BD613" s="121"/>
      <c r="BE613" s="121"/>
      <c r="BF613" s="121"/>
      <c r="BG613" s="123"/>
      <c r="BH613" s="127"/>
      <c r="BI613" s="125"/>
      <c r="BJ613" s="126"/>
      <c r="BK613" s="30"/>
      <c r="BL613" s="127"/>
      <c r="BM613" s="128"/>
      <c r="BN613" s="123"/>
      <c r="BO613" s="128"/>
      <c r="BP613" s="13"/>
      <c r="BQ613" s="129"/>
      <c r="BR613" s="123"/>
      <c r="BS613" s="130"/>
      <c r="BT613" s="13"/>
      <c r="BU613" s="123"/>
      <c r="BV613" s="131"/>
      <c r="DI613" s="121"/>
      <c r="DJ613" s="13"/>
      <c r="DK613" s="13"/>
      <c r="DL613" s="13"/>
      <c r="DM613" s="13"/>
      <c r="DN613" s="13"/>
      <c r="DO613" s="13"/>
      <c r="DW613" s="121"/>
      <c r="DX613" s="121"/>
      <c r="DY613" s="121"/>
      <c r="DZ613" s="121"/>
      <c r="EA613" s="121"/>
      <c r="EB613" s="121"/>
      <c r="EC613" s="121"/>
      <c r="ED613" s="121"/>
      <c r="EE613" s="121"/>
      <c r="EF613" s="121"/>
      <c r="EG613" s="123"/>
      <c r="EH613" s="127"/>
      <c r="EI613" s="125"/>
      <c r="EJ613" s="126"/>
      <c r="EK613" s="30"/>
      <c r="EL613" s="127"/>
      <c r="EM613" s="128"/>
      <c r="EN613" s="123"/>
      <c r="EO613" s="128"/>
      <c r="EP613" s="13"/>
      <c r="EQ613" s="129"/>
      <c r="ER613" s="123"/>
      <c r="ES613" s="130"/>
      <c r="ET613" s="13"/>
      <c r="EU613" s="123"/>
      <c r="EV613" s="131"/>
    </row>
    <row r="614" spans="35:152">
      <c r="AI614" s="121"/>
      <c r="AJ614" s="13"/>
      <c r="AK614" s="13"/>
      <c r="AL614" s="13"/>
      <c r="AM614" s="13"/>
      <c r="AN614" s="13"/>
      <c r="AO614" s="13"/>
      <c r="AW614" s="121"/>
      <c r="AX614" s="121"/>
      <c r="AY614" s="121"/>
      <c r="AZ614" s="121"/>
      <c r="BA614" s="121"/>
      <c r="BB614" s="121"/>
      <c r="BC614" s="121"/>
      <c r="BD614" s="121"/>
      <c r="BE614" s="121"/>
      <c r="BF614" s="121"/>
      <c r="BG614" s="123"/>
      <c r="BH614" s="127"/>
      <c r="BI614" s="125"/>
      <c r="BJ614" s="126"/>
      <c r="BK614" s="30"/>
      <c r="BL614" s="127"/>
      <c r="BM614" s="128"/>
      <c r="BN614" s="123"/>
      <c r="BO614" s="128"/>
      <c r="BP614" s="13"/>
      <c r="BQ614" s="129"/>
      <c r="BR614" s="123"/>
      <c r="BS614" s="130"/>
      <c r="BT614" s="13"/>
      <c r="BU614" s="123"/>
      <c r="BV614" s="131"/>
      <c r="DI614" s="121"/>
      <c r="DJ614" s="13"/>
      <c r="DK614" s="13"/>
      <c r="DL614" s="13"/>
      <c r="DM614" s="13"/>
      <c r="DN614" s="13"/>
      <c r="DO614" s="13"/>
      <c r="DW614" s="121"/>
      <c r="DX614" s="121"/>
      <c r="DY614" s="121"/>
      <c r="DZ614" s="121"/>
      <c r="EA614" s="121"/>
      <c r="EB614" s="121"/>
      <c r="EC614" s="121"/>
      <c r="ED614" s="121"/>
      <c r="EE614" s="121"/>
      <c r="EF614" s="121"/>
      <c r="EG614" s="123"/>
      <c r="EH614" s="127"/>
      <c r="EI614" s="125"/>
      <c r="EJ614" s="126"/>
      <c r="EK614" s="30"/>
      <c r="EL614" s="127"/>
      <c r="EM614" s="128"/>
      <c r="EN614" s="123"/>
      <c r="EO614" s="128"/>
      <c r="EP614" s="13"/>
      <c r="EQ614" s="129"/>
      <c r="ER614" s="123"/>
      <c r="ES614" s="130"/>
      <c r="ET614" s="13"/>
      <c r="EU614" s="123"/>
      <c r="EV614" s="131"/>
    </row>
    <row r="615" spans="35:152">
      <c r="AI615" s="121"/>
      <c r="AJ615" s="13"/>
      <c r="AK615" s="13"/>
      <c r="AL615" s="13"/>
      <c r="AM615" s="13"/>
      <c r="AN615" s="13"/>
      <c r="AO615" s="13"/>
      <c r="AW615" s="121"/>
      <c r="AX615" s="121"/>
      <c r="AY615" s="121"/>
      <c r="AZ615" s="121"/>
      <c r="BA615" s="121"/>
      <c r="BB615" s="121"/>
      <c r="BC615" s="121"/>
      <c r="BD615" s="121"/>
      <c r="BE615" s="121"/>
      <c r="BF615" s="121"/>
      <c r="BG615" s="123"/>
      <c r="BH615" s="127"/>
      <c r="BI615" s="125"/>
      <c r="BJ615" s="126"/>
      <c r="BK615" s="30"/>
      <c r="BL615" s="127"/>
      <c r="BM615" s="128"/>
      <c r="BN615" s="123"/>
      <c r="BO615" s="128"/>
      <c r="BP615" s="13"/>
      <c r="BQ615" s="129"/>
      <c r="BR615" s="123"/>
      <c r="BS615" s="130"/>
      <c r="BT615" s="13"/>
      <c r="BU615" s="123"/>
      <c r="BV615" s="131"/>
      <c r="DI615" s="121"/>
      <c r="DJ615" s="13"/>
      <c r="DK615" s="13"/>
      <c r="DL615" s="13"/>
      <c r="DM615" s="13"/>
      <c r="DN615" s="13"/>
      <c r="DO615" s="13"/>
      <c r="DW615" s="121"/>
      <c r="DX615" s="121"/>
      <c r="DY615" s="121"/>
      <c r="DZ615" s="121"/>
      <c r="EA615" s="121"/>
      <c r="EB615" s="121"/>
      <c r="EC615" s="121"/>
      <c r="ED615" s="121"/>
      <c r="EE615" s="121"/>
      <c r="EF615" s="121"/>
      <c r="EG615" s="123"/>
      <c r="EH615" s="127"/>
      <c r="EI615" s="125"/>
      <c r="EJ615" s="126"/>
      <c r="EK615" s="30"/>
      <c r="EL615" s="127"/>
      <c r="EM615" s="128"/>
      <c r="EN615" s="123"/>
      <c r="EO615" s="128"/>
      <c r="EP615" s="13"/>
      <c r="EQ615" s="129"/>
      <c r="ER615" s="123"/>
      <c r="ES615" s="130"/>
      <c r="ET615" s="13"/>
      <c r="EU615" s="123"/>
      <c r="EV615" s="131"/>
    </row>
    <row r="616" spans="35:152">
      <c r="AI616" s="121"/>
      <c r="AJ616" s="13"/>
      <c r="AK616" s="13"/>
      <c r="AL616" s="13"/>
      <c r="AM616" s="13"/>
      <c r="AN616" s="13"/>
      <c r="AO616" s="13"/>
      <c r="AW616" s="121"/>
      <c r="AX616" s="121"/>
      <c r="AY616" s="121"/>
      <c r="AZ616" s="121"/>
      <c r="BA616" s="121"/>
      <c r="BB616" s="121"/>
      <c r="BC616" s="121"/>
      <c r="BD616" s="121"/>
      <c r="BE616" s="121"/>
      <c r="BF616" s="121"/>
      <c r="BG616" s="123"/>
      <c r="BH616" s="127"/>
      <c r="BI616" s="125"/>
      <c r="BJ616" s="126"/>
      <c r="BK616" s="30"/>
      <c r="BL616" s="127"/>
      <c r="BM616" s="128"/>
      <c r="BN616" s="123"/>
      <c r="BO616" s="128"/>
      <c r="BP616" s="13"/>
      <c r="BQ616" s="129"/>
      <c r="BR616" s="123"/>
      <c r="BS616" s="130"/>
      <c r="BT616" s="13"/>
      <c r="BU616" s="123"/>
      <c r="BV616" s="131"/>
      <c r="DI616" s="121"/>
      <c r="DJ616" s="13"/>
      <c r="DK616" s="13"/>
      <c r="DL616" s="13"/>
      <c r="DM616" s="13"/>
      <c r="DN616" s="13"/>
      <c r="DO616" s="13"/>
      <c r="DW616" s="121"/>
      <c r="DX616" s="121"/>
      <c r="DY616" s="121"/>
      <c r="DZ616" s="121"/>
      <c r="EA616" s="121"/>
      <c r="EB616" s="121"/>
      <c r="EC616" s="121"/>
      <c r="ED616" s="121"/>
      <c r="EE616" s="121"/>
      <c r="EF616" s="121"/>
      <c r="EG616" s="123"/>
      <c r="EH616" s="127"/>
      <c r="EI616" s="125"/>
      <c r="EJ616" s="126"/>
      <c r="EK616" s="30"/>
      <c r="EL616" s="127"/>
      <c r="EM616" s="128"/>
      <c r="EN616" s="123"/>
      <c r="EO616" s="128"/>
      <c r="EP616" s="13"/>
      <c r="EQ616" s="129"/>
      <c r="ER616" s="123"/>
      <c r="ES616" s="130"/>
      <c r="ET616" s="13"/>
      <c r="EU616" s="123"/>
      <c r="EV616" s="131"/>
    </row>
    <row r="617" spans="35:152">
      <c r="AI617" s="121"/>
      <c r="AJ617" s="13"/>
      <c r="AK617" s="13"/>
      <c r="AL617" s="13"/>
      <c r="AM617" s="13"/>
      <c r="AN617" s="13"/>
      <c r="AO617" s="13"/>
      <c r="AW617" s="121"/>
      <c r="AX617" s="121"/>
      <c r="AY617" s="121"/>
      <c r="AZ617" s="121"/>
      <c r="BA617" s="121"/>
      <c r="BB617" s="121"/>
      <c r="BC617" s="121"/>
      <c r="BD617" s="121"/>
      <c r="BE617" s="121"/>
      <c r="BF617" s="121"/>
      <c r="BG617" s="123"/>
      <c r="BH617" s="127"/>
      <c r="BI617" s="125"/>
      <c r="BJ617" s="126"/>
      <c r="BK617" s="30"/>
      <c r="BL617" s="127"/>
      <c r="BM617" s="128"/>
      <c r="BN617" s="123"/>
      <c r="BO617" s="128"/>
      <c r="BP617" s="13"/>
      <c r="BQ617" s="129"/>
      <c r="BR617" s="123"/>
      <c r="BS617" s="130"/>
      <c r="BT617" s="13"/>
      <c r="BU617" s="123"/>
      <c r="BV617" s="131"/>
      <c r="DI617" s="121"/>
      <c r="DJ617" s="13"/>
      <c r="DK617" s="13"/>
      <c r="DL617" s="13"/>
      <c r="DM617" s="13"/>
      <c r="DN617" s="13"/>
      <c r="DO617" s="13"/>
      <c r="DW617" s="121"/>
      <c r="DX617" s="121"/>
      <c r="DY617" s="121"/>
      <c r="DZ617" s="121"/>
      <c r="EA617" s="121"/>
      <c r="EB617" s="121"/>
      <c r="EC617" s="121"/>
      <c r="ED617" s="121"/>
      <c r="EE617" s="121"/>
      <c r="EF617" s="121"/>
      <c r="EG617" s="123"/>
      <c r="EH617" s="127"/>
      <c r="EI617" s="125"/>
      <c r="EJ617" s="126"/>
      <c r="EK617" s="30"/>
      <c r="EL617" s="127"/>
      <c r="EM617" s="128"/>
      <c r="EN617" s="123"/>
      <c r="EO617" s="128"/>
      <c r="EP617" s="13"/>
      <c r="EQ617" s="129"/>
      <c r="ER617" s="123"/>
      <c r="ES617" s="130"/>
      <c r="ET617" s="13"/>
      <c r="EU617" s="123"/>
      <c r="EV617" s="131"/>
    </row>
    <row r="618" spans="35:152">
      <c r="AI618" s="121"/>
      <c r="AJ618" s="13"/>
      <c r="AK618" s="13"/>
      <c r="AL618" s="13"/>
      <c r="AM618" s="13"/>
      <c r="AN618" s="13"/>
      <c r="AO618" s="13"/>
      <c r="AW618" s="121"/>
      <c r="AX618" s="121"/>
      <c r="AY618" s="121"/>
      <c r="AZ618" s="121"/>
      <c r="BA618" s="121"/>
      <c r="BB618" s="121"/>
      <c r="BC618" s="121"/>
      <c r="BD618" s="121"/>
      <c r="BE618" s="121"/>
      <c r="BF618" s="121"/>
      <c r="BG618" s="123"/>
      <c r="BH618" s="127"/>
      <c r="BI618" s="125"/>
      <c r="BJ618" s="126"/>
      <c r="BK618" s="30"/>
      <c r="BL618" s="127"/>
      <c r="BM618" s="128"/>
      <c r="BN618" s="123"/>
      <c r="BO618" s="128"/>
      <c r="BP618" s="13"/>
      <c r="BQ618" s="129"/>
      <c r="BR618" s="123"/>
      <c r="BS618" s="130"/>
      <c r="BT618" s="13"/>
      <c r="BU618" s="123"/>
      <c r="BV618" s="131"/>
      <c r="DI618" s="121"/>
      <c r="DJ618" s="13"/>
      <c r="DK618" s="13"/>
      <c r="DL618" s="13"/>
      <c r="DM618" s="13"/>
      <c r="DN618" s="13"/>
      <c r="DO618" s="13"/>
      <c r="DW618" s="121"/>
      <c r="DX618" s="121"/>
      <c r="DY618" s="121"/>
      <c r="DZ618" s="121"/>
      <c r="EA618" s="121"/>
      <c r="EB618" s="121"/>
      <c r="EC618" s="121"/>
      <c r="ED618" s="121"/>
      <c r="EE618" s="121"/>
      <c r="EF618" s="121"/>
      <c r="EG618" s="123"/>
      <c r="EH618" s="127"/>
      <c r="EI618" s="125"/>
      <c r="EJ618" s="126"/>
      <c r="EK618" s="30"/>
      <c r="EL618" s="127"/>
      <c r="EM618" s="128"/>
      <c r="EN618" s="123"/>
      <c r="EO618" s="128"/>
      <c r="EP618" s="13"/>
      <c r="EQ618" s="129"/>
      <c r="ER618" s="123"/>
      <c r="ES618" s="130"/>
      <c r="ET618" s="13"/>
      <c r="EU618" s="123"/>
      <c r="EV618" s="131"/>
    </row>
    <row r="619" spans="35:152">
      <c r="AI619" s="121"/>
      <c r="AJ619" s="13"/>
      <c r="AK619" s="13"/>
      <c r="AL619" s="13"/>
      <c r="AM619" s="13"/>
      <c r="AN619" s="13"/>
      <c r="AO619" s="13"/>
      <c r="AW619" s="121"/>
      <c r="AX619" s="121"/>
      <c r="AY619" s="121"/>
      <c r="AZ619" s="121"/>
      <c r="BA619" s="121"/>
      <c r="BB619" s="121"/>
      <c r="BC619" s="121"/>
      <c r="BD619" s="121"/>
      <c r="BE619" s="121"/>
      <c r="BF619" s="121"/>
      <c r="BG619" s="123"/>
      <c r="BH619" s="127"/>
      <c r="BI619" s="125"/>
      <c r="BJ619" s="126"/>
      <c r="BK619" s="30"/>
      <c r="BL619" s="127"/>
      <c r="BM619" s="128"/>
      <c r="BN619" s="123"/>
      <c r="BO619" s="128"/>
      <c r="BP619" s="13"/>
      <c r="BQ619" s="129"/>
      <c r="BR619" s="123"/>
      <c r="BS619" s="130"/>
      <c r="BT619" s="13"/>
      <c r="BU619" s="123"/>
      <c r="BV619" s="131"/>
      <c r="DI619" s="121"/>
      <c r="DJ619" s="13"/>
      <c r="DK619" s="13"/>
      <c r="DL619" s="13"/>
      <c r="DM619" s="13"/>
      <c r="DN619" s="13"/>
      <c r="DO619" s="13"/>
      <c r="DW619" s="121"/>
      <c r="DX619" s="121"/>
      <c r="DY619" s="121"/>
      <c r="DZ619" s="121"/>
      <c r="EA619" s="121"/>
      <c r="EB619" s="121"/>
      <c r="EC619" s="121"/>
      <c r="ED619" s="121"/>
      <c r="EE619" s="121"/>
      <c r="EF619" s="121"/>
      <c r="EG619" s="123"/>
      <c r="EH619" s="127"/>
      <c r="EI619" s="125"/>
      <c r="EJ619" s="126"/>
      <c r="EK619" s="30"/>
      <c r="EL619" s="127"/>
      <c r="EM619" s="128"/>
      <c r="EN619" s="123"/>
      <c r="EO619" s="128"/>
      <c r="EP619" s="13"/>
      <c r="EQ619" s="129"/>
      <c r="ER619" s="123"/>
      <c r="ES619" s="130"/>
      <c r="ET619" s="13"/>
      <c r="EU619" s="123"/>
      <c r="EV619" s="131"/>
    </row>
    <row r="620" spans="35:152">
      <c r="AI620" s="121"/>
      <c r="AJ620" s="13"/>
      <c r="AK620" s="13"/>
      <c r="AL620" s="13"/>
      <c r="AM620" s="13"/>
      <c r="AN620" s="13"/>
      <c r="AO620" s="13"/>
      <c r="AW620" s="121"/>
      <c r="AX620" s="121"/>
      <c r="AY620" s="121"/>
      <c r="AZ620" s="121"/>
      <c r="BA620" s="121"/>
      <c r="BB620" s="121"/>
      <c r="BC620" s="121"/>
      <c r="BD620" s="121"/>
      <c r="BE620" s="121"/>
      <c r="BF620" s="121"/>
      <c r="BG620" s="123"/>
      <c r="BH620" s="127"/>
      <c r="BI620" s="125"/>
      <c r="BJ620" s="126"/>
      <c r="BK620" s="30"/>
      <c r="BL620" s="127"/>
      <c r="BM620" s="128"/>
      <c r="BN620" s="123"/>
      <c r="BO620" s="128"/>
      <c r="BP620" s="13"/>
      <c r="BQ620" s="129"/>
      <c r="BR620" s="123"/>
      <c r="BS620" s="130"/>
      <c r="BT620" s="13"/>
      <c r="BU620" s="123"/>
      <c r="BV620" s="131"/>
      <c r="DI620" s="121"/>
      <c r="DJ620" s="13"/>
      <c r="DK620" s="13"/>
      <c r="DL620" s="13"/>
      <c r="DM620" s="13"/>
      <c r="DN620" s="13"/>
      <c r="DO620" s="13"/>
      <c r="DW620" s="121"/>
      <c r="DX620" s="121"/>
      <c r="DY620" s="121"/>
      <c r="DZ620" s="121"/>
      <c r="EA620" s="121"/>
      <c r="EB620" s="121"/>
      <c r="EC620" s="121"/>
      <c r="ED620" s="121"/>
      <c r="EE620" s="121"/>
      <c r="EF620" s="121"/>
      <c r="EG620" s="123"/>
      <c r="EH620" s="127"/>
      <c r="EI620" s="125"/>
      <c r="EJ620" s="126"/>
      <c r="EK620" s="30"/>
      <c r="EL620" s="127"/>
      <c r="EM620" s="128"/>
      <c r="EN620" s="123"/>
      <c r="EO620" s="128"/>
      <c r="EP620" s="13"/>
      <c r="EQ620" s="129"/>
      <c r="ER620" s="123"/>
      <c r="ES620" s="130"/>
      <c r="ET620" s="13"/>
      <c r="EU620" s="123"/>
      <c r="EV620" s="131"/>
    </row>
    <row r="621" spans="35:152">
      <c r="AI621" s="121"/>
      <c r="AJ621" s="13"/>
      <c r="AK621" s="13"/>
      <c r="AL621" s="13"/>
      <c r="AM621" s="13"/>
      <c r="AN621" s="13"/>
      <c r="AO621" s="13"/>
      <c r="AW621" s="121"/>
      <c r="AX621" s="121"/>
      <c r="AY621" s="121"/>
      <c r="AZ621" s="121"/>
      <c r="BA621" s="121"/>
      <c r="BB621" s="121"/>
      <c r="BC621" s="121"/>
      <c r="BD621" s="121"/>
      <c r="BE621" s="121"/>
      <c r="BF621" s="121"/>
      <c r="BG621" s="123"/>
      <c r="BH621" s="127"/>
      <c r="BI621" s="125"/>
      <c r="BJ621" s="126"/>
      <c r="BK621" s="30"/>
      <c r="BL621" s="127"/>
      <c r="BM621" s="128"/>
      <c r="BN621" s="123"/>
      <c r="BO621" s="128"/>
      <c r="BP621" s="13"/>
      <c r="BQ621" s="129"/>
      <c r="BR621" s="123"/>
      <c r="BS621" s="130"/>
      <c r="BT621" s="13"/>
      <c r="BU621" s="123"/>
      <c r="BV621" s="131"/>
      <c r="DI621" s="121"/>
      <c r="DJ621" s="13"/>
      <c r="DK621" s="13"/>
      <c r="DL621" s="13"/>
      <c r="DM621" s="13"/>
      <c r="DN621" s="13"/>
      <c r="DO621" s="13"/>
      <c r="DW621" s="121"/>
      <c r="DX621" s="121"/>
      <c r="DY621" s="121"/>
      <c r="DZ621" s="121"/>
      <c r="EA621" s="121"/>
      <c r="EB621" s="121"/>
      <c r="EC621" s="121"/>
      <c r="ED621" s="121"/>
      <c r="EE621" s="121"/>
      <c r="EF621" s="121"/>
      <c r="EG621" s="123"/>
      <c r="EH621" s="127"/>
      <c r="EI621" s="125"/>
      <c r="EJ621" s="126"/>
      <c r="EK621" s="30"/>
      <c r="EL621" s="127"/>
      <c r="EM621" s="128"/>
      <c r="EN621" s="123"/>
      <c r="EO621" s="128"/>
      <c r="EP621" s="13"/>
      <c r="EQ621" s="129"/>
      <c r="ER621" s="123"/>
      <c r="ES621" s="130"/>
      <c r="ET621" s="13"/>
      <c r="EU621" s="123"/>
      <c r="EV621" s="131"/>
    </row>
    <row r="622" spans="35:152">
      <c r="AI622" s="121"/>
      <c r="AJ622" s="13"/>
      <c r="AK622" s="13"/>
      <c r="AL622" s="13"/>
      <c r="AM622" s="13"/>
      <c r="AN622" s="13"/>
      <c r="AO622" s="13"/>
      <c r="AW622" s="121"/>
      <c r="AX622" s="121"/>
      <c r="AY622" s="121"/>
      <c r="AZ622" s="121"/>
      <c r="BA622" s="121"/>
      <c r="BB622" s="121"/>
      <c r="BC622" s="121"/>
      <c r="BD622" s="121"/>
      <c r="BE622" s="121"/>
      <c r="BF622" s="121"/>
      <c r="BG622" s="123"/>
      <c r="BH622" s="127"/>
      <c r="BI622" s="125"/>
      <c r="BJ622" s="126"/>
      <c r="BK622" s="30"/>
      <c r="BL622" s="127"/>
      <c r="BM622" s="128"/>
      <c r="BN622" s="123"/>
      <c r="BO622" s="128"/>
      <c r="BP622" s="13"/>
      <c r="BQ622" s="129"/>
      <c r="BR622" s="123"/>
      <c r="BS622" s="130"/>
      <c r="BT622" s="13"/>
      <c r="BU622" s="123"/>
      <c r="BV622" s="131"/>
      <c r="DI622" s="121"/>
      <c r="DJ622" s="13"/>
      <c r="DK622" s="13"/>
      <c r="DL622" s="13"/>
      <c r="DM622" s="13"/>
      <c r="DN622" s="13"/>
      <c r="DO622" s="13"/>
      <c r="DW622" s="121"/>
      <c r="DX622" s="121"/>
      <c r="DY622" s="121"/>
      <c r="DZ622" s="121"/>
      <c r="EA622" s="121"/>
      <c r="EB622" s="121"/>
      <c r="EC622" s="121"/>
      <c r="ED622" s="121"/>
      <c r="EE622" s="121"/>
      <c r="EF622" s="121"/>
      <c r="EG622" s="123"/>
      <c r="EH622" s="127"/>
      <c r="EI622" s="125"/>
      <c r="EJ622" s="126"/>
      <c r="EK622" s="30"/>
      <c r="EL622" s="127"/>
      <c r="EM622" s="128"/>
      <c r="EN622" s="123"/>
      <c r="EO622" s="128"/>
      <c r="EP622" s="13"/>
      <c r="EQ622" s="129"/>
      <c r="ER622" s="123"/>
      <c r="ES622" s="130"/>
      <c r="ET622" s="13"/>
      <c r="EU622" s="123"/>
      <c r="EV622" s="131"/>
    </row>
    <row r="623" spans="35:152">
      <c r="AI623" s="121"/>
      <c r="AJ623" s="13"/>
      <c r="AK623" s="13"/>
      <c r="AL623" s="13"/>
      <c r="AM623" s="13"/>
      <c r="AN623" s="13"/>
      <c r="AO623" s="13"/>
      <c r="AW623" s="121"/>
      <c r="AX623" s="121"/>
      <c r="AY623" s="121"/>
      <c r="AZ623" s="121"/>
      <c r="BA623" s="121"/>
      <c r="BB623" s="121"/>
      <c r="BC623" s="121"/>
      <c r="BD623" s="121"/>
      <c r="BE623" s="121"/>
      <c r="BF623" s="121"/>
      <c r="BG623" s="123"/>
      <c r="BH623" s="127"/>
      <c r="BI623" s="125"/>
      <c r="BJ623" s="126"/>
      <c r="BK623" s="30"/>
      <c r="BL623" s="127"/>
      <c r="BM623" s="128"/>
      <c r="BN623" s="123"/>
      <c r="BO623" s="128"/>
      <c r="BP623" s="13"/>
      <c r="BQ623" s="129"/>
      <c r="BR623" s="123"/>
      <c r="BS623" s="130"/>
      <c r="BT623" s="13"/>
      <c r="BU623" s="123"/>
      <c r="BV623" s="131"/>
      <c r="DI623" s="121"/>
      <c r="DJ623" s="13"/>
      <c r="DK623" s="13"/>
      <c r="DL623" s="13"/>
      <c r="DM623" s="13"/>
      <c r="DN623" s="13"/>
      <c r="DO623" s="13"/>
      <c r="DW623" s="121"/>
      <c r="DX623" s="121"/>
      <c r="DY623" s="121"/>
      <c r="DZ623" s="121"/>
      <c r="EA623" s="121"/>
      <c r="EB623" s="121"/>
      <c r="EC623" s="121"/>
      <c r="ED623" s="121"/>
      <c r="EE623" s="121"/>
      <c r="EF623" s="121"/>
      <c r="EG623" s="123"/>
      <c r="EH623" s="127"/>
      <c r="EI623" s="125"/>
      <c r="EJ623" s="126"/>
      <c r="EK623" s="30"/>
      <c r="EL623" s="127"/>
      <c r="EM623" s="128"/>
      <c r="EN623" s="123"/>
      <c r="EO623" s="128"/>
      <c r="EP623" s="13"/>
      <c r="EQ623" s="129"/>
      <c r="ER623" s="123"/>
      <c r="ES623" s="130"/>
      <c r="ET623" s="13"/>
      <c r="EU623" s="123"/>
      <c r="EV623" s="131"/>
    </row>
    <row r="624" spans="35:152">
      <c r="AI624" s="121"/>
      <c r="AJ624" s="13"/>
      <c r="AK624" s="13"/>
      <c r="AL624" s="13"/>
      <c r="AM624" s="13"/>
      <c r="AN624" s="13"/>
      <c r="AO624" s="13"/>
      <c r="AW624" s="121"/>
      <c r="AX624" s="121"/>
      <c r="AY624" s="121"/>
      <c r="AZ624" s="121"/>
      <c r="BA624" s="121"/>
      <c r="BB624" s="121"/>
      <c r="BC624" s="121"/>
      <c r="BD624" s="121"/>
      <c r="BE624" s="121"/>
      <c r="BF624" s="121"/>
      <c r="BG624" s="123"/>
      <c r="BH624" s="127"/>
      <c r="BI624" s="125"/>
      <c r="BJ624" s="126"/>
      <c r="BK624" s="30"/>
      <c r="BL624" s="127"/>
      <c r="BM624" s="128"/>
      <c r="BN624" s="123"/>
      <c r="BO624" s="128"/>
      <c r="BP624" s="13"/>
      <c r="BQ624" s="129"/>
      <c r="BR624" s="123"/>
      <c r="BS624" s="130"/>
      <c r="BT624" s="13"/>
      <c r="BU624" s="123"/>
      <c r="BV624" s="131"/>
      <c r="DI624" s="121"/>
      <c r="DJ624" s="13"/>
      <c r="DK624" s="13"/>
      <c r="DL624" s="13"/>
      <c r="DM624" s="13"/>
      <c r="DN624" s="13"/>
      <c r="DO624" s="13"/>
      <c r="DW624" s="121"/>
      <c r="DX624" s="121"/>
      <c r="DY624" s="121"/>
      <c r="DZ624" s="121"/>
      <c r="EA624" s="121"/>
      <c r="EB624" s="121"/>
      <c r="EC624" s="121"/>
      <c r="ED624" s="121"/>
      <c r="EE624" s="121"/>
      <c r="EF624" s="121"/>
      <c r="EG624" s="123"/>
      <c r="EH624" s="127"/>
      <c r="EI624" s="125"/>
      <c r="EJ624" s="126"/>
      <c r="EK624" s="30"/>
      <c r="EL624" s="127"/>
      <c r="EM624" s="128"/>
      <c r="EN624" s="123"/>
      <c r="EO624" s="128"/>
      <c r="EP624" s="13"/>
      <c r="EQ624" s="129"/>
      <c r="ER624" s="123"/>
      <c r="ES624" s="130"/>
      <c r="ET624" s="13"/>
      <c r="EU624" s="123"/>
      <c r="EV624" s="131"/>
    </row>
    <row r="625" spans="35:152">
      <c r="AI625" s="121"/>
      <c r="AJ625" s="13"/>
      <c r="AK625" s="13"/>
      <c r="AL625" s="13"/>
      <c r="AM625" s="13"/>
      <c r="AN625" s="13"/>
      <c r="AO625" s="13"/>
      <c r="AW625" s="121"/>
      <c r="AX625" s="121"/>
      <c r="AY625" s="121"/>
      <c r="AZ625" s="121"/>
      <c r="BA625" s="121"/>
      <c r="BB625" s="121"/>
      <c r="BC625" s="121"/>
      <c r="BD625" s="121"/>
      <c r="BE625" s="121"/>
      <c r="BF625" s="121"/>
      <c r="BG625" s="123"/>
      <c r="BH625" s="127"/>
      <c r="BI625" s="125"/>
      <c r="BJ625" s="126"/>
      <c r="BK625" s="30"/>
      <c r="BL625" s="127"/>
      <c r="BM625" s="128"/>
      <c r="BN625" s="123"/>
      <c r="BO625" s="128"/>
      <c r="BP625" s="13"/>
      <c r="BQ625" s="129"/>
      <c r="BR625" s="123"/>
      <c r="BS625" s="130"/>
      <c r="BT625" s="13"/>
      <c r="BU625" s="123"/>
      <c r="BV625" s="131"/>
      <c r="DI625" s="121"/>
      <c r="DJ625" s="13"/>
      <c r="DK625" s="13"/>
      <c r="DL625" s="13"/>
      <c r="DM625" s="13"/>
      <c r="DN625" s="13"/>
      <c r="DO625" s="13"/>
      <c r="DW625" s="121"/>
      <c r="DX625" s="121"/>
      <c r="DY625" s="121"/>
      <c r="DZ625" s="121"/>
      <c r="EA625" s="121"/>
      <c r="EB625" s="121"/>
      <c r="EC625" s="121"/>
      <c r="ED625" s="121"/>
      <c r="EE625" s="121"/>
      <c r="EF625" s="121"/>
      <c r="EG625" s="123"/>
      <c r="EH625" s="127"/>
      <c r="EI625" s="125"/>
      <c r="EJ625" s="126"/>
      <c r="EK625" s="30"/>
      <c r="EL625" s="127"/>
      <c r="EM625" s="128"/>
      <c r="EN625" s="123"/>
      <c r="EO625" s="128"/>
      <c r="EP625" s="13"/>
      <c r="EQ625" s="129"/>
      <c r="ER625" s="123"/>
      <c r="ES625" s="130"/>
      <c r="ET625" s="13"/>
      <c r="EU625" s="123"/>
      <c r="EV625" s="131"/>
    </row>
    <row r="626" spans="35:152">
      <c r="AI626" s="121"/>
      <c r="AJ626" s="13"/>
      <c r="AK626" s="13"/>
      <c r="AL626" s="13"/>
      <c r="AM626" s="13"/>
      <c r="AN626" s="13"/>
      <c r="AO626" s="13"/>
      <c r="AW626" s="121"/>
      <c r="AX626" s="121"/>
      <c r="AY626" s="121"/>
      <c r="AZ626" s="121"/>
      <c r="BA626" s="121"/>
      <c r="BB626" s="121"/>
      <c r="BC626" s="121"/>
      <c r="BD626" s="121"/>
      <c r="BE626" s="121"/>
      <c r="BF626" s="121"/>
      <c r="BG626" s="123"/>
      <c r="BH626" s="127"/>
      <c r="BI626" s="125"/>
      <c r="BJ626" s="126"/>
      <c r="BK626" s="30"/>
      <c r="BL626" s="127"/>
      <c r="BM626" s="128"/>
      <c r="BN626" s="123"/>
      <c r="BO626" s="128"/>
      <c r="BP626" s="13"/>
      <c r="BQ626" s="129"/>
      <c r="BR626" s="123"/>
      <c r="BS626" s="130"/>
      <c r="BT626" s="13"/>
      <c r="BU626" s="123"/>
      <c r="BV626" s="131"/>
      <c r="DI626" s="121"/>
      <c r="DJ626" s="13"/>
      <c r="DK626" s="13"/>
      <c r="DL626" s="13"/>
      <c r="DM626" s="13"/>
      <c r="DN626" s="13"/>
      <c r="DO626" s="13"/>
      <c r="DW626" s="121"/>
      <c r="DX626" s="121"/>
      <c r="DY626" s="121"/>
      <c r="DZ626" s="121"/>
      <c r="EA626" s="121"/>
      <c r="EB626" s="121"/>
      <c r="EC626" s="121"/>
      <c r="ED626" s="121"/>
      <c r="EE626" s="121"/>
      <c r="EF626" s="121"/>
      <c r="EG626" s="123"/>
      <c r="EH626" s="127"/>
      <c r="EI626" s="125"/>
      <c r="EJ626" s="126"/>
      <c r="EK626" s="30"/>
      <c r="EL626" s="127"/>
      <c r="EM626" s="128"/>
      <c r="EN626" s="123"/>
      <c r="EO626" s="128"/>
      <c r="EP626" s="13"/>
      <c r="EQ626" s="129"/>
      <c r="ER626" s="123"/>
      <c r="ES626" s="130"/>
      <c r="ET626" s="13"/>
      <c r="EU626" s="123"/>
      <c r="EV626" s="131"/>
    </row>
    <row r="627" spans="35:152">
      <c r="AI627" s="121"/>
      <c r="AJ627" s="13"/>
      <c r="AK627" s="13"/>
      <c r="AL627" s="13"/>
      <c r="AM627" s="13"/>
      <c r="AN627" s="13"/>
      <c r="AO627" s="13"/>
      <c r="AW627" s="121"/>
      <c r="AX627" s="121"/>
      <c r="AY627" s="121"/>
      <c r="AZ627" s="121"/>
      <c r="BA627" s="121"/>
      <c r="BB627" s="121"/>
      <c r="BC627" s="121"/>
      <c r="BD627" s="121"/>
      <c r="BE627" s="121"/>
      <c r="BF627" s="121"/>
      <c r="BG627" s="123"/>
      <c r="BH627" s="127"/>
      <c r="BI627" s="125"/>
      <c r="BJ627" s="126"/>
      <c r="BK627" s="30"/>
      <c r="BL627" s="127"/>
      <c r="BM627" s="128"/>
      <c r="BN627" s="123"/>
      <c r="BO627" s="128"/>
      <c r="BP627" s="13"/>
      <c r="BQ627" s="129"/>
      <c r="BR627" s="123"/>
      <c r="BS627" s="130"/>
      <c r="BT627" s="13"/>
      <c r="BU627" s="123"/>
      <c r="BV627" s="131"/>
      <c r="DI627" s="121"/>
      <c r="DJ627" s="13"/>
      <c r="DK627" s="13"/>
      <c r="DL627" s="13"/>
      <c r="DM627" s="13"/>
      <c r="DN627" s="13"/>
      <c r="DO627" s="13"/>
      <c r="DW627" s="121"/>
      <c r="DX627" s="121"/>
      <c r="DY627" s="121"/>
      <c r="DZ627" s="121"/>
      <c r="EA627" s="121"/>
      <c r="EB627" s="121"/>
      <c r="EC627" s="121"/>
      <c r="ED627" s="121"/>
      <c r="EE627" s="121"/>
      <c r="EF627" s="121"/>
      <c r="EG627" s="123"/>
      <c r="EH627" s="127"/>
      <c r="EI627" s="125"/>
      <c r="EJ627" s="126"/>
      <c r="EK627" s="30"/>
      <c r="EL627" s="127"/>
      <c r="EM627" s="128"/>
      <c r="EN627" s="123"/>
      <c r="EO627" s="128"/>
      <c r="EP627" s="13"/>
      <c r="EQ627" s="129"/>
      <c r="ER627" s="123"/>
      <c r="ES627" s="130"/>
      <c r="ET627" s="13"/>
      <c r="EU627" s="123"/>
      <c r="EV627" s="131"/>
    </row>
    <row r="628" spans="35:152">
      <c r="AI628" s="121"/>
      <c r="AJ628" s="13"/>
      <c r="AK628" s="13"/>
      <c r="AL628" s="13"/>
      <c r="AM628" s="13"/>
      <c r="AN628" s="13"/>
      <c r="AO628" s="13"/>
      <c r="AW628" s="121"/>
      <c r="AX628" s="121"/>
      <c r="AY628" s="121"/>
      <c r="AZ628" s="121"/>
      <c r="BA628" s="121"/>
      <c r="BB628" s="121"/>
      <c r="BC628" s="121"/>
      <c r="BD628" s="121"/>
      <c r="BE628" s="121"/>
      <c r="BF628" s="121"/>
      <c r="BG628" s="123"/>
      <c r="BH628" s="127"/>
      <c r="BI628" s="125"/>
      <c r="BJ628" s="126"/>
      <c r="BK628" s="30"/>
      <c r="BL628" s="127"/>
      <c r="BM628" s="128"/>
      <c r="BN628" s="123"/>
      <c r="BO628" s="128"/>
      <c r="BP628" s="13"/>
      <c r="BQ628" s="129"/>
      <c r="BR628" s="123"/>
      <c r="BS628" s="130"/>
      <c r="BT628" s="13"/>
      <c r="BU628" s="123"/>
      <c r="BV628" s="131"/>
      <c r="DI628" s="121"/>
      <c r="DJ628" s="13"/>
      <c r="DK628" s="13"/>
      <c r="DL628" s="13"/>
      <c r="DM628" s="13"/>
      <c r="DN628" s="13"/>
      <c r="DO628" s="13"/>
      <c r="DW628" s="121"/>
      <c r="DX628" s="121"/>
      <c r="DY628" s="121"/>
      <c r="DZ628" s="121"/>
      <c r="EA628" s="121"/>
      <c r="EB628" s="121"/>
      <c r="EC628" s="121"/>
      <c r="ED628" s="121"/>
      <c r="EE628" s="121"/>
      <c r="EF628" s="121"/>
      <c r="EG628" s="123"/>
      <c r="EH628" s="127"/>
      <c r="EI628" s="125"/>
      <c r="EJ628" s="126"/>
      <c r="EK628" s="30"/>
      <c r="EL628" s="127"/>
      <c r="EM628" s="128"/>
      <c r="EN628" s="123"/>
      <c r="EO628" s="128"/>
      <c r="EP628" s="13"/>
      <c r="EQ628" s="129"/>
      <c r="ER628" s="123"/>
      <c r="ES628" s="130"/>
      <c r="ET628" s="13"/>
      <c r="EU628" s="123"/>
      <c r="EV628" s="131"/>
    </row>
    <row r="629" spans="35:152">
      <c r="AI629" s="121"/>
      <c r="AJ629" s="13"/>
      <c r="AK629" s="13"/>
      <c r="AL629" s="13"/>
      <c r="AM629" s="13"/>
      <c r="AN629" s="13"/>
      <c r="AO629" s="13"/>
      <c r="AW629" s="121"/>
      <c r="AX629" s="121"/>
      <c r="AY629" s="121"/>
      <c r="AZ629" s="121"/>
      <c r="BA629" s="121"/>
      <c r="BB629" s="121"/>
      <c r="BC629" s="121"/>
      <c r="BD629" s="121"/>
      <c r="BE629" s="121"/>
      <c r="BF629" s="121"/>
      <c r="BG629" s="123"/>
      <c r="BH629" s="127"/>
      <c r="BI629" s="125"/>
      <c r="BJ629" s="126"/>
      <c r="BK629" s="30"/>
      <c r="BL629" s="127"/>
      <c r="BM629" s="128"/>
      <c r="BN629" s="123"/>
      <c r="BO629" s="128"/>
      <c r="BP629" s="13"/>
      <c r="BQ629" s="129"/>
      <c r="BR629" s="123"/>
      <c r="BS629" s="130"/>
      <c r="BT629" s="13"/>
      <c r="BU629" s="123"/>
      <c r="BV629" s="131"/>
      <c r="DI629" s="121"/>
      <c r="DJ629" s="13"/>
      <c r="DK629" s="13"/>
      <c r="DL629" s="13"/>
      <c r="DM629" s="13"/>
      <c r="DN629" s="13"/>
      <c r="DO629" s="13"/>
      <c r="DW629" s="121"/>
      <c r="DX629" s="121"/>
      <c r="DY629" s="121"/>
      <c r="DZ629" s="121"/>
      <c r="EA629" s="121"/>
      <c r="EB629" s="121"/>
      <c r="EC629" s="121"/>
      <c r="ED629" s="121"/>
      <c r="EE629" s="121"/>
      <c r="EF629" s="121"/>
      <c r="EG629" s="123"/>
      <c r="EH629" s="127"/>
      <c r="EI629" s="125"/>
      <c r="EJ629" s="126"/>
      <c r="EK629" s="30"/>
      <c r="EL629" s="127"/>
      <c r="EM629" s="128"/>
      <c r="EN629" s="123"/>
      <c r="EO629" s="128"/>
      <c r="EP629" s="13"/>
      <c r="EQ629" s="129"/>
      <c r="ER629" s="123"/>
      <c r="ES629" s="130"/>
      <c r="ET629" s="13"/>
      <c r="EU629" s="123"/>
      <c r="EV629" s="131"/>
    </row>
    <row r="630" spans="35:152">
      <c r="AI630" s="121"/>
      <c r="AJ630" s="13"/>
      <c r="AK630" s="13"/>
      <c r="AL630" s="13"/>
      <c r="AM630" s="13"/>
      <c r="AN630" s="13"/>
      <c r="AO630" s="13"/>
      <c r="AW630" s="121"/>
      <c r="AX630" s="121"/>
      <c r="AY630" s="121"/>
      <c r="AZ630" s="121"/>
      <c r="BA630" s="121"/>
      <c r="BB630" s="121"/>
      <c r="BC630" s="121"/>
      <c r="BD630" s="121"/>
      <c r="BE630" s="121"/>
      <c r="BF630" s="121"/>
      <c r="BG630" s="123"/>
      <c r="BH630" s="127"/>
      <c r="BI630" s="125"/>
      <c r="BJ630" s="126"/>
      <c r="BK630" s="30"/>
      <c r="BL630" s="127"/>
      <c r="BM630" s="128"/>
      <c r="BN630" s="123"/>
      <c r="BO630" s="128"/>
      <c r="BP630" s="13"/>
      <c r="BQ630" s="129"/>
      <c r="BR630" s="123"/>
      <c r="BS630" s="130"/>
      <c r="BT630" s="13"/>
      <c r="BU630" s="123"/>
      <c r="BV630" s="131"/>
      <c r="DI630" s="121"/>
      <c r="DJ630" s="13"/>
      <c r="DK630" s="13"/>
      <c r="DL630" s="13"/>
      <c r="DM630" s="13"/>
      <c r="DN630" s="13"/>
      <c r="DO630" s="13"/>
      <c r="DW630" s="121"/>
      <c r="DX630" s="121"/>
      <c r="DY630" s="121"/>
      <c r="DZ630" s="121"/>
      <c r="EA630" s="121"/>
      <c r="EB630" s="121"/>
      <c r="EC630" s="121"/>
      <c r="ED630" s="121"/>
      <c r="EE630" s="121"/>
      <c r="EF630" s="121"/>
      <c r="EG630" s="123"/>
      <c r="EH630" s="127"/>
      <c r="EI630" s="125"/>
      <c r="EJ630" s="126"/>
      <c r="EK630" s="30"/>
      <c r="EL630" s="127"/>
      <c r="EM630" s="128"/>
      <c r="EN630" s="123"/>
      <c r="EO630" s="128"/>
      <c r="EP630" s="13"/>
      <c r="EQ630" s="129"/>
      <c r="ER630" s="123"/>
      <c r="ES630" s="130"/>
      <c r="ET630" s="13"/>
      <c r="EU630" s="123"/>
      <c r="EV630" s="131"/>
    </row>
    <row r="631" spans="35:152">
      <c r="AI631" s="121"/>
      <c r="AJ631" s="13"/>
      <c r="AK631" s="13"/>
      <c r="AL631" s="13"/>
      <c r="AM631" s="13"/>
      <c r="AN631" s="13"/>
      <c r="AO631" s="13"/>
      <c r="AW631" s="121"/>
      <c r="AX631" s="121"/>
      <c r="AY631" s="121"/>
      <c r="AZ631" s="121"/>
      <c r="BA631" s="121"/>
      <c r="BB631" s="121"/>
      <c r="BC631" s="121"/>
      <c r="BD631" s="121"/>
      <c r="BE631" s="121"/>
      <c r="BF631" s="121"/>
      <c r="BG631" s="123"/>
      <c r="BH631" s="127"/>
      <c r="BI631" s="125"/>
      <c r="BJ631" s="126"/>
      <c r="BK631" s="30"/>
      <c r="BL631" s="127"/>
      <c r="BM631" s="128"/>
      <c r="BN631" s="123"/>
      <c r="BO631" s="128"/>
      <c r="BP631" s="13"/>
      <c r="BQ631" s="129"/>
      <c r="BR631" s="123"/>
      <c r="BS631" s="130"/>
      <c r="BT631" s="13"/>
      <c r="BU631" s="123"/>
      <c r="BV631" s="131"/>
      <c r="DI631" s="121"/>
      <c r="DJ631" s="13"/>
      <c r="DK631" s="13"/>
      <c r="DL631" s="13"/>
      <c r="DM631" s="13"/>
      <c r="DN631" s="13"/>
      <c r="DO631" s="13"/>
      <c r="DW631" s="121"/>
      <c r="DX631" s="121"/>
      <c r="DY631" s="121"/>
      <c r="DZ631" s="121"/>
      <c r="EA631" s="121"/>
      <c r="EB631" s="121"/>
      <c r="EC631" s="121"/>
      <c r="ED631" s="121"/>
      <c r="EE631" s="121"/>
      <c r="EF631" s="121"/>
      <c r="EG631" s="123"/>
      <c r="EH631" s="127"/>
      <c r="EI631" s="125"/>
      <c r="EJ631" s="126"/>
      <c r="EK631" s="30"/>
      <c r="EL631" s="127"/>
      <c r="EM631" s="128"/>
      <c r="EN631" s="123"/>
      <c r="EO631" s="128"/>
      <c r="EP631" s="13"/>
      <c r="EQ631" s="129"/>
      <c r="ER631" s="123"/>
      <c r="ES631" s="130"/>
      <c r="ET631" s="13"/>
      <c r="EU631" s="123"/>
      <c r="EV631" s="131"/>
    </row>
    <row r="632" spans="35:152">
      <c r="AI632" s="121"/>
      <c r="AJ632" s="13"/>
      <c r="AK632" s="13"/>
      <c r="AL632" s="13"/>
      <c r="AM632" s="13"/>
      <c r="AN632" s="13"/>
      <c r="AO632" s="13"/>
      <c r="AW632" s="121"/>
      <c r="AX632" s="121"/>
      <c r="AY632" s="121"/>
      <c r="AZ632" s="121"/>
      <c r="BA632" s="121"/>
      <c r="BB632" s="121"/>
      <c r="BC632" s="121"/>
      <c r="BD632" s="121"/>
      <c r="BE632" s="121"/>
      <c r="BF632" s="121"/>
      <c r="BG632" s="123"/>
      <c r="BH632" s="127"/>
      <c r="BI632" s="125"/>
      <c r="BJ632" s="126"/>
      <c r="BK632" s="30"/>
      <c r="BL632" s="127"/>
      <c r="BM632" s="128"/>
      <c r="BN632" s="123"/>
      <c r="BO632" s="128"/>
      <c r="BP632" s="13"/>
      <c r="BQ632" s="129"/>
      <c r="BR632" s="123"/>
      <c r="BS632" s="130"/>
      <c r="BT632" s="13"/>
      <c r="BU632" s="123"/>
      <c r="BV632" s="131"/>
      <c r="DI632" s="121"/>
      <c r="DJ632" s="13"/>
      <c r="DK632" s="13"/>
      <c r="DL632" s="13"/>
      <c r="DM632" s="13"/>
      <c r="DN632" s="13"/>
      <c r="DO632" s="13"/>
      <c r="DW632" s="121"/>
      <c r="DX632" s="121"/>
      <c r="DY632" s="121"/>
      <c r="DZ632" s="121"/>
      <c r="EA632" s="121"/>
      <c r="EB632" s="121"/>
      <c r="EC632" s="121"/>
      <c r="ED632" s="121"/>
      <c r="EE632" s="121"/>
      <c r="EF632" s="121"/>
      <c r="EG632" s="123"/>
      <c r="EH632" s="127"/>
      <c r="EI632" s="125"/>
      <c r="EJ632" s="126"/>
      <c r="EK632" s="30"/>
      <c r="EL632" s="127"/>
      <c r="EM632" s="128"/>
      <c r="EN632" s="123"/>
      <c r="EO632" s="128"/>
      <c r="EP632" s="13"/>
      <c r="EQ632" s="129"/>
      <c r="ER632" s="123"/>
      <c r="ES632" s="130"/>
      <c r="ET632" s="13"/>
      <c r="EU632" s="123"/>
      <c r="EV632" s="131"/>
    </row>
    <row r="633" spans="35:152">
      <c r="AI633" s="121"/>
      <c r="AJ633" s="13"/>
      <c r="AK633" s="13"/>
      <c r="AL633" s="13"/>
      <c r="AM633" s="13"/>
      <c r="AN633" s="13"/>
      <c r="AO633" s="13"/>
      <c r="AW633" s="121"/>
      <c r="AX633" s="121"/>
      <c r="AY633" s="121"/>
      <c r="AZ633" s="121"/>
      <c r="BA633" s="121"/>
      <c r="BB633" s="121"/>
      <c r="BC633" s="121"/>
      <c r="BD633" s="121"/>
      <c r="BE633" s="121"/>
      <c r="BF633" s="121"/>
      <c r="BG633" s="123"/>
      <c r="BH633" s="127"/>
      <c r="BI633" s="125"/>
      <c r="BJ633" s="126"/>
      <c r="BK633" s="30"/>
      <c r="BL633" s="127"/>
      <c r="BM633" s="128"/>
      <c r="BN633" s="123"/>
      <c r="BO633" s="128"/>
      <c r="BP633" s="13"/>
      <c r="BQ633" s="129"/>
      <c r="BR633" s="123"/>
      <c r="BS633" s="130"/>
      <c r="BT633" s="13"/>
      <c r="BU633" s="123"/>
      <c r="BV633" s="131"/>
      <c r="DI633" s="121"/>
      <c r="DJ633" s="13"/>
      <c r="DK633" s="13"/>
      <c r="DL633" s="13"/>
      <c r="DM633" s="13"/>
      <c r="DN633" s="13"/>
      <c r="DO633" s="13"/>
      <c r="DW633" s="121"/>
      <c r="DX633" s="121"/>
      <c r="DY633" s="121"/>
      <c r="DZ633" s="121"/>
      <c r="EA633" s="121"/>
      <c r="EB633" s="121"/>
      <c r="EC633" s="121"/>
      <c r="ED633" s="121"/>
      <c r="EE633" s="121"/>
      <c r="EF633" s="121"/>
      <c r="EG633" s="123"/>
      <c r="EH633" s="127"/>
      <c r="EI633" s="125"/>
      <c r="EJ633" s="126"/>
      <c r="EK633" s="30"/>
      <c r="EL633" s="127"/>
      <c r="EM633" s="128"/>
      <c r="EN633" s="123"/>
      <c r="EO633" s="128"/>
      <c r="EP633" s="13"/>
      <c r="EQ633" s="129"/>
      <c r="ER633" s="123"/>
      <c r="ES633" s="130"/>
      <c r="ET633" s="13"/>
      <c r="EU633" s="123"/>
      <c r="EV633" s="131"/>
    </row>
    <row r="634" spans="35:152">
      <c r="AI634" s="121"/>
      <c r="AJ634" s="13"/>
      <c r="AK634" s="13"/>
      <c r="AL634" s="13"/>
      <c r="AM634" s="13"/>
      <c r="AN634" s="13"/>
      <c r="AO634" s="13"/>
      <c r="AW634" s="121"/>
      <c r="AX634" s="121"/>
      <c r="AY634" s="121"/>
      <c r="AZ634" s="121"/>
      <c r="BA634" s="121"/>
      <c r="BB634" s="121"/>
      <c r="BC634" s="121"/>
      <c r="BD634" s="121"/>
      <c r="BE634" s="121"/>
      <c r="BF634" s="121"/>
      <c r="BG634" s="123"/>
      <c r="BH634" s="127"/>
      <c r="BI634" s="125"/>
      <c r="BJ634" s="126"/>
      <c r="BK634" s="30"/>
      <c r="BL634" s="127"/>
      <c r="BM634" s="128"/>
      <c r="BN634" s="123"/>
      <c r="BO634" s="128"/>
      <c r="BP634" s="13"/>
      <c r="BQ634" s="129"/>
      <c r="BR634" s="123"/>
      <c r="BS634" s="130"/>
      <c r="BT634" s="13"/>
      <c r="BU634" s="123"/>
      <c r="BV634" s="131"/>
      <c r="DI634" s="121"/>
      <c r="DJ634" s="13"/>
      <c r="DK634" s="13"/>
      <c r="DL634" s="13"/>
      <c r="DM634" s="13"/>
      <c r="DN634" s="13"/>
      <c r="DO634" s="13"/>
      <c r="DW634" s="121"/>
      <c r="DX634" s="121"/>
      <c r="DY634" s="121"/>
      <c r="DZ634" s="121"/>
      <c r="EA634" s="121"/>
      <c r="EB634" s="121"/>
      <c r="EC634" s="121"/>
      <c r="ED634" s="121"/>
      <c r="EE634" s="121"/>
      <c r="EF634" s="121"/>
      <c r="EG634" s="123"/>
      <c r="EH634" s="127"/>
      <c r="EI634" s="125"/>
      <c r="EJ634" s="126"/>
      <c r="EK634" s="30"/>
      <c r="EL634" s="127"/>
      <c r="EM634" s="128"/>
      <c r="EN634" s="123"/>
      <c r="EO634" s="128"/>
      <c r="EP634" s="13"/>
      <c r="EQ634" s="129"/>
      <c r="ER634" s="123"/>
      <c r="ES634" s="130"/>
      <c r="ET634" s="13"/>
      <c r="EU634" s="123"/>
      <c r="EV634" s="131"/>
    </row>
    <row r="635" spans="35:152">
      <c r="AI635" s="121"/>
      <c r="AJ635" s="13"/>
      <c r="AK635" s="13"/>
      <c r="AL635" s="13"/>
      <c r="AM635" s="13"/>
      <c r="AN635" s="13"/>
      <c r="AO635" s="13"/>
      <c r="AW635" s="121"/>
      <c r="AX635" s="121"/>
      <c r="AY635" s="121"/>
      <c r="AZ635" s="121"/>
      <c r="BA635" s="121"/>
      <c r="BB635" s="121"/>
      <c r="BC635" s="121"/>
      <c r="BD635" s="121"/>
      <c r="BE635" s="121"/>
      <c r="BF635" s="121"/>
      <c r="BG635" s="123"/>
      <c r="BH635" s="127"/>
      <c r="BI635" s="125"/>
      <c r="BJ635" s="126"/>
      <c r="BK635" s="30"/>
      <c r="BL635" s="127"/>
      <c r="BM635" s="128"/>
      <c r="BN635" s="123"/>
      <c r="BO635" s="128"/>
      <c r="BP635" s="13"/>
      <c r="BQ635" s="129"/>
      <c r="BR635" s="123"/>
      <c r="BS635" s="130"/>
      <c r="BT635" s="13"/>
      <c r="BU635" s="123"/>
      <c r="BV635" s="131"/>
      <c r="DI635" s="121"/>
      <c r="DJ635" s="13"/>
      <c r="DK635" s="13"/>
      <c r="DL635" s="13"/>
      <c r="DM635" s="13"/>
      <c r="DN635" s="13"/>
      <c r="DO635" s="13"/>
      <c r="DW635" s="121"/>
      <c r="DX635" s="121"/>
      <c r="DY635" s="121"/>
      <c r="DZ635" s="121"/>
      <c r="EA635" s="121"/>
      <c r="EB635" s="121"/>
      <c r="EC635" s="121"/>
      <c r="ED635" s="121"/>
      <c r="EE635" s="121"/>
      <c r="EF635" s="121"/>
      <c r="EG635" s="123"/>
      <c r="EH635" s="127"/>
      <c r="EI635" s="125"/>
      <c r="EJ635" s="126"/>
      <c r="EK635" s="30"/>
      <c r="EL635" s="127"/>
      <c r="EM635" s="128"/>
      <c r="EN635" s="123"/>
      <c r="EO635" s="128"/>
      <c r="EP635" s="13"/>
      <c r="EQ635" s="129"/>
      <c r="ER635" s="123"/>
      <c r="ES635" s="130"/>
      <c r="ET635" s="13"/>
      <c r="EU635" s="123"/>
      <c r="EV635" s="131"/>
    </row>
    <row r="636" spans="35:152">
      <c r="AI636" s="121"/>
      <c r="AJ636" s="13"/>
      <c r="AK636" s="13"/>
      <c r="AL636" s="13"/>
      <c r="AM636" s="13"/>
      <c r="AN636" s="13"/>
      <c r="AO636" s="13"/>
      <c r="AW636" s="121"/>
      <c r="AX636" s="121"/>
      <c r="AY636" s="121"/>
      <c r="AZ636" s="121"/>
      <c r="BA636" s="121"/>
      <c r="BB636" s="121"/>
      <c r="BC636" s="121"/>
      <c r="BD636" s="121"/>
      <c r="BE636" s="121"/>
      <c r="BF636" s="121"/>
      <c r="BG636" s="123"/>
      <c r="BH636" s="127"/>
      <c r="BI636" s="125"/>
      <c r="BJ636" s="126"/>
      <c r="BK636" s="30"/>
      <c r="BL636" s="127"/>
      <c r="BM636" s="128"/>
      <c r="BN636" s="123"/>
      <c r="BO636" s="128"/>
      <c r="BP636" s="13"/>
      <c r="BQ636" s="129"/>
      <c r="BR636" s="123"/>
      <c r="BS636" s="130"/>
      <c r="BT636" s="13"/>
      <c r="BU636" s="123"/>
      <c r="BV636" s="131"/>
      <c r="DI636" s="121"/>
      <c r="DJ636" s="13"/>
      <c r="DK636" s="13"/>
      <c r="DL636" s="13"/>
      <c r="DM636" s="13"/>
      <c r="DN636" s="13"/>
      <c r="DO636" s="13"/>
      <c r="DW636" s="121"/>
      <c r="DX636" s="121"/>
      <c r="DY636" s="121"/>
      <c r="DZ636" s="121"/>
      <c r="EA636" s="121"/>
      <c r="EB636" s="121"/>
      <c r="EC636" s="121"/>
      <c r="ED636" s="121"/>
      <c r="EE636" s="121"/>
      <c r="EF636" s="121"/>
      <c r="EG636" s="123"/>
      <c r="EH636" s="127"/>
      <c r="EI636" s="125"/>
      <c r="EJ636" s="126"/>
      <c r="EK636" s="30"/>
      <c r="EL636" s="127"/>
      <c r="EM636" s="128"/>
      <c r="EN636" s="123"/>
      <c r="EO636" s="128"/>
      <c r="EP636" s="13"/>
      <c r="EQ636" s="129"/>
      <c r="ER636" s="123"/>
      <c r="ES636" s="130"/>
      <c r="ET636" s="13"/>
      <c r="EU636" s="123"/>
      <c r="EV636" s="131"/>
    </row>
    <row r="637" spans="35:152">
      <c r="AI637" s="121"/>
      <c r="AJ637" s="13"/>
      <c r="AK637" s="13"/>
      <c r="AL637" s="13"/>
      <c r="AM637" s="13"/>
      <c r="AN637" s="13"/>
      <c r="AO637" s="13"/>
      <c r="AW637" s="121"/>
      <c r="AX637" s="121"/>
      <c r="AY637" s="121"/>
      <c r="AZ637" s="121"/>
      <c r="BA637" s="121"/>
      <c r="BB637" s="121"/>
      <c r="BC637" s="121"/>
      <c r="BD637" s="121"/>
      <c r="BE637" s="121"/>
      <c r="BF637" s="121"/>
      <c r="BG637" s="123"/>
      <c r="BH637" s="127"/>
      <c r="BI637" s="125"/>
      <c r="BJ637" s="126"/>
      <c r="BK637" s="30"/>
      <c r="BL637" s="127"/>
      <c r="BM637" s="128"/>
      <c r="BN637" s="123"/>
      <c r="BO637" s="128"/>
      <c r="BP637" s="13"/>
      <c r="BQ637" s="129"/>
      <c r="BR637" s="123"/>
      <c r="BS637" s="130"/>
      <c r="BT637" s="13"/>
      <c r="BU637" s="123"/>
      <c r="BV637" s="131"/>
      <c r="DI637" s="121"/>
      <c r="DJ637" s="13"/>
      <c r="DK637" s="13"/>
      <c r="DL637" s="13"/>
      <c r="DM637" s="13"/>
      <c r="DN637" s="13"/>
      <c r="DO637" s="13"/>
      <c r="DW637" s="121"/>
      <c r="DX637" s="121"/>
      <c r="DY637" s="121"/>
      <c r="DZ637" s="121"/>
      <c r="EA637" s="121"/>
      <c r="EB637" s="121"/>
      <c r="EC637" s="121"/>
      <c r="ED637" s="121"/>
      <c r="EE637" s="121"/>
      <c r="EF637" s="121"/>
      <c r="EG637" s="123"/>
      <c r="EH637" s="127"/>
      <c r="EI637" s="125"/>
      <c r="EJ637" s="126"/>
      <c r="EK637" s="30"/>
      <c r="EL637" s="127"/>
      <c r="EM637" s="128"/>
      <c r="EN637" s="123"/>
      <c r="EO637" s="128"/>
      <c r="EP637" s="13"/>
      <c r="EQ637" s="129"/>
      <c r="ER637" s="123"/>
      <c r="ES637" s="130"/>
      <c r="ET637" s="13"/>
      <c r="EU637" s="123"/>
      <c r="EV637" s="131"/>
    </row>
    <row r="638" spans="35:152">
      <c r="AI638" s="121"/>
      <c r="AJ638" s="13"/>
      <c r="AK638" s="13"/>
      <c r="AL638" s="13"/>
      <c r="AM638" s="13"/>
      <c r="AN638" s="13"/>
      <c r="AO638" s="13"/>
      <c r="AW638" s="121"/>
      <c r="AX638" s="121"/>
      <c r="AY638" s="121"/>
      <c r="AZ638" s="121"/>
      <c r="BA638" s="121"/>
      <c r="BB638" s="121"/>
      <c r="BC638" s="121"/>
      <c r="BD638" s="121"/>
      <c r="BE638" s="121"/>
      <c r="BF638" s="121"/>
      <c r="BG638" s="123"/>
      <c r="BH638" s="127"/>
      <c r="BI638" s="125"/>
      <c r="BJ638" s="126"/>
      <c r="BK638" s="30"/>
      <c r="BL638" s="127"/>
      <c r="BM638" s="128"/>
      <c r="BN638" s="123"/>
      <c r="BO638" s="128"/>
      <c r="BP638" s="13"/>
      <c r="BQ638" s="129"/>
      <c r="BR638" s="123"/>
      <c r="BS638" s="130"/>
      <c r="BT638" s="13"/>
      <c r="BU638" s="123"/>
      <c r="BV638" s="131"/>
      <c r="DI638" s="121"/>
      <c r="DJ638" s="13"/>
      <c r="DK638" s="13"/>
      <c r="DL638" s="13"/>
      <c r="DM638" s="13"/>
      <c r="DN638" s="13"/>
      <c r="DO638" s="13"/>
      <c r="DW638" s="121"/>
      <c r="DX638" s="121"/>
      <c r="DY638" s="121"/>
      <c r="DZ638" s="121"/>
      <c r="EA638" s="121"/>
      <c r="EB638" s="121"/>
      <c r="EC638" s="121"/>
      <c r="ED638" s="121"/>
      <c r="EE638" s="121"/>
      <c r="EF638" s="121"/>
      <c r="EG638" s="123"/>
      <c r="EH638" s="127"/>
      <c r="EI638" s="125"/>
      <c r="EJ638" s="126"/>
      <c r="EK638" s="30"/>
      <c r="EL638" s="127"/>
      <c r="EM638" s="128"/>
      <c r="EN638" s="123"/>
      <c r="EO638" s="128"/>
      <c r="EP638" s="13"/>
      <c r="EQ638" s="129"/>
      <c r="ER638" s="123"/>
      <c r="ES638" s="130"/>
      <c r="ET638" s="13"/>
      <c r="EU638" s="123"/>
      <c r="EV638" s="131"/>
    </row>
    <row r="639" spans="35:152">
      <c r="AI639" s="121"/>
      <c r="AJ639" s="13"/>
      <c r="AK639" s="13"/>
      <c r="AL639" s="13"/>
      <c r="AM639" s="13"/>
      <c r="AN639" s="13"/>
      <c r="AO639" s="13"/>
      <c r="AW639" s="121"/>
      <c r="AX639" s="121"/>
      <c r="AY639" s="121"/>
      <c r="AZ639" s="121"/>
      <c r="BA639" s="121"/>
      <c r="BB639" s="121"/>
      <c r="BC639" s="121"/>
      <c r="BD639" s="121"/>
      <c r="BE639" s="121"/>
      <c r="BF639" s="121"/>
      <c r="BG639" s="123"/>
      <c r="BH639" s="127"/>
      <c r="BI639" s="125"/>
      <c r="BJ639" s="126"/>
      <c r="BK639" s="30"/>
      <c r="BL639" s="127"/>
      <c r="BM639" s="128"/>
      <c r="BN639" s="123"/>
      <c r="BO639" s="128"/>
      <c r="BP639" s="13"/>
      <c r="BQ639" s="129"/>
      <c r="BR639" s="123"/>
      <c r="BS639" s="130"/>
      <c r="BT639" s="13"/>
      <c r="BU639" s="123"/>
      <c r="BV639" s="131"/>
      <c r="DI639" s="121"/>
      <c r="DJ639" s="13"/>
      <c r="DK639" s="13"/>
      <c r="DL639" s="13"/>
      <c r="DM639" s="13"/>
      <c r="DN639" s="13"/>
      <c r="DO639" s="13"/>
      <c r="DW639" s="121"/>
      <c r="DX639" s="121"/>
      <c r="DY639" s="121"/>
      <c r="DZ639" s="121"/>
      <c r="EA639" s="121"/>
      <c r="EB639" s="121"/>
      <c r="EC639" s="121"/>
      <c r="ED639" s="121"/>
      <c r="EE639" s="121"/>
      <c r="EF639" s="121"/>
      <c r="EG639" s="123"/>
      <c r="EH639" s="127"/>
      <c r="EI639" s="125"/>
      <c r="EJ639" s="126"/>
      <c r="EK639" s="30"/>
      <c r="EL639" s="127"/>
      <c r="EM639" s="128"/>
      <c r="EN639" s="123"/>
      <c r="EO639" s="128"/>
      <c r="EP639" s="13"/>
      <c r="EQ639" s="129"/>
      <c r="ER639" s="123"/>
      <c r="ES639" s="130"/>
      <c r="ET639" s="13"/>
      <c r="EU639" s="123"/>
      <c r="EV639" s="131"/>
    </row>
    <row r="640" spans="35:152">
      <c r="AI640" s="121"/>
      <c r="AJ640" s="13"/>
      <c r="AK640" s="13"/>
      <c r="AL640" s="13"/>
      <c r="AM640" s="13"/>
      <c r="AN640" s="13"/>
      <c r="AO640" s="13"/>
      <c r="AW640" s="121"/>
      <c r="AX640" s="121"/>
      <c r="AY640" s="121"/>
      <c r="AZ640" s="121"/>
      <c r="BA640" s="121"/>
      <c r="BB640" s="121"/>
      <c r="BC640" s="121"/>
      <c r="BD640" s="121"/>
      <c r="BE640" s="121"/>
      <c r="BF640" s="121"/>
      <c r="BG640" s="123"/>
      <c r="BH640" s="127"/>
      <c r="BI640" s="125"/>
      <c r="BJ640" s="126"/>
      <c r="BK640" s="30"/>
      <c r="BL640" s="127"/>
      <c r="BM640" s="128"/>
      <c r="BN640" s="123"/>
      <c r="BO640" s="128"/>
      <c r="BP640" s="13"/>
      <c r="BQ640" s="129"/>
      <c r="BR640" s="123"/>
      <c r="BS640" s="130"/>
      <c r="BT640" s="13"/>
      <c r="BU640" s="123"/>
      <c r="BV640" s="131"/>
      <c r="DI640" s="121"/>
      <c r="DJ640" s="13"/>
      <c r="DK640" s="13"/>
      <c r="DL640" s="13"/>
      <c r="DM640" s="13"/>
      <c r="DN640" s="13"/>
      <c r="DO640" s="13"/>
      <c r="DW640" s="121"/>
      <c r="DX640" s="121"/>
      <c r="DY640" s="121"/>
      <c r="DZ640" s="121"/>
      <c r="EA640" s="121"/>
      <c r="EB640" s="121"/>
      <c r="EC640" s="121"/>
      <c r="ED640" s="121"/>
      <c r="EE640" s="121"/>
      <c r="EF640" s="121"/>
      <c r="EG640" s="123"/>
      <c r="EH640" s="127"/>
      <c r="EI640" s="125"/>
      <c r="EJ640" s="126"/>
      <c r="EK640" s="30"/>
      <c r="EL640" s="127"/>
      <c r="EM640" s="128"/>
      <c r="EN640" s="123"/>
      <c r="EO640" s="128"/>
      <c r="EP640" s="13"/>
      <c r="EQ640" s="129"/>
      <c r="ER640" s="123"/>
      <c r="ES640" s="130"/>
      <c r="ET640" s="13"/>
      <c r="EU640" s="123"/>
      <c r="EV640" s="131"/>
    </row>
    <row r="641" spans="35:152">
      <c r="AI641" s="121"/>
      <c r="AJ641" s="13"/>
      <c r="AK641" s="13"/>
      <c r="AL641" s="13"/>
      <c r="AM641" s="13"/>
      <c r="AN641" s="13"/>
      <c r="AO641" s="13"/>
      <c r="AW641" s="121"/>
      <c r="AX641" s="121"/>
      <c r="AY641" s="121"/>
      <c r="AZ641" s="121"/>
      <c r="BA641" s="121"/>
      <c r="BB641" s="121"/>
      <c r="BC641" s="121"/>
      <c r="BD641" s="121"/>
      <c r="BE641" s="121"/>
      <c r="BF641" s="121"/>
      <c r="BG641" s="123"/>
      <c r="BH641" s="127"/>
      <c r="BI641" s="125"/>
      <c r="BJ641" s="126"/>
      <c r="BK641" s="30"/>
      <c r="BL641" s="127"/>
      <c r="BM641" s="128"/>
      <c r="BN641" s="123"/>
      <c r="BO641" s="128"/>
      <c r="BP641" s="13"/>
      <c r="BQ641" s="129"/>
      <c r="BR641" s="123"/>
      <c r="BS641" s="130"/>
      <c r="BT641" s="13"/>
      <c r="BU641" s="123"/>
      <c r="BV641" s="131"/>
      <c r="DI641" s="121"/>
      <c r="DJ641" s="13"/>
      <c r="DK641" s="13"/>
      <c r="DL641" s="13"/>
      <c r="DM641" s="13"/>
      <c r="DN641" s="13"/>
      <c r="DO641" s="13"/>
      <c r="DW641" s="121"/>
      <c r="DX641" s="121"/>
      <c r="DY641" s="121"/>
      <c r="DZ641" s="121"/>
      <c r="EA641" s="121"/>
      <c r="EB641" s="121"/>
      <c r="EC641" s="121"/>
      <c r="ED641" s="121"/>
      <c r="EE641" s="121"/>
      <c r="EF641" s="121"/>
      <c r="EG641" s="123"/>
      <c r="EH641" s="127"/>
      <c r="EI641" s="125"/>
      <c r="EJ641" s="126"/>
      <c r="EK641" s="30"/>
      <c r="EL641" s="127"/>
      <c r="EM641" s="128"/>
      <c r="EN641" s="123"/>
      <c r="EO641" s="128"/>
      <c r="EP641" s="13"/>
      <c r="EQ641" s="129"/>
      <c r="ER641" s="123"/>
      <c r="ES641" s="130"/>
      <c r="ET641" s="13"/>
      <c r="EU641" s="123"/>
      <c r="EV641" s="131"/>
    </row>
    <row r="642" spans="35:152">
      <c r="AI642" s="121"/>
      <c r="AJ642" s="13"/>
      <c r="AK642" s="13"/>
      <c r="AL642" s="13"/>
      <c r="AM642" s="13"/>
      <c r="AN642" s="13"/>
      <c r="AO642" s="13"/>
      <c r="AW642" s="121"/>
      <c r="AX642" s="121"/>
      <c r="AY642" s="121"/>
      <c r="AZ642" s="121"/>
      <c r="BA642" s="121"/>
      <c r="BB642" s="121"/>
      <c r="BC642" s="121"/>
      <c r="BD642" s="121"/>
      <c r="BE642" s="121"/>
      <c r="BF642" s="121"/>
      <c r="BG642" s="123"/>
      <c r="BH642" s="127"/>
      <c r="BI642" s="125"/>
      <c r="BJ642" s="126"/>
      <c r="BK642" s="30"/>
      <c r="BL642" s="127"/>
      <c r="BM642" s="128"/>
      <c r="BN642" s="123"/>
      <c r="BO642" s="128"/>
      <c r="BP642" s="13"/>
      <c r="BQ642" s="129"/>
      <c r="BR642" s="123"/>
      <c r="BS642" s="130"/>
      <c r="BT642" s="13"/>
      <c r="BU642" s="123"/>
      <c r="BV642" s="131"/>
      <c r="DI642" s="121"/>
      <c r="DJ642" s="13"/>
      <c r="DK642" s="13"/>
      <c r="DL642" s="13"/>
      <c r="DM642" s="13"/>
      <c r="DN642" s="13"/>
      <c r="DO642" s="13"/>
      <c r="DW642" s="121"/>
      <c r="DX642" s="121"/>
      <c r="DY642" s="121"/>
      <c r="DZ642" s="121"/>
      <c r="EA642" s="121"/>
      <c r="EB642" s="121"/>
      <c r="EC642" s="121"/>
      <c r="ED642" s="121"/>
      <c r="EE642" s="121"/>
      <c r="EF642" s="121"/>
      <c r="EG642" s="123"/>
      <c r="EH642" s="127"/>
      <c r="EI642" s="125"/>
      <c r="EJ642" s="126"/>
      <c r="EK642" s="30"/>
      <c r="EL642" s="127"/>
      <c r="EM642" s="128"/>
      <c r="EN642" s="123"/>
      <c r="EO642" s="128"/>
      <c r="EP642" s="13"/>
      <c r="EQ642" s="129"/>
      <c r="ER642" s="123"/>
      <c r="ES642" s="130"/>
      <c r="ET642" s="13"/>
      <c r="EU642" s="123"/>
      <c r="EV642" s="131"/>
    </row>
    <row r="643" spans="35:152">
      <c r="AI643" s="121"/>
      <c r="AJ643" s="13"/>
      <c r="AK643" s="13"/>
      <c r="AL643" s="13"/>
      <c r="AM643" s="13"/>
      <c r="AN643" s="13"/>
      <c r="AO643" s="13"/>
      <c r="AW643" s="121"/>
      <c r="AX643" s="121"/>
      <c r="AY643" s="121"/>
      <c r="AZ643" s="121"/>
      <c r="BA643" s="121"/>
      <c r="BB643" s="121"/>
      <c r="BC643" s="121"/>
      <c r="BD643" s="121"/>
      <c r="BE643" s="121"/>
      <c r="BF643" s="121"/>
      <c r="BG643" s="123"/>
      <c r="BH643" s="127"/>
      <c r="BI643" s="125"/>
      <c r="BJ643" s="126"/>
      <c r="BK643" s="30"/>
      <c r="BL643" s="127"/>
      <c r="BM643" s="128"/>
      <c r="BN643" s="123"/>
      <c r="BO643" s="128"/>
      <c r="BP643" s="13"/>
      <c r="BQ643" s="129"/>
      <c r="BR643" s="123"/>
      <c r="BS643" s="130"/>
      <c r="BT643" s="13"/>
      <c r="BU643" s="123"/>
      <c r="BV643" s="131"/>
      <c r="DI643" s="121"/>
      <c r="DJ643" s="13"/>
      <c r="DK643" s="13"/>
      <c r="DL643" s="13"/>
      <c r="DM643" s="13"/>
      <c r="DN643" s="13"/>
      <c r="DO643" s="13"/>
      <c r="DW643" s="121"/>
      <c r="DX643" s="121"/>
      <c r="DY643" s="121"/>
      <c r="DZ643" s="121"/>
      <c r="EA643" s="121"/>
      <c r="EB643" s="121"/>
      <c r="EC643" s="121"/>
      <c r="ED643" s="121"/>
      <c r="EE643" s="121"/>
      <c r="EF643" s="121"/>
      <c r="EG643" s="123"/>
      <c r="EH643" s="127"/>
      <c r="EI643" s="125"/>
      <c r="EJ643" s="126"/>
      <c r="EK643" s="30"/>
      <c r="EL643" s="127"/>
      <c r="EM643" s="128"/>
      <c r="EN643" s="123"/>
      <c r="EO643" s="128"/>
      <c r="EP643" s="13"/>
      <c r="EQ643" s="129"/>
      <c r="ER643" s="123"/>
      <c r="ES643" s="130"/>
      <c r="ET643" s="13"/>
      <c r="EU643" s="123"/>
      <c r="EV643" s="131"/>
    </row>
    <row r="644" spans="35:152">
      <c r="AI644" s="121"/>
      <c r="AJ644" s="13"/>
      <c r="AK644" s="13"/>
      <c r="AL644" s="13"/>
      <c r="AM644" s="13"/>
      <c r="AN644" s="13"/>
      <c r="AO644" s="13"/>
      <c r="AW644" s="121"/>
      <c r="AX644" s="121"/>
      <c r="AY644" s="121"/>
      <c r="AZ644" s="121"/>
      <c r="BA644" s="121"/>
      <c r="BB644" s="121"/>
      <c r="BC644" s="121"/>
      <c r="BD644" s="121"/>
      <c r="BE644" s="121"/>
      <c r="BF644" s="121"/>
      <c r="BG644" s="123"/>
      <c r="BH644" s="127"/>
      <c r="BI644" s="125"/>
      <c r="BJ644" s="126"/>
      <c r="BK644" s="30"/>
      <c r="BL644" s="127"/>
      <c r="BM644" s="128"/>
      <c r="BN644" s="123"/>
      <c r="BO644" s="128"/>
      <c r="BP644" s="13"/>
      <c r="BQ644" s="129"/>
      <c r="BR644" s="123"/>
      <c r="BS644" s="130"/>
      <c r="BT644" s="13"/>
      <c r="BU644" s="123"/>
      <c r="BV644" s="131"/>
      <c r="DI644" s="121"/>
      <c r="DJ644" s="13"/>
      <c r="DK644" s="13"/>
      <c r="DL644" s="13"/>
      <c r="DM644" s="13"/>
      <c r="DN644" s="13"/>
      <c r="DO644" s="13"/>
      <c r="DW644" s="121"/>
      <c r="DX644" s="121"/>
      <c r="DY644" s="121"/>
      <c r="DZ644" s="121"/>
      <c r="EA644" s="121"/>
      <c r="EB644" s="121"/>
      <c r="EC644" s="121"/>
      <c r="ED644" s="121"/>
      <c r="EE644" s="121"/>
      <c r="EF644" s="121"/>
      <c r="EG644" s="123"/>
      <c r="EH644" s="127"/>
      <c r="EI644" s="125"/>
      <c r="EJ644" s="126"/>
      <c r="EK644" s="30"/>
      <c r="EL644" s="127"/>
      <c r="EM644" s="128"/>
      <c r="EN644" s="123"/>
      <c r="EO644" s="128"/>
      <c r="EP644" s="13"/>
      <c r="EQ644" s="129"/>
      <c r="ER644" s="123"/>
      <c r="ES644" s="130"/>
      <c r="ET644" s="13"/>
      <c r="EU644" s="123"/>
      <c r="EV644" s="131"/>
    </row>
    <row r="645" spans="35:152">
      <c r="AI645" s="121"/>
      <c r="AJ645" s="13"/>
      <c r="AK645" s="13"/>
      <c r="AL645" s="13"/>
      <c r="AM645" s="13"/>
      <c r="AN645" s="13"/>
      <c r="AO645" s="13"/>
      <c r="AW645" s="121"/>
      <c r="AX645" s="121"/>
      <c r="AY645" s="121"/>
      <c r="AZ645" s="121"/>
      <c r="BA645" s="121"/>
      <c r="BB645" s="121"/>
      <c r="BC645" s="121"/>
      <c r="BD645" s="121"/>
      <c r="BE645" s="121"/>
      <c r="BF645" s="121"/>
      <c r="BG645" s="123"/>
      <c r="BH645" s="127"/>
      <c r="BI645" s="125"/>
      <c r="BJ645" s="126"/>
      <c r="BK645" s="30"/>
      <c r="BL645" s="127"/>
      <c r="BM645" s="128"/>
      <c r="BN645" s="123"/>
      <c r="BO645" s="128"/>
      <c r="BP645" s="13"/>
      <c r="BQ645" s="129"/>
      <c r="BR645" s="123"/>
      <c r="BS645" s="130"/>
      <c r="BT645" s="13"/>
      <c r="BU645" s="123"/>
      <c r="BV645" s="131"/>
      <c r="DI645" s="121"/>
      <c r="DJ645" s="13"/>
      <c r="DK645" s="13"/>
      <c r="DL645" s="13"/>
      <c r="DM645" s="13"/>
      <c r="DN645" s="13"/>
      <c r="DO645" s="13"/>
      <c r="DW645" s="121"/>
      <c r="DX645" s="121"/>
      <c r="DY645" s="121"/>
      <c r="DZ645" s="121"/>
      <c r="EA645" s="121"/>
      <c r="EB645" s="121"/>
      <c r="EC645" s="121"/>
      <c r="ED645" s="121"/>
      <c r="EE645" s="121"/>
      <c r="EF645" s="121"/>
      <c r="EG645" s="123"/>
      <c r="EH645" s="127"/>
      <c r="EI645" s="125"/>
      <c r="EJ645" s="126"/>
      <c r="EK645" s="30"/>
      <c r="EL645" s="127"/>
      <c r="EM645" s="128"/>
      <c r="EN645" s="123"/>
      <c r="EO645" s="128"/>
      <c r="EP645" s="13"/>
      <c r="EQ645" s="129"/>
      <c r="ER645" s="123"/>
      <c r="ES645" s="130"/>
      <c r="ET645" s="13"/>
      <c r="EU645" s="123"/>
      <c r="EV645" s="131"/>
    </row>
    <row r="646" spans="35:152">
      <c r="AI646" s="121"/>
      <c r="AJ646" s="13"/>
      <c r="AK646" s="13"/>
      <c r="AL646" s="13"/>
      <c r="AM646" s="13"/>
      <c r="AN646" s="13"/>
      <c r="AO646" s="13"/>
      <c r="AW646" s="121"/>
      <c r="AX646" s="121"/>
      <c r="AY646" s="121"/>
      <c r="AZ646" s="121"/>
      <c r="BA646" s="121"/>
      <c r="BB646" s="121"/>
      <c r="BC646" s="121"/>
      <c r="BD646" s="121"/>
      <c r="BE646" s="121"/>
      <c r="BF646" s="121"/>
      <c r="BG646" s="123"/>
      <c r="BH646" s="127"/>
      <c r="BI646" s="125"/>
      <c r="BJ646" s="126"/>
      <c r="BK646" s="30"/>
      <c r="BL646" s="127"/>
      <c r="BM646" s="128"/>
      <c r="BN646" s="123"/>
      <c r="BO646" s="128"/>
      <c r="BP646" s="13"/>
      <c r="BQ646" s="129"/>
      <c r="BR646" s="123"/>
      <c r="BS646" s="130"/>
      <c r="BT646" s="13"/>
      <c r="BU646" s="123"/>
      <c r="BV646" s="131"/>
      <c r="DI646" s="121"/>
      <c r="DJ646" s="13"/>
      <c r="DK646" s="13"/>
      <c r="DL646" s="13"/>
      <c r="DM646" s="13"/>
      <c r="DN646" s="13"/>
      <c r="DO646" s="13"/>
      <c r="DW646" s="121"/>
      <c r="DX646" s="121"/>
      <c r="DY646" s="121"/>
      <c r="DZ646" s="121"/>
      <c r="EA646" s="121"/>
      <c r="EB646" s="121"/>
      <c r="EC646" s="121"/>
      <c r="ED646" s="121"/>
      <c r="EE646" s="121"/>
      <c r="EF646" s="121"/>
      <c r="EG646" s="123"/>
      <c r="EH646" s="127"/>
      <c r="EI646" s="125"/>
      <c r="EJ646" s="126"/>
      <c r="EK646" s="30"/>
      <c r="EL646" s="127"/>
      <c r="EM646" s="128"/>
      <c r="EN646" s="123"/>
      <c r="EO646" s="128"/>
      <c r="EP646" s="13"/>
      <c r="EQ646" s="129"/>
      <c r="ER646" s="123"/>
      <c r="ES646" s="130"/>
      <c r="ET646" s="13"/>
      <c r="EU646" s="123"/>
      <c r="EV646" s="131"/>
    </row>
    <row r="647" spans="35:152">
      <c r="AI647" s="121"/>
      <c r="AJ647" s="13"/>
      <c r="AK647" s="13"/>
      <c r="AL647" s="13"/>
      <c r="AM647" s="13"/>
      <c r="AN647" s="13"/>
      <c r="AO647" s="13"/>
      <c r="AW647" s="121"/>
      <c r="AX647" s="121"/>
      <c r="AY647" s="121"/>
      <c r="AZ647" s="121"/>
      <c r="BA647" s="121"/>
      <c r="BB647" s="121"/>
      <c r="BC647" s="121"/>
      <c r="BD647" s="121"/>
      <c r="BE647" s="121"/>
      <c r="BF647" s="121"/>
      <c r="BG647" s="123"/>
      <c r="BH647" s="127"/>
      <c r="BI647" s="125"/>
      <c r="BJ647" s="126"/>
      <c r="BK647" s="30"/>
      <c r="BL647" s="127"/>
      <c r="BM647" s="128"/>
      <c r="BN647" s="123"/>
      <c r="BO647" s="128"/>
      <c r="BP647" s="13"/>
      <c r="BQ647" s="129"/>
      <c r="BR647" s="123"/>
      <c r="BS647" s="130"/>
      <c r="BT647" s="13"/>
      <c r="BU647" s="123"/>
      <c r="BV647" s="131"/>
      <c r="DI647" s="121"/>
      <c r="DJ647" s="13"/>
      <c r="DK647" s="13"/>
      <c r="DL647" s="13"/>
      <c r="DM647" s="13"/>
      <c r="DN647" s="13"/>
      <c r="DO647" s="13"/>
      <c r="DW647" s="121"/>
      <c r="DX647" s="121"/>
      <c r="DY647" s="121"/>
      <c r="DZ647" s="121"/>
      <c r="EA647" s="121"/>
      <c r="EB647" s="121"/>
      <c r="EC647" s="121"/>
      <c r="ED647" s="121"/>
      <c r="EE647" s="121"/>
      <c r="EF647" s="121"/>
      <c r="EG647" s="123"/>
      <c r="EH647" s="127"/>
      <c r="EI647" s="125"/>
      <c r="EJ647" s="126"/>
      <c r="EK647" s="30"/>
      <c r="EL647" s="127"/>
      <c r="EM647" s="128"/>
      <c r="EN647" s="123"/>
      <c r="EO647" s="128"/>
      <c r="EP647" s="13"/>
      <c r="EQ647" s="129"/>
      <c r="ER647" s="123"/>
      <c r="ES647" s="130"/>
      <c r="ET647" s="13"/>
      <c r="EU647" s="123"/>
      <c r="EV647" s="131"/>
    </row>
    <row r="648" spans="35:152">
      <c r="AI648" s="121"/>
      <c r="AJ648" s="13"/>
      <c r="AK648" s="13"/>
      <c r="AL648" s="13"/>
      <c r="AM648" s="13"/>
      <c r="AN648" s="13"/>
      <c r="AO648" s="13"/>
      <c r="AW648" s="121"/>
      <c r="AX648" s="121"/>
      <c r="AY648" s="121"/>
      <c r="AZ648" s="121"/>
      <c r="BA648" s="121"/>
      <c r="BB648" s="121"/>
      <c r="BC648" s="121"/>
      <c r="BD648" s="121"/>
      <c r="BE648" s="121"/>
      <c r="BF648" s="121"/>
      <c r="BG648" s="123"/>
      <c r="BH648" s="127"/>
      <c r="BI648" s="125"/>
      <c r="BJ648" s="126"/>
      <c r="BK648" s="30"/>
      <c r="BL648" s="127"/>
      <c r="BM648" s="128"/>
      <c r="BN648" s="123"/>
      <c r="BO648" s="128"/>
      <c r="BP648" s="13"/>
      <c r="BQ648" s="129"/>
      <c r="BR648" s="123"/>
      <c r="BS648" s="130"/>
      <c r="BT648" s="13"/>
      <c r="BU648" s="123"/>
      <c r="BV648" s="131"/>
      <c r="DI648" s="121"/>
      <c r="DJ648" s="13"/>
      <c r="DK648" s="13"/>
      <c r="DL648" s="13"/>
      <c r="DM648" s="13"/>
      <c r="DN648" s="13"/>
      <c r="DO648" s="13"/>
      <c r="DW648" s="121"/>
      <c r="DX648" s="121"/>
      <c r="DY648" s="121"/>
      <c r="DZ648" s="121"/>
      <c r="EA648" s="121"/>
      <c r="EB648" s="121"/>
      <c r="EC648" s="121"/>
      <c r="ED648" s="121"/>
      <c r="EE648" s="121"/>
      <c r="EF648" s="121"/>
      <c r="EG648" s="123"/>
      <c r="EH648" s="127"/>
      <c r="EI648" s="125"/>
      <c r="EJ648" s="126"/>
      <c r="EK648" s="30"/>
      <c r="EL648" s="127"/>
      <c r="EM648" s="128"/>
      <c r="EN648" s="123"/>
      <c r="EO648" s="128"/>
      <c r="EP648" s="13"/>
      <c r="EQ648" s="129"/>
      <c r="ER648" s="123"/>
      <c r="ES648" s="130"/>
      <c r="ET648" s="13"/>
      <c r="EU648" s="123"/>
      <c r="EV648" s="131"/>
    </row>
    <row r="649" spans="35:152">
      <c r="AI649" s="121"/>
      <c r="AJ649" s="13"/>
      <c r="AK649" s="13"/>
      <c r="AL649" s="13"/>
      <c r="AM649" s="13"/>
      <c r="AN649" s="13"/>
      <c r="AO649" s="13"/>
      <c r="AW649" s="121"/>
      <c r="AX649" s="121"/>
      <c r="AY649" s="121"/>
      <c r="AZ649" s="121"/>
      <c r="BA649" s="121"/>
      <c r="BB649" s="121"/>
      <c r="BC649" s="121"/>
      <c r="BD649" s="121"/>
      <c r="BE649" s="121"/>
      <c r="BF649" s="121"/>
      <c r="BG649" s="123"/>
      <c r="BH649" s="127"/>
      <c r="BI649" s="125"/>
      <c r="BJ649" s="126"/>
      <c r="BK649" s="30"/>
      <c r="BL649" s="127"/>
      <c r="BM649" s="128"/>
      <c r="BN649" s="123"/>
      <c r="BO649" s="128"/>
      <c r="BP649" s="13"/>
      <c r="BQ649" s="129"/>
      <c r="BR649" s="123"/>
      <c r="BS649" s="130"/>
      <c r="BT649" s="13"/>
      <c r="BU649" s="123"/>
      <c r="BV649" s="131"/>
      <c r="DI649" s="121"/>
      <c r="DJ649" s="13"/>
      <c r="DK649" s="13"/>
      <c r="DL649" s="13"/>
      <c r="DM649" s="13"/>
      <c r="DN649" s="13"/>
      <c r="DO649" s="13"/>
      <c r="DW649" s="121"/>
      <c r="DX649" s="121"/>
      <c r="DY649" s="121"/>
      <c r="DZ649" s="121"/>
      <c r="EA649" s="121"/>
      <c r="EB649" s="121"/>
      <c r="EC649" s="121"/>
      <c r="ED649" s="121"/>
      <c r="EE649" s="121"/>
      <c r="EF649" s="121"/>
      <c r="EG649" s="123"/>
      <c r="EH649" s="127"/>
      <c r="EI649" s="125"/>
      <c r="EJ649" s="126"/>
      <c r="EK649" s="30"/>
      <c r="EL649" s="127"/>
      <c r="EM649" s="128"/>
      <c r="EN649" s="123"/>
      <c r="EO649" s="128"/>
      <c r="EP649" s="13"/>
      <c r="EQ649" s="129"/>
      <c r="ER649" s="123"/>
      <c r="ES649" s="130"/>
      <c r="ET649" s="13"/>
      <c r="EU649" s="123"/>
      <c r="EV649" s="131"/>
    </row>
    <row r="650" spans="35:152">
      <c r="AI650" s="121"/>
      <c r="AJ650" s="13"/>
      <c r="AK650" s="13"/>
      <c r="AL650" s="13"/>
      <c r="AM650" s="13"/>
      <c r="AN650" s="13"/>
      <c r="AO650" s="13"/>
      <c r="AW650" s="121"/>
      <c r="AX650" s="121"/>
      <c r="AY650" s="121"/>
      <c r="AZ650" s="121"/>
      <c r="BA650" s="121"/>
      <c r="BB650" s="121"/>
      <c r="BC650" s="121"/>
      <c r="BD650" s="121"/>
      <c r="BE650" s="121"/>
      <c r="BF650" s="121"/>
      <c r="BG650" s="123"/>
      <c r="BH650" s="127"/>
      <c r="BI650" s="125"/>
      <c r="BJ650" s="126"/>
      <c r="BK650" s="30"/>
      <c r="BL650" s="127"/>
      <c r="BM650" s="128"/>
      <c r="BN650" s="123"/>
      <c r="BO650" s="128"/>
      <c r="BP650" s="13"/>
      <c r="BQ650" s="129"/>
      <c r="BR650" s="123"/>
      <c r="BS650" s="130"/>
      <c r="BT650" s="13"/>
      <c r="BU650" s="123"/>
      <c r="BV650" s="131"/>
      <c r="DI650" s="121"/>
      <c r="DJ650" s="13"/>
      <c r="DK650" s="13"/>
      <c r="DL650" s="13"/>
      <c r="DM650" s="13"/>
      <c r="DN650" s="13"/>
      <c r="DO650" s="13"/>
      <c r="DW650" s="121"/>
      <c r="DX650" s="121"/>
      <c r="DY650" s="121"/>
      <c r="DZ650" s="121"/>
      <c r="EA650" s="121"/>
      <c r="EB650" s="121"/>
      <c r="EC650" s="121"/>
      <c r="ED650" s="121"/>
      <c r="EE650" s="121"/>
      <c r="EF650" s="121"/>
      <c r="EG650" s="123"/>
      <c r="EH650" s="127"/>
      <c r="EI650" s="125"/>
      <c r="EJ650" s="126"/>
      <c r="EK650" s="30"/>
      <c r="EL650" s="127"/>
      <c r="EM650" s="128"/>
      <c r="EN650" s="123"/>
      <c r="EO650" s="128"/>
      <c r="EP650" s="13"/>
      <c r="EQ650" s="129"/>
      <c r="ER650" s="123"/>
      <c r="ES650" s="130"/>
      <c r="ET650" s="13"/>
      <c r="EU650" s="123"/>
      <c r="EV650" s="131"/>
    </row>
    <row r="651" spans="35:152">
      <c r="AI651" s="121"/>
      <c r="AJ651" s="13"/>
      <c r="AK651" s="13"/>
      <c r="AL651" s="13"/>
      <c r="AM651" s="13"/>
      <c r="AN651" s="13"/>
      <c r="AO651" s="13"/>
      <c r="AW651" s="121"/>
      <c r="AX651" s="121"/>
      <c r="AY651" s="121"/>
      <c r="AZ651" s="121"/>
      <c r="BA651" s="121"/>
      <c r="BB651" s="121"/>
      <c r="BC651" s="121"/>
      <c r="BD651" s="121"/>
      <c r="BE651" s="121"/>
      <c r="BF651" s="121"/>
      <c r="BG651" s="123"/>
      <c r="BH651" s="127"/>
      <c r="BI651" s="125"/>
      <c r="BJ651" s="126"/>
      <c r="BK651" s="30"/>
      <c r="BL651" s="127"/>
      <c r="BM651" s="128"/>
      <c r="BN651" s="123"/>
      <c r="BO651" s="128"/>
      <c r="BP651" s="13"/>
      <c r="BQ651" s="129"/>
      <c r="BR651" s="123"/>
      <c r="BS651" s="130"/>
      <c r="BT651" s="13"/>
      <c r="BU651" s="123"/>
      <c r="BV651" s="131"/>
      <c r="DI651" s="121"/>
      <c r="DJ651" s="13"/>
      <c r="DK651" s="13"/>
      <c r="DL651" s="13"/>
      <c r="DM651" s="13"/>
      <c r="DN651" s="13"/>
      <c r="DO651" s="13"/>
      <c r="DW651" s="121"/>
      <c r="DX651" s="121"/>
      <c r="DY651" s="121"/>
      <c r="DZ651" s="121"/>
      <c r="EA651" s="121"/>
      <c r="EB651" s="121"/>
      <c r="EC651" s="121"/>
      <c r="ED651" s="121"/>
      <c r="EE651" s="121"/>
      <c r="EF651" s="121"/>
      <c r="EG651" s="123"/>
      <c r="EH651" s="127"/>
      <c r="EI651" s="125"/>
      <c r="EJ651" s="126"/>
      <c r="EK651" s="30"/>
      <c r="EL651" s="127"/>
      <c r="EM651" s="128"/>
      <c r="EN651" s="123"/>
      <c r="EO651" s="128"/>
      <c r="EP651" s="13"/>
      <c r="EQ651" s="129"/>
      <c r="ER651" s="123"/>
      <c r="ES651" s="130"/>
      <c r="ET651" s="13"/>
      <c r="EU651" s="123"/>
      <c r="EV651" s="131"/>
    </row>
    <row r="652" spans="35:152">
      <c r="AI652" s="121"/>
      <c r="AJ652" s="13"/>
      <c r="AK652" s="13"/>
      <c r="AL652" s="13"/>
      <c r="AM652" s="13"/>
      <c r="AN652" s="13"/>
      <c r="AO652" s="13"/>
      <c r="AW652" s="121"/>
      <c r="AX652" s="121"/>
      <c r="AY652" s="121"/>
      <c r="AZ652" s="121"/>
      <c r="BA652" s="121"/>
      <c r="BB652" s="121"/>
      <c r="BC652" s="121"/>
      <c r="BD652" s="121"/>
      <c r="BE652" s="121"/>
      <c r="BF652" s="121"/>
      <c r="BG652" s="123"/>
      <c r="BH652" s="127"/>
      <c r="BI652" s="125"/>
      <c r="BJ652" s="126"/>
      <c r="BK652" s="30"/>
      <c r="BL652" s="127"/>
      <c r="BM652" s="128"/>
      <c r="BN652" s="123"/>
      <c r="BO652" s="128"/>
      <c r="BP652" s="13"/>
      <c r="BQ652" s="129"/>
      <c r="BR652" s="123"/>
      <c r="BS652" s="130"/>
      <c r="BT652" s="13"/>
      <c r="BU652" s="123"/>
      <c r="BV652" s="131"/>
      <c r="DI652" s="121"/>
      <c r="DJ652" s="13"/>
      <c r="DK652" s="13"/>
      <c r="DL652" s="13"/>
      <c r="DM652" s="13"/>
      <c r="DN652" s="13"/>
      <c r="DO652" s="13"/>
      <c r="DW652" s="121"/>
      <c r="DX652" s="121"/>
      <c r="DY652" s="121"/>
      <c r="DZ652" s="121"/>
      <c r="EA652" s="121"/>
      <c r="EB652" s="121"/>
      <c r="EC652" s="121"/>
      <c r="ED652" s="121"/>
      <c r="EE652" s="121"/>
      <c r="EF652" s="121"/>
      <c r="EG652" s="123"/>
      <c r="EH652" s="127"/>
      <c r="EI652" s="125"/>
      <c r="EJ652" s="126"/>
      <c r="EK652" s="30"/>
      <c r="EL652" s="127"/>
      <c r="EM652" s="128"/>
      <c r="EN652" s="123"/>
      <c r="EO652" s="128"/>
      <c r="EP652" s="13"/>
      <c r="EQ652" s="129"/>
      <c r="ER652" s="123"/>
      <c r="ES652" s="130"/>
      <c r="ET652" s="13"/>
      <c r="EU652" s="123"/>
      <c r="EV652" s="131"/>
    </row>
    <row r="653" spans="35:152">
      <c r="AI653" s="121"/>
      <c r="AJ653" s="13"/>
      <c r="AK653" s="13"/>
      <c r="AL653" s="13"/>
      <c r="AM653" s="13"/>
      <c r="AN653" s="13"/>
      <c r="AO653" s="13"/>
      <c r="AW653" s="121"/>
      <c r="AX653" s="121"/>
      <c r="AY653" s="121"/>
      <c r="AZ653" s="121"/>
      <c r="BA653" s="121"/>
      <c r="BB653" s="121"/>
      <c r="BC653" s="121"/>
      <c r="BD653" s="121"/>
      <c r="BE653" s="121"/>
      <c r="BF653" s="121"/>
      <c r="BG653" s="123"/>
      <c r="BH653" s="127"/>
      <c r="BI653" s="125"/>
      <c r="BJ653" s="126"/>
      <c r="BK653" s="30"/>
      <c r="BL653" s="127"/>
      <c r="BM653" s="128"/>
      <c r="BN653" s="123"/>
      <c r="BO653" s="128"/>
      <c r="BP653" s="13"/>
      <c r="BQ653" s="129"/>
      <c r="BR653" s="123"/>
      <c r="BS653" s="130"/>
      <c r="BT653" s="13"/>
      <c r="BU653" s="123"/>
      <c r="BV653" s="131"/>
      <c r="DI653" s="121"/>
      <c r="DJ653" s="13"/>
      <c r="DK653" s="13"/>
      <c r="DL653" s="13"/>
      <c r="DM653" s="13"/>
      <c r="DN653" s="13"/>
      <c r="DO653" s="13"/>
      <c r="DW653" s="121"/>
      <c r="DX653" s="121"/>
      <c r="DY653" s="121"/>
      <c r="DZ653" s="121"/>
      <c r="EA653" s="121"/>
      <c r="EB653" s="121"/>
      <c r="EC653" s="121"/>
      <c r="ED653" s="121"/>
      <c r="EE653" s="121"/>
      <c r="EF653" s="121"/>
      <c r="EG653" s="123"/>
      <c r="EH653" s="127"/>
      <c r="EI653" s="125"/>
      <c r="EJ653" s="126"/>
      <c r="EK653" s="30"/>
      <c r="EL653" s="127"/>
      <c r="EM653" s="128"/>
      <c r="EN653" s="123"/>
      <c r="EO653" s="128"/>
      <c r="EP653" s="13"/>
      <c r="EQ653" s="129"/>
      <c r="ER653" s="123"/>
      <c r="ES653" s="130"/>
      <c r="ET653" s="13"/>
      <c r="EU653" s="123"/>
      <c r="EV653" s="131"/>
    </row>
    <row r="654" spans="35:152">
      <c r="AI654" s="121"/>
      <c r="AJ654" s="13"/>
      <c r="AK654" s="13"/>
      <c r="AL654" s="13"/>
      <c r="AM654" s="13"/>
      <c r="AN654" s="13"/>
      <c r="AO654" s="13"/>
      <c r="AW654" s="121"/>
      <c r="AX654" s="121"/>
      <c r="AY654" s="121"/>
      <c r="AZ654" s="121"/>
      <c r="BA654" s="121"/>
      <c r="BB654" s="121"/>
      <c r="BC654" s="121"/>
      <c r="BD654" s="121"/>
      <c r="BE654" s="121"/>
      <c r="BF654" s="121"/>
      <c r="BG654" s="123"/>
      <c r="BH654" s="127"/>
      <c r="BI654" s="125"/>
      <c r="BJ654" s="126"/>
      <c r="BK654" s="30"/>
      <c r="BL654" s="127"/>
      <c r="BM654" s="128"/>
      <c r="BN654" s="123"/>
      <c r="BO654" s="128"/>
      <c r="BP654" s="13"/>
      <c r="BQ654" s="129"/>
      <c r="BR654" s="123"/>
      <c r="BS654" s="130"/>
      <c r="BT654" s="13"/>
      <c r="BU654" s="123"/>
      <c r="BV654" s="131"/>
      <c r="DI654" s="121"/>
      <c r="DJ654" s="13"/>
      <c r="DK654" s="13"/>
      <c r="DL654" s="13"/>
      <c r="DM654" s="13"/>
      <c r="DN654" s="13"/>
      <c r="DO654" s="13"/>
      <c r="DW654" s="121"/>
      <c r="DX654" s="121"/>
      <c r="DY654" s="121"/>
      <c r="DZ654" s="121"/>
      <c r="EA654" s="121"/>
      <c r="EB654" s="121"/>
      <c r="EC654" s="121"/>
      <c r="ED654" s="121"/>
      <c r="EE654" s="121"/>
      <c r="EF654" s="121"/>
      <c r="EG654" s="123"/>
      <c r="EH654" s="127"/>
      <c r="EI654" s="125"/>
      <c r="EJ654" s="126"/>
      <c r="EK654" s="30"/>
      <c r="EL654" s="127"/>
      <c r="EM654" s="128"/>
      <c r="EN654" s="123"/>
      <c r="EO654" s="128"/>
      <c r="EP654" s="13"/>
      <c r="EQ654" s="129"/>
      <c r="ER654" s="123"/>
      <c r="ES654" s="130"/>
      <c r="ET654" s="13"/>
      <c r="EU654" s="123"/>
      <c r="EV654" s="131"/>
    </row>
    <row r="655" spans="35:152">
      <c r="AI655" s="121"/>
      <c r="AJ655" s="13"/>
      <c r="AK655" s="13"/>
      <c r="AL655" s="13"/>
      <c r="AM655" s="13"/>
      <c r="AN655" s="13"/>
      <c r="AO655" s="13"/>
      <c r="AW655" s="121"/>
      <c r="AX655" s="121"/>
      <c r="AY655" s="121"/>
      <c r="AZ655" s="121"/>
      <c r="BA655" s="121"/>
      <c r="BB655" s="121"/>
      <c r="BC655" s="121"/>
      <c r="BD655" s="121"/>
      <c r="BE655" s="121"/>
      <c r="BF655" s="121"/>
      <c r="BG655" s="123"/>
      <c r="BH655" s="127"/>
      <c r="BI655" s="125"/>
      <c r="BJ655" s="126"/>
      <c r="BK655" s="30"/>
      <c r="BL655" s="127"/>
      <c r="BM655" s="128"/>
      <c r="BN655" s="123"/>
      <c r="BO655" s="128"/>
      <c r="BP655" s="13"/>
      <c r="BQ655" s="129"/>
      <c r="BR655" s="123"/>
      <c r="BS655" s="130"/>
      <c r="BT655" s="13"/>
      <c r="BU655" s="123"/>
      <c r="BV655" s="131"/>
      <c r="DI655" s="121"/>
      <c r="DJ655" s="13"/>
      <c r="DK655" s="13"/>
      <c r="DL655" s="13"/>
      <c r="DM655" s="13"/>
      <c r="DN655" s="13"/>
      <c r="DO655" s="13"/>
      <c r="DW655" s="121"/>
      <c r="DX655" s="121"/>
      <c r="DY655" s="121"/>
      <c r="DZ655" s="121"/>
      <c r="EA655" s="121"/>
      <c r="EB655" s="121"/>
      <c r="EC655" s="121"/>
      <c r="ED655" s="121"/>
      <c r="EE655" s="121"/>
      <c r="EF655" s="121"/>
      <c r="EG655" s="123"/>
      <c r="EH655" s="127"/>
      <c r="EI655" s="125"/>
      <c r="EJ655" s="126"/>
      <c r="EK655" s="30"/>
      <c r="EL655" s="127"/>
      <c r="EM655" s="128"/>
      <c r="EN655" s="123"/>
      <c r="EO655" s="128"/>
      <c r="EP655" s="13"/>
      <c r="EQ655" s="129"/>
      <c r="ER655" s="123"/>
      <c r="ES655" s="130"/>
      <c r="ET655" s="13"/>
      <c r="EU655" s="123"/>
      <c r="EV655" s="131"/>
    </row>
    <row r="656" spans="35:152">
      <c r="AI656" s="121"/>
      <c r="AJ656" s="13"/>
      <c r="AK656" s="13"/>
      <c r="AL656" s="13"/>
      <c r="AM656" s="13"/>
      <c r="AN656" s="13"/>
      <c r="AO656" s="13"/>
      <c r="AW656" s="121"/>
      <c r="AX656" s="121"/>
      <c r="AY656" s="121"/>
      <c r="AZ656" s="121"/>
      <c r="BA656" s="121"/>
      <c r="BB656" s="121"/>
      <c r="BC656" s="121"/>
      <c r="BD656" s="121"/>
      <c r="BE656" s="121"/>
      <c r="BF656" s="121"/>
      <c r="BG656" s="123"/>
      <c r="BH656" s="127"/>
      <c r="BI656" s="125"/>
      <c r="BJ656" s="126"/>
      <c r="BK656" s="30"/>
      <c r="BL656" s="127"/>
      <c r="BM656" s="128"/>
      <c r="BN656" s="123"/>
      <c r="BO656" s="128"/>
      <c r="BP656" s="13"/>
      <c r="BQ656" s="129"/>
      <c r="BR656" s="123"/>
      <c r="BS656" s="130"/>
      <c r="BT656" s="13"/>
      <c r="BU656" s="123"/>
      <c r="BV656" s="131"/>
      <c r="DI656" s="121"/>
      <c r="DJ656" s="13"/>
      <c r="DK656" s="13"/>
      <c r="DL656" s="13"/>
      <c r="DM656" s="13"/>
      <c r="DN656" s="13"/>
      <c r="DO656" s="13"/>
      <c r="DW656" s="121"/>
      <c r="DX656" s="121"/>
      <c r="DY656" s="121"/>
      <c r="DZ656" s="121"/>
      <c r="EA656" s="121"/>
      <c r="EB656" s="121"/>
      <c r="EC656" s="121"/>
      <c r="ED656" s="121"/>
      <c r="EE656" s="121"/>
      <c r="EF656" s="121"/>
      <c r="EG656" s="123"/>
      <c r="EH656" s="127"/>
      <c r="EI656" s="125"/>
      <c r="EJ656" s="126"/>
      <c r="EK656" s="30"/>
      <c r="EL656" s="127"/>
      <c r="EM656" s="128"/>
      <c r="EN656" s="123"/>
      <c r="EO656" s="128"/>
      <c r="EP656" s="13"/>
      <c r="EQ656" s="129"/>
      <c r="ER656" s="123"/>
      <c r="ES656" s="130"/>
      <c r="ET656" s="13"/>
      <c r="EU656" s="123"/>
      <c r="EV656" s="131"/>
    </row>
    <row r="657" spans="35:152">
      <c r="AI657" s="121"/>
      <c r="AJ657" s="13"/>
      <c r="AK657" s="13"/>
      <c r="AL657" s="13"/>
      <c r="AM657" s="13"/>
      <c r="AN657" s="13"/>
      <c r="AO657" s="13"/>
      <c r="AW657" s="121"/>
      <c r="AX657" s="121"/>
      <c r="AY657" s="121"/>
      <c r="AZ657" s="121"/>
      <c r="BA657" s="121"/>
      <c r="BB657" s="121"/>
      <c r="BC657" s="121"/>
      <c r="BD657" s="121"/>
      <c r="BE657" s="121"/>
      <c r="BF657" s="121"/>
      <c r="BG657" s="123"/>
      <c r="BH657" s="127"/>
      <c r="BI657" s="125"/>
      <c r="BJ657" s="126"/>
      <c r="BK657" s="30"/>
      <c r="BL657" s="127"/>
      <c r="BM657" s="128"/>
      <c r="BN657" s="123"/>
      <c r="BO657" s="128"/>
      <c r="BP657" s="13"/>
      <c r="BQ657" s="129"/>
      <c r="BR657" s="123"/>
      <c r="BS657" s="130"/>
      <c r="BT657" s="13"/>
      <c r="BU657" s="123"/>
      <c r="BV657" s="131"/>
      <c r="DI657" s="121"/>
      <c r="DJ657" s="13"/>
      <c r="DK657" s="13"/>
      <c r="DL657" s="13"/>
      <c r="DM657" s="13"/>
      <c r="DN657" s="13"/>
      <c r="DO657" s="13"/>
      <c r="DW657" s="121"/>
      <c r="DX657" s="121"/>
      <c r="DY657" s="121"/>
      <c r="DZ657" s="121"/>
      <c r="EA657" s="121"/>
      <c r="EB657" s="121"/>
      <c r="EC657" s="121"/>
      <c r="ED657" s="121"/>
      <c r="EE657" s="121"/>
      <c r="EF657" s="121"/>
      <c r="EG657" s="123"/>
      <c r="EH657" s="127"/>
      <c r="EI657" s="125"/>
      <c r="EJ657" s="126"/>
      <c r="EK657" s="30"/>
      <c r="EL657" s="127"/>
      <c r="EM657" s="128"/>
      <c r="EN657" s="123"/>
      <c r="EO657" s="128"/>
      <c r="EP657" s="13"/>
      <c r="EQ657" s="129"/>
      <c r="ER657" s="123"/>
      <c r="ES657" s="130"/>
      <c r="ET657" s="13"/>
      <c r="EU657" s="123"/>
      <c r="EV657" s="131"/>
    </row>
    <row r="658" spans="35:152">
      <c r="AI658" s="121"/>
      <c r="AJ658" s="13"/>
      <c r="AK658" s="13"/>
      <c r="AL658" s="13"/>
      <c r="AM658" s="13"/>
      <c r="AN658" s="13"/>
      <c r="AO658" s="13"/>
      <c r="AW658" s="121"/>
      <c r="AX658" s="121"/>
      <c r="AY658" s="121"/>
      <c r="AZ658" s="121"/>
      <c r="BA658" s="121"/>
      <c r="BB658" s="121"/>
      <c r="BC658" s="121"/>
      <c r="BD658" s="121"/>
      <c r="BE658" s="121"/>
      <c r="BF658" s="121"/>
      <c r="BG658" s="123"/>
      <c r="BH658" s="127"/>
      <c r="BI658" s="125"/>
      <c r="BJ658" s="126"/>
      <c r="BK658" s="30"/>
      <c r="BL658" s="127"/>
      <c r="BM658" s="128"/>
      <c r="BN658" s="123"/>
      <c r="BO658" s="128"/>
      <c r="BP658" s="13"/>
      <c r="BQ658" s="129"/>
      <c r="BR658" s="123"/>
      <c r="BS658" s="130"/>
      <c r="BT658" s="13"/>
      <c r="BU658" s="123"/>
      <c r="BV658" s="131"/>
      <c r="DI658" s="121"/>
      <c r="DJ658" s="13"/>
      <c r="DK658" s="13"/>
      <c r="DL658" s="13"/>
      <c r="DM658" s="13"/>
      <c r="DN658" s="13"/>
      <c r="DO658" s="13"/>
      <c r="DW658" s="121"/>
      <c r="DX658" s="121"/>
      <c r="DY658" s="121"/>
      <c r="DZ658" s="121"/>
      <c r="EA658" s="121"/>
      <c r="EB658" s="121"/>
      <c r="EC658" s="121"/>
      <c r="ED658" s="121"/>
      <c r="EE658" s="121"/>
      <c r="EF658" s="121"/>
      <c r="EG658" s="123"/>
      <c r="EH658" s="127"/>
      <c r="EI658" s="125"/>
      <c r="EJ658" s="126"/>
      <c r="EK658" s="30"/>
      <c r="EL658" s="127"/>
      <c r="EM658" s="128"/>
      <c r="EN658" s="123"/>
      <c r="EO658" s="128"/>
      <c r="EP658" s="13"/>
      <c r="EQ658" s="129"/>
      <c r="ER658" s="123"/>
      <c r="ES658" s="130"/>
      <c r="ET658" s="13"/>
      <c r="EU658" s="123"/>
      <c r="EV658" s="131"/>
    </row>
    <row r="659" spans="35:152">
      <c r="AI659" s="121"/>
      <c r="AJ659" s="13"/>
      <c r="AK659" s="13"/>
      <c r="AL659" s="13"/>
      <c r="AM659" s="13"/>
      <c r="AN659" s="13"/>
      <c r="AO659" s="13"/>
      <c r="AW659" s="121"/>
      <c r="AX659" s="121"/>
      <c r="AY659" s="121"/>
      <c r="AZ659" s="121"/>
      <c r="BA659" s="121"/>
      <c r="BB659" s="121"/>
      <c r="BC659" s="121"/>
      <c r="BD659" s="121"/>
      <c r="BE659" s="121"/>
      <c r="BF659" s="121"/>
      <c r="BG659" s="123"/>
      <c r="BH659" s="127"/>
      <c r="BI659" s="125"/>
      <c r="BJ659" s="126"/>
      <c r="BK659" s="30"/>
      <c r="BL659" s="127"/>
      <c r="BM659" s="128"/>
      <c r="BN659" s="123"/>
      <c r="BO659" s="128"/>
      <c r="BP659" s="13"/>
      <c r="BQ659" s="129"/>
      <c r="BR659" s="123"/>
      <c r="BS659" s="130"/>
      <c r="BT659" s="13"/>
      <c r="BU659" s="123"/>
      <c r="BV659" s="131"/>
      <c r="DI659" s="121"/>
      <c r="DJ659" s="13"/>
      <c r="DK659" s="13"/>
      <c r="DL659" s="13"/>
      <c r="DM659" s="13"/>
      <c r="DN659" s="13"/>
      <c r="DO659" s="13"/>
      <c r="DW659" s="121"/>
      <c r="DX659" s="121"/>
      <c r="DY659" s="121"/>
      <c r="DZ659" s="121"/>
      <c r="EA659" s="121"/>
      <c r="EB659" s="121"/>
      <c r="EC659" s="121"/>
      <c r="ED659" s="121"/>
      <c r="EE659" s="121"/>
      <c r="EF659" s="121"/>
      <c r="EG659" s="123"/>
      <c r="EH659" s="127"/>
      <c r="EI659" s="125"/>
      <c r="EJ659" s="126"/>
      <c r="EK659" s="30"/>
      <c r="EL659" s="127"/>
      <c r="EM659" s="128"/>
      <c r="EN659" s="123"/>
      <c r="EO659" s="128"/>
      <c r="EP659" s="13"/>
      <c r="EQ659" s="129"/>
      <c r="ER659" s="123"/>
      <c r="ES659" s="130"/>
      <c r="ET659" s="13"/>
      <c r="EU659" s="123"/>
      <c r="EV659" s="131"/>
    </row>
    <row r="660" spans="35:152">
      <c r="AI660" s="121"/>
      <c r="AJ660" s="13"/>
      <c r="AK660" s="13"/>
      <c r="AL660" s="13"/>
      <c r="AM660" s="13"/>
      <c r="AN660" s="13"/>
      <c r="AO660" s="13"/>
      <c r="AW660" s="121"/>
      <c r="AX660" s="121"/>
      <c r="AY660" s="121"/>
      <c r="AZ660" s="121"/>
      <c r="BA660" s="121"/>
      <c r="BB660" s="121"/>
      <c r="BC660" s="121"/>
      <c r="BD660" s="121"/>
      <c r="BE660" s="121"/>
      <c r="BF660" s="121"/>
      <c r="BG660" s="123"/>
      <c r="BH660" s="127"/>
      <c r="BI660" s="125"/>
      <c r="BJ660" s="126"/>
      <c r="BK660" s="30"/>
      <c r="BL660" s="127"/>
      <c r="BM660" s="128"/>
      <c r="BN660" s="123"/>
      <c r="BO660" s="128"/>
      <c r="BP660" s="13"/>
      <c r="BQ660" s="129"/>
      <c r="BR660" s="123"/>
      <c r="BS660" s="130"/>
      <c r="BT660" s="13"/>
      <c r="BU660" s="123"/>
      <c r="BV660" s="131"/>
      <c r="DI660" s="121"/>
      <c r="DJ660" s="13"/>
      <c r="DK660" s="13"/>
      <c r="DL660" s="13"/>
      <c r="DM660" s="13"/>
      <c r="DN660" s="13"/>
      <c r="DO660" s="13"/>
      <c r="DW660" s="121"/>
      <c r="DX660" s="121"/>
      <c r="DY660" s="121"/>
      <c r="DZ660" s="121"/>
      <c r="EA660" s="121"/>
      <c r="EB660" s="121"/>
      <c r="EC660" s="121"/>
      <c r="ED660" s="121"/>
      <c r="EE660" s="121"/>
      <c r="EF660" s="121"/>
      <c r="EG660" s="123"/>
      <c r="EH660" s="127"/>
      <c r="EI660" s="125"/>
      <c r="EJ660" s="126"/>
      <c r="EK660" s="30"/>
      <c r="EL660" s="127"/>
      <c r="EM660" s="128"/>
      <c r="EN660" s="123"/>
      <c r="EO660" s="128"/>
      <c r="EP660" s="13"/>
      <c r="EQ660" s="129"/>
      <c r="ER660" s="123"/>
      <c r="ES660" s="130"/>
      <c r="ET660" s="13"/>
      <c r="EU660" s="123"/>
      <c r="EV660" s="131"/>
    </row>
    <row r="661" spans="35:152">
      <c r="AI661" s="121"/>
      <c r="AJ661" s="13"/>
      <c r="AK661" s="13"/>
      <c r="AL661" s="13"/>
      <c r="AM661" s="13"/>
      <c r="AN661" s="13"/>
      <c r="AO661" s="13"/>
      <c r="AW661" s="121"/>
      <c r="AX661" s="121"/>
      <c r="AY661" s="121"/>
      <c r="AZ661" s="121"/>
      <c r="BA661" s="121"/>
      <c r="BB661" s="121"/>
      <c r="BC661" s="121"/>
      <c r="BD661" s="121"/>
      <c r="BE661" s="121"/>
      <c r="BF661" s="121"/>
      <c r="BG661" s="123"/>
      <c r="BH661" s="127"/>
      <c r="BI661" s="125"/>
      <c r="BJ661" s="126"/>
      <c r="BK661" s="30"/>
      <c r="BL661" s="127"/>
      <c r="BM661" s="128"/>
      <c r="BN661" s="123"/>
      <c r="BO661" s="128"/>
      <c r="BP661" s="13"/>
      <c r="BQ661" s="129"/>
      <c r="BR661" s="123"/>
      <c r="BS661" s="130"/>
      <c r="BT661" s="13"/>
      <c r="BU661" s="123"/>
      <c r="BV661" s="131"/>
      <c r="DI661" s="121"/>
      <c r="DJ661" s="13"/>
      <c r="DK661" s="13"/>
      <c r="DL661" s="13"/>
      <c r="DM661" s="13"/>
      <c r="DN661" s="13"/>
      <c r="DO661" s="13"/>
      <c r="DW661" s="121"/>
      <c r="DX661" s="121"/>
      <c r="DY661" s="121"/>
      <c r="DZ661" s="121"/>
      <c r="EA661" s="121"/>
      <c r="EB661" s="121"/>
      <c r="EC661" s="121"/>
      <c r="ED661" s="121"/>
      <c r="EE661" s="121"/>
      <c r="EF661" s="121"/>
      <c r="EG661" s="123"/>
      <c r="EH661" s="127"/>
      <c r="EI661" s="125"/>
      <c r="EJ661" s="126"/>
      <c r="EK661" s="30"/>
      <c r="EL661" s="127"/>
      <c r="EM661" s="128"/>
      <c r="EN661" s="123"/>
      <c r="EO661" s="128"/>
      <c r="EP661" s="13"/>
      <c r="EQ661" s="129"/>
      <c r="ER661" s="123"/>
      <c r="ES661" s="130"/>
      <c r="ET661" s="13"/>
      <c r="EU661" s="123"/>
      <c r="EV661" s="131"/>
    </row>
    <row r="662" spans="35:152">
      <c r="AI662" s="121"/>
      <c r="AJ662" s="13"/>
      <c r="AK662" s="13"/>
      <c r="AL662" s="13"/>
      <c r="AM662" s="13"/>
      <c r="AN662" s="13"/>
      <c r="AO662" s="13"/>
      <c r="AW662" s="121"/>
      <c r="AX662" s="121"/>
      <c r="AY662" s="121"/>
      <c r="AZ662" s="121"/>
      <c r="BA662" s="121"/>
      <c r="BB662" s="121"/>
      <c r="BC662" s="121"/>
      <c r="BD662" s="121"/>
      <c r="BE662" s="121"/>
      <c r="BF662" s="121"/>
      <c r="BG662" s="123"/>
      <c r="BH662" s="127"/>
      <c r="BI662" s="125"/>
      <c r="BJ662" s="126"/>
      <c r="BK662" s="30"/>
      <c r="BL662" s="127"/>
      <c r="BM662" s="128"/>
      <c r="BN662" s="123"/>
      <c r="BO662" s="128"/>
      <c r="BP662" s="13"/>
      <c r="BQ662" s="129"/>
      <c r="BR662" s="123"/>
      <c r="BS662" s="130"/>
      <c r="BT662" s="13"/>
      <c r="BU662" s="123"/>
      <c r="BV662" s="131"/>
      <c r="DI662" s="121"/>
      <c r="DJ662" s="13"/>
      <c r="DK662" s="13"/>
      <c r="DL662" s="13"/>
      <c r="DM662" s="13"/>
      <c r="DN662" s="13"/>
      <c r="DO662" s="13"/>
      <c r="DW662" s="121"/>
      <c r="DX662" s="121"/>
      <c r="DY662" s="121"/>
      <c r="DZ662" s="121"/>
      <c r="EA662" s="121"/>
      <c r="EB662" s="121"/>
      <c r="EC662" s="121"/>
      <c r="ED662" s="121"/>
      <c r="EE662" s="121"/>
      <c r="EF662" s="121"/>
      <c r="EG662" s="123"/>
      <c r="EH662" s="127"/>
      <c r="EI662" s="125"/>
      <c r="EJ662" s="126"/>
      <c r="EK662" s="30"/>
      <c r="EL662" s="127"/>
      <c r="EM662" s="128"/>
      <c r="EN662" s="123"/>
      <c r="EO662" s="128"/>
      <c r="EP662" s="13"/>
      <c r="EQ662" s="129"/>
      <c r="ER662" s="123"/>
      <c r="ES662" s="130"/>
      <c r="ET662" s="13"/>
      <c r="EU662" s="123"/>
      <c r="EV662" s="131"/>
    </row>
    <row r="663" spans="35:152">
      <c r="AI663" s="121"/>
      <c r="AJ663" s="13"/>
      <c r="AK663" s="13"/>
      <c r="AL663" s="13"/>
      <c r="AM663" s="13"/>
      <c r="AN663" s="13"/>
      <c r="AO663" s="13"/>
      <c r="AW663" s="121"/>
      <c r="AX663" s="121"/>
      <c r="AY663" s="121"/>
      <c r="AZ663" s="121"/>
      <c r="BA663" s="121"/>
      <c r="BB663" s="121"/>
      <c r="BC663" s="121"/>
      <c r="BD663" s="121"/>
      <c r="BE663" s="121"/>
      <c r="BF663" s="121"/>
      <c r="BG663" s="123"/>
      <c r="BH663" s="127"/>
      <c r="BI663" s="125"/>
      <c r="BJ663" s="126"/>
      <c r="BK663" s="30"/>
      <c r="BL663" s="127"/>
      <c r="BM663" s="128"/>
      <c r="BN663" s="123"/>
      <c r="BO663" s="128"/>
      <c r="BP663" s="13"/>
      <c r="BQ663" s="129"/>
      <c r="BR663" s="123"/>
      <c r="BS663" s="130"/>
      <c r="BT663" s="13"/>
      <c r="BU663" s="123"/>
      <c r="BV663" s="131"/>
      <c r="DI663" s="121"/>
      <c r="DJ663" s="13"/>
      <c r="DK663" s="13"/>
      <c r="DL663" s="13"/>
      <c r="DM663" s="13"/>
      <c r="DN663" s="13"/>
      <c r="DO663" s="13"/>
      <c r="DW663" s="121"/>
      <c r="DX663" s="121"/>
      <c r="DY663" s="121"/>
      <c r="DZ663" s="121"/>
      <c r="EA663" s="121"/>
      <c r="EB663" s="121"/>
      <c r="EC663" s="121"/>
      <c r="ED663" s="121"/>
      <c r="EE663" s="121"/>
      <c r="EF663" s="121"/>
      <c r="EG663" s="123"/>
      <c r="EH663" s="127"/>
      <c r="EI663" s="125"/>
      <c r="EJ663" s="126"/>
      <c r="EK663" s="30"/>
      <c r="EL663" s="127"/>
      <c r="EM663" s="128"/>
      <c r="EN663" s="123"/>
      <c r="EO663" s="128"/>
      <c r="EP663" s="13"/>
      <c r="EQ663" s="129"/>
      <c r="ER663" s="123"/>
      <c r="ES663" s="130"/>
      <c r="ET663" s="13"/>
      <c r="EU663" s="123"/>
      <c r="EV663" s="131"/>
    </row>
    <row r="664" spans="35:152">
      <c r="AI664" s="121"/>
      <c r="AJ664" s="13"/>
      <c r="AK664" s="13"/>
      <c r="AL664" s="13"/>
      <c r="AM664" s="13"/>
      <c r="AN664" s="13"/>
      <c r="AO664" s="13"/>
      <c r="AW664" s="121"/>
      <c r="AX664" s="121"/>
      <c r="AY664" s="121"/>
      <c r="AZ664" s="121"/>
      <c r="BA664" s="121"/>
      <c r="BB664" s="121"/>
      <c r="BC664" s="121"/>
      <c r="BD664" s="121"/>
      <c r="BE664" s="121"/>
      <c r="BF664" s="121"/>
      <c r="BG664" s="123"/>
      <c r="BH664" s="127"/>
      <c r="BI664" s="125"/>
      <c r="BJ664" s="126"/>
      <c r="BK664" s="30"/>
      <c r="BL664" s="127"/>
      <c r="BM664" s="128"/>
      <c r="BN664" s="123"/>
      <c r="BO664" s="128"/>
      <c r="BP664" s="13"/>
      <c r="BQ664" s="129"/>
      <c r="BR664" s="123"/>
      <c r="BS664" s="130"/>
      <c r="BT664" s="13"/>
      <c r="BU664" s="123"/>
      <c r="BV664" s="131"/>
      <c r="DI664" s="121"/>
      <c r="DJ664" s="13"/>
      <c r="DK664" s="13"/>
      <c r="DL664" s="13"/>
      <c r="DM664" s="13"/>
      <c r="DN664" s="13"/>
      <c r="DO664" s="13"/>
      <c r="DW664" s="121"/>
      <c r="DX664" s="121"/>
      <c r="DY664" s="121"/>
      <c r="DZ664" s="121"/>
      <c r="EA664" s="121"/>
      <c r="EB664" s="121"/>
      <c r="EC664" s="121"/>
      <c r="ED664" s="121"/>
      <c r="EE664" s="121"/>
      <c r="EF664" s="121"/>
      <c r="EG664" s="123"/>
      <c r="EH664" s="127"/>
      <c r="EI664" s="125"/>
      <c r="EJ664" s="126"/>
      <c r="EK664" s="30"/>
      <c r="EL664" s="127"/>
      <c r="EM664" s="128"/>
      <c r="EN664" s="123"/>
      <c r="EO664" s="128"/>
      <c r="EP664" s="13"/>
      <c r="EQ664" s="129"/>
      <c r="ER664" s="123"/>
      <c r="ES664" s="130"/>
      <c r="ET664" s="13"/>
      <c r="EU664" s="123"/>
      <c r="EV664" s="131"/>
    </row>
    <row r="665" spans="35:152">
      <c r="AI665" s="121"/>
      <c r="AJ665" s="13"/>
      <c r="AK665" s="13"/>
      <c r="AL665" s="13"/>
      <c r="AM665" s="13"/>
      <c r="AN665" s="13"/>
      <c r="AO665" s="13"/>
      <c r="AW665" s="121"/>
      <c r="AX665" s="121"/>
      <c r="AY665" s="121"/>
      <c r="AZ665" s="121"/>
      <c r="BA665" s="121"/>
      <c r="BB665" s="121"/>
      <c r="BC665" s="121"/>
      <c r="BD665" s="121"/>
      <c r="BE665" s="121"/>
      <c r="BF665" s="121"/>
      <c r="BG665" s="123"/>
      <c r="BH665" s="127"/>
      <c r="BI665" s="125"/>
      <c r="BJ665" s="126"/>
      <c r="BK665" s="30"/>
      <c r="BL665" s="127"/>
      <c r="BM665" s="128"/>
      <c r="BN665" s="123"/>
      <c r="BO665" s="128"/>
      <c r="BP665" s="13"/>
      <c r="BQ665" s="129"/>
      <c r="BR665" s="123"/>
      <c r="BS665" s="130"/>
      <c r="BT665" s="13"/>
      <c r="BU665" s="123"/>
      <c r="BV665" s="131"/>
      <c r="DI665" s="121"/>
      <c r="DJ665" s="13"/>
      <c r="DK665" s="13"/>
      <c r="DL665" s="13"/>
      <c r="DM665" s="13"/>
      <c r="DN665" s="13"/>
      <c r="DO665" s="13"/>
      <c r="DW665" s="121"/>
      <c r="DX665" s="121"/>
      <c r="DY665" s="121"/>
      <c r="DZ665" s="121"/>
      <c r="EA665" s="121"/>
      <c r="EB665" s="121"/>
      <c r="EC665" s="121"/>
      <c r="ED665" s="121"/>
      <c r="EE665" s="121"/>
      <c r="EF665" s="121"/>
      <c r="EG665" s="123"/>
      <c r="EH665" s="127"/>
      <c r="EI665" s="125"/>
      <c r="EJ665" s="126"/>
      <c r="EK665" s="30"/>
      <c r="EL665" s="127"/>
      <c r="EM665" s="128"/>
      <c r="EN665" s="123"/>
      <c r="EO665" s="128"/>
      <c r="EP665" s="13"/>
      <c r="EQ665" s="129"/>
      <c r="ER665" s="123"/>
      <c r="ES665" s="130"/>
      <c r="ET665" s="13"/>
      <c r="EU665" s="123"/>
      <c r="EV665" s="131"/>
    </row>
    <row r="666" spans="35:152">
      <c r="AI666" s="121"/>
      <c r="AJ666" s="13"/>
      <c r="AK666" s="13"/>
      <c r="AL666" s="13"/>
      <c r="AM666" s="13"/>
      <c r="AN666" s="13"/>
      <c r="AO666" s="13"/>
      <c r="AW666" s="121"/>
      <c r="AX666" s="121"/>
      <c r="AY666" s="121"/>
      <c r="AZ666" s="121"/>
      <c r="BA666" s="121"/>
      <c r="BB666" s="121"/>
      <c r="BC666" s="121"/>
      <c r="BD666" s="121"/>
      <c r="BE666" s="121"/>
      <c r="BF666" s="121"/>
      <c r="BG666" s="123"/>
      <c r="BH666" s="127"/>
      <c r="BI666" s="125"/>
      <c r="BJ666" s="126"/>
      <c r="BK666" s="30"/>
      <c r="BL666" s="127"/>
      <c r="BM666" s="128"/>
      <c r="BN666" s="123"/>
      <c r="BO666" s="128"/>
      <c r="BP666" s="13"/>
      <c r="BQ666" s="129"/>
      <c r="BR666" s="123"/>
      <c r="BS666" s="130"/>
      <c r="BT666" s="13"/>
      <c r="BU666" s="123"/>
      <c r="BV666" s="131"/>
      <c r="DI666" s="121"/>
      <c r="DJ666" s="13"/>
      <c r="DK666" s="13"/>
      <c r="DL666" s="13"/>
      <c r="DM666" s="13"/>
      <c r="DN666" s="13"/>
      <c r="DO666" s="13"/>
      <c r="DW666" s="121"/>
      <c r="DX666" s="121"/>
      <c r="DY666" s="121"/>
      <c r="DZ666" s="121"/>
      <c r="EA666" s="121"/>
      <c r="EB666" s="121"/>
      <c r="EC666" s="121"/>
      <c r="ED666" s="121"/>
      <c r="EE666" s="121"/>
      <c r="EF666" s="121"/>
      <c r="EG666" s="123"/>
      <c r="EH666" s="127"/>
      <c r="EI666" s="125"/>
      <c r="EJ666" s="126"/>
      <c r="EK666" s="30"/>
      <c r="EL666" s="127"/>
      <c r="EM666" s="128"/>
      <c r="EN666" s="123"/>
      <c r="EO666" s="128"/>
      <c r="EP666" s="13"/>
      <c r="EQ666" s="129"/>
      <c r="ER666" s="123"/>
      <c r="ES666" s="130"/>
      <c r="ET666" s="13"/>
      <c r="EU666" s="123"/>
      <c r="EV666" s="131"/>
    </row>
    <row r="667" spans="35:152">
      <c r="AI667" s="121"/>
      <c r="AJ667" s="13"/>
      <c r="AK667" s="13"/>
      <c r="AL667" s="13"/>
      <c r="AM667" s="13"/>
      <c r="AN667" s="13"/>
      <c r="AO667" s="13"/>
      <c r="AW667" s="121"/>
      <c r="AX667" s="121"/>
      <c r="AY667" s="121"/>
      <c r="AZ667" s="121"/>
      <c r="BA667" s="121"/>
      <c r="BB667" s="121"/>
      <c r="BC667" s="121"/>
      <c r="BD667" s="121"/>
      <c r="BE667" s="121"/>
      <c r="BF667" s="121"/>
      <c r="BG667" s="123"/>
      <c r="BH667" s="127"/>
      <c r="BI667" s="125"/>
      <c r="BJ667" s="126"/>
      <c r="BK667" s="30"/>
      <c r="BL667" s="127"/>
      <c r="BM667" s="128"/>
      <c r="BN667" s="123"/>
      <c r="BO667" s="128"/>
      <c r="BP667" s="13"/>
      <c r="BQ667" s="129"/>
      <c r="BR667" s="123"/>
      <c r="BS667" s="130"/>
      <c r="BT667" s="13"/>
      <c r="BU667" s="123"/>
      <c r="BV667" s="131"/>
      <c r="DI667" s="121"/>
      <c r="DJ667" s="13"/>
      <c r="DK667" s="13"/>
      <c r="DL667" s="13"/>
      <c r="DM667" s="13"/>
      <c r="DN667" s="13"/>
      <c r="DO667" s="13"/>
      <c r="DW667" s="121"/>
      <c r="DX667" s="121"/>
      <c r="DY667" s="121"/>
      <c r="DZ667" s="121"/>
      <c r="EA667" s="121"/>
      <c r="EB667" s="121"/>
      <c r="EC667" s="121"/>
      <c r="ED667" s="121"/>
      <c r="EE667" s="121"/>
      <c r="EF667" s="121"/>
      <c r="EG667" s="123"/>
      <c r="EH667" s="127"/>
      <c r="EI667" s="125"/>
      <c r="EJ667" s="126"/>
      <c r="EK667" s="30"/>
      <c r="EL667" s="127"/>
      <c r="EM667" s="128"/>
      <c r="EN667" s="123"/>
      <c r="EO667" s="128"/>
      <c r="EP667" s="13"/>
      <c r="EQ667" s="129"/>
      <c r="ER667" s="123"/>
      <c r="ES667" s="130"/>
      <c r="ET667" s="13"/>
      <c r="EU667" s="123"/>
      <c r="EV667" s="131"/>
    </row>
    <row r="668" spans="35:152">
      <c r="AI668" s="121"/>
      <c r="AJ668" s="13"/>
      <c r="AK668" s="13"/>
      <c r="AL668" s="13"/>
      <c r="AM668" s="13"/>
      <c r="AN668" s="13"/>
      <c r="AO668" s="13"/>
      <c r="AW668" s="121"/>
      <c r="AX668" s="121"/>
      <c r="AY668" s="121"/>
      <c r="AZ668" s="121"/>
      <c r="BA668" s="121"/>
      <c r="BB668" s="121"/>
      <c r="BC668" s="121"/>
      <c r="BD668" s="121"/>
      <c r="BE668" s="121"/>
      <c r="BF668" s="121"/>
      <c r="BG668" s="123"/>
      <c r="BH668" s="127"/>
      <c r="BI668" s="125"/>
      <c r="BJ668" s="126"/>
      <c r="BK668" s="30"/>
      <c r="BL668" s="127"/>
      <c r="BM668" s="128"/>
      <c r="BN668" s="123"/>
      <c r="BO668" s="128"/>
      <c r="BP668" s="13"/>
      <c r="BQ668" s="129"/>
      <c r="BR668" s="123"/>
      <c r="BS668" s="130"/>
      <c r="BT668" s="13"/>
      <c r="BU668" s="123"/>
      <c r="BV668" s="131"/>
      <c r="DI668" s="121"/>
      <c r="DJ668" s="13"/>
      <c r="DK668" s="13"/>
      <c r="DL668" s="13"/>
      <c r="DM668" s="13"/>
      <c r="DN668" s="13"/>
      <c r="DO668" s="13"/>
      <c r="DW668" s="121"/>
      <c r="DX668" s="121"/>
      <c r="DY668" s="121"/>
      <c r="DZ668" s="121"/>
      <c r="EA668" s="121"/>
      <c r="EB668" s="121"/>
      <c r="EC668" s="121"/>
      <c r="ED668" s="121"/>
      <c r="EE668" s="121"/>
      <c r="EF668" s="121"/>
      <c r="EG668" s="123"/>
      <c r="EH668" s="127"/>
      <c r="EI668" s="125"/>
      <c r="EJ668" s="126"/>
      <c r="EK668" s="30"/>
      <c r="EL668" s="127"/>
      <c r="EM668" s="128"/>
      <c r="EN668" s="123"/>
      <c r="EO668" s="128"/>
      <c r="EP668" s="13"/>
      <c r="EQ668" s="129"/>
      <c r="ER668" s="123"/>
      <c r="ES668" s="130"/>
      <c r="ET668" s="13"/>
      <c r="EU668" s="123"/>
      <c r="EV668" s="131"/>
    </row>
    <row r="669" spans="35:152">
      <c r="AI669" s="121"/>
      <c r="AJ669" s="13"/>
      <c r="AK669" s="13"/>
      <c r="AL669" s="13"/>
      <c r="AM669" s="13"/>
      <c r="AN669" s="13"/>
      <c r="AO669" s="13"/>
      <c r="AW669" s="121"/>
      <c r="AX669" s="121"/>
      <c r="AY669" s="121"/>
      <c r="AZ669" s="121"/>
      <c r="BA669" s="121"/>
      <c r="BB669" s="121"/>
      <c r="BC669" s="121"/>
      <c r="BD669" s="121"/>
      <c r="BE669" s="121"/>
      <c r="BF669" s="121"/>
      <c r="BG669" s="123"/>
      <c r="BH669" s="127"/>
      <c r="BI669" s="125"/>
      <c r="BJ669" s="126"/>
      <c r="BK669" s="30"/>
      <c r="BL669" s="127"/>
      <c r="BM669" s="128"/>
      <c r="BN669" s="123"/>
      <c r="BO669" s="128"/>
      <c r="BP669" s="13"/>
      <c r="BQ669" s="129"/>
      <c r="BR669" s="123"/>
      <c r="BS669" s="130"/>
      <c r="BT669" s="13"/>
      <c r="BU669" s="123"/>
      <c r="BV669" s="131"/>
      <c r="DI669" s="121"/>
      <c r="DJ669" s="13"/>
      <c r="DK669" s="13"/>
      <c r="DL669" s="13"/>
      <c r="DM669" s="13"/>
      <c r="DN669" s="13"/>
      <c r="DO669" s="13"/>
      <c r="DW669" s="121"/>
      <c r="DX669" s="121"/>
      <c r="DY669" s="121"/>
      <c r="DZ669" s="121"/>
      <c r="EA669" s="121"/>
      <c r="EB669" s="121"/>
      <c r="EC669" s="121"/>
      <c r="ED669" s="121"/>
      <c r="EE669" s="121"/>
      <c r="EF669" s="121"/>
      <c r="EG669" s="123"/>
      <c r="EH669" s="127"/>
      <c r="EI669" s="125"/>
      <c r="EJ669" s="126"/>
      <c r="EK669" s="30"/>
      <c r="EL669" s="127"/>
      <c r="EM669" s="128"/>
      <c r="EN669" s="123"/>
      <c r="EO669" s="128"/>
      <c r="EP669" s="13"/>
      <c r="EQ669" s="129"/>
      <c r="ER669" s="123"/>
      <c r="ES669" s="130"/>
      <c r="ET669" s="13"/>
      <c r="EU669" s="123"/>
      <c r="EV669" s="131"/>
    </row>
    <row r="670" spans="35:152">
      <c r="AI670" s="121"/>
      <c r="AJ670" s="13"/>
      <c r="AK670" s="13"/>
      <c r="AL670" s="13"/>
      <c r="AM670" s="13"/>
      <c r="AN670" s="13"/>
      <c r="AO670" s="13"/>
      <c r="AW670" s="121"/>
      <c r="AX670" s="121"/>
      <c r="AY670" s="121"/>
      <c r="AZ670" s="121"/>
      <c r="BA670" s="121"/>
      <c r="BB670" s="121"/>
      <c r="BC670" s="121"/>
      <c r="BD670" s="121"/>
      <c r="BE670" s="121"/>
      <c r="BF670" s="121"/>
      <c r="BG670" s="123"/>
      <c r="BH670" s="127"/>
      <c r="BI670" s="125"/>
      <c r="BJ670" s="126"/>
      <c r="BK670" s="30"/>
      <c r="BL670" s="127"/>
      <c r="BM670" s="128"/>
      <c r="BN670" s="123"/>
      <c r="BO670" s="128"/>
      <c r="BP670" s="13"/>
      <c r="BQ670" s="129"/>
      <c r="BR670" s="123"/>
      <c r="BS670" s="130"/>
      <c r="BT670" s="13"/>
      <c r="BU670" s="123"/>
      <c r="BV670" s="131"/>
      <c r="DI670" s="121"/>
      <c r="DJ670" s="13"/>
      <c r="DK670" s="13"/>
      <c r="DL670" s="13"/>
      <c r="DM670" s="13"/>
      <c r="DN670" s="13"/>
      <c r="DO670" s="13"/>
      <c r="DW670" s="121"/>
      <c r="DX670" s="121"/>
      <c r="DY670" s="121"/>
      <c r="DZ670" s="121"/>
      <c r="EA670" s="121"/>
      <c r="EB670" s="121"/>
      <c r="EC670" s="121"/>
      <c r="ED670" s="121"/>
      <c r="EE670" s="121"/>
      <c r="EF670" s="121"/>
      <c r="EG670" s="123"/>
      <c r="EH670" s="127"/>
      <c r="EI670" s="125"/>
      <c r="EJ670" s="126"/>
      <c r="EK670" s="30"/>
      <c r="EL670" s="127"/>
      <c r="EM670" s="128"/>
      <c r="EN670" s="123"/>
      <c r="EO670" s="128"/>
      <c r="EP670" s="13"/>
      <c r="EQ670" s="129"/>
      <c r="ER670" s="123"/>
      <c r="ES670" s="130"/>
      <c r="ET670" s="13"/>
      <c r="EU670" s="123"/>
      <c r="EV670" s="131"/>
    </row>
    <row r="671" spans="35:152">
      <c r="AI671" s="121"/>
      <c r="AJ671" s="13"/>
      <c r="AK671" s="13"/>
      <c r="AL671" s="13"/>
      <c r="AM671" s="13"/>
      <c r="AN671" s="13"/>
      <c r="AO671" s="13"/>
      <c r="AW671" s="121"/>
      <c r="AX671" s="121"/>
      <c r="AY671" s="121"/>
      <c r="AZ671" s="121"/>
      <c r="BA671" s="121"/>
      <c r="BB671" s="121"/>
      <c r="BC671" s="121"/>
      <c r="BD671" s="121"/>
      <c r="BE671" s="121"/>
      <c r="BF671" s="121"/>
      <c r="BG671" s="123"/>
      <c r="BH671" s="127"/>
      <c r="BI671" s="125"/>
      <c r="BJ671" s="126"/>
      <c r="BK671" s="30"/>
      <c r="BL671" s="127"/>
      <c r="BM671" s="128"/>
      <c r="BN671" s="123"/>
      <c r="BO671" s="128"/>
      <c r="BP671" s="13"/>
      <c r="BQ671" s="129"/>
      <c r="BR671" s="123"/>
      <c r="BS671" s="130"/>
      <c r="BT671" s="13"/>
      <c r="BU671" s="123"/>
      <c r="BV671" s="131"/>
      <c r="DI671" s="121"/>
      <c r="DJ671" s="13"/>
      <c r="DK671" s="13"/>
      <c r="DL671" s="13"/>
      <c r="DM671" s="13"/>
      <c r="DN671" s="13"/>
      <c r="DO671" s="13"/>
      <c r="DW671" s="121"/>
      <c r="DX671" s="121"/>
      <c r="DY671" s="121"/>
      <c r="DZ671" s="121"/>
      <c r="EA671" s="121"/>
      <c r="EB671" s="121"/>
      <c r="EC671" s="121"/>
      <c r="ED671" s="121"/>
      <c r="EE671" s="121"/>
      <c r="EF671" s="121"/>
      <c r="EG671" s="123"/>
      <c r="EH671" s="127"/>
      <c r="EI671" s="125"/>
      <c r="EJ671" s="126"/>
      <c r="EK671" s="30"/>
      <c r="EL671" s="127"/>
      <c r="EM671" s="128"/>
      <c r="EN671" s="123"/>
      <c r="EO671" s="128"/>
      <c r="EP671" s="13"/>
      <c r="EQ671" s="129"/>
      <c r="ER671" s="123"/>
      <c r="ES671" s="130"/>
      <c r="ET671" s="13"/>
      <c r="EU671" s="123"/>
      <c r="EV671" s="131"/>
    </row>
    <row r="672" spans="35:152">
      <c r="AI672" s="121"/>
      <c r="AJ672" s="13"/>
      <c r="AK672" s="13"/>
      <c r="AL672" s="13"/>
      <c r="AM672" s="13"/>
      <c r="AN672" s="13"/>
      <c r="AO672" s="13"/>
      <c r="AW672" s="121"/>
      <c r="AX672" s="121"/>
      <c r="AY672" s="121"/>
      <c r="AZ672" s="121"/>
      <c r="BA672" s="121"/>
      <c r="BB672" s="121"/>
      <c r="BC672" s="121"/>
      <c r="BD672" s="121"/>
      <c r="BE672" s="121"/>
      <c r="BF672" s="121"/>
      <c r="BG672" s="123"/>
      <c r="BH672" s="127"/>
      <c r="BI672" s="125"/>
      <c r="BJ672" s="126"/>
      <c r="BK672" s="30"/>
      <c r="BL672" s="127"/>
      <c r="BM672" s="128"/>
      <c r="BN672" s="123"/>
      <c r="BO672" s="128"/>
      <c r="BP672" s="13"/>
      <c r="BQ672" s="129"/>
      <c r="BR672" s="123"/>
      <c r="BS672" s="130"/>
      <c r="BT672" s="13"/>
      <c r="BU672" s="123"/>
      <c r="BV672" s="131"/>
      <c r="DI672" s="121"/>
      <c r="DJ672" s="13"/>
      <c r="DK672" s="13"/>
      <c r="DL672" s="13"/>
      <c r="DM672" s="13"/>
      <c r="DN672" s="13"/>
      <c r="DO672" s="13"/>
      <c r="DW672" s="121"/>
      <c r="DX672" s="121"/>
      <c r="DY672" s="121"/>
      <c r="DZ672" s="121"/>
      <c r="EA672" s="121"/>
      <c r="EB672" s="121"/>
      <c r="EC672" s="121"/>
      <c r="ED672" s="121"/>
      <c r="EE672" s="121"/>
      <c r="EF672" s="121"/>
      <c r="EG672" s="123"/>
      <c r="EH672" s="127"/>
      <c r="EI672" s="125"/>
      <c r="EJ672" s="126"/>
      <c r="EK672" s="30"/>
      <c r="EL672" s="127"/>
      <c r="EM672" s="128"/>
      <c r="EN672" s="123"/>
      <c r="EO672" s="128"/>
      <c r="EP672" s="13"/>
      <c r="EQ672" s="129"/>
      <c r="ER672" s="123"/>
      <c r="ES672" s="130"/>
      <c r="ET672" s="13"/>
      <c r="EU672" s="123"/>
      <c r="EV672" s="131"/>
    </row>
    <row r="673" spans="35:152">
      <c r="AI673" s="121"/>
      <c r="AJ673" s="13"/>
      <c r="AK673" s="13"/>
      <c r="AL673" s="13"/>
      <c r="AM673" s="13"/>
      <c r="AN673" s="13"/>
      <c r="AO673" s="13"/>
      <c r="AW673" s="121"/>
      <c r="AX673" s="121"/>
      <c r="AY673" s="121"/>
      <c r="AZ673" s="121"/>
      <c r="BA673" s="121"/>
      <c r="BB673" s="121"/>
      <c r="BC673" s="121"/>
      <c r="BD673" s="121"/>
      <c r="BE673" s="121"/>
      <c r="BF673" s="121"/>
      <c r="BG673" s="123"/>
      <c r="BH673" s="127"/>
      <c r="BI673" s="125"/>
      <c r="BJ673" s="126"/>
      <c r="BK673" s="30"/>
      <c r="BL673" s="127"/>
      <c r="BM673" s="128"/>
      <c r="BN673" s="123"/>
      <c r="BO673" s="128"/>
      <c r="BP673" s="13"/>
      <c r="BQ673" s="129"/>
      <c r="BR673" s="123"/>
      <c r="BS673" s="130"/>
      <c r="BT673" s="13"/>
      <c r="BU673" s="123"/>
      <c r="BV673" s="131"/>
      <c r="DI673" s="121"/>
      <c r="DJ673" s="13"/>
      <c r="DK673" s="13"/>
      <c r="DL673" s="13"/>
      <c r="DM673" s="13"/>
      <c r="DN673" s="13"/>
      <c r="DO673" s="13"/>
      <c r="DW673" s="121"/>
      <c r="DX673" s="121"/>
      <c r="DY673" s="121"/>
      <c r="DZ673" s="121"/>
      <c r="EA673" s="121"/>
      <c r="EB673" s="121"/>
      <c r="EC673" s="121"/>
      <c r="ED673" s="121"/>
      <c r="EE673" s="121"/>
      <c r="EF673" s="121"/>
      <c r="EG673" s="123"/>
      <c r="EH673" s="127"/>
      <c r="EI673" s="125"/>
      <c r="EJ673" s="126"/>
      <c r="EK673" s="30"/>
      <c r="EL673" s="127"/>
      <c r="EM673" s="128"/>
      <c r="EN673" s="123"/>
      <c r="EO673" s="128"/>
      <c r="EP673" s="13"/>
      <c r="EQ673" s="129"/>
      <c r="ER673" s="123"/>
      <c r="ES673" s="130"/>
      <c r="ET673" s="13"/>
      <c r="EU673" s="123"/>
      <c r="EV673" s="131"/>
    </row>
    <row r="674" spans="35:152">
      <c r="AI674" s="121"/>
      <c r="AJ674" s="13"/>
      <c r="AK674" s="13"/>
      <c r="AL674" s="13"/>
      <c r="AM674" s="13"/>
      <c r="AN674" s="13"/>
      <c r="AO674" s="13"/>
      <c r="AW674" s="121"/>
      <c r="AX674" s="121"/>
      <c r="AY674" s="121"/>
      <c r="AZ674" s="121"/>
      <c r="BA674" s="121"/>
      <c r="BB674" s="121"/>
      <c r="BC674" s="121"/>
      <c r="BD674" s="121"/>
      <c r="BE674" s="121"/>
      <c r="BF674" s="121"/>
      <c r="BG674" s="123"/>
      <c r="BH674" s="127"/>
      <c r="BI674" s="125"/>
      <c r="BJ674" s="126"/>
      <c r="BK674" s="30"/>
      <c r="BL674" s="127"/>
      <c r="BM674" s="128"/>
      <c r="BN674" s="123"/>
      <c r="BO674" s="128"/>
      <c r="BP674" s="13"/>
      <c r="BQ674" s="129"/>
      <c r="BR674" s="123"/>
      <c r="BS674" s="130"/>
      <c r="BT674" s="13"/>
      <c r="BU674" s="123"/>
      <c r="BV674" s="131"/>
      <c r="DI674" s="121"/>
      <c r="DJ674" s="13"/>
      <c r="DK674" s="13"/>
      <c r="DL674" s="13"/>
      <c r="DM674" s="13"/>
      <c r="DN674" s="13"/>
      <c r="DO674" s="13"/>
      <c r="DW674" s="121"/>
      <c r="DX674" s="121"/>
      <c r="DY674" s="121"/>
      <c r="DZ674" s="121"/>
      <c r="EA674" s="121"/>
      <c r="EB674" s="121"/>
      <c r="EC674" s="121"/>
      <c r="ED674" s="121"/>
      <c r="EE674" s="121"/>
      <c r="EF674" s="121"/>
      <c r="EG674" s="123"/>
      <c r="EH674" s="127"/>
      <c r="EI674" s="125"/>
      <c r="EJ674" s="126"/>
      <c r="EK674" s="30"/>
      <c r="EL674" s="127"/>
      <c r="EM674" s="128"/>
      <c r="EN674" s="123"/>
      <c r="EO674" s="128"/>
      <c r="EP674" s="13"/>
      <c r="EQ674" s="129"/>
      <c r="ER674" s="123"/>
      <c r="ES674" s="130"/>
      <c r="ET674" s="13"/>
      <c r="EU674" s="123"/>
      <c r="EV674" s="131"/>
    </row>
    <row r="675" spans="35:152">
      <c r="AI675" s="121"/>
      <c r="AJ675" s="13"/>
      <c r="AK675" s="13"/>
      <c r="AL675" s="13"/>
      <c r="AM675" s="13"/>
      <c r="AN675" s="13"/>
      <c r="AO675" s="13"/>
      <c r="AW675" s="121"/>
      <c r="AX675" s="121"/>
      <c r="AY675" s="121"/>
      <c r="AZ675" s="121"/>
      <c r="BA675" s="121"/>
      <c r="BB675" s="121"/>
      <c r="BC675" s="121"/>
      <c r="BD675" s="121"/>
      <c r="BE675" s="121"/>
      <c r="BF675" s="121"/>
      <c r="BG675" s="123"/>
      <c r="BH675" s="127"/>
      <c r="BI675" s="125"/>
      <c r="BJ675" s="126"/>
      <c r="BK675" s="30"/>
      <c r="BL675" s="127"/>
      <c r="BM675" s="128"/>
      <c r="BN675" s="123"/>
      <c r="BO675" s="128"/>
      <c r="BP675" s="13"/>
      <c r="BQ675" s="129"/>
      <c r="BR675" s="123"/>
      <c r="BS675" s="130"/>
      <c r="BT675" s="13"/>
      <c r="BU675" s="123"/>
      <c r="BV675" s="131"/>
      <c r="DI675" s="121"/>
      <c r="DJ675" s="13"/>
      <c r="DK675" s="13"/>
      <c r="DL675" s="13"/>
      <c r="DM675" s="13"/>
      <c r="DN675" s="13"/>
      <c r="DO675" s="13"/>
      <c r="DW675" s="121"/>
      <c r="DX675" s="121"/>
      <c r="DY675" s="121"/>
      <c r="DZ675" s="121"/>
      <c r="EA675" s="121"/>
      <c r="EB675" s="121"/>
      <c r="EC675" s="121"/>
      <c r="ED675" s="121"/>
      <c r="EE675" s="121"/>
      <c r="EF675" s="121"/>
      <c r="EG675" s="123"/>
      <c r="EH675" s="127"/>
      <c r="EI675" s="125"/>
      <c r="EJ675" s="126"/>
      <c r="EK675" s="30"/>
      <c r="EL675" s="127"/>
      <c r="EM675" s="128"/>
      <c r="EN675" s="123"/>
      <c r="EO675" s="128"/>
      <c r="EP675" s="13"/>
      <c r="EQ675" s="129"/>
      <c r="ER675" s="123"/>
      <c r="ES675" s="130"/>
      <c r="ET675" s="13"/>
      <c r="EU675" s="123"/>
      <c r="EV675" s="131"/>
    </row>
    <row r="676" spans="35:152">
      <c r="AI676" s="121"/>
      <c r="AJ676" s="13"/>
      <c r="AK676" s="13"/>
      <c r="AL676" s="13"/>
      <c r="AM676" s="13"/>
      <c r="AN676" s="13"/>
      <c r="AO676" s="13"/>
      <c r="AW676" s="121"/>
      <c r="AX676" s="121"/>
      <c r="AY676" s="121"/>
      <c r="AZ676" s="121"/>
      <c r="BA676" s="121"/>
      <c r="BB676" s="121"/>
      <c r="BC676" s="121"/>
      <c r="BD676" s="121"/>
      <c r="BE676" s="121"/>
      <c r="BF676" s="121"/>
      <c r="BG676" s="123"/>
      <c r="BH676" s="127"/>
      <c r="BI676" s="125"/>
      <c r="BJ676" s="126"/>
      <c r="BK676" s="30"/>
      <c r="BL676" s="127"/>
      <c r="BM676" s="128"/>
      <c r="BN676" s="123"/>
      <c r="BO676" s="128"/>
      <c r="BP676" s="13"/>
      <c r="BQ676" s="129"/>
      <c r="BR676" s="123"/>
      <c r="BS676" s="130"/>
      <c r="BT676" s="13"/>
      <c r="BU676" s="123"/>
      <c r="BV676" s="131"/>
      <c r="DI676" s="121"/>
      <c r="DJ676" s="13"/>
      <c r="DK676" s="13"/>
      <c r="DL676" s="13"/>
      <c r="DM676" s="13"/>
      <c r="DN676" s="13"/>
      <c r="DO676" s="13"/>
      <c r="DW676" s="121"/>
      <c r="DX676" s="121"/>
      <c r="DY676" s="121"/>
      <c r="DZ676" s="121"/>
      <c r="EA676" s="121"/>
      <c r="EB676" s="121"/>
      <c r="EC676" s="121"/>
      <c r="ED676" s="121"/>
      <c r="EE676" s="121"/>
      <c r="EF676" s="121"/>
      <c r="EG676" s="123"/>
      <c r="EH676" s="127"/>
      <c r="EI676" s="125"/>
      <c r="EJ676" s="126"/>
      <c r="EK676" s="30"/>
      <c r="EL676" s="127"/>
      <c r="EM676" s="128"/>
      <c r="EN676" s="123"/>
      <c r="EO676" s="128"/>
      <c r="EP676" s="13"/>
      <c r="EQ676" s="129"/>
      <c r="ER676" s="123"/>
      <c r="ES676" s="130"/>
      <c r="ET676" s="13"/>
      <c r="EU676" s="123"/>
      <c r="EV676" s="131"/>
    </row>
    <row r="677" spans="35:152">
      <c r="AI677" s="121"/>
      <c r="AJ677" s="13"/>
      <c r="AK677" s="13"/>
      <c r="AL677" s="13"/>
      <c r="AM677" s="13"/>
      <c r="AN677" s="13"/>
      <c r="AO677" s="13"/>
      <c r="AW677" s="121"/>
      <c r="AX677" s="121"/>
      <c r="AY677" s="121"/>
      <c r="AZ677" s="121"/>
      <c r="BA677" s="121"/>
      <c r="BB677" s="121"/>
      <c r="BC677" s="121"/>
      <c r="BD677" s="121"/>
      <c r="BE677" s="121"/>
      <c r="BF677" s="121"/>
      <c r="BG677" s="123"/>
      <c r="BH677" s="127"/>
      <c r="BI677" s="125"/>
      <c r="BJ677" s="126"/>
      <c r="BK677" s="30"/>
      <c r="BL677" s="127"/>
      <c r="BM677" s="128"/>
      <c r="BN677" s="123"/>
      <c r="BO677" s="128"/>
      <c r="BP677" s="13"/>
      <c r="BQ677" s="129"/>
      <c r="BR677" s="123"/>
      <c r="BS677" s="130"/>
      <c r="BT677" s="13"/>
      <c r="BU677" s="123"/>
      <c r="BV677" s="131"/>
      <c r="DI677" s="121"/>
      <c r="DJ677" s="13"/>
      <c r="DK677" s="13"/>
      <c r="DL677" s="13"/>
      <c r="DM677" s="13"/>
      <c r="DN677" s="13"/>
      <c r="DO677" s="13"/>
      <c r="DW677" s="121"/>
      <c r="DX677" s="121"/>
      <c r="DY677" s="121"/>
      <c r="DZ677" s="121"/>
      <c r="EA677" s="121"/>
      <c r="EB677" s="121"/>
      <c r="EC677" s="121"/>
      <c r="ED677" s="121"/>
      <c r="EE677" s="121"/>
      <c r="EF677" s="121"/>
      <c r="EG677" s="123"/>
      <c r="EH677" s="127"/>
      <c r="EI677" s="125"/>
      <c r="EJ677" s="126"/>
      <c r="EK677" s="30"/>
      <c r="EL677" s="127"/>
      <c r="EM677" s="128"/>
      <c r="EN677" s="123"/>
      <c r="EO677" s="128"/>
      <c r="EP677" s="13"/>
      <c r="EQ677" s="129"/>
      <c r="ER677" s="123"/>
      <c r="ES677" s="130"/>
      <c r="ET677" s="13"/>
      <c r="EU677" s="123"/>
      <c r="EV677" s="131"/>
    </row>
    <row r="678" spans="35:152">
      <c r="AI678" s="121"/>
      <c r="AJ678" s="13"/>
      <c r="AK678" s="13"/>
      <c r="AL678" s="13"/>
      <c r="AM678" s="13"/>
      <c r="AN678" s="13"/>
      <c r="AO678" s="13"/>
      <c r="AW678" s="121"/>
      <c r="AX678" s="121"/>
      <c r="AY678" s="121"/>
      <c r="AZ678" s="121"/>
      <c r="BA678" s="121"/>
      <c r="BB678" s="121"/>
      <c r="BC678" s="121"/>
      <c r="BD678" s="121"/>
      <c r="BE678" s="121"/>
      <c r="BF678" s="121"/>
      <c r="BG678" s="123"/>
      <c r="BH678" s="127"/>
      <c r="BI678" s="125"/>
      <c r="BJ678" s="126"/>
      <c r="BK678" s="30"/>
      <c r="BL678" s="127"/>
      <c r="BM678" s="128"/>
      <c r="BN678" s="123"/>
      <c r="BO678" s="128"/>
      <c r="BP678" s="13"/>
      <c r="BQ678" s="129"/>
      <c r="BR678" s="123"/>
      <c r="BS678" s="130"/>
      <c r="BT678" s="13"/>
      <c r="BU678" s="123"/>
      <c r="BV678" s="131"/>
      <c r="DI678" s="121"/>
      <c r="DJ678" s="13"/>
      <c r="DK678" s="13"/>
      <c r="DL678" s="13"/>
      <c r="DM678" s="13"/>
      <c r="DN678" s="13"/>
      <c r="DO678" s="13"/>
      <c r="DW678" s="121"/>
      <c r="DX678" s="121"/>
      <c r="DY678" s="121"/>
      <c r="DZ678" s="121"/>
      <c r="EA678" s="121"/>
      <c r="EB678" s="121"/>
      <c r="EC678" s="121"/>
      <c r="ED678" s="121"/>
      <c r="EE678" s="121"/>
      <c r="EF678" s="121"/>
      <c r="EG678" s="123"/>
      <c r="EH678" s="127"/>
      <c r="EI678" s="125"/>
      <c r="EJ678" s="126"/>
      <c r="EK678" s="30"/>
      <c r="EL678" s="127"/>
      <c r="EM678" s="128"/>
      <c r="EN678" s="123"/>
      <c r="EO678" s="128"/>
      <c r="EP678" s="13"/>
      <c r="EQ678" s="129"/>
      <c r="ER678" s="123"/>
      <c r="ES678" s="130"/>
      <c r="ET678" s="13"/>
      <c r="EU678" s="123"/>
      <c r="EV678" s="131"/>
    </row>
    <row r="679" spans="35:152">
      <c r="AI679" s="121"/>
      <c r="AJ679" s="13"/>
      <c r="AK679" s="13"/>
      <c r="AL679" s="13"/>
      <c r="AM679" s="13"/>
      <c r="AN679" s="13"/>
      <c r="AO679" s="13"/>
      <c r="AW679" s="121"/>
      <c r="AX679" s="121"/>
      <c r="AY679" s="121"/>
      <c r="AZ679" s="121"/>
      <c r="BA679" s="121"/>
      <c r="BB679" s="121"/>
      <c r="BC679" s="121"/>
      <c r="BD679" s="121"/>
      <c r="BE679" s="121"/>
      <c r="BF679" s="121"/>
      <c r="BG679" s="123"/>
      <c r="BH679" s="127"/>
      <c r="BI679" s="125"/>
      <c r="BJ679" s="126"/>
      <c r="BK679" s="30"/>
      <c r="BL679" s="127"/>
      <c r="BM679" s="128"/>
      <c r="BN679" s="123"/>
      <c r="BO679" s="128"/>
      <c r="BP679" s="13"/>
      <c r="BQ679" s="129"/>
      <c r="BR679" s="123"/>
      <c r="BS679" s="130"/>
      <c r="BT679" s="13"/>
      <c r="BU679" s="123"/>
      <c r="BV679" s="131"/>
      <c r="DI679" s="121"/>
      <c r="DJ679" s="13"/>
      <c r="DK679" s="13"/>
      <c r="DL679" s="13"/>
      <c r="DM679" s="13"/>
      <c r="DN679" s="13"/>
      <c r="DO679" s="13"/>
      <c r="DW679" s="121"/>
      <c r="DX679" s="121"/>
      <c r="DY679" s="121"/>
      <c r="DZ679" s="121"/>
      <c r="EA679" s="121"/>
      <c r="EB679" s="121"/>
      <c r="EC679" s="121"/>
      <c r="ED679" s="121"/>
      <c r="EE679" s="121"/>
      <c r="EF679" s="121"/>
      <c r="EG679" s="123"/>
      <c r="EH679" s="127"/>
      <c r="EI679" s="125"/>
      <c r="EJ679" s="126"/>
      <c r="EK679" s="30"/>
      <c r="EL679" s="127"/>
      <c r="EM679" s="128"/>
      <c r="EN679" s="123"/>
      <c r="EO679" s="128"/>
      <c r="EP679" s="13"/>
      <c r="EQ679" s="129"/>
      <c r="ER679" s="123"/>
      <c r="ES679" s="130"/>
      <c r="ET679" s="13"/>
      <c r="EU679" s="123"/>
      <c r="EV679" s="131"/>
    </row>
    <row r="680" spans="35:152">
      <c r="AI680" s="121"/>
      <c r="AJ680" s="13"/>
      <c r="AK680" s="13"/>
      <c r="AL680" s="13"/>
      <c r="AM680" s="13"/>
      <c r="AN680" s="13"/>
      <c r="AO680" s="13"/>
      <c r="AW680" s="121"/>
      <c r="AX680" s="121"/>
      <c r="AY680" s="121"/>
      <c r="AZ680" s="121"/>
      <c r="BA680" s="121"/>
      <c r="BB680" s="121"/>
      <c r="BC680" s="121"/>
      <c r="BD680" s="121"/>
      <c r="BE680" s="121"/>
      <c r="BF680" s="121"/>
      <c r="BG680" s="123"/>
      <c r="BH680" s="127"/>
      <c r="BI680" s="125"/>
      <c r="BJ680" s="126"/>
      <c r="BK680" s="30"/>
      <c r="BL680" s="127"/>
      <c r="BM680" s="128"/>
      <c r="BN680" s="123"/>
      <c r="BO680" s="128"/>
      <c r="BP680" s="13"/>
      <c r="BQ680" s="129"/>
      <c r="BR680" s="123"/>
      <c r="BS680" s="130"/>
      <c r="BT680" s="13"/>
      <c r="BU680" s="123"/>
      <c r="BV680" s="131"/>
      <c r="DI680" s="121"/>
      <c r="DJ680" s="13"/>
      <c r="DK680" s="13"/>
      <c r="DL680" s="13"/>
      <c r="DM680" s="13"/>
      <c r="DN680" s="13"/>
      <c r="DO680" s="13"/>
      <c r="DW680" s="121"/>
      <c r="DX680" s="121"/>
      <c r="DY680" s="121"/>
      <c r="DZ680" s="121"/>
      <c r="EA680" s="121"/>
      <c r="EB680" s="121"/>
      <c r="EC680" s="121"/>
      <c r="ED680" s="121"/>
      <c r="EE680" s="121"/>
      <c r="EF680" s="121"/>
      <c r="EG680" s="123"/>
      <c r="EH680" s="127"/>
      <c r="EI680" s="125"/>
      <c r="EJ680" s="126"/>
      <c r="EK680" s="30"/>
      <c r="EL680" s="127"/>
      <c r="EM680" s="128"/>
      <c r="EN680" s="123"/>
      <c r="EO680" s="128"/>
      <c r="EP680" s="13"/>
      <c r="EQ680" s="129"/>
      <c r="ER680" s="123"/>
      <c r="ES680" s="130"/>
      <c r="ET680" s="13"/>
      <c r="EU680" s="123"/>
      <c r="EV680" s="131"/>
    </row>
    <row r="681" spans="35:152">
      <c r="AI681" s="121"/>
      <c r="AJ681" s="13"/>
      <c r="AK681" s="13"/>
      <c r="AL681" s="13"/>
      <c r="AM681" s="13"/>
      <c r="AN681" s="13"/>
      <c r="AO681" s="13"/>
      <c r="AW681" s="121"/>
      <c r="AX681" s="121"/>
      <c r="AY681" s="121"/>
      <c r="AZ681" s="121"/>
      <c r="BA681" s="121"/>
      <c r="BB681" s="121"/>
      <c r="BC681" s="121"/>
      <c r="BD681" s="121"/>
      <c r="BE681" s="121"/>
      <c r="BF681" s="121"/>
      <c r="BG681" s="123"/>
      <c r="BH681" s="127"/>
      <c r="BI681" s="125"/>
      <c r="BJ681" s="126"/>
      <c r="BK681" s="30"/>
      <c r="BL681" s="127"/>
      <c r="BM681" s="128"/>
      <c r="BN681" s="123"/>
      <c r="BO681" s="128"/>
      <c r="BP681" s="13"/>
      <c r="BQ681" s="129"/>
      <c r="BR681" s="123"/>
      <c r="BS681" s="130"/>
      <c r="BT681" s="13"/>
      <c r="BU681" s="123"/>
      <c r="BV681" s="131"/>
      <c r="DI681" s="121"/>
      <c r="DJ681" s="13"/>
      <c r="DK681" s="13"/>
      <c r="DL681" s="13"/>
      <c r="DM681" s="13"/>
      <c r="DN681" s="13"/>
      <c r="DO681" s="13"/>
      <c r="DW681" s="121"/>
      <c r="DX681" s="121"/>
      <c r="DY681" s="121"/>
      <c r="DZ681" s="121"/>
      <c r="EA681" s="121"/>
      <c r="EB681" s="121"/>
      <c r="EC681" s="121"/>
      <c r="ED681" s="121"/>
      <c r="EE681" s="121"/>
      <c r="EF681" s="121"/>
      <c r="EG681" s="123"/>
      <c r="EH681" s="127"/>
      <c r="EI681" s="125"/>
      <c r="EJ681" s="126"/>
      <c r="EK681" s="30"/>
      <c r="EL681" s="127"/>
      <c r="EM681" s="128"/>
      <c r="EN681" s="123"/>
      <c r="EO681" s="128"/>
      <c r="EP681" s="13"/>
      <c r="EQ681" s="129"/>
      <c r="ER681" s="123"/>
      <c r="ES681" s="130"/>
      <c r="ET681" s="13"/>
      <c r="EU681" s="123"/>
      <c r="EV681" s="131"/>
    </row>
    <row r="682" spans="35:152">
      <c r="AI682" s="121"/>
      <c r="AJ682" s="13"/>
      <c r="AK682" s="13"/>
      <c r="AL682" s="13"/>
      <c r="AM682" s="13"/>
      <c r="AN682" s="13"/>
      <c r="AO682" s="13"/>
      <c r="AW682" s="121"/>
      <c r="AX682" s="121"/>
      <c r="AY682" s="121"/>
      <c r="AZ682" s="121"/>
      <c r="BA682" s="121"/>
      <c r="BB682" s="121"/>
      <c r="BC682" s="121"/>
      <c r="BD682" s="121"/>
      <c r="BE682" s="121"/>
      <c r="BF682" s="121"/>
      <c r="BG682" s="123"/>
      <c r="BH682" s="127"/>
      <c r="BI682" s="125"/>
      <c r="BJ682" s="126"/>
      <c r="BK682" s="30"/>
      <c r="BL682" s="127"/>
      <c r="BM682" s="128"/>
      <c r="BN682" s="123"/>
      <c r="BO682" s="128"/>
      <c r="BP682" s="13"/>
      <c r="BQ682" s="129"/>
      <c r="BR682" s="123"/>
      <c r="BS682" s="130"/>
      <c r="BT682" s="13"/>
      <c r="BU682" s="123"/>
      <c r="BV682" s="131"/>
      <c r="DI682" s="121"/>
      <c r="DJ682" s="13"/>
      <c r="DK682" s="13"/>
      <c r="DL682" s="13"/>
      <c r="DM682" s="13"/>
      <c r="DN682" s="13"/>
      <c r="DO682" s="13"/>
      <c r="DW682" s="121"/>
      <c r="DX682" s="121"/>
      <c r="DY682" s="121"/>
      <c r="DZ682" s="121"/>
      <c r="EA682" s="121"/>
      <c r="EB682" s="121"/>
      <c r="EC682" s="121"/>
      <c r="ED682" s="121"/>
      <c r="EE682" s="121"/>
      <c r="EF682" s="121"/>
      <c r="EG682" s="123"/>
      <c r="EH682" s="127"/>
      <c r="EI682" s="125"/>
      <c r="EJ682" s="126"/>
      <c r="EK682" s="30"/>
      <c r="EL682" s="127"/>
      <c r="EM682" s="128"/>
      <c r="EN682" s="123"/>
      <c r="EO682" s="128"/>
      <c r="EP682" s="13"/>
      <c r="EQ682" s="129"/>
      <c r="ER682" s="123"/>
      <c r="ES682" s="130"/>
      <c r="ET682" s="13"/>
      <c r="EU682" s="123"/>
      <c r="EV682" s="131"/>
    </row>
    <row r="683" spans="35:152">
      <c r="AI683" s="121"/>
      <c r="AJ683" s="13"/>
      <c r="AK683" s="13"/>
      <c r="AL683" s="13"/>
      <c r="AM683" s="13"/>
      <c r="AN683" s="13"/>
      <c r="AO683" s="13"/>
      <c r="AW683" s="121"/>
      <c r="AX683" s="121"/>
      <c r="AY683" s="121"/>
      <c r="AZ683" s="121"/>
      <c r="BA683" s="121"/>
      <c r="BB683" s="121"/>
      <c r="BC683" s="121"/>
      <c r="BD683" s="121"/>
      <c r="BE683" s="121"/>
      <c r="BF683" s="121"/>
      <c r="BG683" s="123"/>
      <c r="BH683" s="127"/>
      <c r="BI683" s="125"/>
      <c r="BJ683" s="126"/>
      <c r="BK683" s="30"/>
      <c r="BL683" s="127"/>
      <c r="BM683" s="128"/>
      <c r="BN683" s="123"/>
      <c r="BO683" s="128"/>
      <c r="BP683" s="13"/>
      <c r="BQ683" s="129"/>
      <c r="BR683" s="123"/>
      <c r="BS683" s="130"/>
      <c r="BT683" s="13"/>
      <c r="BU683" s="123"/>
      <c r="BV683" s="131"/>
      <c r="DI683" s="121"/>
      <c r="DJ683" s="13"/>
      <c r="DK683" s="13"/>
      <c r="DL683" s="13"/>
      <c r="DM683" s="13"/>
      <c r="DN683" s="13"/>
      <c r="DO683" s="13"/>
      <c r="DW683" s="121"/>
      <c r="DX683" s="121"/>
      <c r="DY683" s="121"/>
      <c r="DZ683" s="121"/>
      <c r="EA683" s="121"/>
      <c r="EB683" s="121"/>
      <c r="EC683" s="121"/>
      <c r="ED683" s="121"/>
      <c r="EE683" s="121"/>
      <c r="EF683" s="121"/>
      <c r="EG683" s="123"/>
      <c r="EH683" s="127"/>
      <c r="EI683" s="125"/>
      <c r="EJ683" s="126"/>
      <c r="EK683" s="30"/>
      <c r="EL683" s="127"/>
      <c r="EM683" s="128"/>
      <c r="EN683" s="123"/>
      <c r="EO683" s="128"/>
      <c r="EP683" s="13"/>
      <c r="EQ683" s="129"/>
      <c r="ER683" s="123"/>
      <c r="ES683" s="130"/>
      <c r="ET683" s="13"/>
      <c r="EU683" s="123"/>
      <c r="EV683" s="131"/>
    </row>
    <row r="684" spans="35:152">
      <c r="AI684" s="121"/>
      <c r="AJ684" s="13"/>
      <c r="AK684" s="13"/>
      <c r="AL684" s="13"/>
      <c r="AM684" s="13"/>
      <c r="AN684" s="13"/>
      <c r="AO684" s="13"/>
      <c r="AW684" s="121"/>
      <c r="AX684" s="121"/>
      <c r="AY684" s="121"/>
      <c r="AZ684" s="121"/>
      <c r="BA684" s="121"/>
      <c r="BB684" s="121"/>
      <c r="BC684" s="121"/>
      <c r="BD684" s="121"/>
      <c r="BE684" s="121"/>
      <c r="BF684" s="121"/>
      <c r="BG684" s="123"/>
      <c r="BH684" s="127"/>
      <c r="BI684" s="125"/>
      <c r="BJ684" s="126"/>
      <c r="BK684" s="30"/>
      <c r="BL684" s="127"/>
      <c r="BM684" s="128"/>
      <c r="BN684" s="123"/>
      <c r="BO684" s="128"/>
      <c r="BP684" s="13"/>
      <c r="BQ684" s="129"/>
      <c r="BR684" s="123"/>
      <c r="BS684" s="130"/>
      <c r="BT684" s="13"/>
      <c r="BU684" s="123"/>
      <c r="BV684" s="131"/>
      <c r="DI684" s="121"/>
      <c r="DJ684" s="13"/>
      <c r="DK684" s="13"/>
      <c r="DL684" s="13"/>
      <c r="DM684" s="13"/>
      <c r="DN684" s="13"/>
      <c r="DO684" s="13"/>
      <c r="DW684" s="121"/>
      <c r="DX684" s="121"/>
      <c r="DY684" s="121"/>
      <c r="DZ684" s="121"/>
      <c r="EA684" s="121"/>
      <c r="EB684" s="121"/>
      <c r="EC684" s="121"/>
      <c r="ED684" s="121"/>
      <c r="EE684" s="121"/>
      <c r="EF684" s="121"/>
      <c r="EG684" s="123"/>
      <c r="EH684" s="127"/>
      <c r="EI684" s="125"/>
      <c r="EJ684" s="126"/>
      <c r="EK684" s="30"/>
      <c r="EL684" s="127"/>
      <c r="EM684" s="128"/>
      <c r="EN684" s="123"/>
      <c r="EO684" s="128"/>
      <c r="EP684" s="13"/>
      <c r="EQ684" s="129"/>
      <c r="ER684" s="123"/>
      <c r="ES684" s="130"/>
      <c r="ET684" s="13"/>
      <c r="EU684" s="123"/>
      <c r="EV684" s="131"/>
    </row>
    <row r="685" spans="35:152">
      <c r="AI685" s="121"/>
      <c r="AJ685" s="13"/>
      <c r="AK685" s="13"/>
      <c r="AL685" s="13"/>
      <c r="AM685" s="13"/>
      <c r="AN685" s="13"/>
      <c r="AO685" s="13"/>
      <c r="AW685" s="121"/>
      <c r="AX685" s="121"/>
      <c r="AY685" s="121"/>
      <c r="AZ685" s="121"/>
      <c r="BA685" s="121"/>
      <c r="BB685" s="121"/>
      <c r="BC685" s="121"/>
      <c r="BD685" s="121"/>
      <c r="BE685" s="121"/>
      <c r="BF685" s="121"/>
      <c r="BG685" s="123"/>
      <c r="BH685" s="127"/>
      <c r="BI685" s="125"/>
      <c r="BJ685" s="126"/>
      <c r="BK685" s="30"/>
      <c r="BL685" s="127"/>
      <c r="BM685" s="128"/>
      <c r="BN685" s="123"/>
      <c r="BO685" s="128"/>
      <c r="BP685" s="13"/>
      <c r="BQ685" s="129"/>
      <c r="BR685" s="123"/>
      <c r="BS685" s="130"/>
      <c r="BT685" s="13"/>
      <c r="BU685" s="123"/>
      <c r="BV685" s="131"/>
      <c r="DI685" s="121"/>
      <c r="DJ685" s="13"/>
      <c r="DK685" s="13"/>
      <c r="DL685" s="13"/>
      <c r="DM685" s="13"/>
      <c r="DN685" s="13"/>
      <c r="DO685" s="13"/>
      <c r="DW685" s="121"/>
      <c r="DX685" s="121"/>
      <c r="DY685" s="121"/>
      <c r="DZ685" s="121"/>
      <c r="EA685" s="121"/>
      <c r="EB685" s="121"/>
      <c r="EC685" s="121"/>
      <c r="ED685" s="121"/>
      <c r="EE685" s="121"/>
      <c r="EF685" s="121"/>
      <c r="EG685" s="123"/>
      <c r="EH685" s="127"/>
      <c r="EI685" s="125"/>
      <c r="EJ685" s="126"/>
      <c r="EK685" s="30"/>
      <c r="EL685" s="127"/>
      <c r="EM685" s="128"/>
      <c r="EN685" s="123"/>
      <c r="EO685" s="128"/>
      <c r="EP685" s="13"/>
      <c r="EQ685" s="129"/>
      <c r="ER685" s="123"/>
      <c r="ES685" s="130"/>
      <c r="ET685" s="13"/>
      <c r="EU685" s="123"/>
      <c r="EV685" s="131"/>
    </row>
    <row r="686" spans="35:152">
      <c r="AI686" s="121"/>
      <c r="AJ686" s="13"/>
      <c r="AK686" s="13"/>
      <c r="AL686" s="13"/>
      <c r="AM686" s="13"/>
      <c r="AN686" s="13"/>
      <c r="AO686" s="13"/>
      <c r="AW686" s="121"/>
      <c r="AX686" s="121"/>
      <c r="AY686" s="121"/>
      <c r="AZ686" s="121"/>
      <c r="BA686" s="121"/>
      <c r="BB686" s="121"/>
      <c r="BC686" s="121"/>
      <c r="BD686" s="121"/>
      <c r="BE686" s="121"/>
      <c r="BF686" s="121"/>
      <c r="BG686" s="123"/>
      <c r="BH686" s="127"/>
      <c r="BI686" s="125"/>
      <c r="BJ686" s="126"/>
      <c r="BK686" s="30"/>
      <c r="BL686" s="127"/>
      <c r="BM686" s="128"/>
      <c r="BN686" s="123"/>
      <c r="BO686" s="128"/>
      <c r="BP686" s="13"/>
      <c r="BQ686" s="129"/>
      <c r="BR686" s="123"/>
      <c r="BS686" s="130"/>
      <c r="BT686" s="13"/>
      <c r="BU686" s="123"/>
      <c r="BV686" s="131"/>
      <c r="DI686" s="121"/>
      <c r="DJ686" s="13"/>
      <c r="DK686" s="13"/>
      <c r="DL686" s="13"/>
      <c r="DM686" s="13"/>
      <c r="DN686" s="13"/>
      <c r="DO686" s="13"/>
      <c r="DW686" s="121"/>
      <c r="DX686" s="121"/>
      <c r="DY686" s="121"/>
      <c r="DZ686" s="121"/>
      <c r="EA686" s="121"/>
      <c r="EB686" s="121"/>
      <c r="EC686" s="121"/>
      <c r="ED686" s="121"/>
      <c r="EE686" s="121"/>
      <c r="EF686" s="121"/>
      <c r="EG686" s="123"/>
      <c r="EH686" s="127"/>
      <c r="EI686" s="125"/>
      <c r="EJ686" s="126"/>
      <c r="EK686" s="30"/>
      <c r="EL686" s="127"/>
      <c r="EM686" s="128"/>
      <c r="EN686" s="123"/>
      <c r="EO686" s="128"/>
      <c r="EP686" s="13"/>
      <c r="EQ686" s="129"/>
      <c r="ER686" s="123"/>
      <c r="ES686" s="130"/>
      <c r="ET686" s="13"/>
      <c r="EU686" s="123"/>
      <c r="EV686" s="131"/>
    </row>
    <row r="687" spans="35:152">
      <c r="AI687" s="121"/>
      <c r="AJ687" s="13"/>
      <c r="AK687" s="13"/>
      <c r="AL687" s="13"/>
      <c r="AM687" s="13"/>
      <c r="AN687" s="13"/>
      <c r="AO687" s="13"/>
      <c r="AW687" s="121"/>
      <c r="AX687" s="121"/>
      <c r="AY687" s="121"/>
      <c r="AZ687" s="121"/>
      <c r="BA687" s="121"/>
      <c r="BB687" s="121"/>
      <c r="BC687" s="121"/>
      <c r="BD687" s="121"/>
      <c r="BE687" s="121"/>
      <c r="BF687" s="121"/>
      <c r="BG687" s="123"/>
      <c r="BH687" s="127"/>
      <c r="BI687" s="125"/>
      <c r="BJ687" s="126"/>
      <c r="BK687" s="30"/>
      <c r="BL687" s="127"/>
      <c r="BM687" s="128"/>
      <c r="BN687" s="123"/>
      <c r="BO687" s="128"/>
      <c r="BP687" s="13"/>
      <c r="BQ687" s="129"/>
      <c r="BR687" s="123"/>
      <c r="BS687" s="130"/>
      <c r="BT687" s="13"/>
      <c r="BU687" s="123"/>
      <c r="BV687" s="131"/>
      <c r="DI687" s="121"/>
      <c r="DJ687" s="13"/>
      <c r="DK687" s="13"/>
      <c r="DL687" s="13"/>
      <c r="DM687" s="13"/>
      <c r="DN687" s="13"/>
      <c r="DO687" s="13"/>
      <c r="DW687" s="121"/>
      <c r="DX687" s="121"/>
      <c r="DY687" s="121"/>
      <c r="DZ687" s="121"/>
      <c r="EA687" s="121"/>
      <c r="EB687" s="121"/>
      <c r="EC687" s="121"/>
      <c r="ED687" s="121"/>
      <c r="EE687" s="121"/>
      <c r="EF687" s="121"/>
      <c r="EG687" s="123"/>
      <c r="EH687" s="127"/>
      <c r="EI687" s="125"/>
      <c r="EJ687" s="126"/>
      <c r="EK687" s="30"/>
      <c r="EL687" s="127"/>
      <c r="EM687" s="128"/>
      <c r="EN687" s="123"/>
      <c r="EO687" s="128"/>
      <c r="EP687" s="13"/>
      <c r="EQ687" s="129"/>
      <c r="ER687" s="123"/>
      <c r="ES687" s="130"/>
      <c r="ET687" s="13"/>
      <c r="EU687" s="123"/>
      <c r="EV687" s="131"/>
    </row>
    <row r="688" spans="35:152">
      <c r="AI688" s="121"/>
      <c r="AJ688" s="13"/>
      <c r="AK688" s="13"/>
      <c r="AL688" s="13"/>
      <c r="AM688" s="13"/>
      <c r="AN688" s="13"/>
      <c r="AO688" s="13"/>
      <c r="AW688" s="121"/>
      <c r="AX688" s="121"/>
      <c r="AY688" s="121"/>
      <c r="AZ688" s="121"/>
      <c r="BA688" s="121"/>
      <c r="BB688" s="121"/>
      <c r="BC688" s="121"/>
      <c r="BD688" s="121"/>
      <c r="BE688" s="121"/>
      <c r="BF688" s="121"/>
      <c r="BG688" s="123"/>
      <c r="BH688" s="127"/>
      <c r="BI688" s="125"/>
      <c r="BJ688" s="126"/>
      <c r="BK688" s="30"/>
      <c r="BL688" s="127"/>
      <c r="BM688" s="128"/>
      <c r="BN688" s="123"/>
      <c r="BO688" s="128"/>
      <c r="BP688" s="13"/>
      <c r="BQ688" s="129"/>
      <c r="BR688" s="123"/>
      <c r="BS688" s="130"/>
      <c r="BT688" s="13"/>
      <c r="BU688" s="123"/>
      <c r="BV688" s="131"/>
      <c r="DI688" s="121"/>
      <c r="DJ688" s="13"/>
      <c r="DK688" s="13"/>
      <c r="DL688" s="13"/>
      <c r="DM688" s="13"/>
      <c r="DN688" s="13"/>
      <c r="DO688" s="13"/>
      <c r="DW688" s="121"/>
      <c r="DX688" s="121"/>
      <c r="DY688" s="121"/>
      <c r="DZ688" s="121"/>
      <c r="EA688" s="121"/>
      <c r="EB688" s="121"/>
      <c r="EC688" s="121"/>
      <c r="ED688" s="121"/>
      <c r="EE688" s="121"/>
      <c r="EF688" s="121"/>
      <c r="EG688" s="123"/>
      <c r="EH688" s="127"/>
      <c r="EI688" s="125"/>
      <c r="EJ688" s="126"/>
      <c r="EK688" s="30"/>
      <c r="EL688" s="127"/>
      <c r="EM688" s="128"/>
      <c r="EN688" s="123"/>
      <c r="EO688" s="128"/>
      <c r="EP688" s="13"/>
      <c r="EQ688" s="129"/>
      <c r="ER688" s="123"/>
      <c r="ES688" s="130"/>
      <c r="ET688" s="13"/>
      <c r="EU688" s="123"/>
      <c r="EV688" s="131"/>
    </row>
    <row r="689" spans="35:152">
      <c r="AI689" s="121"/>
      <c r="AJ689" s="13"/>
      <c r="AK689" s="13"/>
      <c r="AL689" s="13"/>
      <c r="AM689" s="13"/>
      <c r="AN689" s="13"/>
      <c r="AO689" s="13"/>
      <c r="AW689" s="121"/>
      <c r="AX689" s="121"/>
      <c r="AY689" s="121"/>
      <c r="AZ689" s="121"/>
      <c r="BA689" s="121"/>
      <c r="BB689" s="121"/>
      <c r="BC689" s="121"/>
      <c r="BD689" s="121"/>
      <c r="BE689" s="121"/>
      <c r="BF689" s="121"/>
      <c r="BG689" s="123"/>
      <c r="BH689" s="127"/>
      <c r="BI689" s="125"/>
      <c r="BJ689" s="126"/>
      <c r="BK689" s="30"/>
      <c r="BL689" s="127"/>
      <c r="BM689" s="128"/>
      <c r="BN689" s="123"/>
      <c r="BO689" s="128"/>
      <c r="BP689" s="13"/>
      <c r="BQ689" s="129"/>
      <c r="BR689" s="123"/>
      <c r="BS689" s="130"/>
      <c r="BT689" s="13"/>
      <c r="BU689" s="123"/>
      <c r="BV689" s="131"/>
      <c r="DI689" s="121"/>
      <c r="DJ689" s="13"/>
      <c r="DK689" s="13"/>
      <c r="DL689" s="13"/>
      <c r="DM689" s="13"/>
      <c r="DN689" s="13"/>
      <c r="DO689" s="13"/>
      <c r="DW689" s="121"/>
      <c r="DX689" s="121"/>
      <c r="DY689" s="121"/>
      <c r="DZ689" s="121"/>
      <c r="EA689" s="121"/>
      <c r="EB689" s="121"/>
      <c r="EC689" s="121"/>
      <c r="ED689" s="121"/>
      <c r="EE689" s="121"/>
      <c r="EF689" s="121"/>
      <c r="EG689" s="123"/>
      <c r="EH689" s="127"/>
      <c r="EI689" s="125"/>
      <c r="EJ689" s="126"/>
      <c r="EK689" s="30"/>
      <c r="EL689" s="127"/>
      <c r="EM689" s="128"/>
      <c r="EN689" s="123"/>
      <c r="EO689" s="128"/>
      <c r="EP689" s="13"/>
      <c r="EQ689" s="129"/>
      <c r="ER689" s="123"/>
      <c r="ES689" s="130"/>
      <c r="ET689" s="13"/>
      <c r="EU689" s="123"/>
      <c r="EV689" s="131"/>
    </row>
    <row r="690" spans="35:152">
      <c r="AI690" s="121"/>
      <c r="AJ690" s="13"/>
      <c r="AK690" s="13"/>
      <c r="AL690" s="13"/>
      <c r="AM690" s="13"/>
      <c r="AN690" s="13"/>
      <c r="AO690" s="13"/>
      <c r="AW690" s="121"/>
      <c r="AX690" s="121"/>
      <c r="AY690" s="121"/>
      <c r="AZ690" s="121"/>
      <c r="BA690" s="121"/>
      <c r="BB690" s="121"/>
      <c r="BC690" s="121"/>
      <c r="BD690" s="121"/>
      <c r="BE690" s="121"/>
      <c r="BF690" s="121"/>
      <c r="BG690" s="123"/>
      <c r="BH690" s="127"/>
      <c r="BI690" s="125"/>
      <c r="BJ690" s="126"/>
      <c r="BK690" s="30"/>
      <c r="BL690" s="127"/>
      <c r="BM690" s="128"/>
      <c r="BN690" s="123"/>
      <c r="BO690" s="128"/>
      <c r="BP690" s="13"/>
      <c r="BQ690" s="129"/>
      <c r="BR690" s="123"/>
      <c r="BS690" s="130"/>
      <c r="BT690" s="13"/>
      <c r="BU690" s="123"/>
      <c r="BV690" s="131"/>
      <c r="DI690" s="121"/>
      <c r="DJ690" s="13"/>
      <c r="DK690" s="13"/>
      <c r="DL690" s="13"/>
      <c r="DM690" s="13"/>
      <c r="DN690" s="13"/>
      <c r="DO690" s="13"/>
      <c r="DW690" s="121"/>
      <c r="DX690" s="121"/>
      <c r="DY690" s="121"/>
      <c r="DZ690" s="121"/>
      <c r="EA690" s="121"/>
      <c r="EB690" s="121"/>
      <c r="EC690" s="121"/>
      <c r="ED690" s="121"/>
      <c r="EE690" s="121"/>
      <c r="EF690" s="121"/>
      <c r="EG690" s="123"/>
      <c r="EH690" s="127"/>
      <c r="EI690" s="125"/>
      <c r="EJ690" s="126"/>
      <c r="EK690" s="30"/>
      <c r="EL690" s="127"/>
      <c r="EM690" s="128"/>
      <c r="EN690" s="123"/>
      <c r="EO690" s="128"/>
      <c r="EP690" s="13"/>
      <c r="EQ690" s="129"/>
      <c r="ER690" s="123"/>
      <c r="ES690" s="130"/>
      <c r="ET690" s="13"/>
      <c r="EU690" s="123"/>
      <c r="EV690" s="131"/>
    </row>
    <row r="691" spans="35:152">
      <c r="AI691" s="121"/>
      <c r="AJ691" s="13"/>
      <c r="AK691" s="13"/>
      <c r="AL691" s="13"/>
      <c r="AM691" s="13"/>
      <c r="AN691" s="13"/>
      <c r="AO691" s="13"/>
      <c r="AW691" s="121"/>
      <c r="AX691" s="121"/>
      <c r="AY691" s="121"/>
      <c r="AZ691" s="121"/>
      <c r="BA691" s="121"/>
      <c r="BB691" s="121"/>
      <c r="BC691" s="121"/>
      <c r="BD691" s="121"/>
      <c r="BE691" s="121"/>
      <c r="BF691" s="121"/>
      <c r="BG691" s="123"/>
      <c r="BH691" s="127"/>
      <c r="BI691" s="125"/>
      <c r="BJ691" s="126"/>
      <c r="BK691" s="30"/>
      <c r="BL691" s="127"/>
      <c r="BM691" s="128"/>
      <c r="BN691" s="123"/>
      <c r="BO691" s="128"/>
      <c r="BP691" s="13"/>
      <c r="BQ691" s="129"/>
      <c r="BR691" s="123"/>
      <c r="BS691" s="130"/>
      <c r="BT691" s="13"/>
      <c r="BU691" s="123"/>
      <c r="BV691" s="131"/>
      <c r="DI691" s="121"/>
      <c r="DJ691" s="13"/>
      <c r="DK691" s="13"/>
      <c r="DL691" s="13"/>
      <c r="DM691" s="13"/>
      <c r="DN691" s="13"/>
      <c r="DO691" s="13"/>
      <c r="DW691" s="121"/>
      <c r="DX691" s="121"/>
      <c r="DY691" s="121"/>
      <c r="DZ691" s="121"/>
      <c r="EA691" s="121"/>
      <c r="EB691" s="121"/>
      <c r="EC691" s="121"/>
      <c r="ED691" s="121"/>
      <c r="EE691" s="121"/>
      <c r="EF691" s="121"/>
      <c r="EG691" s="123"/>
      <c r="EH691" s="127"/>
      <c r="EI691" s="125"/>
      <c r="EJ691" s="126"/>
      <c r="EK691" s="30"/>
      <c r="EL691" s="127"/>
      <c r="EM691" s="128"/>
      <c r="EN691" s="123"/>
      <c r="EO691" s="128"/>
      <c r="EP691" s="13"/>
      <c r="EQ691" s="129"/>
      <c r="ER691" s="123"/>
      <c r="ES691" s="130"/>
      <c r="ET691" s="13"/>
      <c r="EU691" s="123"/>
      <c r="EV691" s="131"/>
    </row>
    <row r="692" spans="35:152">
      <c r="AI692" s="121"/>
      <c r="AJ692" s="13"/>
      <c r="AK692" s="13"/>
      <c r="AL692" s="13"/>
      <c r="AM692" s="13"/>
      <c r="AN692" s="13"/>
      <c r="AO692" s="13"/>
      <c r="AW692" s="121"/>
      <c r="AX692" s="121"/>
      <c r="AY692" s="121"/>
      <c r="AZ692" s="121"/>
      <c r="BA692" s="121"/>
      <c r="BB692" s="121"/>
      <c r="BC692" s="121"/>
      <c r="BD692" s="121"/>
      <c r="BE692" s="121"/>
      <c r="BF692" s="121"/>
      <c r="BG692" s="123"/>
      <c r="BH692" s="127"/>
      <c r="BI692" s="125"/>
      <c r="BJ692" s="126"/>
      <c r="BK692" s="30"/>
      <c r="BL692" s="127"/>
      <c r="BM692" s="128"/>
      <c r="BN692" s="123"/>
      <c r="BO692" s="128"/>
      <c r="BP692" s="13"/>
      <c r="BQ692" s="129"/>
      <c r="BR692" s="123"/>
      <c r="BS692" s="130"/>
      <c r="BT692" s="13"/>
      <c r="BU692" s="123"/>
      <c r="BV692" s="131"/>
      <c r="DI692" s="121"/>
      <c r="DJ692" s="13"/>
      <c r="DK692" s="13"/>
      <c r="DL692" s="13"/>
      <c r="DM692" s="13"/>
      <c r="DN692" s="13"/>
      <c r="DO692" s="13"/>
      <c r="DW692" s="121"/>
      <c r="DX692" s="121"/>
      <c r="DY692" s="121"/>
      <c r="DZ692" s="121"/>
      <c r="EA692" s="121"/>
      <c r="EB692" s="121"/>
      <c r="EC692" s="121"/>
      <c r="ED692" s="121"/>
      <c r="EE692" s="121"/>
      <c r="EF692" s="121"/>
      <c r="EG692" s="123"/>
      <c r="EH692" s="127"/>
      <c r="EI692" s="125"/>
      <c r="EJ692" s="126"/>
      <c r="EK692" s="30"/>
      <c r="EL692" s="127"/>
      <c r="EM692" s="128"/>
      <c r="EN692" s="123"/>
      <c r="EO692" s="128"/>
      <c r="EP692" s="13"/>
      <c r="EQ692" s="129"/>
      <c r="ER692" s="123"/>
      <c r="ES692" s="130"/>
      <c r="ET692" s="13"/>
      <c r="EU692" s="123"/>
      <c r="EV692" s="131"/>
    </row>
    <row r="693" spans="35:152">
      <c r="AI693" s="121"/>
      <c r="AJ693" s="13"/>
      <c r="AK693" s="13"/>
      <c r="AL693" s="13"/>
      <c r="AM693" s="13"/>
      <c r="AN693" s="13"/>
      <c r="AO693" s="13"/>
      <c r="AW693" s="121"/>
      <c r="AX693" s="121"/>
      <c r="AY693" s="121"/>
      <c r="AZ693" s="121"/>
      <c r="BA693" s="121"/>
      <c r="BB693" s="121"/>
      <c r="BC693" s="121"/>
      <c r="BD693" s="121"/>
      <c r="BE693" s="121"/>
      <c r="BF693" s="121"/>
      <c r="BG693" s="123"/>
      <c r="BH693" s="127"/>
      <c r="BI693" s="125"/>
      <c r="BJ693" s="126"/>
      <c r="BK693" s="30"/>
      <c r="BL693" s="127"/>
      <c r="BM693" s="128"/>
      <c r="BN693" s="123"/>
      <c r="BO693" s="128"/>
      <c r="BP693" s="13"/>
      <c r="BQ693" s="129"/>
      <c r="BR693" s="123"/>
      <c r="BS693" s="130"/>
      <c r="BT693" s="13"/>
      <c r="BU693" s="123"/>
      <c r="BV693" s="131"/>
      <c r="DI693" s="121"/>
      <c r="DJ693" s="13"/>
      <c r="DK693" s="13"/>
      <c r="DL693" s="13"/>
      <c r="DM693" s="13"/>
      <c r="DN693" s="13"/>
      <c r="DO693" s="13"/>
      <c r="DW693" s="121"/>
      <c r="DX693" s="121"/>
      <c r="DY693" s="121"/>
      <c r="DZ693" s="121"/>
      <c r="EA693" s="121"/>
      <c r="EB693" s="121"/>
      <c r="EC693" s="121"/>
      <c r="ED693" s="121"/>
      <c r="EE693" s="121"/>
      <c r="EF693" s="121"/>
      <c r="EG693" s="123"/>
      <c r="EH693" s="127"/>
      <c r="EI693" s="125"/>
      <c r="EJ693" s="126"/>
      <c r="EK693" s="30"/>
      <c r="EL693" s="127"/>
      <c r="EM693" s="128"/>
      <c r="EN693" s="123"/>
      <c r="EO693" s="128"/>
      <c r="EP693" s="13"/>
      <c r="EQ693" s="129"/>
      <c r="ER693" s="123"/>
      <c r="ES693" s="130"/>
      <c r="ET693" s="13"/>
      <c r="EU693" s="123"/>
      <c r="EV693" s="131"/>
    </row>
    <row r="694" spans="35:152">
      <c r="AI694" s="121"/>
      <c r="AJ694" s="13"/>
      <c r="AK694" s="13"/>
      <c r="AL694" s="13"/>
      <c r="AM694" s="13"/>
      <c r="AN694" s="13"/>
      <c r="AO694" s="13"/>
      <c r="AW694" s="121"/>
      <c r="AX694" s="121"/>
      <c r="AY694" s="121"/>
      <c r="AZ694" s="121"/>
      <c r="BA694" s="121"/>
      <c r="BB694" s="121"/>
      <c r="BC694" s="121"/>
      <c r="BD694" s="121"/>
      <c r="BE694" s="121"/>
      <c r="BF694" s="121"/>
      <c r="BG694" s="123"/>
      <c r="BH694" s="127"/>
      <c r="BI694" s="125"/>
      <c r="BJ694" s="126"/>
      <c r="BK694" s="30"/>
      <c r="BL694" s="127"/>
      <c r="BM694" s="128"/>
      <c r="BN694" s="123"/>
      <c r="BO694" s="128"/>
      <c r="BP694" s="13"/>
      <c r="BQ694" s="129"/>
      <c r="BR694" s="123"/>
      <c r="BS694" s="130"/>
      <c r="BT694" s="13"/>
      <c r="BU694" s="123"/>
      <c r="BV694" s="131"/>
      <c r="DI694" s="121"/>
      <c r="DJ694" s="13"/>
      <c r="DK694" s="13"/>
      <c r="DL694" s="13"/>
      <c r="DM694" s="13"/>
      <c r="DN694" s="13"/>
      <c r="DO694" s="13"/>
      <c r="DW694" s="121"/>
      <c r="DX694" s="121"/>
      <c r="DY694" s="121"/>
      <c r="DZ694" s="121"/>
      <c r="EA694" s="121"/>
      <c r="EB694" s="121"/>
      <c r="EC694" s="121"/>
      <c r="ED694" s="121"/>
      <c r="EE694" s="121"/>
      <c r="EF694" s="121"/>
      <c r="EG694" s="123"/>
      <c r="EH694" s="127"/>
      <c r="EI694" s="125"/>
      <c r="EJ694" s="126"/>
      <c r="EK694" s="30"/>
      <c r="EL694" s="127"/>
      <c r="EM694" s="128"/>
      <c r="EN694" s="123"/>
      <c r="EO694" s="128"/>
      <c r="EP694" s="13"/>
      <c r="EQ694" s="129"/>
      <c r="ER694" s="123"/>
      <c r="ES694" s="130"/>
      <c r="ET694" s="13"/>
      <c r="EU694" s="123"/>
      <c r="EV694" s="131"/>
    </row>
    <row r="695" spans="35:152">
      <c r="AI695" s="121"/>
      <c r="AJ695" s="13"/>
      <c r="AK695" s="13"/>
      <c r="AL695" s="13"/>
      <c r="AM695" s="13"/>
      <c r="AN695" s="13"/>
      <c r="AO695" s="13"/>
      <c r="AW695" s="121"/>
      <c r="AX695" s="121"/>
      <c r="AY695" s="121"/>
      <c r="AZ695" s="121"/>
      <c r="BA695" s="121"/>
      <c r="BB695" s="121"/>
      <c r="BC695" s="121"/>
      <c r="BD695" s="121"/>
      <c r="BE695" s="121"/>
      <c r="BF695" s="121"/>
      <c r="BG695" s="123"/>
      <c r="BH695" s="127"/>
      <c r="BI695" s="125"/>
      <c r="BJ695" s="126"/>
      <c r="BK695" s="30"/>
      <c r="BL695" s="127"/>
      <c r="BM695" s="128"/>
      <c r="BN695" s="123"/>
      <c r="BO695" s="128"/>
      <c r="BP695" s="13"/>
      <c r="BQ695" s="129"/>
      <c r="BR695" s="123"/>
      <c r="BS695" s="130"/>
      <c r="BT695" s="13"/>
      <c r="BU695" s="123"/>
      <c r="BV695" s="131"/>
      <c r="DI695" s="121"/>
      <c r="DJ695" s="13"/>
      <c r="DK695" s="13"/>
      <c r="DL695" s="13"/>
      <c r="DM695" s="13"/>
      <c r="DN695" s="13"/>
      <c r="DO695" s="13"/>
      <c r="DW695" s="121"/>
      <c r="DX695" s="121"/>
      <c r="DY695" s="121"/>
      <c r="DZ695" s="121"/>
      <c r="EA695" s="121"/>
      <c r="EB695" s="121"/>
      <c r="EC695" s="121"/>
      <c r="ED695" s="121"/>
      <c r="EE695" s="121"/>
      <c r="EF695" s="121"/>
      <c r="EG695" s="123"/>
      <c r="EH695" s="127"/>
      <c r="EI695" s="125"/>
      <c r="EJ695" s="126"/>
      <c r="EK695" s="30"/>
      <c r="EL695" s="127"/>
      <c r="EM695" s="128"/>
      <c r="EN695" s="123"/>
      <c r="EO695" s="128"/>
      <c r="EP695" s="13"/>
      <c r="EQ695" s="129"/>
      <c r="ER695" s="123"/>
      <c r="ES695" s="130"/>
      <c r="ET695" s="13"/>
      <c r="EU695" s="123"/>
      <c r="EV695" s="131"/>
    </row>
    <row r="696" spans="35:152">
      <c r="AI696" s="121"/>
      <c r="AJ696" s="13"/>
      <c r="AK696" s="13"/>
      <c r="AL696" s="13"/>
      <c r="AM696" s="13"/>
      <c r="AN696" s="13"/>
      <c r="AO696" s="13"/>
      <c r="AW696" s="121"/>
      <c r="AX696" s="121"/>
      <c r="AY696" s="121"/>
      <c r="AZ696" s="121"/>
      <c r="BA696" s="121"/>
      <c r="BB696" s="121"/>
      <c r="BC696" s="121"/>
      <c r="BD696" s="121"/>
      <c r="BE696" s="121"/>
      <c r="BF696" s="121"/>
      <c r="BG696" s="123"/>
      <c r="BH696" s="127"/>
      <c r="BI696" s="125"/>
      <c r="BJ696" s="126"/>
      <c r="BK696" s="30"/>
      <c r="BL696" s="127"/>
      <c r="BM696" s="128"/>
      <c r="BN696" s="123"/>
      <c r="BO696" s="128"/>
      <c r="BP696" s="13"/>
      <c r="BQ696" s="129"/>
      <c r="BR696" s="123"/>
      <c r="BS696" s="130"/>
      <c r="BT696" s="13"/>
      <c r="BU696" s="123"/>
      <c r="BV696" s="131"/>
      <c r="DI696" s="121"/>
      <c r="DJ696" s="13"/>
      <c r="DK696" s="13"/>
      <c r="DL696" s="13"/>
      <c r="DM696" s="13"/>
      <c r="DN696" s="13"/>
      <c r="DO696" s="13"/>
      <c r="DW696" s="121"/>
      <c r="DX696" s="121"/>
      <c r="DY696" s="121"/>
      <c r="DZ696" s="121"/>
      <c r="EA696" s="121"/>
      <c r="EB696" s="121"/>
      <c r="EC696" s="121"/>
      <c r="ED696" s="121"/>
      <c r="EE696" s="121"/>
      <c r="EF696" s="121"/>
      <c r="EG696" s="123"/>
      <c r="EH696" s="127"/>
      <c r="EI696" s="125"/>
      <c r="EJ696" s="126"/>
      <c r="EK696" s="30"/>
      <c r="EL696" s="127"/>
      <c r="EM696" s="128"/>
      <c r="EN696" s="123"/>
      <c r="EO696" s="128"/>
      <c r="EP696" s="13"/>
      <c r="EQ696" s="129"/>
      <c r="ER696" s="123"/>
      <c r="ES696" s="130"/>
      <c r="ET696" s="13"/>
      <c r="EU696" s="123"/>
      <c r="EV696" s="131"/>
    </row>
    <row r="697" spans="35:152">
      <c r="AI697" s="121"/>
      <c r="AJ697" s="13"/>
      <c r="AK697" s="13"/>
      <c r="AL697" s="13"/>
      <c r="AM697" s="13"/>
      <c r="AN697" s="13"/>
      <c r="AO697" s="13"/>
      <c r="AW697" s="121"/>
      <c r="AX697" s="121"/>
      <c r="AY697" s="121"/>
      <c r="AZ697" s="121"/>
      <c r="BA697" s="121"/>
      <c r="BB697" s="121"/>
      <c r="BC697" s="121"/>
      <c r="BD697" s="121"/>
      <c r="BE697" s="121"/>
      <c r="BF697" s="121"/>
      <c r="BG697" s="123"/>
      <c r="BH697" s="127"/>
      <c r="BI697" s="125"/>
      <c r="BJ697" s="126"/>
      <c r="BK697" s="30"/>
      <c r="BL697" s="127"/>
      <c r="BM697" s="128"/>
      <c r="BN697" s="123"/>
      <c r="BO697" s="128"/>
      <c r="BP697" s="13"/>
      <c r="BQ697" s="129"/>
      <c r="BR697" s="123"/>
      <c r="BS697" s="130"/>
      <c r="BT697" s="13"/>
      <c r="BU697" s="123"/>
      <c r="BV697" s="131"/>
      <c r="DI697" s="121"/>
      <c r="DJ697" s="13"/>
      <c r="DK697" s="13"/>
      <c r="DL697" s="13"/>
      <c r="DM697" s="13"/>
      <c r="DN697" s="13"/>
      <c r="DO697" s="13"/>
      <c r="DW697" s="121"/>
      <c r="DX697" s="121"/>
      <c r="DY697" s="121"/>
      <c r="DZ697" s="121"/>
      <c r="EA697" s="121"/>
      <c r="EB697" s="121"/>
      <c r="EC697" s="121"/>
      <c r="ED697" s="121"/>
      <c r="EE697" s="121"/>
      <c r="EF697" s="121"/>
      <c r="EG697" s="123"/>
      <c r="EH697" s="127"/>
      <c r="EI697" s="125"/>
      <c r="EJ697" s="126"/>
      <c r="EK697" s="30"/>
      <c r="EL697" s="127"/>
      <c r="EM697" s="128"/>
      <c r="EN697" s="123"/>
      <c r="EO697" s="128"/>
      <c r="EP697" s="13"/>
      <c r="EQ697" s="129"/>
      <c r="ER697" s="123"/>
      <c r="ES697" s="130"/>
      <c r="ET697" s="13"/>
      <c r="EU697" s="123"/>
      <c r="EV697" s="131"/>
    </row>
    <row r="698" spans="35:152">
      <c r="AI698" s="121"/>
      <c r="AJ698" s="13"/>
      <c r="AK698" s="13"/>
      <c r="AL698" s="13"/>
      <c r="AM698" s="13"/>
      <c r="AN698" s="13"/>
      <c r="AO698" s="13"/>
      <c r="AW698" s="121"/>
      <c r="AX698" s="121"/>
      <c r="AY698" s="121"/>
      <c r="AZ698" s="121"/>
      <c r="BA698" s="121"/>
      <c r="BB698" s="121"/>
      <c r="BC698" s="121"/>
      <c r="BD698" s="121"/>
      <c r="BE698" s="121"/>
      <c r="BF698" s="121"/>
      <c r="BG698" s="123"/>
      <c r="BH698" s="127"/>
      <c r="BI698" s="125"/>
      <c r="BJ698" s="126"/>
      <c r="BK698" s="30"/>
      <c r="BL698" s="127"/>
      <c r="BM698" s="128"/>
      <c r="BN698" s="123"/>
      <c r="BO698" s="128"/>
      <c r="BP698" s="13"/>
      <c r="BQ698" s="129"/>
      <c r="BR698" s="123"/>
      <c r="BS698" s="130"/>
      <c r="BT698" s="13"/>
      <c r="BU698" s="123"/>
      <c r="BV698" s="131"/>
      <c r="DI698" s="121"/>
      <c r="DJ698" s="13"/>
      <c r="DK698" s="13"/>
      <c r="DL698" s="13"/>
      <c r="DM698" s="13"/>
      <c r="DN698" s="13"/>
      <c r="DO698" s="13"/>
      <c r="DW698" s="121"/>
      <c r="DX698" s="121"/>
      <c r="DY698" s="121"/>
      <c r="DZ698" s="121"/>
      <c r="EA698" s="121"/>
      <c r="EB698" s="121"/>
      <c r="EC698" s="121"/>
      <c r="ED698" s="121"/>
      <c r="EE698" s="121"/>
      <c r="EF698" s="121"/>
      <c r="EG698" s="123"/>
      <c r="EH698" s="127"/>
      <c r="EI698" s="125"/>
      <c r="EJ698" s="126"/>
      <c r="EK698" s="30"/>
      <c r="EL698" s="127"/>
      <c r="EM698" s="128"/>
      <c r="EN698" s="123"/>
      <c r="EO698" s="128"/>
      <c r="EP698" s="13"/>
      <c r="EQ698" s="129"/>
      <c r="ER698" s="123"/>
      <c r="ES698" s="130"/>
      <c r="ET698" s="13"/>
      <c r="EU698" s="123"/>
      <c r="EV698" s="131"/>
    </row>
    <row r="699" spans="35:152">
      <c r="AI699" s="121"/>
      <c r="AJ699" s="13"/>
      <c r="AK699" s="13"/>
      <c r="AL699" s="13"/>
      <c r="AM699" s="13"/>
      <c r="AN699" s="13"/>
      <c r="AO699" s="13"/>
      <c r="AW699" s="121"/>
      <c r="AX699" s="121"/>
      <c r="AY699" s="121"/>
      <c r="AZ699" s="121"/>
      <c r="BA699" s="121"/>
      <c r="BB699" s="121"/>
      <c r="BC699" s="121"/>
      <c r="BD699" s="121"/>
      <c r="BE699" s="121"/>
      <c r="BF699" s="121"/>
      <c r="BG699" s="123"/>
      <c r="BH699" s="127"/>
      <c r="BI699" s="125"/>
      <c r="BJ699" s="126"/>
      <c r="BK699" s="30"/>
      <c r="BL699" s="127"/>
      <c r="BM699" s="128"/>
      <c r="BN699" s="123"/>
      <c r="BO699" s="128"/>
      <c r="BP699" s="13"/>
      <c r="BQ699" s="129"/>
      <c r="BR699" s="123"/>
      <c r="BS699" s="130"/>
      <c r="BT699" s="13"/>
      <c r="BU699" s="123"/>
      <c r="BV699" s="131"/>
      <c r="DI699" s="121"/>
      <c r="DJ699" s="13"/>
      <c r="DK699" s="13"/>
      <c r="DL699" s="13"/>
      <c r="DM699" s="13"/>
      <c r="DN699" s="13"/>
      <c r="DO699" s="13"/>
      <c r="DW699" s="121"/>
      <c r="DX699" s="121"/>
      <c r="DY699" s="121"/>
      <c r="DZ699" s="121"/>
      <c r="EA699" s="121"/>
      <c r="EB699" s="121"/>
      <c r="EC699" s="121"/>
      <c r="ED699" s="121"/>
      <c r="EE699" s="121"/>
      <c r="EF699" s="121"/>
      <c r="EG699" s="123"/>
      <c r="EH699" s="127"/>
      <c r="EI699" s="125"/>
      <c r="EJ699" s="126"/>
      <c r="EK699" s="30"/>
      <c r="EL699" s="127"/>
      <c r="EM699" s="128"/>
      <c r="EN699" s="123"/>
      <c r="EO699" s="128"/>
      <c r="EP699" s="13"/>
      <c r="EQ699" s="129"/>
      <c r="ER699" s="123"/>
      <c r="ES699" s="130"/>
      <c r="ET699" s="13"/>
      <c r="EU699" s="123"/>
      <c r="EV699" s="131"/>
    </row>
    <row r="700" spans="35:152">
      <c r="AI700" s="121"/>
      <c r="AJ700" s="13"/>
      <c r="AK700" s="13"/>
      <c r="AL700" s="13"/>
      <c r="AM700" s="13"/>
      <c r="AN700" s="13"/>
      <c r="AO700" s="13"/>
      <c r="AW700" s="121"/>
      <c r="AX700" s="121"/>
      <c r="AY700" s="121"/>
      <c r="AZ700" s="121"/>
      <c r="BA700" s="121"/>
      <c r="BB700" s="121"/>
      <c r="BC700" s="121"/>
      <c r="BD700" s="121"/>
      <c r="BE700" s="121"/>
      <c r="BF700" s="121"/>
      <c r="BG700" s="123"/>
      <c r="BH700" s="127"/>
      <c r="BI700" s="125"/>
      <c r="BJ700" s="126"/>
      <c r="BK700" s="30"/>
      <c r="BL700" s="127"/>
      <c r="BM700" s="128"/>
      <c r="BN700" s="123"/>
      <c r="BO700" s="128"/>
      <c r="BP700" s="13"/>
      <c r="BQ700" s="129"/>
      <c r="BR700" s="123"/>
      <c r="BS700" s="130"/>
      <c r="BT700" s="13"/>
      <c r="BU700" s="123"/>
      <c r="BV700" s="131"/>
      <c r="DI700" s="121"/>
      <c r="DJ700" s="13"/>
      <c r="DK700" s="13"/>
      <c r="DL700" s="13"/>
      <c r="DM700" s="13"/>
      <c r="DN700" s="13"/>
      <c r="DO700" s="13"/>
      <c r="DW700" s="121"/>
      <c r="DX700" s="121"/>
      <c r="DY700" s="121"/>
      <c r="DZ700" s="121"/>
      <c r="EA700" s="121"/>
      <c r="EB700" s="121"/>
      <c r="EC700" s="121"/>
      <c r="ED700" s="121"/>
      <c r="EE700" s="121"/>
      <c r="EF700" s="121"/>
      <c r="EG700" s="123"/>
      <c r="EH700" s="127"/>
      <c r="EI700" s="125"/>
      <c r="EJ700" s="126"/>
      <c r="EK700" s="30"/>
      <c r="EL700" s="127"/>
      <c r="EM700" s="128"/>
      <c r="EN700" s="123"/>
      <c r="EO700" s="128"/>
      <c r="EP700" s="13"/>
      <c r="EQ700" s="129"/>
      <c r="ER700" s="123"/>
      <c r="ES700" s="130"/>
      <c r="ET700" s="13"/>
      <c r="EU700" s="123"/>
      <c r="EV700" s="131"/>
    </row>
    <row r="701" spans="35:152">
      <c r="AI701" s="121"/>
      <c r="AJ701" s="13"/>
      <c r="AK701" s="13"/>
      <c r="AL701" s="13"/>
      <c r="AM701" s="13"/>
      <c r="AN701" s="13"/>
      <c r="AO701" s="13"/>
      <c r="AW701" s="121"/>
      <c r="AX701" s="121"/>
      <c r="AY701" s="121"/>
      <c r="AZ701" s="121"/>
      <c r="BA701" s="121"/>
      <c r="BB701" s="121"/>
      <c r="BC701" s="121"/>
      <c r="BD701" s="121"/>
      <c r="BE701" s="121"/>
      <c r="BF701" s="121"/>
      <c r="BG701" s="123"/>
      <c r="BH701" s="127"/>
      <c r="BI701" s="125"/>
      <c r="BJ701" s="126"/>
      <c r="BK701" s="30"/>
      <c r="BL701" s="127"/>
      <c r="BM701" s="128"/>
      <c r="BN701" s="123"/>
      <c r="BO701" s="128"/>
      <c r="BP701" s="13"/>
      <c r="BQ701" s="129"/>
      <c r="BR701" s="123"/>
      <c r="BS701" s="130"/>
      <c r="BT701" s="13"/>
      <c r="BU701" s="123"/>
      <c r="BV701" s="131"/>
      <c r="DI701" s="121"/>
      <c r="DJ701" s="13"/>
      <c r="DK701" s="13"/>
      <c r="DL701" s="13"/>
      <c r="DM701" s="13"/>
      <c r="DN701" s="13"/>
      <c r="DO701" s="13"/>
      <c r="DW701" s="121"/>
      <c r="DX701" s="121"/>
      <c r="DY701" s="121"/>
      <c r="DZ701" s="121"/>
      <c r="EA701" s="121"/>
      <c r="EB701" s="121"/>
      <c r="EC701" s="121"/>
      <c r="ED701" s="121"/>
      <c r="EE701" s="121"/>
      <c r="EF701" s="121"/>
      <c r="EG701" s="123"/>
      <c r="EH701" s="127"/>
      <c r="EI701" s="125"/>
      <c r="EJ701" s="126"/>
      <c r="EK701" s="30"/>
      <c r="EL701" s="127"/>
      <c r="EM701" s="128"/>
      <c r="EN701" s="123"/>
      <c r="EO701" s="128"/>
      <c r="EP701" s="13"/>
      <c r="EQ701" s="129"/>
      <c r="ER701" s="123"/>
      <c r="ES701" s="130"/>
      <c r="ET701" s="13"/>
      <c r="EU701" s="123"/>
      <c r="EV701" s="131"/>
    </row>
    <row r="702" spans="35:152">
      <c r="AI702" s="121"/>
      <c r="AJ702" s="13"/>
      <c r="AK702" s="13"/>
      <c r="AL702" s="13"/>
      <c r="AM702" s="13"/>
      <c r="AN702" s="13"/>
      <c r="AO702" s="13"/>
      <c r="AW702" s="121"/>
      <c r="AX702" s="121"/>
      <c r="AY702" s="121"/>
      <c r="AZ702" s="121"/>
      <c r="BA702" s="121"/>
      <c r="BB702" s="121"/>
      <c r="BC702" s="121"/>
      <c r="BD702" s="121"/>
      <c r="BE702" s="121"/>
      <c r="BF702" s="121"/>
      <c r="BG702" s="123"/>
      <c r="BH702" s="127"/>
      <c r="BI702" s="125"/>
      <c r="BJ702" s="126"/>
      <c r="BK702" s="30"/>
      <c r="BL702" s="127"/>
      <c r="BM702" s="128"/>
      <c r="BN702" s="123"/>
      <c r="BO702" s="128"/>
      <c r="BP702" s="13"/>
      <c r="BQ702" s="129"/>
      <c r="BR702" s="123"/>
      <c r="BS702" s="130"/>
      <c r="BT702" s="13"/>
      <c r="BU702" s="123"/>
      <c r="BV702" s="131"/>
      <c r="DI702" s="121"/>
      <c r="DJ702" s="13"/>
      <c r="DK702" s="13"/>
      <c r="DL702" s="13"/>
      <c r="DM702" s="13"/>
      <c r="DN702" s="13"/>
      <c r="DO702" s="13"/>
      <c r="DW702" s="121"/>
      <c r="DX702" s="121"/>
      <c r="DY702" s="121"/>
      <c r="DZ702" s="121"/>
      <c r="EA702" s="121"/>
      <c r="EB702" s="121"/>
      <c r="EC702" s="121"/>
      <c r="ED702" s="121"/>
      <c r="EE702" s="121"/>
      <c r="EF702" s="121"/>
      <c r="EG702" s="123"/>
      <c r="EH702" s="127"/>
      <c r="EI702" s="125"/>
      <c r="EJ702" s="126"/>
      <c r="EK702" s="30"/>
      <c r="EL702" s="127"/>
      <c r="EM702" s="128"/>
      <c r="EN702" s="123"/>
      <c r="EO702" s="128"/>
      <c r="EP702" s="13"/>
      <c r="EQ702" s="129"/>
      <c r="ER702" s="123"/>
      <c r="ES702" s="130"/>
      <c r="ET702" s="13"/>
      <c r="EU702" s="123"/>
      <c r="EV702" s="131"/>
    </row>
    <row r="703" spans="35:152">
      <c r="AI703" s="121"/>
      <c r="AJ703" s="13"/>
      <c r="AK703" s="13"/>
      <c r="AL703" s="13"/>
      <c r="AM703" s="13"/>
      <c r="AN703" s="13"/>
      <c r="AO703" s="13"/>
      <c r="AW703" s="121"/>
      <c r="AX703" s="121"/>
      <c r="AY703" s="121"/>
      <c r="AZ703" s="121"/>
      <c r="BA703" s="121"/>
      <c r="BB703" s="121"/>
      <c r="BC703" s="121"/>
      <c r="BD703" s="121"/>
      <c r="BE703" s="121"/>
      <c r="BF703" s="121"/>
      <c r="BG703" s="123"/>
      <c r="BH703" s="127"/>
      <c r="BI703" s="125"/>
      <c r="BJ703" s="126"/>
      <c r="BK703" s="30"/>
      <c r="BL703" s="127"/>
      <c r="BM703" s="128"/>
      <c r="BN703" s="123"/>
      <c r="BO703" s="128"/>
      <c r="BP703" s="13"/>
      <c r="BQ703" s="129"/>
      <c r="BR703" s="123"/>
      <c r="BS703" s="130"/>
      <c r="BT703" s="13"/>
      <c r="BU703" s="123"/>
      <c r="BV703" s="131"/>
      <c r="DI703" s="121"/>
      <c r="DJ703" s="13"/>
      <c r="DK703" s="13"/>
      <c r="DL703" s="13"/>
      <c r="DM703" s="13"/>
      <c r="DN703" s="13"/>
      <c r="DO703" s="13"/>
      <c r="DW703" s="121"/>
      <c r="DX703" s="121"/>
      <c r="DY703" s="121"/>
      <c r="DZ703" s="121"/>
      <c r="EA703" s="121"/>
      <c r="EB703" s="121"/>
      <c r="EC703" s="121"/>
      <c r="ED703" s="121"/>
      <c r="EE703" s="121"/>
      <c r="EF703" s="121"/>
      <c r="EG703" s="123"/>
      <c r="EH703" s="127"/>
      <c r="EI703" s="125"/>
      <c r="EJ703" s="126"/>
      <c r="EK703" s="30"/>
      <c r="EL703" s="127"/>
      <c r="EM703" s="128"/>
      <c r="EN703" s="123"/>
      <c r="EO703" s="128"/>
      <c r="EP703" s="13"/>
      <c r="EQ703" s="129"/>
      <c r="ER703" s="123"/>
      <c r="ES703" s="130"/>
      <c r="ET703" s="13"/>
      <c r="EU703" s="123"/>
      <c r="EV703" s="131"/>
    </row>
    <row r="704" spans="35:152">
      <c r="AI704" s="121"/>
      <c r="AJ704" s="13"/>
      <c r="AK704" s="13"/>
      <c r="AL704" s="13"/>
      <c r="AM704" s="13"/>
      <c r="AN704" s="13"/>
      <c r="AO704" s="13"/>
      <c r="AW704" s="121"/>
      <c r="AX704" s="121"/>
      <c r="AY704" s="121"/>
      <c r="AZ704" s="121"/>
      <c r="BA704" s="121"/>
      <c r="BB704" s="121"/>
      <c r="BC704" s="121"/>
      <c r="BD704" s="121"/>
      <c r="BE704" s="121"/>
      <c r="BF704" s="121"/>
      <c r="BG704" s="123"/>
      <c r="BH704" s="127"/>
      <c r="BI704" s="125"/>
      <c r="BJ704" s="126"/>
      <c r="BK704" s="30"/>
      <c r="BL704" s="127"/>
      <c r="BM704" s="128"/>
      <c r="BN704" s="123"/>
      <c r="BO704" s="128"/>
      <c r="BP704" s="13"/>
      <c r="BQ704" s="129"/>
      <c r="BR704" s="123"/>
      <c r="BS704" s="130"/>
      <c r="BT704" s="13"/>
      <c r="BU704" s="123"/>
      <c r="BV704" s="131"/>
      <c r="DI704" s="121"/>
      <c r="DJ704" s="13"/>
      <c r="DK704" s="13"/>
      <c r="DL704" s="13"/>
      <c r="DM704" s="13"/>
      <c r="DN704" s="13"/>
      <c r="DO704" s="13"/>
      <c r="DW704" s="121"/>
      <c r="DX704" s="121"/>
      <c r="DY704" s="121"/>
      <c r="DZ704" s="121"/>
      <c r="EA704" s="121"/>
      <c r="EB704" s="121"/>
      <c r="EC704" s="121"/>
      <c r="ED704" s="121"/>
      <c r="EE704" s="121"/>
      <c r="EF704" s="121"/>
      <c r="EG704" s="123"/>
      <c r="EH704" s="127"/>
      <c r="EI704" s="125"/>
      <c r="EJ704" s="126"/>
      <c r="EK704" s="30"/>
      <c r="EL704" s="127"/>
      <c r="EM704" s="128"/>
      <c r="EN704" s="123"/>
      <c r="EO704" s="128"/>
      <c r="EP704" s="13"/>
      <c r="EQ704" s="129"/>
      <c r="ER704" s="123"/>
      <c r="ES704" s="130"/>
      <c r="ET704" s="13"/>
      <c r="EU704" s="123"/>
      <c r="EV704" s="131"/>
    </row>
    <row r="705" spans="35:152">
      <c r="AI705" s="121"/>
      <c r="AJ705" s="13"/>
      <c r="AK705" s="13"/>
      <c r="AL705" s="13"/>
      <c r="AM705" s="13"/>
      <c r="AN705" s="13"/>
      <c r="AO705" s="13"/>
      <c r="AW705" s="121"/>
      <c r="AX705" s="121"/>
      <c r="AY705" s="121"/>
      <c r="AZ705" s="121"/>
      <c r="BA705" s="121"/>
      <c r="BB705" s="121"/>
      <c r="BC705" s="121"/>
      <c r="BD705" s="121"/>
      <c r="BE705" s="121"/>
      <c r="BF705" s="121"/>
      <c r="BG705" s="123"/>
      <c r="BH705" s="127"/>
      <c r="BI705" s="125"/>
      <c r="BJ705" s="126"/>
      <c r="BK705" s="30"/>
      <c r="BL705" s="127"/>
      <c r="BM705" s="128"/>
      <c r="BN705" s="123"/>
      <c r="BO705" s="128"/>
      <c r="BP705" s="13"/>
      <c r="BQ705" s="129"/>
      <c r="BR705" s="123"/>
      <c r="BS705" s="130"/>
      <c r="BT705" s="13"/>
      <c r="BU705" s="123"/>
      <c r="BV705" s="131"/>
      <c r="DI705" s="121"/>
      <c r="DJ705" s="13"/>
      <c r="DK705" s="13"/>
      <c r="DL705" s="13"/>
      <c r="DM705" s="13"/>
      <c r="DN705" s="13"/>
      <c r="DO705" s="13"/>
      <c r="DW705" s="121"/>
      <c r="DX705" s="121"/>
      <c r="DY705" s="121"/>
      <c r="DZ705" s="121"/>
      <c r="EA705" s="121"/>
      <c r="EB705" s="121"/>
      <c r="EC705" s="121"/>
      <c r="ED705" s="121"/>
      <c r="EE705" s="121"/>
      <c r="EF705" s="121"/>
      <c r="EG705" s="123"/>
      <c r="EH705" s="127"/>
      <c r="EI705" s="125"/>
      <c r="EJ705" s="126"/>
      <c r="EK705" s="30"/>
      <c r="EL705" s="127"/>
      <c r="EM705" s="128"/>
      <c r="EN705" s="123"/>
      <c r="EO705" s="128"/>
      <c r="EP705" s="13"/>
      <c r="EQ705" s="129"/>
      <c r="ER705" s="123"/>
      <c r="ES705" s="130"/>
      <c r="ET705" s="13"/>
      <c r="EU705" s="123"/>
      <c r="EV705" s="131"/>
    </row>
    <row r="706" spans="35:152">
      <c r="AI706" s="121"/>
      <c r="AJ706" s="13"/>
      <c r="AK706" s="13"/>
      <c r="AL706" s="13"/>
      <c r="AM706" s="13"/>
      <c r="AN706" s="13"/>
      <c r="AO706" s="13"/>
      <c r="AW706" s="121"/>
      <c r="AX706" s="121"/>
      <c r="AY706" s="121"/>
      <c r="AZ706" s="121"/>
      <c r="BA706" s="121"/>
      <c r="BB706" s="121"/>
      <c r="BC706" s="121"/>
      <c r="BD706" s="121"/>
      <c r="BE706" s="121"/>
      <c r="BF706" s="121"/>
      <c r="BG706" s="123"/>
      <c r="BH706" s="127"/>
      <c r="BI706" s="125"/>
      <c r="BJ706" s="126"/>
      <c r="BK706" s="30"/>
      <c r="BL706" s="127"/>
      <c r="BM706" s="128"/>
      <c r="BN706" s="123"/>
      <c r="BO706" s="128"/>
      <c r="BP706" s="13"/>
      <c r="BQ706" s="129"/>
      <c r="BR706" s="123"/>
      <c r="BS706" s="130"/>
      <c r="BT706" s="13"/>
      <c r="BU706" s="123"/>
      <c r="BV706" s="131"/>
      <c r="DI706" s="121"/>
      <c r="DJ706" s="13"/>
      <c r="DK706" s="13"/>
      <c r="DL706" s="13"/>
      <c r="DM706" s="13"/>
      <c r="DN706" s="13"/>
      <c r="DO706" s="13"/>
      <c r="DW706" s="121"/>
      <c r="DX706" s="121"/>
      <c r="DY706" s="121"/>
      <c r="DZ706" s="121"/>
      <c r="EA706" s="121"/>
      <c r="EB706" s="121"/>
      <c r="EC706" s="121"/>
      <c r="ED706" s="121"/>
      <c r="EE706" s="121"/>
      <c r="EF706" s="121"/>
      <c r="EG706" s="123"/>
      <c r="EH706" s="127"/>
      <c r="EI706" s="125"/>
      <c r="EJ706" s="126"/>
      <c r="EK706" s="30"/>
      <c r="EL706" s="127"/>
      <c r="EM706" s="128"/>
      <c r="EN706" s="123"/>
      <c r="EO706" s="128"/>
      <c r="EP706" s="13"/>
      <c r="EQ706" s="129"/>
      <c r="ER706" s="123"/>
      <c r="ES706" s="130"/>
      <c r="ET706" s="13"/>
      <c r="EU706" s="123"/>
      <c r="EV706" s="131"/>
    </row>
    <row r="707" spans="35:152">
      <c r="AI707" s="121"/>
      <c r="AJ707" s="13"/>
      <c r="AK707" s="13"/>
      <c r="AL707" s="13"/>
      <c r="AM707" s="13"/>
      <c r="AN707" s="13"/>
      <c r="AO707" s="13"/>
      <c r="AW707" s="121"/>
      <c r="AX707" s="121"/>
      <c r="AY707" s="121"/>
      <c r="AZ707" s="121"/>
      <c r="BA707" s="121"/>
      <c r="BB707" s="121"/>
      <c r="BC707" s="121"/>
      <c r="BD707" s="121"/>
      <c r="BE707" s="121"/>
      <c r="BF707" s="121"/>
      <c r="BG707" s="123"/>
      <c r="BH707" s="127"/>
      <c r="BI707" s="125"/>
      <c r="BJ707" s="126"/>
      <c r="BK707" s="30"/>
      <c r="BL707" s="127"/>
      <c r="BM707" s="128"/>
      <c r="BN707" s="123"/>
      <c r="BO707" s="128"/>
      <c r="BP707" s="13"/>
      <c r="BQ707" s="129"/>
      <c r="BR707" s="123"/>
      <c r="BS707" s="130"/>
      <c r="BT707" s="13"/>
      <c r="BU707" s="123"/>
      <c r="BV707" s="131"/>
      <c r="DI707" s="121"/>
      <c r="DJ707" s="13"/>
      <c r="DK707" s="13"/>
      <c r="DL707" s="13"/>
      <c r="DM707" s="13"/>
      <c r="DN707" s="13"/>
      <c r="DO707" s="13"/>
      <c r="DW707" s="121"/>
      <c r="DX707" s="121"/>
      <c r="DY707" s="121"/>
      <c r="DZ707" s="121"/>
      <c r="EA707" s="121"/>
      <c r="EB707" s="121"/>
      <c r="EC707" s="121"/>
      <c r="ED707" s="121"/>
      <c r="EE707" s="121"/>
      <c r="EF707" s="121"/>
      <c r="EG707" s="123"/>
      <c r="EH707" s="127"/>
      <c r="EI707" s="125"/>
      <c r="EJ707" s="126"/>
      <c r="EK707" s="30"/>
      <c r="EL707" s="127"/>
      <c r="EM707" s="128"/>
      <c r="EN707" s="123"/>
      <c r="EO707" s="128"/>
      <c r="EP707" s="13"/>
      <c r="EQ707" s="129"/>
      <c r="ER707" s="123"/>
      <c r="ES707" s="130"/>
      <c r="ET707" s="13"/>
      <c r="EU707" s="123"/>
      <c r="EV707" s="131"/>
    </row>
    <row r="708" spans="35:152">
      <c r="AI708" s="121"/>
      <c r="AJ708" s="13"/>
      <c r="AK708" s="13"/>
      <c r="AL708" s="13"/>
      <c r="AM708" s="13"/>
      <c r="AN708" s="13"/>
      <c r="AO708" s="13"/>
      <c r="AW708" s="121"/>
      <c r="AX708" s="121"/>
      <c r="AY708" s="121"/>
      <c r="AZ708" s="121"/>
      <c r="BA708" s="121"/>
      <c r="BB708" s="121"/>
      <c r="BC708" s="121"/>
      <c r="BD708" s="121"/>
      <c r="BE708" s="121"/>
      <c r="BF708" s="121"/>
      <c r="BG708" s="123"/>
      <c r="BH708" s="127"/>
      <c r="BI708" s="125"/>
      <c r="BJ708" s="126"/>
      <c r="BK708" s="30"/>
      <c r="BL708" s="127"/>
      <c r="BM708" s="128"/>
      <c r="BN708" s="123"/>
      <c r="BO708" s="128"/>
      <c r="BP708" s="13"/>
      <c r="BQ708" s="129"/>
      <c r="BR708" s="123"/>
      <c r="BS708" s="130"/>
      <c r="BT708" s="13"/>
      <c r="BU708" s="123"/>
      <c r="BV708" s="131"/>
      <c r="DI708" s="121"/>
      <c r="DJ708" s="13"/>
      <c r="DK708" s="13"/>
      <c r="DL708" s="13"/>
      <c r="DM708" s="13"/>
      <c r="DN708" s="13"/>
      <c r="DO708" s="13"/>
      <c r="DW708" s="121"/>
      <c r="DX708" s="121"/>
      <c r="DY708" s="121"/>
      <c r="DZ708" s="121"/>
      <c r="EA708" s="121"/>
      <c r="EB708" s="121"/>
      <c r="EC708" s="121"/>
      <c r="ED708" s="121"/>
      <c r="EE708" s="121"/>
      <c r="EF708" s="121"/>
      <c r="EG708" s="123"/>
      <c r="EH708" s="127"/>
      <c r="EI708" s="125"/>
      <c r="EJ708" s="126"/>
      <c r="EK708" s="30"/>
      <c r="EL708" s="127"/>
      <c r="EM708" s="128"/>
      <c r="EN708" s="123"/>
      <c r="EO708" s="128"/>
      <c r="EP708" s="13"/>
      <c r="EQ708" s="129"/>
      <c r="ER708" s="123"/>
      <c r="ES708" s="130"/>
      <c r="ET708" s="13"/>
      <c r="EU708" s="123"/>
      <c r="EV708" s="131"/>
    </row>
    <row r="709" spans="35:152">
      <c r="AI709" s="121"/>
      <c r="AJ709" s="13"/>
      <c r="AK709" s="13"/>
      <c r="AL709" s="13"/>
      <c r="AM709" s="13"/>
      <c r="AN709" s="13"/>
      <c r="AO709" s="13"/>
      <c r="AW709" s="121"/>
      <c r="AX709" s="121"/>
      <c r="AY709" s="121"/>
      <c r="AZ709" s="121"/>
      <c r="BA709" s="121"/>
      <c r="BB709" s="121"/>
      <c r="BC709" s="121"/>
      <c r="BD709" s="121"/>
      <c r="BE709" s="121"/>
      <c r="BF709" s="121"/>
      <c r="BG709" s="123"/>
      <c r="BH709" s="127"/>
      <c r="BI709" s="125"/>
      <c r="BJ709" s="126"/>
      <c r="BK709" s="30"/>
      <c r="BL709" s="127"/>
      <c r="BM709" s="128"/>
      <c r="BN709" s="123"/>
      <c r="BO709" s="128"/>
      <c r="BP709" s="13"/>
      <c r="BQ709" s="129"/>
      <c r="BR709" s="123"/>
      <c r="BS709" s="130"/>
      <c r="BT709" s="13"/>
      <c r="BU709" s="123"/>
      <c r="BV709" s="131"/>
      <c r="DI709" s="121"/>
      <c r="DJ709" s="13"/>
      <c r="DK709" s="13"/>
      <c r="DL709" s="13"/>
      <c r="DM709" s="13"/>
      <c r="DN709" s="13"/>
      <c r="DO709" s="13"/>
      <c r="DW709" s="121"/>
      <c r="DX709" s="121"/>
      <c r="DY709" s="121"/>
      <c r="DZ709" s="121"/>
      <c r="EA709" s="121"/>
      <c r="EB709" s="121"/>
      <c r="EC709" s="121"/>
      <c r="ED709" s="121"/>
      <c r="EE709" s="121"/>
      <c r="EF709" s="121"/>
      <c r="EG709" s="123"/>
      <c r="EH709" s="127"/>
      <c r="EI709" s="125"/>
      <c r="EJ709" s="126"/>
      <c r="EK709" s="30"/>
      <c r="EL709" s="127"/>
      <c r="EM709" s="128"/>
      <c r="EN709" s="123"/>
      <c r="EO709" s="128"/>
      <c r="EP709" s="13"/>
      <c r="EQ709" s="129"/>
      <c r="ER709" s="123"/>
      <c r="ES709" s="130"/>
      <c r="ET709" s="13"/>
      <c r="EU709" s="123"/>
      <c r="EV709" s="131"/>
    </row>
    <row r="710" spans="35:152">
      <c r="AI710" s="121"/>
      <c r="AJ710" s="13"/>
      <c r="AK710" s="13"/>
      <c r="AL710" s="13"/>
      <c r="AM710" s="13"/>
      <c r="AN710" s="13"/>
      <c r="AO710" s="13"/>
      <c r="AW710" s="121"/>
      <c r="AX710" s="121"/>
      <c r="AY710" s="121"/>
      <c r="AZ710" s="121"/>
      <c r="BA710" s="121"/>
      <c r="BB710" s="121"/>
      <c r="BC710" s="121"/>
      <c r="BD710" s="121"/>
      <c r="BE710" s="121"/>
      <c r="BF710" s="121"/>
      <c r="BG710" s="123"/>
      <c r="BH710" s="127"/>
      <c r="BI710" s="125"/>
      <c r="BJ710" s="126"/>
      <c r="BK710" s="30"/>
      <c r="BL710" s="127"/>
      <c r="BM710" s="128"/>
      <c r="BN710" s="123"/>
      <c r="BO710" s="128"/>
      <c r="BP710" s="13"/>
      <c r="BQ710" s="129"/>
      <c r="BR710" s="123"/>
      <c r="BS710" s="130"/>
      <c r="BT710" s="13"/>
      <c r="BU710" s="123"/>
      <c r="BV710" s="131"/>
      <c r="DI710" s="121"/>
      <c r="DJ710" s="13"/>
      <c r="DK710" s="13"/>
      <c r="DL710" s="13"/>
      <c r="DM710" s="13"/>
      <c r="DN710" s="13"/>
      <c r="DO710" s="13"/>
      <c r="DW710" s="121"/>
      <c r="DX710" s="121"/>
      <c r="DY710" s="121"/>
      <c r="DZ710" s="121"/>
      <c r="EA710" s="121"/>
      <c r="EB710" s="121"/>
      <c r="EC710" s="121"/>
      <c r="ED710" s="121"/>
      <c r="EE710" s="121"/>
      <c r="EF710" s="121"/>
      <c r="EG710" s="123"/>
      <c r="EH710" s="127"/>
      <c r="EI710" s="125"/>
      <c r="EJ710" s="126"/>
      <c r="EK710" s="30"/>
      <c r="EL710" s="127"/>
      <c r="EM710" s="128"/>
      <c r="EN710" s="123"/>
      <c r="EO710" s="128"/>
      <c r="EP710" s="13"/>
      <c r="EQ710" s="129"/>
      <c r="ER710" s="123"/>
      <c r="ES710" s="130"/>
      <c r="ET710" s="13"/>
      <c r="EU710" s="123"/>
      <c r="EV710" s="131"/>
    </row>
    <row r="711" spans="35:152">
      <c r="AI711" s="121"/>
      <c r="AJ711" s="13"/>
      <c r="AK711" s="13"/>
      <c r="AL711" s="13"/>
      <c r="AM711" s="13"/>
      <c r="AN711" s="13"/>
      <c r="AO711" s="13"/>
      <c r="AW711" s="121"/>
      <c r="AX711" s="121"/>
      <c r="AY711" s="121"/>
      <c r="AZ711" s="121"/>
      <c r="BA711" s="121"/>
      <c r="BB711" s="121"/>
      <c r="BC711" s="121"/>
      <c r="BD711" s="121"/>
      <c r="BE711" s="121"/>
      <c r="BF711" s="121"/>
      <c r="BG711" s="123"/>
      <c r="BH711" s="127"/>
      <c r="BI711" s="125"/>
      <c r="BJ711" s="126"/>
      <c r="BK711" s="30"/>
      <c r="BL711" s="127"/>
      <c r="BM711" s="128"/>
      <c r="BN711" s="123"/>
      <c r="BO711" s="128"/>
      <c r="BP711" s="13"/>
      <c r="BQ711" s="129"/>
      <c r="BR711" s="123"/>
      <c r="BS711" s="130"/>
      <c r="BT711" s="13"/>
      <c r="BU711" s="123"/>
      <c r="BV711" s="131"/>
      <c r="DI711" s="121"/>
      <c r="DJ711" s="13"/>
      <c r="DK711" s="13"/>
      <c r="DL711" s="13"/>
      <c r="DM711" s="13"/>
      <c r="DN711" s="13"/>
      <c r="DO711" s="13"/>
      <c r="DW711" s="121"/>
      <c r="DX711" s="121"/>
      <c r="DY711" s="121"/>
      <c r="DZ711" s="121"/>
      <c r="EA711" s="121"/>
      <c r="EB711" s="121"/>
      <c r="EC711" s="121"/>
      <c r="ED711" s="121"/>
      <c r="EE711" s="121"/>
      <c r="EF711" s="121"/>
      <c r="EG711" s="123"/>
      <c r="EH711" s="127"/>
      <c r="EI711" s="125"/>
      <c r="EJ711" s="126"/>
      <c r="EK711" s="30"/>
      <c r="EL711" s="127"/>
      <c r="EM711" s="128"/>
      <c r="EN711" s="123"/>
      <c r="EO711" s="128"/>
      <c r="EP711" s="13"/>
      <c r="EQ711" s="129"/>
      <c r="ER711" s="123"/>
      <c r="ES711" s="130"/>
      <c r="ET711" s="13"/>
      <c r="EU711" s="123"/>
      <c r="EV711" s="131"/>
    </row>
    <row r="712" spans="35:152">
      <c r="AI712" s="121"/>
      <c r="AJ712" s="13"/>
      <c r="AK712" s="13"/>
      <c r="AL712" s="13"/>
      <c r="AM712" s="13"/>
      <c r="AN712" s="13"/>
      <c r="AO712" s="13"/>
      <c r="AW712" s="121"/>
      <c r="AX712" s="121"/>
      <c r="AY712" s="121"/>
      <c r="AZ712" s="121"/>
      <c r="BA712" s="121"/>
      <c r="BB712" s="121"/>
      <c r="BC712" s="121"/>
      <c r="BD712" s="121"/>
      <c r="BE712" s="121"/>
      <c r="BF712" s="121"/>
      <c r="BG712" s="123"/>
      <c r="BH712" s="127"/>
      <c r="BI712" s="125"/>
      <c r="BJ712" s="126"/>
      <c r="BK712" s="30"/>
      <c r="BL712" s="127"/>
      <c r="BM712" s="128"/>
      <c r="BN712" s="123"/>
      <c r="BO712" s="128"/>
      <c r="BP712" s="13"/>
      <c r="BQ712" s="129"/>
      <c r="BR712" s="123"/>
      <c r="BS712" s="130"/>
      <c r="BT712" s="13"/>
      <c r="BU712" s="123"/>
      <c r="BV712" s="131"/>
      <c r="DI712" s="121"/>
      <c r="DJ712" s="13"/>
      <c r="DK712" s="13"/>
      <c r="DL712" s="13"/>
      <c r="DM712" s="13"/>
      <c r="DN712" s="13"/>
      <c r="DO712" s="13"/>
      <c r="DW712" s="121"/>
      <c r="DX712" s="121"/>
      <c r="DY712" s="121"/>
      <c r="DZ712" s="121"/>
      <c r="EA712" s="121"/>
      <c r="EB712" s="121"/>
      <c r="EC712" s="121"/>
      <c r="ED712" s="121"/>
      <c r="EE712" s="121"/>
      <c r="EF712" s="121"/>
      <c r="EG712" s="123"/>
      <c r="EH712" s="127"/>
      <c r="EI712" s="125"/>
      <c r="EJ712" s="126"/>
      <c r="EK712" s="30"/>
      <c r="EL712" s="127"/>
      <c r="EM712" s="128"/>
      <c r="EN712" s="123"/>
      <c r="EO712" s="128"/>
      <c r="EP712" s="13"/>
      <c r="EQ712" s="129"/>
      <c r="ER712" s="123"/>
      <c r="ES712" s="130"/>
      <c r="ET712" s="13"/>
      <c r="EU712" s="123"/>
      <c r="EV712" s="131"/>
    </row>
    <row r="713" spans="35:152">
      <c r="AI713" s="121"/>
      <c r="AJ713" s="13"/>
      <c r="AK713" s="13"/>
      <c r="AL713" s="13"/>
      <c r="AM713" s="13"/>
      <c r="AN713" s="13"/>
      <c r="AO713" s="13"/>
      <c r="AW713" s="121"/>
      <c r="AX713" s="121"/>
      <c r="AY713" s="121"/>
      <c r="AZ713" s="121"/>
      <c r="BA713" s="121"/>
      <c r="BB713" s="121"/>
      <c r="BC713" s="121"/>
      <c r="BD713" s="121"/>
      <c r="BE713" s="121"/>
      <c r="BF713" s="121"/>
      <c r="BG713" s="123"/>
      <c r="BH713" s="127"/>
      <c r="BI713" s="125"/>
      <c r="BJ713" s="126"/>
      <c r="BK713" s="30"/>
      <c r="BL713" s="127"/>
      <c r="BM713" s="128"/>
      <c r="BN713" s="123"/>
      <c r="BO713" s="128"/>
      <c r="BP713" s="13"/>
      <c r="BQ713" s="129"/>
      <c r="BR713" s="123"/>
      <c r="BS713" s="130"/>
      <c r="BT713" s="13"/>
      <c r="BU713" s="123"/>
      <c r="BV713" s="131"/>
      <c r="DI713" s="121"/>
      <c r="DJ713" s="13"/>
      <c r="DK713" s="13"/>
      <c r="DL713" s="13"/>
      <c r="DM713" s="13"/>
      <c r="DN713" s="13"/>
      <c r="DO713" s="13"/>
      <c r="DW713" s="121"/>
      <c r="DX713" s="121"/>
      <c r="DY713" s="121"/>
      <c r="DZ713" s="121"/>
      <c r="EA713" s="121"/>
      <c r="EB713" s="121"/>
      <c r="EC713" s="121"/>
      <c r="ED713" s="121"/>
      <c r="EE713" s="121"/>
      <c r="EF713" s="121"/>
      <c r="EG713" s="123"/>
      <c r="EH713" s="127"/>
      <c r="EI713" s="125"/>
      <c r="EJ713" s="126"/>
      <c r="EK713" s="30"/>
      <c r="EL713" s="127"/>
      <c r="EM713" s="128"/>
      <c r="EN713" s="123"/>
      <c r="EO713" s="128"/>
      <c r="EP713" s="13"/>
      <c r="EQ713" s="129"/>
      <c r="ER713" s="123"/>
      <c r="ES713" s="130"/>
      <c r="ET713" s="13"/>
      <c r="EU713" s="123"/>
      <c r="EV713" s="131"/>
    </row>
    <row r="714" spans="35:152">
      <c r="AI714" s="121"/>
      <c r="AJ714" s="13"/>
      <c r="AK714" s="13"/>
      <c r="AL714" s="13"/>
      <c r="AM714" s="13"/>
      <c r="AN714" s="13"/>
      <c r="AO714" s="13"/>
      <c r="AW714" s="121"/>
      <c r="AX714" s="121"/>
      <c r="AY714" s="121"/>
      <c r="AZ714" s="121"/>
      <c r="BA714" s="121"/>
      <c r="BB714" s="121"/>
      <c r="BC714" s="121"/>
      <c r="BD714" s="121"/>
      <c r="BE714" s="121"/>
      <c r="BF714" s="121"/>
      <c r="BG714" s="123"/>
      <c r="BH714" s="127"/>
      <c r="BI714" s="125"/>
      <c r="BJ714" s="126"/>
      <c r="BK714" s="30"/>
      <c r="BL714" s="127"/>
      <c r="BM714" s="128"/>
      <c r="BN714" s="123"/>
      <c r="BO714" s="128"/>
      <c r="BP714" s="13"/>
      <c r="BQ714" s="129"/>
      <c r="BR714" s="123"/>
      <c r="BS714" s="130"/>
      <c r="BT714" s="13"/>
      <c r="BU714" s="123"/>
      <c r="BV714" s="131"/>
      <c r="DI714" s="121"/>
      <c r="DJ714" s="13"/>
      <c r="DK714" s="13"/>
      <c r="DL714" s="13"/>
      <c r="DM714" s="13"/>
      <c r="DN714" s="13"/>
      <c r="DO714" s="13"/>
      <c r="DW714" s="121"/>
      <c r="DX714" s="121"/>
      <c r="DY714" s="121"/>
      <c r="DZ714" s="121"/>
      <c r="EA714" s="121"/>
      <c r="EB714" s="121"/>
      <c r="EC714" s="121"/>
      <c r="ED714" s="121"/>
      <c r="EE714" s="121"/>
      <c r="EF714" s="121"/>
      <c r="EG714" s="123"/>
      <c r="EH714" s="127"/>
      <c r="EI714" s="125"/>
      <c r="EJ714" s="126"/>
      <c r="EK714" s="30"/>
      <c r="EL714" s="127"/>
      <c r="EM714" s="128"/>
      <c r="EN714" s="123"/>
      <c r="EO714" s="128"/>
      <c r="EP714" s="13"/>
      <c r="EQ714" s="129"/>
      <c r="ER714" s="123"/>
      <c r="ES714" s="130"/>
      <c r="ET714" s="13"/>
      <c r="EU714" s="123"/>
      <c r="EV714" s="131"/>
    </row>
    <row r="715" spans="35:152">
      <c r="AI715" s="121"/>
      <c r="AJ715" s="13"/>
      <c r="AK715" s="13"/>
      <c r="AL715" s="13"/>
      <c r="AM715" s="13"/>
      <c r="AN715" s="13"/>
      <c r="AO715" s="13"/>
      <c r="AW715" s="121"/>
      <c r="AX715" s="121"/>
      <c r="AY715" s="121"/>
      <c r="AZ715" s="121"/>
      <c r="BA715" s="121"/>
      <c r="BB715" s="121"/>
      <c r="BC715" s="121"/>
      <c r="BD715" s="121"/>
      <c r="BE715" s="121"/>
      <c r="BF715" s="121"/>
      <c r="BG715" s="123"/>
      <c r="BH715" s="127"/>
      <c r="BI715" s="125"/>
      <c r="BJ715" s="126"/>
      <c r="BK715" s="30"/>
      <c r="BL715" s="127"/>
      <c r="BM715" s="128"/>
      <c r="BN715" s="123"/>
      <c r="BO715" s="128"/>
      <c r="BP715" s="13"/>
      <c r="BQ715" s="129"/>
      <c r="BR715" s="123"/>
      <c r="BS715" s="130"/>
      <c r="BT715" s="13"/>
      <c r="BU715" s="123"/>
      <c r="BV715" s="131"/>
      <c r="DI715" s="121"/>
      <c r="DJ715" s="13"/>
      <c r="DK715" s="13"/>
      <c r="DL715" s="13"/>
      <c r="DM715" s="13"/>
      <c r="DN715" s="13"/>
      <c r="DO715" s="13"/>
      <c r="DW715" s="121"/>
      <c r="DX715" s="121"/>
      <c r="DY715" s="121"/>
      <c r="DZ715" s="121"/>
      <c r="EA715" s="121"/>
      <c r="EB715" s="121"/>
      <c r="EC715" s="121"/>
      <c r="ED715" s="121"/>
      <c r="EE715" s="121"/>
      <c r="EF715" s="121"/>
      <c r="EG715" s="123"/>
      <c r="EH715" s="127"/>
      <c r="EI715" s="125"/>
      <c r="EJ715" s="126"/>
      <c r="EK715" s="30"/>
      <c r="EL715" s="127"/>
      <c r="EM715" s="128"/>
      <c r="EN715" s="123"/>
      <c r="EO715" s="128"/>
      <c r="EP715" s="13"/>
      <c r="EQ715" s="129"/>
      <c r="ER715" s="123"/>
      <c r="ES715" s="130"/>
      <c r="ET715" s="13"/>
      <c r="EU715" s="123"/>
      <c r="EV715" s="131"/>
    </row>
    <row r="716" spans="35:152">
      <c r="AI716" s="121"/>
      <c r="AJ716" s="13"/>
      <c r="AK716" s="13"/>
      <c r="AL716" s="13"/>
      <c r="AM716" s="13"/>
      <c r="AN716" s="13"/>
      <c r="AO716" s="13"/>
      <c r="AW716" s="121"/>
      <c r="AX716" s="121"/>
      <c r="AY716" s="121"/>
      <c r="AZ716" s="121"/>
      <c r="BA716" s="121"/>
      <c r="BB716" s="121"/>
      <c r="BC716" s="121"/>
      <c r="BD716" s="121"/>
      <c r="BE716" s="121"/>
      <c r="BF716" s="121"/>
      <c r="BG716" s="123"/>
      <c r="BH716" s="127"/>
      <c r="BI716" s="125"/>
      <c r="BJ716" s="126"/>
      <c r="BK716" s="30"/>
      <c r="BL716" s="127"/>
      <c r="BM716" s="128"/>
      <c r="BN716" s="123"/>
      <c r="BO716" s="128"/>
      <c r="BP716" s="13"/>
      <c r="BQ716" s="129"/>
      <c r="BR716" s="123"/>
      <c r="BS716" s="130"/>
      <c r="BT716" s="13"/>
      <c r="BU716" s="123"/>
      <c r="BV716" s="131"/>
      <c r="DI716" s="121"/>
      <c r="DJ716" s="13"/>
      <c r="DK716" s="13"/>
      <c r="DL716" s="13"/>
      <c r="DM716" s="13"/>
      <c r="DN716" s="13"/>
      <c r="DO716" s="13"/>
      <c r="DW716" s="121"/>
      <c r="DX716" s="121"/>
      <c r="DY716" s="121"/>
      <c r="DZ716" s="121"/>
      <c r="EA716" s="121"/>
      <c r="EB716" s="121"/>
      <c r="EC716" s="121"/>
      <c r="ED716" s="121"/>
      <c r="EE716" s="121"/>
      <c r="EF716" s="121"/>
      <c r="EG716" s="123"/>
      <c r="EH716" s="127"/>
      <c r="EI716" s="125"/>
      <c r="EJ716" s="126"/>
      <c r="EK716" s="30"/>
      <c r="EL716" s="127"/>
      <c r="EM716" s="128"/>
      <c r="EN716" s="123"/>
      <c r="EO716" s="128"/>
      <c r="EP716" s="13"/>
      <c r="EQ716" s="129"/>
      <c r="ER716" s="123"/>
      <c r="ES716" s="130"/>
      <c r="ET716" s="13"/>
      <c r="EU716" s="123"/>
      <c r="EV716" s="131"/>
    </row>
    <row r="717" spans="35:152">
      <c r="AI717" s="121"/>
      <c r="AJ717" s="13"/>
      <c r="AK717" s="13"/>
      <c r="AL717" s="13"/>
      <c r="AM717" s="13"/>
      <c r="AN717" s="13"/>
      <c r="AO717" s="13"/>
      <c r="AW717" s="121"/>
      <c r="AX717" s="121"/>
      <c r="AY717" s="121"/>
      <c r="AZ717" s="121"/>
      <c r="BA717" s="121"/>
      <c r="BB717" s="121"/>
      <c r="BC717" s="121"/>
      <c r="BD717" s="121"/>
      <c r="BE717" s="121"/>
      <c r="BF717" s="121"/>
      <c r="BG717" s="123"/>
      <c r="BH717" s="127"/>
      <c r="BI717" s="125"/>
      <c r="BJ717" s="126"/>
      <c r="BK717" s="30"/>
      <c r="BL717" s="127"/>
      <c r="BM717" s="128"/>
      <c r="BN717" s="123"/>
      <c r="BO717" s="128"/>
      <c r="BP717" s="13"/>
      <c r="BQ717" s="129"/>
      <c r="BR717" s="123"/>
      <c r="BS717" s="130"/>
      <c r="BT717" s="13"/>
      <c r="BU717" s="123"/>
      <c r="BV717" s="131"/>
      <c r="DI717" s="121"/>
      <c r="DJ717" s="13"/>
      <c r="DK717" s="13"/>
      <c r="DL717" s="13"/>
      <c r="DM717" s="13"/>
      <c r="DN717" s="13"/>
      <c r="DO717" s="13"/>
      <c r="DW717" s="121"/>
      <c r="DX717" s="121"/>
      <c r="DY717" s="121"/>
      <c r="DZ717" s="121"/>
      <c r="EA717" s="121"/>
      <c r="EB717" s="121"/>
      <c r="EC717" s="121"/>
      <c r="ED717" s="121"/>
      <c r="EE717" s="121"/>
      <c r="EF717" s="121"/>
      <c r="EG717" s="123"/>
      <c r="EH717" s="127"/>
      <c r="EI717" s="125"/>
      <c r="EJ717" s="126"/>
      <c r="EK717" s="30"/>
      <c r="EL717" s="127"/>
      <c r="EM717" s="128"/>
      <c r="EN717" s="123"/>
      <c r="EO717" s="128"/>
      <c r="EP717" s="13"/>
      <c r="EQ717" s="129"/>
      <c r="ER717" s="123"/>
      <c r="ES717" s="130"/>
      <c r="ET717" s="13"/>
      <c r="EU717" s="123"/>
      <c r="EV717" s="131"/>
    </row>
    <row r="718" spans="35:152">
      <c r="AI718" s="121"/>
      <c r="AJ718" s="13"/>
      <c r="AK718" s="13"/>
      <c r="AL718" s="13"/>
      <c r="AM718" s="13"/>
      <c r="AN718" s="13"/>
      <c r="AO718" s="13"/>
      <c r="AW718" s="121"/>
      <c r="AX718" s="121"/>
      <c r="AY718" s="121"/>
      <c r="AZ718" s="121"/>
      <c r="BA718" s="121"/>
      <c r="BB718" s="121"/>
      <c r="BC718" s="121"/>
      <c r="BD718" s="121"/>
      <c r="BE718" s="121"/>
      <c r="BF718" s="121"/>
      <c r="BG718" s="123"/>
      <c r="BH718" s="127"/>
      <c r="BI718" s="125"/>
      <c r="BJ718" s="126"/>
      <c r="BK718" s="30"/>
      <c r="BL718" s="127"/>
      <c r="BM718" s="128"/>
      <c r="BN718" s="123"/>
      <c r="BO718" s="128"/>
      <c r="BP718" s="13"/>
      <c r="BQ718" s="129"/>
      <c r="BR718" s="123"/>
      <c r="BS718" s="130"/>
      <c r="BT718" s="13"/>
      <c r="BU718" s="123"/>
      <c r="BV718" s="131"/>
      <c r="DI718" s="121"/>
      <c r="DJ718" s="13"/>
      <c r="DK718" s="13"/>
      <c r="DL718" s="13"/>
      <c r="DM718" s="13"/>
      <c r="DN718" s="13"/>
      <c r="DO718" s="13"/>
      <c r="DW718" s="121"/>
      <c r="DX718" s="121"/>
      <c r="DY718" s="121"/>
      <c r="DZ718" s="121"/>
      <c r="EA718" s="121"/>
      <c r="EB718" s="121"/>
      <c r="EC718" s="121"/>
      <c r="ED718" s="121"/>
      <c r="EE718" s="121"/>
      <c r="EF718" s="121"/>
      <c r="EG718" s="123"/>
      <c r="EH718" s="127"/>
      <c r="EI718" s="125"/>
      <c r="EJ718" s="126"/>
      <c r="EK718" s="30"/>
      <c r="EL718" s="127"/>
      <c r="EM718" s="128"/>
      <c r="EN718" s="123"/>
      <c r="EO718" s="128"/>
      <c r="EP718" s="13"/>
      <c r="EQ718" s="129"/>
      <c r="ER718" s="123"/>
      <c r="ES718" s="130"/>
      <c r="ET718" s="13"/>
      <c r="EU718" s="123"/>
      <c r="EV718" s="131"/>
    </row>
    <row r="719" spans="35:152">
      <c r="AI719" s="121"/>
      <c r="AJ719" s="13"/>
      <c r="AK719" s="13"/>
      <c r="AL719" s="13"/>
      <c r="AM719" s="13"/>
      <c r="AN719" s="13"/>
      <c r="AO719" s="13"/>
      <c r="AW719" s="121"/>
      <c r="AX719" s="121"/>
      <c r="AY719" s="121"/>
      <c r="AZ719" s="121"/>
      <c r="BA719" s="121"/>
      <c r="BB719" s="121"/>
      <c r="BC719" s="121"/>
      <c r="BD719" s="121"/>
      <c r="BE719" s="121"/>
      <c r="BF719" s="121"/>
      <c r="BG719" s="123"/>
      <c r="BH719" s="127"/>
      <c r="BI719" s="125"/>
      <c r="BJ719" s="126"/>
      <c r="BK719" s="30"/>
      <c r="BL719" s="127"/>
      <c r="BM719" s="128"/>
      <c r="BN719" s="123"/>
      <c r="BO719" s="128"/>
      <c r="BP719" s="13"/>
      <c r="BQ719" s="129"/>
      <c r="BR719" s="123"/>
      <c r="BS719" s="130"/>
      <c r="BT719" s="13"/>
      <c r="BU719" s="123"/>
      <c r="BV719" s="131"/>
      <c r="DI719" s="121"/>
      <c r="DJ719" s="13"/>
      <c r="DK719" s="13"/>
      <c r="DL719" s="13"/>
      <c r="DM719" s="13"/>
      <c r="DN719" s="13"/>
      <c r="DO719" s="13"/>
      <c r="DW719" s="121"/>
      <c r="DX719" s="121"/>
      <c r="DY719" s="121"/>
      <c r="DZ719" s="121"/>
      <c r="EA719" s="121"/>
      <c r="EB719" s="121"/>
      <c r="EC719" s="121"/>
      <c r="ED719" s="121"/>
      <c r="EE719" s="121"/>
      <c r="EF719" s="121"/>
      <c r="EG719" s="123"/>
      <c r="EH719" s="127"/>
      <c r="EI719" s="125"/>
      <c r="EJ719" s="126"/>
      <c r="EK719" s="30"/>
      <c r="EL719" s="127"/>
      <c r="EM719" s="128"/>
      <c r="EN719" s="123"/>
      <c r="EO719" s="128"/>
      <c r="EP719" s="13"/>
      <c r="EQ719" s="129"/>
      <c r="ER719" s="123"/>
      <c r="ES719" s="130"/>
      <c r="ET719" s="13"/>
      <c r="EU719" s="123"/>
      <c r="EV719" s="131"/>
    </row>
    <row r="720" spans="35:152">
      <c r="AI720" s="121"/>
      <c r="AJ720" s="13"/>
      <c r="AK720" s="13"/>
      <c r="AL720" s="13"/>
      <c r="AM720" s="13"/>
      <c r="AN720" s="13"/>
      <c r="AO720" s="13"/>
      <c r="AW720" s="121"/>
      <c r="AX720" s="121"/>
      <c r="AY720" s="121"/>
      <c r="AZ720" s="121"/>
      <c r="BA720" s="121"/>
      <c r="BB720" s="121"/>
      <c r="BC720" s="121"/>
      <c r="BD720" s="121"/>
      <c r="BE720" s="121"/>
      <c r="BF720" s="121"/>
      <c r="BG720" s="123"/>
      <c r="BH720" s="127"/>
      <c r="BI720" s="125"/>
      <c r="BJ720" s="126"/>
      <c r="BK720" s="30"/>
      <c r="BL720" s="127"/>
      <c r="BM720" s="128"/>
      <c r="BN720" s="123"/>
      <c r="BO720" s="128"/>
      <c r="BP720" s="13"/>
      <c r="BQ720" s="129"/>
      <c r="BR720" s="123"/>
      <c r="BS720" s="130"/>
      <c r="BT720" s="13"/>
      <c r="BU720" s="123"/>
      <c r="BV720" s="131"/>
      <c r="DI720" s="121"/>
      <c r="DJ720" s="13"/>
      <c r="DK720" s="13"/>
      <c r="DL720" s="13"/>
      <c r="DM720" s="13"/>
      <c r="DN720" s="13"/>
      <c r="DO720" s="13"/>
      <c r="DW720" s="121"/>
      <c r="DX720" s="121"/>
      <c r="DY720" s="121"/>
      <c r="DZ720" s="121"/>
      <c r="EA720" s="121"/>
      <c r="EB720" s="121"/>
      <c r="EC720" s="121"/>
      <c r="ED720" s="121"/>
      <c r="EE720" s="121"/>
      <c r="EF720" s="121"/>
      <c r="EG720" s="123"/>
      <c r="EH720" s="127"/>
      <c r="EI720" s="125"/>
      <c r="EJ720" s="126"/>
      <c r="EK720" s="30"/>
      <c r="EL720" s="127"/>
      <c r="EM720" s="128"/>
      <c r="EN720" s="123"/>
      <c r="EO720" s="128"/>
      <c r="EP720" s="13"/>
      <c r="EQ720" s="129"/>
      <c r="ER720" s="123"/>
      <c r="ES720" s="130"/>
      <c r="ET720" s="13"/>
      <c r="EU720" s="123"/>
      <c r="EV720" s="131"/>
    </row>
    <row r="721" spans="35:152">
      <c r="AI721" s="121"/>
      <c r="AJ721" s="13"/>
      <c r="AK721" s="13"/>
      <c r="AL721" s="13"/>
      <c r="AM721" s="13"/>
      <c r="AN721" s="13"/>
      <c r="AO721" s="13"/>
      <c r="AW721" s="121"/>
      <c r="AX721" s="121"/>
      <c r="AY721" s="121"/>
      <c r="AZ721" s="121"/>
      <c r="BA721" s="121"/>
      <c r="BB721" s="121"/>
      <c r="BC721" s="121"/>
      <c r="BD721" s="121"/>
      <c r="BE721" s="121"/>
      <c r="BF721" s="121"/>
      <c r="BG721" s="123"/>
      <c r="BH721" s="127"/>
      <c r="BI721" s="125"/>
      <c r="BJ721" s="126"/>
      <c r="BK721" s="30"/>
      <c r="BL721" s="127"/>
      <c r="BM721" s="128"/>
      <c r="BN721" s="123"/>
      <c r="BO721" s="128"/>
      <c r="BP721" s="13"/>
      <c r="BQ721" s="129"/>
      <c r="BR721" s="123"/>
      <c r="BS721" s="130"/>
      <c r="BT721" s="13"/>
      <c r="BU721" s="123"/>
      <c r="BV721" s="131"/>
      <c r="DI721" s="121"/>
      <c r="DJ721" s="13"/>
      <c r="DK721" s="13"/>
      <c r="DL721" s="13"/>
      <c r="DM721" s="13"/>
      <c r="DN721" s="13"/>
      <c r="DO721" s="13"/>
      <c r="DW721" s="121"/>
      <c r="DX721" s="121"/>
      <c r="DY721" s="121"/>
      <c r="DZ721" s="121"/>
      <c r="EA721" s="121"/>
      <c r="EB721" s="121"/>
      <c r="EC721" s="121"/>
      <c r="ED721" s="121"/>
      <c r="EE721" s="121"/>
      <c r="EF721" s="121"/>
      <c r="EG721" s="123"/>
      <c r="EH721" s="127"/>
      <c r="EI721" s="125"/>
      <c r="EJ721" s="126"/>
      <c r="EK721" s="30"/>
      <c r="EL721" s="127"/>
      <c r="EM721" s="128"/>
      <c r="EN721" s="123"/>
      <c r="EO721" s="128"/>
      <c r="EP721" s="13"/>
      <c r="EQ721" s="129"/>
      <c r="ER721" s="123"/>
      <c r="ES721" s="130"/>
      <c r="ET721" s="13"/>
      <c r="EU721" s="123"/>
      <c r="EV721" s="131"/>
    </row>
    <row r="722" spans="35:152">
      <c r="AI722" s="121"/>
      <c r="AJ722" s="13"/>
      <c r="AK722" s="13"/>
      <c r="AL722" s="13"/>
      <c r="AM722" s="13"/>
      <c r="AN722" s="13"/>
      <c r="AO722" s="13"/>
      <c r="AW722" s="121"/>
      <c r="AX722" s="121"/>
      <c r="AY722" s="121"/>
      <c r="AZ722" s="121"/>
      <c r="BA722" s="121"/>
      <c r="BB722" s="121"/>
      <c r="BC722" s="121"/>
      <c r="BD722" s="121"/>
      <c r="BE722" s="121"/>
      <c r="BF722" s="121"/>
      <c r="BG722" s="123"/>
      <c r="BH722" s="127"/>
      <c r="BI722" s="125"/>
      <c r="BJ722" s="126"/>
      <c r="BK722" s="30"/>
      <c r="BL722" s="127"/>
      <c r="BM722" s="128"/>
      <c r="BN722" s="123"/>
      <c r="BO722" s="128"/>
      <c r="BP722" s="13"/>
      <c r="BQ722" s="129"/>
      <c r="BR722" s="123"/>
      <c r="BS722" s="130"/>
      <c r="BT722" s="13"/>
      <c r="BU722" s="123"/>
      <c r="BV722" s="131"/>
      <c r="DI722" s="121"/>
      <c r="DJ722" s="13"/>
      <c r="DK722" s="13"/>
      <c r="DL722" s="13"/>
      <c r="DM722" s="13"/>
      <c r="DN722" s="13"/>
      <c r="DO722" s="13"/>
      <c r="DW722" s="121"/>
      <c r="DX722" s="121"/>
      <c r="DY722" s="121"/>
      <c r="DZ722" s="121"/>
      <c r="EA722" s="121"/>
      <c r="EB722" s="121"/>
      <c r="EC722" s="121"/>
      <c r="ED722" s="121"/>
      <c r="EE722" s="121"/>
      <c r="EF722" s="121"/>
      <c r="EG722" s="123"/>
      <c r="EH722" s="127"/>
      <c r="EI722" s="125"/>
      <c r="EJ722" s="126"/>
      <c r="EK722" s="30"/>
      <c r="EL722" s="127"/>
      <c r="EM722" s="128"/>
      <c r="EN722" s="123"/>
      <c r="EO722" s="128"/>
      <c r="EP722" s="13"/>
      <c r="EQ722" s="129"/>
      <c r="ER722" s="123"/>
      <c r="ES722" s="130"/>
      <c r="ET722" s="13"/>
      <c r="EU722" s="123"/>
      <c r="EV722" s="131"/>
    </row>
    <row r="723" spans="35:152">
      <c r="AI723" s="121"/>
      <c r="AJ723" s="13"/>
      <c r="AK723" s="13"/>
      <c r="AL723" s="13"/>
      <c r="AM723" s="13"/>
      <c r="AN723" s="13"/>
      <c r="AO723" s="13"/>
      <c r="AW723" s="121"/>
      <c r="AX723" s="121"/>
      <c r="AY723" s="121"/>
      <c r="AZ723" s="121"/>
      <c r="BA723" s="121"/>
      <c r="BB723" s="121"/>
      <c r="BC723" s="121"/>
      <c r="BD723" s="121"/>
      <c r="BE723" s="121"/>
      <c r="BF723" s="121"/>
      <c r="BG723" s="123"/>
      <c r="BH723" s="127"/>
      <c r="BI723" s="125"/>
      <c r="BJ723" s="126"/>
      <c r="BK723" s="30"/>
      <c r="BL723" s="127"/>
      <c r="BM723" s="128"/>
      <c r="BN723" s="123"/>
      <c r="BO723" s="128"/>
      <c r="BP723" s="13"/>
      <c r="BQ723" s="129"/>
      <c r="BR723" s="123"/>
      <c r="BS723" s="130"/>
      <c r="BT723" s="13"/>
      <c r="BU723" s="123"/>
      <c r="BV723" s="131"/>
      <c r="DI723" s="121"/>
      <c r="DJ723" s="13"/>
      <c r="DK723" s="13"/>
      <c r="DL723" s="13"/>
      <c r="DM723" s="13"/>
      <c r="DN723" s="13"/>
      <c r="DO723" s="13"/>
      <c r="DW723" s="121"/>
      <c r="DX723" s="121"/>
      <c r="DY723" s="121"/>
      <c r="DZ723" s="121"/>
      <c r="EA723" s="121"/>
      <c r="EB723" s="121"/>
      <c r="EC723" s="121"/>
      <c r="ED723" s="121"/>
      <c r="EE723" s="121"/>
      <c r="EF723" s="121"/>
      <c r="EG723" s="123"/>
      <c r="EH723" s="127"/>
      <c r="EI723" s="125"/>
      <c r="EJ723" s="126"/>
      <c r="EK723" s="30"/>
      <c r="EL723" s="127"/>
      <c r="EM723" s="128"/>
      <c r="EN723" s="123"/>
      <c r="EO723" s="128"/>
      <c r="EP723" s="13"/>
      <c r="EQ723" s="129"/>
      <c r="ER723" s="123"/>
      <c r="ES723" s="130"/>
      <c r="ET723" s="13"/>
      <c r="EU723" s="123"/>
      <c r="EV723" s="131"/>
    </row>
    <row r="724" spans="35:152">
      <c r="AI724" s="121"/>
      <c r="AJ724" s="13"/>
      <c r="AK724" s="13"/>
      <c r="AL724" s="13"/>
      <c r="AM724" s="13"/>
      <c r="AN724" s="13"/>
      <c r="AO724" s="13"/>
      <c r="AW724" s="121"/>
      <c r="AX724" s="121"/>
      <c r="AY724" s="121"/>
      <c r="AZ724" s="121"/>
      <c r="BA724" s="121"/>
      <c r="BB724" s="121"/>
      <c r="BC724" s="121"/>
      <c r="BD724" s="121"/>
      <c r="BE724" s="121"/>
      <c r="BF724" s="121"/>
      <c r="BG724" s="123"/>
      <c r="BH724" s="127"/>
      <c r="BI724" s="125"/>
      <c r="BJ724" s="126"/>
      <c r="BK724" s="30"/>
      <c r="BL724" s="127"/>
      <c r="BM724" s="128"/>
      <c r="BN724" s="123"/>
      <c r="BO724" s="128"/>
      <c r="BP724" s="13"/>
      <c r="BQ724" s="129"/>
      <c r="BR724" s="123"/>
      <c r="BS724" s="130"/>
      <c r="BT724" s="13"/>
      <c r="BU724" s="123"/>
      <c r="BV724" s="131"/>
      <c r="DI724" s="121"/>
      <c r="DJ724" s="13"/>
      <c r="DK724" s="13"/>
      <c r="DL724" s="13"/>
      <c r="DM724" s="13"/>
      <c r="DN724" s="13"/>
      <c r="DO724" s="13"/>
      <c r="DW724" s="121"/>
      <c r="DX724" s="121"/>
      <c r="DY724" s="121"/>
      <c r="DZ724" s="121"/>
      <c r="EA724" s="121"/>
      <c r="EB724" s="121"/>
      <c r="EC724" s="121"/>
      <c r="ED724" s="121"/>
      <c r="EE724" s="121"/>
      <c r="EF724" s="121"/>
      <c r="EG724" s="123"/>
      <c r="EH724" s="127"/>
      <c r="EI724" s="125"/>
      <c r="EJ724" s="126"/>
      <c r="EK724" s="30"/>
      <c r="EL724" s="127"/>
      <c r="EM724" s="128"/>
      <c r="EN724" s="123"/>
      <c r="EO724" s="128"/>
      <c r="EP724" s="13"/>
      <c r="EQ724" s="129"/>
      <c r="ER724" s="123"/>
      <c r="ES724" s="130"/>
      <c r="ET724" s="13"/>
      <c r="EU724" s="123"/>
      <c r="EV724" s="131"/>
    </row>
    <row r="725" spans="35:152">
      <c r="AI725" s="121"/>
      <c r="AJ725" s="13"/>
      <c r="AK725" s="13"/>
      <c r="AL725" s="13"/>
      <c r="AM725" s="13"/>
      <c r="AN725" s="13"/>
      <c r="AO725" s="13"/>
      <c r="AW725" s="121"/>
      <c r="AX725" s="121"/>
      <c r="AY725" s="121"/>
      <c r="AZ725" s="121"/>
      <c r="BA725" s="121"/>
      <c r="BB725" s="121"/>
      <c r="BC725" s="121"/>
      <c r="BD725" s="121"/>
      <c r="BE725" s="121"/>
      <c r="BF725" s="121"/>
      <c r="BG725" s="123"/>
      <c r="BH725" s="127"/>
      <c r="BI725" s="125"/>
      <c r="BJ725" s="126"/>
      <c r="BK725" s="30"/>
      <c r="BL725" s="127"/>
      <c r="BM725" s="128"/>
      <c r="BN725" s="123"/>
      <c r="BO725" s="128"/>
      <c r="BP725" s="13"/>
      <c r="BQ725" s="129"/>
      <c r="BR725" s="123"/>
      <c r="BS725" s="130"/>
      <c r="BT725" s="13"/>
      <c r="BU725" s="123"/>
      <c r="BV725" s="131"/>
      <c r="DI725" s="121"/>
      <c r="DJ725" s="13"/>
      <c r="DK725" s="13"/>
      <c r="DL725" s="13"/>
      <c r="DM725" s="13"/>
      <c r="DN725" s="13"/>
      <c r="DO725" s="13"/>
      <c r="DW725" s="121"/>
      <c r="DX725" s="121"/>
      <c r="DY725" s="121"/>
      <c r="DZ725" s="121"/>
      <c r="EA725" s="121"/>
      <c r="EB725" s="121"/>
      <c r="EC725" s="121"/>
      <c r="ED725" s="121"/>
      <c r="EE725" s="121"/>
      <c r="EF725" s="121"/>
      <c r="EG725" s="123"/>
      <c r="EH725" s="127"/>
      <c r="EI725" s="125"/>
      <c r="EJ725" s="126"/>
      <c r="EK725" s="30"/>
      <c r="EL725" s="127"/>
      <c r="EM725" s="128"/>
      <c r="EN725" s="123"/>
      <c r="EO725" s="128"/>
      <c r="EP725" s="13"/>
      <c r="EQ725" s="129"/>
      <c r="ER725" s="123"/>
      <c r="ES725" s="130"/>
      <c r="ET725" s="13"/>
      <c r="EU725" s="123"/>
      <c r="EV725" s="131"/>
    </row>
    <row r="726" spans="35:152">
      <c r="AI726" s="121"/>
      <c r="AJ726" s="13"/>
      <c r="AK726" s="13"/>
      <c r="AL726" s="13"/>
      <c r="AM726" s="13"/>
      <c r="AN726" s="13"/>
      <c r="AO726" s="13"/>
      <c r="AW726" s="121"/>
      <c r="AX726" s="121"/>
      <c r="AY726" s="121"/>
      <c r="AZ726" s="121"/>
      <c r="BA726" s="121"/>
      <c r="BB726" s="121"/>
      <c r="BC726" s="121"/>
      <c r="BD726" s="121"/>
      <c r="BE726" s="121"/>
      <c r="BF726" s="121"/>
      <c r="BG726" s="123"/>
      <c r="BH726" s="127"/>
      <c r="BI726" s="125"/>
      <c r="BJ726" s="126"/>
      <c r="BK726" s="30"/>
      <c r="BL726" s="127"/>
      <c r="BM726" s="128"/>
      <c r="BN726" s="123"/>
      <c r="BO726" s="128"/>
      <c r="BP726" s="13"/>
      <c r="BQ726" s="129"/>
      <c r="BR726" s="123"/>
      <c r="BS726" s="130"/>
      <c r="BT726" s="13"/>
      <c r="BU726" s="123"/>
      <c r="BV726" s="131"/>
      <c r="DI726" s="121"/>
      <c r="DJ726" s="13"/>
      <c r="DK726" s="13"/>
      <c r="DL726" s="13"/>
      <c r="DM726" s="13"/>
      <c r="DN726" s="13"/>
      <c r="DO726" s="13"/>
      <c r="DW726" s="121"/>
      <c r="DX726" s="121"/>
      <c r="DY726" s="121"/>
      <c r="DZ726" s="121"/>
      <c r="EA726" s="121"/>
      <c r="EB726" s="121"/>
      <c r="EC726" s="121"/>
      <c r="ED726" s="121"/>
      <c r="EE726" s="121"/>
      <c r="EF726" s="121"/>
      <c r="EG726" s="123"/>
      <c r="EH726" s="127"/>
      <c r="EI726" s="125"/>
      <c r="EJ726" s="126"/>
      <c r="EK726" s="30"/>
      <c r="EL726" s="127"/>
      <c r="EM726" s="128"/>
      <c r="EN726" s="123"/>
      <c r="EO726" s="128"/>
      <c r="EP726" s="13"/>
      <c r="EQ726" s="129"/>
      <c r="ER726" s="123"/>
      <c r="ES726" s="130"/>
      <c r="ET726" s="13"/>
      <c r="EU726" s="123"/>
      <c r="EV726" s="131"/>
    </row>
    <row r="727" spans="35:152">
      <c r="AI727" s="121"/>
      <c r="AJ727" s="13"/>
      <c r="AK727" s="13"/>
      <c r="AL727" s="13"/>
      <c r="AM727" s="13"/>
      <c r="AN727" s="13"/>
      <c r="AO727" s="13"/>
      <c r="AW727" s="121"/>
      <c r="AX727" s="121"/>
      <c r="AY727" s="121"/>
      <c r="AZ727" s="121"/>
      <c r="BA727" s="121"/>
      <c r="BB727" s="121"/>
      <c r="BC727" s="121"/>
      <c r="BD727" s="121"/>
      <c r="BE727" s="121"/>
      <c r="BF727" s="121"/>
      <c r="BG727" s="123"/>
      <c r="BH727" s="127"/>
      <c r="BI727" s="125"/>
      <c r="BJ727" s="126"/>
      <c r="BK727" s="30"/>
      <c r="BL727" s="127"/>
      <c r="BM727" s="128"/>
      <c r="BN727" s="123"/>
      <c r="BO727" s="128"/>
      <c r="BP727" s="13"/>
      <c r="BQ727" s="129"/>
      <c r="BR727" s="123"/>
      <c r="BS727" s="130"/>
      <c r="BT727" s="13"/>
      <c r="BU727" s="123"/>
      <c r="BV727" s="131"/>
      <c r="DI727" s="121"/>
      <c r="DJ727" s="13"/>
      <c r="DK727" s="13"/>
      <c r="DL727" s="13"/>
      <c r="DM727" s="13"/>
      <c r="DN727" s="13"/>
      <c r="DO727" s="13"/>
      <c r="DW727" s="121"/>
      <c r="DX727" s="121"/>
      <c r="DY727" s="121"/>
      <c r="DZ727" s="121"/>
      <c r="EA727" s="121"/>
      <c r="EB727" s="121"/>
      <c r="EC727" s="121"/>
      <c r="ED727" s="121"/>
      <c r="EE727" s="121"/>
      <c r="EF727" s="121"/>
      <c r="EG727" s="123"/>
      <c r="EH727" s="127"/>
      <c r="EI727" s="125"/>
      <c r="EJ727" s="126"/>
      <c r="EK727" s="30"/>
      <c r="EL727" s="127"/>
      <c r="EM727" s="128"/>
      <c r="EN727" s="123"/>
      <c r="EO727" s="128"/>
      <c r="EP727" s="13"/>
      <c r="EQ727" s="129"/>
      <c r="ER727" s="123"/>
      <c r="ES727" s="130"/>
      <c r="ET727" s="13"/>
      <c r="EU727" s="123"/>
      <c r="EV727" s="131"/>
    </row>
    <row r="728" spans="35:152">
      <c r="AI728" s="121"/>
      <c r="AJ728" s="13"/>
      <c r="AK728" s="13"/>
      <c r="AL728" s="13"/>
      <c r="AM728" s="13"/>
      <c r="AN728" s="13"/>
      <c r="AO728" s="13"/>
      <c r="AW728" s="121"/>
      <c r="AX728" s="121"/>
      <c r="AY728" s="121"/>
      <c r="AZ728" s="121"/>
      <c r="BA728" s="121"/>
      <c r="BB728" s="121"/>
      <c r="BC728" s="121"/>
      <c r="BD728" s="121"/>
      <c r="BE728" s="121"/>
      <c r="BF728" s="121"/>
      <c r="BG728" s="123"/>
      <c r="BH728" s="127"/>
      <c r="BI728" s="125"/>
      <c r="BJ728" s="126"/>
      <c r="BK728" s="30"/>
      <c r="BL728" s="127"/>
      <c r="BM728" s="128"/>
      <c r="BN728" s="123"/>
      <c r="BO728" s="128"/>
      <c r="BP728" s="13"/>
      <c r="BQ728" s="129"/>
      <c r="BR728" s="123"/>
      <c r="BS728" s="130"/>
      <c r="BT728" s="13"/>
      <c r="BU728" s="123"/>
      <c r="BV728" s="131"/>
      <c r="DI728" s="121"/>
      <c r="DJ728" s="13"/>
      <c r="DK728" s="13"/>
      <c r="DL728" s="13"/>
      <c r="DM728" s="13"/>
      <c r="DN728" s="13"/>
      <c r="DO728" s="13"/>
      <c r="DW728" s="121"/>
      <c r="DX728" s="121"/>
      <c r="DY728" s="121"/>
      <c r="DZ728" s="121"/>
      <c r="EA728" s="121"/>
      <c r="EB728" s="121"/>
      <c r="EC728" s="121"/>
      <c r="ED728" s="121"/>
      <c r="EE728" s="121"/>
      <c r="EF728" s="121"/>
      <c r="EG728" s="123"/>
      <c r="EH728" s="127"/>
      <c r="EI728" s="125"/>
      <c r="EJ728" s="126"/>
      <c r="EK728" s="30"/>
      <c r="EL728" s="127"/>
      <c r="EM728" s="128"/>
      <c r="EN728" s="123"/>
      <c r="EO728" s="128"/>
      <c r="EP728" s="13"/>
      <c r="EQ728" s="129"/>
      <c r="ER728" s="123"/>
      <c r="ES728" s="130"/>
      <c r="ET728" s="13"/>
      <c r="EU728" s="123"/>
      <c r="EV728" s="131"/>
    </row>
    <row r="729" spans="35:152">
      <c r="AI729" s="121"/>
      <c r="AJ729" s="13"/>
      <c r="AK729" s="13"/>
      <c r="AL729" s="13"/>
      <c r="AM729" s="13"/>
      <c r="AN729" s="13"/>
      <c r="AO729" s="13"/>
      <c r="AW729" s="121"/>
      <c r="AX729" s="121"/>
      <c r="AY729" s="121"/>
      <c r="AZ729" s="121"/>
      <c r="BA729" s="121"/>
      <c r="BB729" s="121"/>
      <c r="BC729" s="121"/>
      <c r="BD729" s="121"/>
      <c r="BE729" s="121"/>
      <c r="BF729" s="121"/>
      <c r="BG729" s="123"/>
      <c r="BH729" s="127"/>
      <c r="BI729" s="125"/>
      <c r="BJ729" s="126"/>
      <c r="BK729" s="30"/>
      <c r="BL729" s="127"/>
      <c r="BM729" s="128"/>
      <c r="BN729" s="123"/>
      <c r="BO729" s="128"/>
      <c r="BP729" s="13"/>
      <c r="BQ729" s="129"/>
      <c r="BR729" s="123"/>
      <c r="BS729" s="130"/>
      <c r="BT729" s="13"/>
      <c r="BU729" s="123"/>
      <c r="BV729" s="131"/>
      <c r="DI729" s="121"/>
      <c r="DJ729" s="13"/>
      <c r="DK729" s="13"/>
      <c r="DL729" s="13"/>
      <c r="DM729" s="13"/>
      <c r="DN729" s="13"/>
      <c r="DO729" s="13"/>
      <c r="DW729" s="121"/>
      <c r="DX729" s="121"/>
      <c r="DY729" s="121"/>
      <c r="DZ729" s="121"/>
      <c r="EA729" s="121"/>
      <c r="EB729" s="121"/>
      <c r="EC729" s="121"/>
      <c r="ED729" s="121"/>
      <c r="EE729" s="121"/>
      <c r="EF729" s="121"/>
      <c r="EG729" s="123"/>
      <c r="EH729" s="127"/>
      <c r="EI729" s="125"/>
      <c r="EJ729" s="126"/>
      <c r="EK729" s="30"/>
      <c r="EL729" s="127"/>
      <c r="EM729" s="128"/>
      <c r="EN729" s="123"/>
      <c r="EO729" s="128"/>
      <c r="EP729" s="13"/>
      <c r="EQ729" s="129"/>
      <c r="ER729" s="123"/>
      <c r="ES729" s="130"/>
      <c r="ET729" s="13"/>
      <c r="EU729" s="123"/>
      <c r="EV729" s="131"/>
    </row>
    <row r="730" spans="35:152">
      <c r="AI730" s="121"/>
      <c r="AJ730" s="13"/>
      <c r="AK730" s="13"/>
      <c r="AL730" s="13"/>
      <c r="AM730" s="13"/>
      <c r="AN730" s="13"/>
      <c r="AO730" s="13"/>
      <c r="AW730" s="121"/>
      <c r="AX730" s="121"/>
      <c r="AY730" s="121"/>
      <c r="AZ730" s="121"/>
      <c r="BA730" s="121"/>
      <c r="BB730" s="121"/>
      <c r="BC730" s="121"/>
      <c r="BD730" s="121"/>
      <c r="BE730" s="121"/>
      <c r="BF730" s="121"/>
      <c r="BG730" s="123"/>
      <c r="BH730" s="127"/>
      <c r="BI730" s="125"/>
      <c r="BJ730" s="126"/>
      <c r="BK730" s="30"/>
      <c r="BL730" s="127"/>
      <c r="BM730" s="128"/>
      <c r="BN730" s="123"/>
      <c r="BO730" s="128"/>
      <c r="BP730" s="13"/>
      <c r="BQ730" s="129"/>
      <c r="BR730" s="123"/>
      <c r="BS730" s="130"/>
      <c r="BT730" s="13"/>
      <c r="BU730" s="123"/>
      <c r="BV730" s="131"/>
      <c r="DI730" s="121"/>
      <c r="DJ730" s="13"/>
      <c r="DK730" s="13"/>
      <c r="DL730" s="13"/>
      <c r="DM730" s="13"/>
      <c r="DN730" s="13"/>
      <c r="DO730" s="13"/>
      <c r="DW730" s="121"/>
      <c r="DX730" s="121"/>
      <c r="DY730" s="121"/>
      <c r="DZ730" s="121"/>
      <c r="EA730" s="121"/>
      <c r="EB730" s="121"/>
      <c r="EC730" s="121"/>
      <c r="ED730" s="121"/>
      <c r="EE730" s="121"/>
      <c r="EF730" s="121"/>
      <c r="EG730" s="123"/>
      <c r="EH730" s="127"/>
      <c r="EI730" s="125"/>
      <c r="EJ730" s="126"/>
      <c r="EK730" s="30"/>
      <c r="EL730" s="127"/>
      <c r="EM730" s="128"/>
      <c r="EN730" s="123"/>
      <c r="EO730" s="128"/>
      <c r="EP730" s="13"/>
      <c r="EQ730" s="129"/>
      <c r="ER730" s="123"/>
      <c r="ES730" s="130"/>
      <c r="ET730" s="13"/>
      <c r="EU730" s="123"/>
      <c r="EV730" s="131"/>
    </row>
    <row r="731" spans="35:152">
      <c r="AI731" s="121"/>
      <c r="AJ731" s="13"/>
      <c r="AK731" s="13"/>
      <c r="AL731" s="13"/>
      <c r="AM731" s="13"/>
      <c r="AN731" s="13"/>
      <c r="AO731" s="13"/>
      <c r="AW731" s="121"/>
      <c r="AX731" s="121"/>
      <c r="AY731" s="121"/>
      <c r="AZ731" s="121"/>
      <c r="BA731" s="121"/>
      <c r="BB731" s="121"/>
      <c r="BC731" s="121"/>
      <c r="BD731" s="121"/>
      <c r="BE731" s="121"/>
      <c r="BF731" s="121"/>
      <c r="BG731" s="123"/>
      <c r="BH731" s="127"/>
      <c r="BI731" s="125"/>
      <c r="BJ731" s="126"/>
      <c r="BK731" s="30"/>
      <c r="BL731" s="127"/>
      <c r="BM731" s="128"/>
      <c r="BN731" s="123"/>
      <c r="BO731" s="128"/>
      <c r="BP731" s="13"/>
      <c r="BQ731" s="129"/>
      <c r="BR731" s="123"/>
      <c r="BS731" s="130"/>
      <c r="BT731" s="13"/>
      <c r="BU731" s="123"/>
      <c r="BV731" s="131"/>
      <c r="DI731" s="121"/>
      <c r="DJ731" s="13"/>
      <c r="DK731" s="13"/>
      <c r="DL731" s="13"/>
      <c r="DM731" s="13"/>
      <c r="DN731" s="13"/>
      <c r="DO731" s="13"/>
      <c r="DW731" s="121"/>
      <c r="DX731" s="121"/>
      <c r="DY731" s="121"/>
      <c r="DZ731" s="121"/>
      <c r="EA731" s="121"/>
      <c r="EB731" s="121"/>
      <c r="EC731" s="121"/>
      <c r="ED731" s="121"/>
      <c r="EE731" s="121"/>
      <c r="EF731" s="121"/>
      <c r="EG731" s="123"/>
      <c r="EH731" s="127"/>
      <c r="EI731" s="125"/>
      <c r="EJ731" s="126"/>
      <c r="EK731" s="30"/>
      <c r="EL731" s="127"/>
      <c r="EM731" s="128"/>
      <c r="EN731" s="123"/>
      <c r="EO731" s="128"/>
      <c r="EP731" s="13"/>
      <c r="EQ731" s="129"/>
      <c r="ER731" s="123"/>
      <c r="ES731" s="130"/>
      <c r="ET731" s="13"/>
      <c r="EU731" s="123"/>
      <c r="EV731" s="131"/>
    </row>
    <row r="732" spans="35:152">
      <c r="AI732" s="121"/>
      <c r="AJ732" s="13"/>
      <c r="AK732" s="13"/>
      <c r="AL732" s="13"/>
      <c r="AM732" s="13"/>
      <c r="AN732" s="13"/>
      <c r="AO732" s="13"/>
      <c r="AW732" s="121"/>
      <c r="AX732" s="121"/>
      <c r="AY732" s="121"/>
      <c r="AZ732" s="121"/>
      <c r="BA732" s="121"/>
      <c r="BB732" s="121"/>
      <c r="BC732" s="121"/>
      <c r="BD732" s="121"/>
      <c r="BE732" s="121"/>
      <c r="BF732" s="121"/>
      <c r="BG732" s="123"/>
      <c r="BH732" s="127"/>
      <c r="BI732" s="125"/>
      <c r="BJ732" s="126"/>
      <c r="BK732" s="30"/>
      <c r="BL732" s="127"/>
      <c r="BM732" s="128"/>
      <c r="BN732" s="123"/>
      <c r="BO732" s="128"/>
      <c r="BP732" s="13"/>
      <c r="BQ732" s="129"/>
      <c r="BR732" s="123"/>
      <c r="BS732" s="130"/>
      <c r="BT732" s="13"/>
      <c r="BU732" s="123"/>
      <c r="BV732" s="131"/>
      <c r="DI732" s="121"/>
      <c r="DJ732" s="13"/>
      <c r="DK732" s="13"/>
      <c r="DL732" s="13"/>
      <c r="DM732" s="13"/>
      <c r="DN732" s="13"/>
      <c r="DO732" s="13"/>
      <c r="DW732" s="121"/>
      <c r="DX732" s="121"/>
      <c r="DY732" s="121"/>
      <c r="DZ732" s="121"/>
      <c r="EA732" s="121"/>
      <c r="EB732" s="121"/>
      <c r="EC732" s="121"/>
      <c r="ED732" s="121"/>
      <c r="EE732" s="121"/>
      <c r="EF732" s="121"/>
      <c r="EG732" s="123"/>
      <c r="EH732" s="127"/>
      <c r="EI732" s="125"/>
      <c r="EJ732" s="126"/>
      <c r="EK732" s="30"/>
      <c r="EL732" s="127"/>
      <c r="EM732" s="128"/>
      <c r="EN732" s="123"/>
      <c r="EO732" s="128"/>
      <c r="EP732" s="13"/>
      <c r="EQ732" s="129"/>
      <c r="ER732" s="123"/>
      <c r="ES732" s="130"/>
      <c r="ET732" s="13"/>
      <c r="EU732" s="123"/>
      <c r="EV732" s="131"/>
    </row>
    <row r="733" spans="35:152">
      <c r="AI733" s="121"/>
      <c r="AJ733" s="13"/>
      <c r="AK733" s="13"/>
      <c r="AL733" s="13"/>
      <c r="AM733" s="13"/>
      <c r="AN733" s="13"/>
      <c r="AO733" s="13"/>
      <c r="AW733" s="121"/>
      <c r="AX733" s="121"/>
      <c r="AY733" s="121"/>
      <c r="AZ733" s="121"/>
      <c r="BA733" s="121"/>
      <c r="BB733" s="121"/>
      <c r="BC733" s="121"/>
      <c r="BD733" s="121"/>
      <c r="BE733" s="121"/>
      <c r="BF733" s="121"/>
      <c r="BG733" s="123"/>
      <c r="BH733" s="127"/>
      <c r="BI733" s="125"/>
      <c r="BJ733" s="126"/>
      <c r="BK733" s="30"/>
      <c r="BL733" s="127"/>
      <c r="BM733" s="128"/>
      <c r="BN733" s="123"/>
      <c r="BO733" s="128"/>
      <c r="BP733" s="13"/>
      <c r="BQ733" s="129"/>
      <c r="BR733" s="123"/>
      <c r="BS733" s="130"/>
      <c r="BT733" s="13"/>
      <c r="BU733" s="123"/>
      <c r="BV733" s="131"/>
      <c r="DI733" s="121"/>
      <c r="DJ733" s="13"/>
      <c r="DK733" s="13"/>
      <c r="DL733" s="13"/>
      <c r="DM733" s="13"/>
      <c r="DN733" s="13"/>
      <c r="DO733" s="13"/>
      <c r="DW733" s="121"/>
      <c r="DX733" s="121"/>
      <c r="DY733" s="121"/>
      <c r="DZ733" s="121"/>
      <c r="EA733" s="121"/>
      <c r="EB733" s="121"/>
      <c r="EC733" s="121"/>
      <c r="ED733" s="121"/>
      <c r="EE733" s="121"/>
      <c r="EF733" s="121"/>
      <c r="EG733" s="123"/>
      <c r="EH733" s="127"/>
      <c r="EI733" s="125"/>
      <c r="EJ733" s="126"/>
      <c r="EK733" s="30"/>
      <c r="EL733" s="127"/>
      <c r="EM733" s="128"/>
      <c r="EN733" s="123"/>
      <c r="EO733" s="128"/>
      <c r="EP733" s="13"/>
      <c r="EQ733" s="129"/>
      <c r="ER733" s="123"/>
      <c r="ES733" s="130"/>
      <c r="ET733" s="13"/>
      <c r="EU733" s="123"/>
      <c r="EV733" s="131"/>
    </row>
    <row r="734" spans="35:152">
      <c r="AI734" s="121"/>
      <c r="AJ734" s="13"/>
      <c r="AK734" s="13"/>
      <c r="AL734" s="13"/>
      <c r="AM734" s="13"/>
      <c r="AN734" s="13"/>
      <c r="AO734" s="13"/>
      <c r="AW734" s="121"/>
      <c r="AX734" s="121"/>
      <c r="AY734" s="121"/>
      <c r="AZ734" s="121"/>
      <c r="BA734" s="121"/>
      <c r="BB734" s="121"/>
      <c r="BC734" s="121"/>
      <c r="BD734" s="121"/>
      <c r="BE734" s="121"/>
      <c r="BF734" s="121"/>
      <c r="BG734" s="123"/>
      <c r="BH734" s="127"/>
      <c r="BI734" s="125"/>
      <c r="BJ734" s="126"/>
      <c r="BK734" s="30"/>
      <c r="BL734" s="127"/>
      <c r="BM734" s="128"/>
      <c r="BN734" s="123"/>
      <c r="BO734" s="128"/>
      <c r="BP734" s="13"/>
      <c r="BQ734" s="129"/>
      <c r="BR734" s="123"/>
      <c r="BS734" s="130"/>
      <c r="BT734" s="13"/>
      <c r="BU734" s="123"/>
      <c r="BV734" s="131"/>
      <c r="DI734" s="121"/>
      <c r="DJ734" s="13"/>
      <c r="DK734" s="13"/>
      <c r="DL734" s="13"/>
      <c r="DM734" s="13"/>
      <c r="DN734" s="13"/>
      <c r="DO734" s="13"/>
      <c r="DW734" s="121"/>
      <c r="DX734" s="121"/>
      <c r="DY734" s="121"/>
      <c r="DZ734" s="121"/>
      <c r="EA734" s="121"/>
      <c r="EB734" s="121"/>
      <c r="EC734" s="121"/>
      <c r="ED734" s="121"/>
      <c r="EE734" s="121"/>
      <c r="EF734" s="121"/>
      <c r="EG734" s="123"/>
      <c r="EH734" s="127"/>
      <c r="EI734" s="125"/>
      <c r="EJ734" s="126"/>
      <c r="EK734" s="30"/>
      <c r="EL734" s="127"/>
      <c r="EM734" s="128"/>
      <c r="EN734" s="123"/>
      <c r="EO734" s="128"/>
      <c r="EP734" s="13"/>
      <c r="EQ734" s="129"/>
      <c r="ER734" s="123"/>
      <c r="ES734" s="130"/>
      <c r="ET734" s="13"/>
      <c r="EU734" s="123"/>
      <c r="EV734" s="131"/>
    </row>
    <row r="735" spans="35:152">
      <c r="AI735" s="121"/>
      <c r="AJ735" s="13"/>
      <c r="AK735" s="13"/>
      <c r="AL735" s="13"/>
      <c r="AM735" s="13"/>
      <c r="AN735" s="13"/>
      <c r="AO735" s="13"/>
      <c r="AW735" s="121"/>
      <c r="AX735" s="121"/>
      <c r="AY735" s="121"/>
      <c r="AZ735" s="121"/>
      <c r="BA735" s="121"/>
      <c r="BB735" s="121"/>
      <c r="BC735" s="121"/>
      <c r="BD735" s="121"/>
      <c r="BE735" s="121"/>
      <c r="BF735" s="121"/>
      <c r="BG735" s="123"/>
      <c r="BH735" s="127"/>
      <c r="BI735" s="125"/>
      <c r="BJ735" s="126"/>
      <c r="BK735" s="30"/>
      <c r="BL735" s="127"/>
      <c r="BM735" s="128"/>
      <c r="BN735" s="123"/>
      <c r="BO735" s="128"/>
      <c r="BP735" s="13"/>
      <c r="BQ735" s="129"/>
      <c r="BR735" s="123"/>
      <c r="BS735" s="130"/>
      <c r="BT735" s="13"/>
      <c r="BU735" s="123"/>
      <c r="BV735" s="131"/>
      <c r="DI735" s="121"/>
      <c r="DJ735" s="13"/>
      <c r="DK735" s="13"/>
      <c r="DL735" s="13"/>
      <c r="DM735" s="13"/>
      <c r="DN735" s="13"/>
      <c r="DO735" s="13"/>
      <c r="DW735" s="121"/>
      <c r="DX735" s="121"/>
      <c r="DY735" s="121"/>
      <c r="DZ735" s="121"/>
      <c r="EA735" s="121"/>
      <c r="EB735" s="121"/>
      <c r="EC735" s="121"/>
      <c r="ED735" s="121"/>
      <c r="EE735" s="121"/>
      <c r="EF735" s="121"/>
      <c r="EG735" s="123"/>
      <c r="EH735" s="127"/>
      <c r="EI735" s="125"/>
      <c r="EJ735" s="126"/>
      <c r="EK735" s="30"/>
      <c r="EL735" s="127"/>
      <c r="EM735" s="128"/>
      <c r="EN735" s="123"/>
      <c r="EO735" s="128"/>
      <c r="EP735" s="13"/>
      <c r="EQ735" s="129"/>
      <c r="ER735" s="123"/>
      <c r="ES735" s="130"/>
      <c r="ET735" s="13"/>
      <c r="EU735" s="123"/>
      <c r="EV735" s="131"/>
    </row>
    <row r="736" spans="35:152">
      <c r="AI736" s="121"/>
      <c r="AJ736" s="13"/>
      <c r="AK736" s="13"/>
      <c r="AL736" s="13"/>
      <c r="AM736" s="13"/>
      <c r="AN736" s="13"/>
      <c r="AO736" s="13"/>
      <c r="AW736" s="121"/>
      <c r="AX736" s="121"/>
      <c r="AY736" s="121"/>
      <c r="AZ736" s="121"/>
      <c r="BA736" s="121"/>
      <c r="BB736" s="121"/>
      <c r="BC736" s="121"/>
      <c r="BD736" s="121"/>
      <c r="BE736" s="121"/>
      <c r="BF736" s="121"/>
      <c r="BG736" s="123"/>
      <c r="BH736" s="127"/>
      <c r="BI736" s="125"/>
      <c r="BJ736" s="126"/>
      <c r="BK736" s="30"/>
      <c r="BL736" s="127"/>
      <c r="BM736" s="128"/>
      <c r="BN736" s="123"/>
      <c r="BO736" s="128"/>
      <c r="BP736" s="13"/>
      <c r="BQ736" s="129"/>
      <c r="BR736" s="123"/>
      <c r="BS736" s="130"/>
      <c r="BT736" s="13"/>
      <c r="BU736" s="123"/>
      <c r="BV736" s="131"/>
      <c r="DI736" s="121"/>
      <c r="DJ736" s="13"/>
      <c r="DK736" s="13"/>
      <c r="DL736" s="13"/>
      <c r="DM736" s="13"/>
      <c r="DN736" s="13"/>
      <c r="DO736" s="13"/>
      <c r="DW736" s="121"/>
      <c r="DX736" s="121"/>
      <c r="DY736" s="121"/>
      <c r="DZ736" s="121"/>
      <c r="EA736" s="121"/>
      <c r="EB736" s="121"/>
      <c r="EC736" s="121"/>
      <c r="ED736" s="121"/>
      <c r="EE736" s="121"/>
      <c r="EF736" s="121"/>
      <c r="EG736" s="123"/>
      <c r="EH736" s="127"/>
      <c r="EI736" s="125"/>
      <c r="EJ736" s="126"/>
      <c r="EK736" s="30"/>
      <c r="EL736" s="127"/>
      <c r="EM736" s="128"/>
      <c r="EN736" s="123"/>
      <c r="EO736" s="128"/>
      <c r="EP736" s="13"/>
      <c r="EQ736" s="129"/>
      <c r="ER736" s="123"/>
      <c r="ES736" s="130"/>
      <c r="ET736" s="13"/>
      <c r="EU736" s="123"/>
      <c r="EV736" s="131"/>
    </row>
    <row r="737" spans="35:152">
      <c r="AI737" s="121"/>
      <c r="AJ737" s="13"/>
      <c r="AK737" s="13"/>
      <c r="AL737" s="13"/>
      <c r="AM737" s="13"/>
      <c r="AN737" s="13"/>
      <c r="AO737" s="13"/>
      <c r="AW737" s="121"/>
      <c r="AX737" s="121"/>
      <c r="AY737" s="121"/>
      <c r="AZ737" s="121"/>
      <c r="BA737" s="121"/>
      <c r="BB737" s="121"/>
      <c r="BC737" s="121"/>
      <c r="BD737" s="121"/>
      <c r="BE737" s="121"/>
      <c r="BF737" s="121"/>
      <c r="BG737" s="123"/>
      <c r="BH737" s="127"/>
      <c r="BI737" s="125"/>
      <c r="BJ737" s="126"/>
      <c r="BK737" s="30"/>
      <c r="BL737" s="127"/>
      <c r="BM737" s="128"/>
      <c r="BN737" s="123"/>
      <c r="BO737" s="128"/>
      <c r="BP737" s="13"/>
      <c r="BQ737" s="129"/>
      <c r="BR737" s="123"/>
      <c r="BS737" s="130"/>
      <c r="BT737" s="13"/>
      <c r="BU737" s="123"/>
      <c r="BV737" s="131"/>
      <c r="DI737" s="121"/>
      <c r="DJ737" s="13"/>
      <c r="DK737" s="13"/>
      <c r="DL737" s="13"/>
      <c r="DM737" s="13"/>
      <c r="DN737" s="13"/>
      <c r="DO737" s="13"/>
      <c r="DW737" s="121"/>
      <c r="DX737" s="121"/>
      <c r="DY737" s="121"/>
      <c r="DZ737" s="121"/>
      <c r="EA737" s="121"/>
      <c r="EB737" s="121"/>
      <c r="EC737" s="121"/>
      <c r="ED737" s="121"/>
      <c r="EE737" s="121"/>
      <c r="EF737" s="121"/>
      <c r="EG737" s="123"/>
      <c r="EH737" s="127"/>
      <c r="EI737" s="125"/>
      <c r="EJ737" s="126"/>
      <c r="EK737" s="30"/>
      <c r="EL737" s="127"/>
      <c r="EM737" s="128"/>
      <c r="EN737" s="123"/>
      <c r="EO737" s="128"/>
      <c r="EP737" s="13"/>
      <c r="EQ737" s="129"/>
      <c r="ER737" s="123"/>
      <c r="ES737" s="130"/>
      <c r="ET737" s="13"/>
      <c r="EU737" s="123"/>
      <c r="EV737" s="131"/>
    </row>
    <row r="738" spans="35:152">
      <c r="AI738" s="121"/>
      <c r="AJ738" s="13"/>
      <c r="AK738" s="13"/>
      <c r="AL738" s="13"/>
      <c r="AM738" s="13"/>
      <c r="AN738" s="13"/>
      <c r="AO738" s="13"/>
      <c r="AW738" s="121"/>
      <c r="AX738" s="121"/>
      <c r="AY738" s="121"/>
      <c r="AZ738" s="121"/>
      <c r="BA738" s="121"/>
      <c r="BB738" s="121"/>
      <c r="BC738" s="121"/>
      <c r="BD738" s="121"/>
      <c r="BE738" s="121"/>
      <c r="BF738" s="121"/>
      <c r="BG738" s="123"/>
      <c r="BH738" s="127"/>
      <c r="BI738" s="125"/>
      <c r="BJ738" s="126"/>
      <c r="BK738" s="30"/>
      <c r="BL738" s="127"/>
      <c r="BM738" s="128"/>
      <c r="BN738" s="123"/>
      <c r="BO738" s="128"/>
      <c r="BP738" s="13"/>
      <c r="BQ738" s="129"/>
      <c r="BR738" s="123"/>
      <c r="BS738" s="130"/>
      <c r="BT738" s="13"/>
      <c r="BU738" s="123"/>
      <c r="BV738" s="131"/>
      <c r="DI738" s="121"/>
      <c r="DJ738" s="13"/>
      <c r="DK738" s="13"/>
      <c r="DL738" s="13"/>
      <c r="DM738" s="13"/>
      <c r="DN738" s="13"/>
      <c r="DO738" s="13"/>
      <c r="DW738" s="121"/>
      <c r="DX738" s="121"/>
      <c r="DY738" s="121"/>
      <c r="DZ738" s="121"/>
      <c r="EA738" s="121"/>
      <c r="EB738" s="121"/>
      <c r="EC738" s="121"/>
      <c r="ED738" s="121"/>
      <c r="EE738" s="121"/>
      <c r="EF738" s="121"/>
      <c r="EG738" s="123"/>
      <c r="EH738" s="127"/>
      <c r="EI738" s="125"/>
      <c r="EJ738" s="126"/>
      <c r="EK738" s="30"/>
      <c r="EL738" s="127"/>
      <c r="EM738" s="128"/>
      <c r="EN738" s="123"/>
      <c r="EO738" s="128"/>
      <c r="EP738" s="13"/>
      <c r="EQ738" s="129"/>
      <c r="ER738" s="123"/>
      <c r="ES738" s="130"/>
      <c r="ET738" s="13"/>
      <c r="EU738" s="123"/>
      <c r="EV738" s="131"/>
    </row>
    <row r="739" spans="35:152">
      <c r="AI739" s="121"/>
      <c r="AJ739" s="13"/>
      <c r="AK739" s="13"/>
      <c r="AL739" s="13"/>
      <c r="AM739" s="13"/>
      <c r="AN739" s="13"/>
      <c r="AO739" s="13"/>
      <c r="AW739" s="121"/>
      <c r="AX739" s="121"/>
      <c r="AY739" s="121"/>
      <c r="AZ739" s="121"/>
      <c r="BA739" s="121"/>
      <c r="BB739" s="121"/>
      <c r="BC739" s="121"/>
      <c r="BD739" s="121"/>
      <c r="BE739" s="121"/>
      <c r="BF739" s="121"/>
      <c r="BG739" s="123"/>
      <c r="BH739" s="127"/>
      <c r="BI739" s="125"/>
      <c r="BJ739" s="126"/>
      <c r="BK739" s="30"/>
      <c r="BL739" s="127"/>
      <c r="BM739" s="128"/>
      <c r="BN739" s="123"/>
      <c r="BO739" s="128"/>
      <c r="BP739" s="13"/>
      <c r="BQ739" s="129"/>
      <c r="BR739" s="123"/>
      <c r="BS739" s="130"/>
      <c r="BT739" s="13"/>
      <c r="BU739" s="123"/>
      <c r="BV739" s="131"/>
      <c r="DI739" s="121"/>
      <c r="DJ739" s="13"/>
      <c r="DK739" s="13"/>
      <c r="DL739" s="13"/>
      <c r="DM739" s="13"/>
      <c r="DN739" s="13"/>
      <c r="DO739" s="13"/>
      <c r="DW739" s="121"/>
      <c r="DX739" s="121"/>
      <c r="DY739" s="121"/>
      <c r="DZ739" s="121"/>
      <c r="EA739" s="121"/>
      <c r="EB739" s="121"/>
      <c r="EC739" s="121"/>
      <c r="ED739" s="121"/>
      <c r="EE739" s="121"/>
      <c r="EF739" s="121"/>
      <c r="EG739" s="123"/>
      <c r="EH739" s="127"/>
      <c r="EI739" s="125"/>
      <c r="EJ739" s="126"/>
      <c r="EK739" s="30"/>
      <c r="EL739" s="127"/>
      <c r="EM739" s="128"/>
      <c r="EN739" s="123"/>
      <c r="EO739" s="128"/>
      <c r="EP739" s="13"/>
      <c r="EQ739" s="129"/>
      <c r="ER739" s="123"/>
      <c r="ES739" s="130"/>
      <c r="ET739" s="13"/>
      <c r="EU739" s="123"/>
      <c r="EV739" s="131"/>
    </row>
    <row r="740" spans="35:152">
      <c r="AI740" s="121"/>
      <c r="AJ740" s="13"/>
      <c r="AK740" s="13"/>
      <c r="AL740" s="13"/>
      <c r="AM740" s="13"/>
      <c r="AN740" s="13"/>
      <c r="AO740" s="13"/>
      <c r="AW740" s="121"/>
      <c r="AX740" s="121"/>
      <c r="AY740" s="121"/>
      <c r="AZ740" s="121"/>
      <c r="BA740" s="121"/>
      <c r="BB740" s="121"/>
      <c r="BC740" s="121"/>
      <c r="BD740" s="121"/>
      <c r="BE740" s="121"/>
      <c r="BF740" s="121"/>
      <c r="BG740" s="123"/>
      <c r="BH740" s="127"/>
      <c r="BI740" s="125"/>
      <c r="BJ740" s="126"/>
      <c r="BK740" s="30"/>
      <c r="BL740" s="127"/>
      <c r="BM740" s="128"/>
      <c r="BN740" s="123"/>
      <c r="BO740" s="128"/>
      <c r="BP740" s="13"/>
      <c r="BQ740" s="129"/>
      <c r="BR740" s="123"/>
      <c r="BS740" s="130"/>
      <c r="BT740" s="13"/>
      <c r="BU740" s="123"/>
      <c r="BV740" s="131"/>
      <c r="DI740" s="121"/>
      <c r="DJ740" s="13"/>
      <c r="DK740" s="13"/>
      <c r="DL740" s="13"/>
      <c r="DM740" s="13"/>
      <c r="DN740" s="13"/>
      <c r="DO740" s="13"/>
      <c r="DW740" s="121"/>
      <c r="DX740" s="121"/>
      <c r="DY740" s="121"/>
      <c r="DZ740" s="121"/>
      <c r="EA740" s="121"/>
      <c r="EB740" s="121"/>
      <c r="EC740" s="121"/>
      <c r="ED740" s="121"/>
      <c r="EE740" s="121"/>
      <c r="EF740" s="121"/>
      <c r="EG740" s="123"/>
      <c r="EH740" s="127"/>
      <c r="EI740" s="125"/>
      <c r="EJ740" s="126"/>
      <c r="EK740" s="30"/>
      <c r="EL740" s="127"/>
      <c r="EM740" s="128"/>
      <c r="EN740" s="123"/>
      <c r="EO740" s="128"/>
      <c r="EP740" s="13"/>
      <c r="EQ740" s="129"/>
      <c r="ER740" s="123"/>
      <c r="ES740" s="130"/>
      <c r="ET740" s="13"/>
      <c r="EU740" s="123"/>
      <c r="EV740" s="131"/>
    </row>
    <row r="741" spans="35:152">
      <c r="AI741" s="121"/>
      <c r="AJ741" s="13"/>
      <c r="AK741" s="13"/>
      <c r="AL741" s="13"/>
      <c r="AM741" s="13"/>
      <c r="AN741" s="13"/>
      <c r="AO741" s="13"/>
      <c r="AW741" s="121"/>
      <c r="AX741" s="121"/>
      <c r="AY741" s="121"/>
      <c r="AZ741" s="121"/>
      <c r="BA741" s="121"/>
      <c r="BB741" s="121"/>
      <c r="BC741" s="121"/>
      <c r="BD741" s="121"/>
      <c r="BE741" s="121"/>
      <c r="BF741" s="121"/>
      <c r="BG741" s="123"/>
      <c r="BH741" s="127"/>
      <c r="BI741" s="125"/>
      <c r="BJ741" s="126"/>
      <c r="BK741" s="30"/>
      <c r="BL741" s="127"/>
      <c r="BM741" s="128"/>
      <c r="BN741" s="123"/>
      <c r="BO741" s="128"/>
      <c r="BP741" s="13"/>
      <c r="BQ741" s="129"/>
      <c r="BR741" s="123"/>
      <c r="BS741" s="130"/>
      <c r="BT741" s="13"/>
      <c r="BU741" s="123"/>
      <c r="BV741" s="131"/>
      <c r="DI741" s="121"/>
      <c r="DJ741" s="13"/>
      <c r="DK741" s="13"/>
      <c r="DL741" s="13"/>
      <c r="DM741" s="13"/>
      <c r="DN741" s="13"/>
      <c r="DO741" s="13"/>
      <c r="DW741" s="121"/>
      <c r="DX741" s="121"/>
      <c r="DY741" s="121"/>
      <c r="DZ741" s="121"/>
      <c r="EA741" s="121"/>
      <c r="EB741" s="121"/>
      <c r="EC741" s="121"/>
      <c r="ED741" s="121"/>
      <c r="EE741" s="121"/>
      <c r="EF741" s="121"/>
      <c r="EG741" s="123"/>
      <c r="EH741" s="127"/>
      <c r="EI741" s="125"/>
      <c r="EJ741" s="126"/>
      <c r="EK741" s="30"/>
      <c r="EL741" s="127"/>
      <c r="EM741" s="128"/>
      <c r="EN741" s="123"/>
      <c r="EO741" s="128"/>
      <c r="EP741" s="13"/>
      <c r="EQ741" s="129"/>
      <c r="ER741" s="123"/>
      <c r="ES741" s="130"/>
      <c r="ET741" s="13"/>
      <c r="EU741" s="123"/>
      <c r="EV741" s="131"/>
    </row>
    <row r="742" spans="35:152">
      <c r="AI742" s="121"/>
      <c r="AJ742" s="13"/>
      <c r="AK742" s="13"/>
      <c r="AL742" s="13"/>
      <c r="AM742" s="13"/>
      <c r="AN742" s="13"/>
      <c r="AO742" s="13"/>
      <c r="AW742" s="121"/>
      <c r="AX742" s="121"/>
      <c r="AY742" s="121"/>
      <c r="AZ742" s="121"/>
      <c r="BA742" s="121"/>
      <c r="BB742" s="121"/>
      <c r="BC742" s="121"/>
      <c r="BD742" s="121"/>
      <c r="BE742" s="121"/>
      <c r="BF742" s="121"/>
      <c r="BG742" s="123"/>
      <c r="BH742" s="127"/>
      <c r="BI742" s="125"/>
      <c r="BJ742" s="126"/>
      <c r="BK742" s="30"/>
      <c r="BL742" s="127"/>
      <c r="BM742" s="128"/>
      <c r="BN742" s="123"/>
      <c r="BO742" s="128"/>
      <c r="BP742" s="13"/>
      <c r="BQ742" s="129"/>
      <c r="BR742" s="123"/>
      <c r="BS742" s="130"/>
      <c r="BT742" s="13"/>
      <c r="BU742" s="123"/>
      <c r="BV742" s="131"/>
      <c r="DI742" s="121"/>
      <c r="DJ742" s="13"/>
      <c r="DK742" s="13"/>
      <c r="DL742" s="13"/>
      <c r="DM742" s="13"/>
      <c r="DN742" s="13"/>
      <c r="DO742" s="13"/>
      <c r="DW742" s="121"/>
      <c r="DX742" s="121"/>
      <c r="DY742" s="121"/>
      <c r="DZ742" s="121"/>
      <c r="EA742" s="121"/>
      <c r="EB742" s="121"/>
      <c r="EC742" s="121"/>
      <c r="ED742" s="121"/>
      <c r="EE742" s="121"/>
      <c r="EF742" s="121"/>
      <c r="EG742" s="123"/>
      <c r="EH742" s="127"/>
      <c r="EI742" s="125"/>
      <c r="EJ742" s="126"/>
      <c r="EK742" s="30"/>
      <c r="EL742" s="127"/>
      <c r="EM742" s="128"/>
      <c r="EN742" s="123"/>
      <c r="EO742" s="128"/>
      <c r="EP742" s="13"/>
      <c r="EQ742" s="129"/>
      <c r="ER742" s="123"/>
      <c r="ES742" s="130"/>
      <c r="ET742" s="13"/>
      <c r="EU742" s="123"/>
      <c r="EV742" s="131"/>
    </row>
    <row r="743" spans="35:152">
      <c r="AI743" s="121"/>
      <c r="AJ743" s="13"/>
      <c r="AK743" s="13"/>
      <c r="AL743" s="13"/>
      <c r="AM743" s="13"/>
      <c r="AN743" s="13"/>
      <c r="AO743" s="13"/>
      <c r="AW743" s="121"/>
      <c r="AX743" s="121"/>
      <c r="AY743" s="121"/>
      <c r="AZ743" s="121"/>
      <c r="BA743" s="121"/>
      <c r="BB743" s="121"/>
      <c r="BC743" s="121"/>
      <c r="BD743" s="121"/>
      <c r="BE743" s="121"/>
      <c r="BF743" s="121"/>
      <c r="BG743" s="123"/>
      <c r="BH743" s="127"/>
      <c r="BI743" s="125"/>
      <c r="BJ743" s="126"/>
      <c r="BK743" s="30"/>
      <c r="BL743" s="127"/>
      <c r="BM743" s="128"/>
      <c r="BN743" s="123"/>
      <c r="BO743" s="128"/>
      <c r="BP743" s="13"/>
      <c r="BQ743" s="129"/>
      <c r="BR743" s="123"/>
      <c r="BS743" s="130"/>
      <c r="BT743" s="13"/>
      <c r="BU743" s="123"/>
      <c r="BV743" s="131"/>
      <c r="DI743" s="121"/>
      <c r="DJ743" s="13"/>
      <c r="DK743" s="13"/>
      <c r="DL743" s="13"/>
      <c r="DM743" s="13"/>
      <c r="DN743" s="13"/>
      <c r="DO743" s="13"/>
      <c r="DW743" s="121"/>
      <c r="DX743" s="121"/>
      <c r="DY743" s="121"/>
      <c r="DZ743" s="121"/>
      <c r="EA743" s="121"/>
      <c r="EB743" s="121"/>
      <c r="EC743" s="121"/>
      <c r="ED743" s="121"/>
      <c r="EE743" s="121"/>
      <c r="EF743" s="121"/>
      <c r="EG743" s="123"/>
      <c r="EH743" s="127"/>
      <c r="EI743" s="125"/>
      <c r="EJ743" s="126"/>
      <c r="EK743" s="30"/>
      <c r="EL743" s="127"/>
      <c r="EM743" s="128"/>
      <c r="EN743" s="123"/>
      <c r="EO743" s="128"/>
      <c r="EP743" s="13"/>
      <c r="EQ743" s="129"/>
      <c r="ER743" s="123"/>
      <c r="ES743" s="130"/>
      <c r="ET743" s="13"/>
      <c r="EU743" s="123"/>
      <c r="EV743" s="131"/>
    </row>
    <row r="744" spans="35:152">
      <c r="AI744" s="121"/>
      <c r="AJ744" s="13"/>
      <c r="AK744" s="13"/>
      <c r="AL744" s="13"/>
      <c r="AM744" s="13"/>
      <c r="AN744" s="13"/>
      <c r="AO744" s="13"/>
      <c r="AW744" s="121"/>
      <c r="AX744" s="121"/>
      <c r="AY744" s="121"/>
      <c r="AZ744" s="121"/>
      <c r="BA744" s="121"/>
      <c r="BB744" s="121"/>
      <c r="BC744" s="121"/>
      <c r="BD744" s="121"/>
      <c r="BE744" s="121"/>
      <c r="BF744" s="121"/>
      <c r="BG744" s="123"/>
      <c r="BH744" s="127"/>
      <c r="BI744" s="125"/>
      <c r="BJ744" s="126"/>
      <c r="BK744" s="30"/>
      <c r="BL744" s="127"/>
      <c r="BM744" s="128"/>
      <c r="BN744" s="123"/>
      <c r="BO744" s="128"/>
      <c r="BP744" s="13"/>
      <c r="BQ744" s="129"/>
      <c r="BR744" s="123"/>
      <c r="BS744" s="130"/>
      <c r="BT744" s="13"/>
      <c r="BU744" s="123"/>
      <c r="BV744" s="131"/>
      <c r="DI744" s="121"/>
      <c r="DJ744" s="13"/>
      <c r="DK744" s="13"/>
      <c r="DL744" s="13"/>
      <c r="DM744" s="13"/>
      <c r="DN744" s="13"/>
      <c r="DO744" s="13"/>
      <c r="DW744" s="121"/>
      <c r="DX744" s="121"/>
      <c r="DY744" s="121"/>
      <c r="DZ744" s="121"/>
      <c r="EA744" s="121"/>
      <c r="EB744" s="121"/>
      <c r="EC744" s="121"/>
      <c r="ED744" s="121"/>
      <c r="EE744" s="121"/>
      <c r="EF744" s="121"/>
      <c r="EG744" s="123"/>
      <c r="EH744" s="127"/>
      <c r="EI744" s="125"/>
      <c r="EJ744" s="126"/>
      <c r="EK744" s="30"/>
      <c r="EL744" s="127"/>
      <c r="EM744" s="128"/>
      <c r="EN744" s="123"/>
      <c r="EO744" s="128"/>
      <c r="EP744" s="13"/>
      <c r="EQ744" s="129"/>
      <c r="ER744" s="123"/>
      <c r="ES744" s="130"/>
      <c r="ET744" s="13"/>
      <c r="EU744" s="123"/>
      <c r="EV744" s="131"/>
    </row>
    <row r="745" spans="35:152">
      <c r="AI745" s="121"/>
      <c r="AJ745" s="13"/>
      <c r="AK745" s="13"/>
      <c r="AL745" s="13"/>
      <c r="AM745" s="13"/>
      <c r="AN745" s="13"/>
      <c r="AO745" s="13"/>
      <c r="AW745" s="121"/>
      <c r="AX745" s="121"/>
      <c r="AY745" s="121"/>
      <c r="AZ745" s="121"/>
      <c r="BA745" s="121"/>
      <c r="BB745" s="121"/>
      <c r="BC745" s="121"/>
      <c r="BD745" s="121"/>
      <c r="BE745" s="121"/>
      <c r="BF745" s="121"/>
      <c r="BG745" s="123"/>
      <c r="BH745" s="127"/>
      <c r="BI745" s="125"/>
      <c r="BJ745" s="126"/>
      <c r="BK745" s="30"/>
      <c r="BL745" s="127"/>
      <c r="BM745" s="128"/>
      <c r="BN745" s="123"/>
      <c r="BO745" s="128"/>
      <c r="BP745" s="13"/>
      <c r="BQ745" s="129"/>
      <c r="BR745" s="123"/>
      <c r="BS745" s="130"/>
      <c r="BT745" s="13"/>
      <c r="BU745" s="123"/>
      <c r="BV745" s="131"/>
      <c r="DI745" s="121"/>
      <c r="DJ745" s="13"/>
      <c r="DK745" s="13"/>
      <c r="DL745" s="13"/>
      <c r="DM745" s="13"/>
      <c r="DN745" s="13"/>
      <c r="DO745" s="13"/>
      <c r="DW745" s="121"/>
      <c r="DX745" s="121"/>
      <c r="DY745" s="121"/>
      <c r="DZ745" s="121"/>
      <c r="EA745" s="121"/>
      <c r="EB745" s="121"/>
      <c r="EC745" s="121"/>
      <c r="ED745" s="121"/>
      <c r="EE745" s="121"/>
      <c r="EF745" s="121"/>
      <c r="EG745" s="123"/>
      <c r="EH745" s="127"/>
      <c r="EI745" s="125"/>
      <c r="EJ745" s="126"/>
      <c r="EK745" s="30"/>
      <c r="EL745" s="127"/>
      <c r="EM745" s="128"/>
      <c r="EN745" s="123"/>
      <c r="EO745" s="128"/>
      <c r="EP745" s="13"/>
      <c r="EQ745" s="129"/>
      <c r="ER745" s="123"/>
      <c r="ES745" s="130"/>
      <c r="ET745" s="13"/>
      <c r="EU745" s="123"/>
      <c r="EV745" s="131"/>
    </row>
    <row r="746" spans="35:152">
      <c r="AI746" s="121"/>
      <c r="AJ746" s="13"/>
      <c r="AK746" s="13"/>
      <c r="AL746" s="13"/>
      <c r="AM746" s="13"/>
      <c r="AN746" s="13"/>
      <c r="AO746" s="13"/>
      <c r="AW746" s="121"/>
      <c r="AX746" s="121"/>
      <c r="AY746" s="121"/>
      <c r="AZ746" s="121"/>
      <c r="BA746" s="121"/>
      <c r="BB746" s="121"/>
      <c r="BC746" s="121"/>
      <c r="BD746" s="121"/>
      <c r="BE746" s="121"/>
      <c r="BF746" s="121"/>
      <c r="BG746" s="123"/>
      <c r="BH746" s="127"/>
      <c r="BI746" s="125"/>
      <c r="BJ746" s="126"/>
      <c r="BK746" s="30"/>
      <c r="BL746" s="127"/>
      <c r="BM746" s="128"/>
      <c r="BN746" s="123"/>
      <c r="BO746" s="128"/>
      <c r="BP746" s="13"/>
      <c r="BQ746" s="129"/>
      <c r="BR746" s="123"/>
      <c r="BS746" s="130"/>
      <c r="BT746" s="13"/>
      <c r="BU746" s="123"/>
      <c r="BV746" s="131"/>
      <c r="DI746" s="121"/>
      <c r="DJ746" s="13"/>
      <c r="DK746" s="13"/>
      <c r="DL746" s="13"/>
      <c r="DM746" s="13"/>
      <c r="DN746" s="13"/>
      <c r="DO746" s="13"/>
      <c r="DW746" s="121"/>
      <c r="DX746" s="121"/>
      <c r="DY746" s="121"/>
      <c r="DZ746" s="121"/>
      <c r="EA746" s="121"/>
      <c r="EB746" s="121"/>
      <c r="EC746" s="121"/>
      <c r="ED746" s="121"/>
      <c r="EE746" s="121"/>
      <c r="EF746" s="121"/>
      <c r="EG746" s="123"/>
      <c r="EH746" s="127"/>
      <c r="EI746" s="125"/>
      <c r="EJ746" s="126"/>
      <c r="EK746" s="30"/>
      <c r="EL746" s="127"/>
      <c r="EM746" s="128"/>
      <c r="EN746" s="123"/>
      <c r="EO746" s="128"/>
      <c r="EP746" s="13"/>
      <c r="EQ746" s="129"/>
      <c r="ER746" s="123"/>
      <c r="ES746" s="130"/>
      <c r="ET746" s="13"/>
      <c r="EU746" s="123"/>
      <c r="EV746" s="131"/>
    </row>
    <row r="747" spans="35:152">
      <c r="AI747" s="121"/>
      <c r="AJ747" s="13"/>
      <c r="AK747" s="13"/>
      <c r="AL747" s="13"/>
      <c r="AM747" s="13"/>
      <c r="AN747" s="13"/>
      <c r="AO747" s="13"/>
      <c r="AW747" s="121"/>
      <c r="AX747" s="121"/>
      <c r="AY747" s="121"/>
      <c r="AZ747" s="121"/>
      <c r="BA747" s="121"/>
      <c r="BB747" s="121"/>
      <c r="BC747" s="121"/>
      <c r="BD747" s="121"/>
      <c r="BE747" s="121"/>
      <c r="BF747" s="121"/>
      <c r="BG747" s="123"/>
      <c r="BH747" s="127"/>
      <c r="BI747" s="125"/>
      <c r="BJ747" s="126"/>
      <c r="BK747" s="30"/>
      <c r="BL747" s="127"/>
      <c r="BM747" s="128"/>
      <c r="BN747" s="123"/>
      <c r="BO747" s="128"/>
      <c r="BP747" s="13"/>
      <c r="BQ747" s="129"/>
      <c r="BR747" s="123"/>
      <c r="BS747" s="130"/>
      <c r="BT747" s="13"/>
      <c r="BU747" s="123"/>
      <c r="BV747" s="131"/>
      <c r="DI747" s="121"/>
      <c r="DJ747" s="13"/>
      <c r="DK747" s="13"/>
      <c r="DL747" s="13"/>
      <c r="DM747" s="13"/>
      <c r="DN747" s="13"/>
      <c r="DO747" s="13"/>
      <c r="DW747" s="121"/>
      <c r="DX747" s="121"/>
      <c r="DY747" s="121"/>
      <c r="DZ747" s="121"/>
      <c r="EA747" s="121"/>
      <c r="EB747" s="121"/>
      <c r="EC747" s="121"/>
      <c r="ED747" s="121"/>
      <c r="EE747" s="121"/>
      <c r="EF747" s="121"/>
      <c r="EG747" s="123"/>
      <c r="EH747" s="127"/>
      <c r="EI747" s="125"/>
      <c r="EJ747" s="126"/>
      <c r="EK747" s="30"/>
      <c r="EL747" s="127"/>
      <c r="EM747" s="128"/>
      <c r="EN747" s="123"/>
      <c r="EO747" s="128"/>
      <c r="EP747" s="13"/>
      <c r="EQ747" s="129"/>
      <c r="ER747" s="123"/>
      <c r="ES747" s="130"/>
      <c r="ET747" s="13"/>
      <c r="EU747" s="123"/>
      <c r="EV747" s="131"/>
    </row>
    <row r="748" spans="35:152">
      <c r="AI748" s="121"/>
      <c r="AJ748" s="13"/>
      <c r="AK748" s="13"/>
      <c r="AL748" s="13"/>
      <c r="AM748" s="13"/>
      <c r="AN748" s="13"/>
      <c r="AO748" s="13"/>
      <c r="AW748" s="121"/>
      <c r="AX748" s="121"/>
      <c r="AY748" s="121"/>
      <c r="AZ748" s="121"/>
      <c r="BA748" s="121"/>
      <c r="BB748" s="121"/>
      <c r="BC748" s="121"/>
      <c r="BD748" s="121"/>
      <c r="BE748" s="121"/>
      <c r="BF748" s="121"/>
      <c r="BG748" s="123"/>
      <c r="BH748" s="127"/>
      <c r="BI748" s="125"/>
      <c r="BJ748" s="126"/>
      <c r="BK748" s="30"/>
      <c r="BL748" s="127"/>
      <c r="BM748" s="128"/>
      <c r="BN748" s="123"/>
      <c r="BO748" s="128"/>
      <c r="BP748" s="13"/>
      <c r="BQ748" s="129"/>
      <c r="BR748" s="123"/>
      <c r="BS748" s="130"/>
      <c r="BT748" s="13"/>
      <c r="BU748" s="123"/>
      <c r="BV748" s="131"/>
      <c r="DI748" s="121"/>
      <c r="DJ748" s="13"/>
      <c r="DK748" s="13"/>
      <c r="DL748" s="13"/>
      <c r="DM748" s="13"/>
      <c r="DN748" s="13"/>
      <c r="DO748" s="13"/>
      <c r="DW748" s="121"/>
      <c r="DX748" s="121"/>
      <c r="DY748" s="121"/>
      <c r="DZ748" s="121"/>
      <c r="EA748" s="121"/>
      <c r="EB748" s="121"/>
      <c r="EC748" s="121"/>
      <c r="ED748" s="121"/>
      <c r="EE748" s="121"/>
      <c r="EF748" s="121"/>
      <c r="EG748" s="123"/>
      <c r="EH748" s="127"/>
      <c r="EI748" s="125"/>
      <c r="EJ748" s="126"/>
      <c r="EK748" s="30"/>
      <c r="EL748" s="127"/>
      <c r="EM748" s="128"/>
      <c r="EN748" s="123"/>
      <c r="EO748" s="128"/>
      <c r="EP748" s="13"/>
      <c r="EQ748" s="129"/>
      <c r="ER748" s="123"/>
      <c r="ES748" s="130"/>
      <c r="ET748" s="13"/>
      <c r="EU748" s="123"/>
      <c r="EV748" s="131"/>
    </row>
    <row r="749" spans="35:152">
      <c r="AI749" s="121"/>
      <c r="AJ749" s="13"/>
      <c r="AK749" s="13"/>
      <c r="AL749" s="13"/>
      <c r="AM749" s="13"/>
      <c r="AN749" s="13"/>
      <c r="AO749" s="13"/>
      <c r="AW749" s="121"/>
      <c r="AX749" s="121"/>
      <c r="AY749" s="121"/>
      <c r="AZ749" s="121"/>
      <c r="BA749" s="121"/>
      <c r="BB749" s="121"/>
      <c r="BC749" s="121"/>
      <c r="BD749" s="121"/>
      <c r="BE749" s="121"/>
      <c r="BF749" s="121"/>
      <c r="BG749" s="123"/>
      <c r="BH749" s="127"/>
      <c r="BI749" s="125"/>
      <c r="BJ749" s="126"/>
      <c r="BK749" s="30"/>
      <c r="BL749" s="127"/>
      <c r="BM749" s="128"/>
      <c r="BN749" s="123"/>
      <c r="BO749" s="128"/>
      <c r="BP749" s="13"/>
      <c r="BQ749" s="129"/>
      <c r="BR749" s="123"/>
      <c r="BS749" s="130"/>
      <c r="BT749" s="13"/>
      <c r="BU749" s="123"/>
      <c r="BV749" s="131"/>
      <c r="DI749" s="121"/>
      <c r="DJ749" s="13"/>
      <c r="DK749" s="13"/>
      <c r="DL749" s="13"/>
      <c r="DM749" s="13"/>
      <c r="DN749" s="13"/>
      <c r="DO749" s="13"/>
      <c r="DW749" s="121"/>
      <c r="DX749" s="121"/>
      <c r="DY749" s="121"/>
      <c r="DZ749" s="121"/>
      <c r="EA749" s="121"/>
      <c r="EB749" s="121"/>
      <c r="EC749" s="121"/>
      <c r="ED749" s="121"/>
      <c r="EE749" s="121"/>
      <c r="EF749" s="121"/>
      <c r="EG749" s="123"/>
      <c r="EH749" s="127"/>
      <c r="EI749" s="125"/>
      <c r="EJ749" s="126"/>
      <c r="EK749" s="30"/>
      <c r="EL749" s="127"/>
      <c r="EM749" s="128"/>
      <c r="EN749" s="123"/>
      <c r="EO749" s="128"/>
      <c r="EP749" s="13"/>
      <c r="EQ749" s="129"/>
      <c r="ER749" s="123"/>
      <c r="ES749" s="130"/>
      <c r="ET749" s="13"/>
      <c r="EU749" s="123"/>
      <c r="EV749" s="131"/>
    </row>
    <row r="750" spans="35:152">
      <c r="AI750" s="121"/>
      <c r="AJ750" s="13"/>
      <c r="AK750" s="13"/>
      <c r="AL750" s="13"/>
      <c r="AM750" s="13"/>
      <c r="AN750" s="13"/>
      <c r="AO750" s="13"/>
      <c r="AW750" s="121"/>
      <c r="AX750" s="121"/>
      <c r="AY750" s="121"/>
      <c r="AZ750" s="121"/>
      <c r="BA750" s="121"/>
      <c r="BB750" s="121"/>
      <c r="BC750" s="121"/>
      <c r="BD750" s="121"/>
      <c r="BE750" s="121"/>
      <c r="BF750" s="121"/>
      <c r="BG750" s="123"/>
      <c r="BH750" s="127"/>
      <c r="BI750" s="125"/>
      <c r="BJ750" s="126"/>
      <c r="BK750" s="30"/>
      <c r="BL750" s="127"/>
      <c r="BM750" s="128"/>
      <c r="BN750" s="123"/>
      <c r="BO750" s="128"/>
      <c r="BP750" s="13"/>
      <c r="BQ750" s="129"/>
      <c r="BR750" s="123"/>
      <c r="BS750" s="130"/>
      <c r="BT750" s="13"/>
      <c r="BU750" s="123"/>
      <c r="BV750" s="131"/>
      <c r="DI750" s="121"/>
      <c r="DJ750" s="13"/>
      <c r="DK750" s="13"/>
      <c r="DL750" s="13"/>
      <c r="DM750" s="13"/>
      <c r="DN750" s="13"/>
      <c r="DO750" s="13"/>
      <c r="DW750" s="121"/>
      <c r="DX750" s="121"/>
      <c r="DY750" s="121"/>
      <c r="DZ750" s="121"/>
      <c r="EA750" s="121"/>
      <c r="EB750" s="121"/>
      <c r="EC750" s="121"/>
      <c r="ED750" s="121"/>
      <c r="EE750" s="121"/>
      <c r="EF750" s="121"/>
      <c r="EG750" s="123"/>
      <c r="EH750" s="127"/>
      <c r="EI750" s="125"/>
      <c r="EJ750" s="126"/>
      <c r="EK750" s="30"/>
      <c r="EL750" s="127"/>
      <c r="EM750" s="128"/>
      <c r="EN750" s="123"/>
      <c r="EO750" s="128"/>
      <c r="EP750" s="13"/>
      <c r="EQ750" s="129"/>
      <c r="ER750" s="123"/>
      <c r="ES750" s="130"/>
      <c r="ET750" s="13"/>
      <c r="EU750" s="123"/>
      <c r="EV750" s="131"/>
    </row>
    <row r="751" spans="35:152">
      <c r="AI751" s="121"/>
      <c r="AJ751" s="13"/>
      <c r="AK751" s="13"/>
      <c r="AL751" s="13"/>
      <c r="AM751" s="13"/>
      <c r="AN751" s="13"/>
      <c r="AO751" s="13"/>
      <c r="AW751" s="121"/>
      <c r="AX751" s="121"/>
      <c r="AY751" s="121"/>
      <c r="AZ751" s="121"/>
      <c r="BA751" s="121"/>
      <c r="BB751" s="121"/>
      <c r="BC751" s="121"/>
      <c r="BD751" s="121"/>
      <c r="BE751" s="121"/>
      <c r="BF751" s="121"/>
      <c r="BG751" s="123"/>
      <c r="BH751" s="127"/>
      <c r="BI751" s="125"/>
      <c r="BJ751" s="126"/>
      <c r="BK751" s="30"/>
      <c r="BL751" s="127"/>
      <c r="BM751" s="128"/>
      <c r="BN751" s="123"/>
      <c r="BO751" s="128"/>
      <c r="BP751" s="13"/>
      <c r="BQ751" s="129"/>
      <c r="BR751" s="123"/>
      <c r="BS751" s="130"/>
      <c r="BT751" s="13"/>
      <c r="BU751" s="123"/>
      <c r="BV751" s="131"/>
      <c r="DI751" s="121"/>
      <c r="DJ751" s="13"/>
      <c r="DK751" s="13"/>
      <c r="DL751" s="13"/>
      <c r="DM751" s="13"/>
      <c r="DN751" s="13"/>
      <c r="DO751" s="13"/>
      <c r="DW751" s="121"/>
      <c r="DX751" s="121"/>
      <c r="DY751" s="121"/>
      <c r="DZ751" s="121"/>
      <c r="EA751" s="121"/>
      <c r="EB751" s="121"/>
      <c r="EC751" s="121"/>
      <c r="ED751" s="121"/>
      <c r="EE751" s="121"/>
      <c r="EF751" s="121"/>
      <c r="EG751" s="123"/>
      <c r="EH751" s="127"/>
      <c r="EI751" s="125"/>
      <c r="EJ751" s="126"/>
      <c r="EK751" s="30"/>
      <c r="EL751" s="127"/>
      <c r="EM751" s="128"/>
      <c r="EN751" s="123"/>
      <c r="EO751" s="128"/>
      <c r="EP751" s="13"/>
      <c r="EQ751" s="129"/>
      <c r="ER751" s="123"/>
      <c r="ES751" s="130"/>
      <c r="ET751" s="13"/>
      <c r="EU751" s="123"/>
      <c r="EV751" s="131"/>
    </row>
    <row r="752" spans="35:152">
      <c r="AI752" s="121"/>
      <c r="AJ752" s="13"/>
      <c r="AK752" s="13"/>
      <c r="AL752" s="13"/>
      <c r="AM752" s="13"/>
      <c r="AN752" s="13"/>
      <c r="AO752" s="13"/>
      <c r="AW752" s="121"/>
      <c r="AX752" s="121"/>
      <c r="AY752" s="121"/>
      <c r="AZ752" s="121"/>
      <c r="BA752" s="121"/>
      <c r="BB752" s="121"/>
      <c r="BC752" s="121"/>
      <c r="BD752" s="121"/>
      <c r="BE752" s="121"/>
      <c r="BF752" s="121"/>
      <c r="BG752" s="123"/>
      <c r="BH752" s="127"/>
      <c r="BI752" s="125"/>
      <c r="BJ752" s="126"/>
      <c r="BK752" s="30"/>
      <c r="BL752" s="127"/>
      <c r="BM752" s="128"/>
      <c r="BN752" s="123"/>
      <c r="BO752" s="128"/>
      <c r="BP752" s="13"/>
      <c r="BQ752" s="129"/>
      <c r="BR752" s="123"/>
      <c r="BS752" s="130"/>
      <c r="BT752" s="13"/>
      <c r="BU752" s="123"/>
      <c r="BV752" s="131"/>
      <c r="DI752" s="121"/>
      <c r="DJ752" s="13"/>
      <c r="DK752" s="13"/>
      <c r="DL752" s="13"/>
      <c r="DM752" s="13"/>
      <c r="DN752" s="13"/>
      <c r="DO752" s="13"/>
      <c r="DW752" s="121"/>
      <c r="DX752" s="121"/>
      <c r="DY752" s="121"/>
      <c r="DZ752" s="121"/>
      <c r="EA752" s="121"/>
      <c r="EB752" s="121"/>
      <c r="EC752" s="121"/>
      <c r="ED752" s="121"/>
      <c r="EE752" s="121"/>
      <c r="EF752" s="121"/>
      <c r="EG752" s="123"/>
      <c r="EH752" s="127"/>
      <c r="EI752" s="125"/>
      <c r="EJ752" s="126"/>
      <c r="EK752" s="30"/>
      <c r="EL752" s="127"/>
      <c r="EM752" s="128"/>
      <c r="EN752" s="123"/>
      <c r="EO752" s="128"/>
      <c r="EP752" s="13"/>
      <c r="EQ752" s="129"/>
      <c r="ER752" s="123"/>
      <c r="ES752" s="130"/>
      <c r="ET752" s="13"/>
      <c r="EU752" s="123"/>
      <c r="EV752" s="131"/>
    </row>
    <row r="753" spans="35:152">
      <c r="AI753" s="121"/>
      <c r="AJ753" s="13"/>
      <c r="AK753" s="13"/>
      <c r="AL753" s="13"/>
      <c r="AM753" s="13"/>
      <c r="AN753" s="13"/>
      <c r="AO753" s="13"/>
      <c r="AW753" s="121"/>
      <c r="AX753" s="121"/>
      <c r="AY753" s="121"/>
      <c r="AZ753" s="121"/>
      <c r="BA753" s="121"/>
      <c r="BB753" s="121"/>
      <c r="BC753" s="121"/>
      <c r="BD753" s="121"/>
      <c r="BE753" s="121"/>
      <c r="BF753" s="121"/>
      <c r="BG753" s="123"/>
      <c r="BH753" s="127"/>
      <c r="BI753" s="125"/>
      <c r="BJ753" s="126"/>
      <c r="BK753" s="30"/>
      <c r="BL753" s="127"/>
      <c r="BM753" s="128"/>
      <c r="BN753" s="123"/>
      <c r="BO753" s="128"/>
      <c r="BP753" s="13"/>
      <c r="BQ753" s="129"/>
      <c r="BR753" s="123"/>
      <c r="BS753" s="130"/>
      <c r="BT753" s="13"/>
      <c r="BU753" s="123"/>
      <c r="BV753" s="131"/>
      <c r="DI753" s="121"/>
      <c r="DJ753" s="13"/>
      <c r="DK753" s="13"/>
      <c r="DL753" s="13"/>
      <c r="DM753" s="13"/>
      <c r="DN753" s="13"/>
      <c r="DO753" s="13"/>
      <c r="DW753" s="121"/>
      <c r="DX753" s="121"/>
      <c r="DY753" s="121"/>
      <c r="DZ753" s="121"/>
      <c r="EA753" s="121"/>
      <c r="EB753" s="121"/>
      <c r="EC753" s="121"/>
      <c r="ED753" s="121"/>
      <c r="EE753" s="121"/>
      <c r="EF753" s="121"/>
      <c r="EG753" s="123"/>
      <c r="EH753" s="127"/>
      <c r="EI753" s="125"/>
      <c r="EJ753" s="126"/>
      <c r="EK753" s="30"/>
      <c r="EL753" s="127"/>
      <c r="EM753" s="128"/>
      <c r="EN753" s="123"/>
      <c r="EO753" s="128"/>
      <c r="EP753" s="13"/>
      <c r="EQ753" s="129"/>
      <c r="ER753" s="123"/>
      <c r="ES753" s="130"/>
      <c r="ET753" s="13"/>
      <c r="EU753" s="123"/>
      <c r="EV753" s="131"/>
    </row>
    <row r="754" spans="35:152">
      <c r="AI754" s="121"/>
      <c r="AJ754" s="13"/>
      <c r="AK754" s="13"/>
      <c r="AL754" s="13"/>
      <c r="AM754" s="13"/>
      <c r="AN754" s="13"/>
      <c r="AO754" s="13"/>
      <c r="AW754" s="121"/>
      <c r="AX754" s="121"/>
      <c r="AY754" s="121"/>
      <c r="AZ754" s="121"/>
      <c r="BA754" s="121"/>
      <c r="BB754" s="121"/>
      <c r="BC754" s="121"/>
      <c r="BD754" s="121"/>
      <c r="BE754" s="121"/>
      <c r="BF754" s="121"/>
      <c r="BG754" s="123"/>
      <c r="BH754" s="127"/>
      <c r="BI754" s="125"/>
      <c r="BJ754" s="126"/>
      <c r="BK754" s="30"/>
      <c r="BL754" s="127"/>
      <c r="BM754" s="128"/>
      <c r="BN754" s="123"/>
      <c r="BO754" s="128"/>
      <c r="BP754" s="13"/>
      <c r="BQ754" s="129"/>
      <c r="BR754" s="123"/>
      <c r="BS754" s="130"/>
      <c r="BT754" s="13"/>
      <c r="BU754" s="123"/>
      <c r="BV754" s="131"/>
      <c r="DI754" s="121"/>
      <c r="DJ754" s="13"/>
      <c r="DK754" s="13"/>
      <c r="DL754" s="13"/>
      <c r="DM754" s="13"/>
      <c r="DN754" s="13"/>
      <c r="DO754" s="13"/>
      <c r="DW754" s="121"/>
      <c r="DX754" s="121"/>
      <c r="DY754" s="121"/>
      <c r="DZ754" s="121"/>
      <c r="EA754" s="121"/>
      <c r="EB754" s="121"/>
      <c r="EC754" s="121"/>
      <c r="ED754" s="121"/>
      <c r="EE754" s="121"/>
      <c r="EF754" s="121"/>
      <c r="EG754" s="123"/>
      <c r="EH754" s="127"/>
      <c r="EI754" s="125"/>
      <c r="EJ754" s="126"/>
      <c r="EK754" s="30"/>
      <c r="EL754" s="127"/>
      <c r="EM754" s="128"/>
      <c r="EN754" s="123"/>
      <c r="EO754" s="128"/>
      <c r="EP754" s="13"/>
      <c r="EQ754" s="129"/>
      <c r="ER754" s="123"/>
      <c r="ES754" s="130"/>
      <c r="ET754" s="13"/>
      <c r="EU754" s="123"/>
      <c r="EV754" s="131"/>
    </row>
    <row r="755" spans="35:152">
      <c r="AI755" s="121"/>
      <c r="AJ755" s="13"/>
      <c r="AK755" s="13"/>
      <c r="AL755" s="13"/>
      <c r="AM755" s="13"/>
      <c r="AN755" s="13"/>
      <c r="AO755" s="13"/>
      <c r="AW755" s="121"/>
      <c r="AX755" s="121"/>
      <c r="AY755" s="121"/>
      <c r="AZ755" s="121"/>
      <c r="BA755" s="121"/>
      <c r="BB755" s="121"/>
      <c r="BC755" s="121"/>
      <c r="BD755" s="121"/>
      <c r="BE755" s="121"/>
      <c r="BF755" s="121"/>
      <c r="BG755" s="123"/>
      <c r="BH755" s="127"/>
      <c r="BI755" s="125"/>
      <c r="BJ755" s="126"/>
      <c r="BK755" s="30"/>
      <c r="BL755" s="127"/>
      <c r="BM755" s="128"/>
      <c r="BN755" s="123"/>
      <c r="BO755" s="128"/>
      <c r="BP755" s="13"/>
      <c r="BQ755" s="129"/>
      <c r="BR755" s="123"/>
      <c r="BS755" s="130"/>
      <c r="BT755" s="13"/>
      <c r="BU755" s="123"/>
      <c r="BV755" s="131"/>
      <c r="DI755" s="121"/>
      <c r="DJ755" s="13"/>
      <c r="DK755" s="13"/>
      <c r="DL755" s="13"/>
      <c r="DM755" s="13"/>
      <c r="DN755" s="13"/>
      <c r="DO755" s="13"/>
      <c r="DW755" s="121"/>
      <c r="DX755" s="121"/>
      <c r="DY755" s="121"/>
      <c r="DZ755" s="121"/>
      <c r="EA755" s="121"/>
      <c r="EB755" s="121"/>
      <c r="EC755" s="121"/>
      <c r="ED755" s="121"/>
      <c r="EE755" s="121"/>
      <c r="EF755" s="121"/>
      <c r="EG755" s="123"/>
      <c r="EH755" s="127"/>
      <c r="EI755" s="125"/>
      <c r="EJ755" s="126"/>
      <c r="EK755" s="30"/>
      <c r="EL755" s="127"/>
      <c r="EM755" s="128"/>
      <c r="EN755" s="123"/>
      <c r="EO755" s="128"/>
      <c r="EP755" s="13"/>
      <c r="EQ755" s="129"/>
      <c r="ER755" s="123"/>
      <c r="ES755" s="130"/>
      <c r="ET755" s="13"/>
      <c r="EU755" s="123"/>
      <c r="EV755" s="131"/>
    </row>
    <row r="756" spans="35:152">
      <c r="AI756" s="121"/>
      <c r="AJ756" s="13"/>
      <c r="AK756" s="13"/>
      <c r="AL756" s="13"/>
      <c r="AM756" s="13"/>
      <c r="AN756" s="13"/>
      <c r="AO756" s="13"/>
      <c r="AW756" s="121"/>
      <c r="AX756" s="121"/>
      <c r="AY756" s="121"/>
      <c r="AZ756" s="121"/>
      <c r="BA756" s="121"/>
      <c r="BB756" s="121"/>
      <c r="BC756" s="121"/>
      <c r="BD756" s="121"/>
      <c r="BE756" s="121"/>
      <c r="BF756" s="121"/>
      <c r="BG756" s="123"/>
      <c r="BH756" s="127"/>
      <c r="BI756" s="125"/>
      <c r="BJ756" s="126"/>
      <c r="BK756" s="30"/>
      <c r="BL756" s="127"/>
      <c r="BM756" s="128"/>
      <c r="BN756" s="123"/>
      <c r="BO756" s="128"/>
      <c r="BP756" s="13"/>
      <c r="BQ756" s="129"/>
      <c r="BR756" s="123"/>
      <c r="BS756" s="130"/>
      <c r="BT756" s="13"/>
      <c r="BU756" s="123"/>
      <c r="BV756" s="131"/>
      <c r="DI756" s="121"/>
      <c r="DJ756" s="13"/>
      <c r="DK756" s="13"/>
      <c r="DL756" s="13"/>
      <c r="DM756" s="13"/>
      <c r="DN756" s="13"/>
      <c r="DO756" s="13"/>
      <c r="DW756" s="121"/>
      <c r="DX756" s="121"/>
      <c r="DY756" s="121"/>
      <c r="DZ756" s="121"/>
      <c r="EA756" s="121"/>
      <c r="EB756" s="121"/>
      <c r="EC756" s="121"/>
      <c r="ED756" s="121"/>
      <c r="EE756" s="121"/>
      <c r="EF756" s="121"/>
      <c r="EG756" s="123"/>
      <c r="EH756" s="127"/>
      <c r="EI756" s="125"/>
      <c r="EJ756" s="126"/>
      <c r="EK756" s="30"/>
      <c r="EL756" s="127"/>
      <c r="EM756" s="128"/>
      <c r="EN756" s="123"/>
      <c r="EO756" s="128"/>
      <c r="EP756" s="13"/>
      <c r="EQ756" s="129"/>
      <c r="ER756" s="123"/>
      <c r="ES756" s="130"/>
      <c r="ET756" s="13"/>
      <c r="EU756" s="123"/>
      <c r="EV756" s="131"/>
    </row>
    <row r="757" spans="35:152">
      <c r="AI757" s="121"/>
      <c r="AJ757" s="13"/>
      <c r="AK757" s="13"/>
      <c r="AL757" s="13"/>
      <c r="AM757" s="13"/>
      <c r="AN757" s="13"/>
      <c r="AO757" s="13"/>
      <c r="AW757" s="121"/>
      <c r="AX757" s="121"/>
      <c r="AY757" s="121"/>
      <c r="AZ757" s="121"/>
      <c r="BA757" s="121"/>
      <c r="BB757" s="121"/>
      <c r="BC757" s="121"/>
      <c r="BD757" s="121"/>
      <c r="BE757" s="121"/>
      <c r="BF757" s="121"/>
      <c r="BG757" s="123"/>
      <c r="BH757" s="127"/>
      <c r="BI757" s="125"/>
      <c r="BJ757" s="126"/>
      <c r="BK757" s="30"/>
      <c r="BL757" s="127"/>
      <c r="BM757" s="128"/>
      <c r="BN757" s="123"/>
      <c r="BO757" s="128"/>
      <c r="BP757" s="13"/>
      <c r="BQ757" s="129"/>
      <c r="BR757" s="123"/>
      <c r="BS757" s="130"/>
      <c r="BT757" s="13"/>
      <c r="BU757" s="123"/>
      <c r="BV757" s="131"/>
      <c r="DI757" s="121"/>
      <c r="DJ757" s="13"/>
      <c r="DK757" s="13"/>
      <c r="DL757" s="13"/>
      <c r="DM757" s="13"/>
      <c r="DN757" s="13"/>
      <c r="DO757" s="13"/>
      <c r="DW757" s="121"/>
      <c r="DX757" s="121"/>
      <c r="DY757" s="121"/>
      <c r="DZ757" s="121"/>
      <c r="EA757" s="121"/>
      <c r="EB757" s="121"/>
      <c r="EC757" s="121"/>
      <c r="ED757" s="121"/>
      <c r="EE757" s="121"/>
      <c r="EF757" s="121"/>
      <c r="EG757" s="123"/>
      <c r="EH757" s="127"/>
      <c r="EI757" s="125"/>
      <c r="EJ757" s="126"/>
      <c r="EK757" s="30"/>
      <c r="EL757" s="127"/>
      <c r="EM757" s="128"/>
      <c r="EN757" s="123"/>
      <c r="EO757" s="128"/>
      <c r="EP757" s="13"/>
      <c r="EQ757" s="129"/>
      <c r="ER757" s="123"/>
      <c r="ES757" s="130"/>
      <c r="ET757" s="13"/>
      <c r="EU757" s="123"/>
      <c r="EV757" s="131"/>
    </row>
    <row r="758" spans="35:152">
      <c r="AI758" s="121"/>
      <c r="AJ758" s="13"/>
      <c r="AK758" s="13"/>
      <c r="AL758" s="13"/>
      <c r="AM758" s="13"/>
      <c r="AN758" s="13"/>
      <c r="AO758" s="13"/>
      <c r="AW758" s="121"/>
      <c r="AX758" s="121"/>
      <c r="AY758" s="121"/>
      <c r="AZ758" s="121"/>
      <c r="BA758" s="121"/>
      <c r="BB758" s="121"/>
      <c r="BC758" s="121"/>
      <c r="BD758" s="121"/>
      <c r="BE758" s="121"/>
      <c r="BF758" s="121"/>
      <c r="BG758" s="123"/>
      <c r="BH758" s="127"/>
      <c r="BI758" s="125"/>
      <c r="BJ758" s="126"/>
      <c r="BK758" s="30"/>
      <c r="BL758" s="127"/>
      <c r="BM758" s="128"/>
      <c r="BN758" s="123"/>
      <c r="BO758" s="128"/>
      <c r="BP758" s="13"/>
      <c r="BQ758" s="129"/>
      <c r="BR758" s="123"/>
      <c r="BS758" s="130"/>
      <c r="BT758" s="13"/>
      <c r="BU758" s="123"/>
      <c r="BV758" s="131"/>
      <c r="DI758" s="121"/>
      <c r="DJ758" s="13"/>
      <c r="DK758" s="13"/>
      <c r="DL758" s="13"/>
      <c r="DM758" s="13"/>
      <c r="DN758" s="13"/>
      <c r="DO758" s="13"/>
      <c r="DW758" s="121"/>
      <c r="DX758" s="121"/>
      <c r="DY758" s="121"/>
      <c r="DZ758" s="121"/>
      <c r="EA758" s="121"/>
      <c r="EB758" s="121"/>
      <c r="EC758" s="121"/>
      <c r="ED758" s="121"/>
      <c r="EE758" s="121"/>
      <c r="EF758" s="121"/>
      <c r="EG758" s="123"/>
      <c r="EH758" s="127"/>
      <c r="EI758" s="125"/>
      <c r="EJ758" s="126"/>
      <c r="EK758" s="30"/>
      <c r="EL758" s="127"/>
      <c r="EM758" s="128"/>
      <c r="EN758" s="123"/>
      <c r="EO758" s="128"/>
      <c r="EP758" s="13"/>
      <c r="EQ758" s="129"/>
      <c r="ER758" s="123"/>
      <c r="ES758" s="130"/>
      <c r="ET758" s="13"/>
      <c r="EU758" s="123"/>
      <c r="EV758" s="131"/>
    </row>
    <row r="759" spans="35:152">
      <c r="AI759" s="121"/>
      <c r="AJ759" s="13"/>
      <c r="AK759" s="13"/>
      <c r="AL759" s="13"/>
      <c r="AM759" s="13"/>
      <c r="AN759" s="13"/>
      <c r="AO759" s="13"/>
      <c r="AW759" s="121"/>
      <c r="AX759" s="121"/>
      <c r="AY759" s="121"/>
      <c r="AZ759" s="121"/>
      <c r="BA759" s="121"/>
      <c r="BB759" s="121"/>
      <c r="BC759" s="121"/>
      <c r="BD759" s="121"/>
      <c r="BE759" s="121"/>
      <c r="BF759" s="121"/>
      <c r="BG759" s="123"/>
      <c r="BH759" s="127"/>
      <c r="BI759" s="125"/>
      <c r="BJ759" s="126"/>
      <c r="BK759" s="30"/>
      <c r="BL759" s="127"/>
      <c r="BM759" s="128"/>
      <c r="BN759" s="123"/>
      <c r="BO759" s="128"/>
      <c r="BP759" s="13"/>
      <c r="BQ759" s="129"/>
      <c r="BR759" s="123"/>
      <c r="BS759" s="130"/>
      <c r="BT759" s="13"/>
      <c r="BU759" s="123"/>
      <c r="BV759" s="131"/>
      <c r="DI759" s="121"/>
      <c r="DJ759" s="13"/>
      <c r="DK759" s="13"/>
      <c r="DL759" s="13"/>
      <c r="DM759" s="13"/>
      <c r="DN759" s="13"/>
      <c r="DO759" s="13"/>
      <c r="DW759" s="121"/>
      <c r="DX759" s="121"/>
      <c r="DY759" s="121"/>
      <c r="DZ759" s="121"/>
      <c r="EA759" s="121"/>
      <c r="EB759" s="121"/>
      <c r="EC759" s="121"/>
      <c r="ED759" s="121"/>
      <c r="EE759" s="121"/>
      <c r="EF759" s="121"/>
      <c r="EG759" s="123"/>
      <c r="EH759" s="127"/>
      <c r="EI759" s="125"/>
      <c r="EJ759" s="126"/>
      <c r="EK759" s="30"/>
      <c r="EL759" s="127"/>
      <c r="EM759" s="128"/>
      <c r="EN759" s="123"/>
      <c r="EO759" s="128"/>
      <c r="EP759" s="13"/>
      <c r="EQ759" s="129"/>
      <c r="ER759" s="123"/>
      <c r="ES759" s="130"/>
      <c r="ET759" s="13"/>
      <c r="EU759" s="123"/>
      <c r="EV759" s="131"/>
    </row>
    <row r="760" spans="35:152">
      <c r="AI760" s="121"/>
      <c r="AJ760" s="13"/>
      <c r="AK760" s="13"/>
      <c r="AL760" s="13"/>
      <c r="AM760" s="13"/>
      <c r="AN760" s="13"/>
      <c r="AO760" s="13"/>
      <c r="AW760" s="121"/>
      <c r="AX760" s="121"/>
      <c r="AY760" s="121"/>
      <c r="AZ760" s="121"/>
      <c r="BA760" s="121"/>
      <c r="BB760" s="121"/>
      <c r="BC760" s="121"/>
      <c r="BD760" s="121"/>
      <c r="BE760" s="121"/>
      <c r="BF760" s="121"/>
      <c r="BG760" s="123"/>
      <c r="BH760" s="127"/>
      <c r="BI760" s="125"/>
      <c r="BJ760" s="126"/>
      <c r="BK760" s="30"/>
      <c r="BL760" s="127"/>
      <c r="BM760" s="128"/>
      <c r="BN760" s="123"/>
      <c r="BO760" s="128"/>
      <c r="BP760" s="13"/>
      <c r="BQ760" s="129"/>
      <c r="BR760" s="123"/>
      <c r="BS760" s="130"/>
      <c r="BT760" s="13"/>
      <c r="BU760" s="123"/>
      <c r="BV760" s="131"/>
      <c r="DI760" s="121"/>
      <c r="DJ760" s="13"/>
      <c r="DK760" s="13"/>
      <c r="DL760" s="13"/>
      <c r="DM760" s="13"/>
      <c r="DN760" s="13"/>
      <c r="DO760" s="13"/>
      <c r="DW760" s="121"/>
      <c r="DX760" s="121"/>
      <c r="DY760" s="121"/>
      <c r="DZ760" s="121"/>
      <c r="EA760" s="121"/>
      <c r="EB760" s="121"/>
      <c r="EC760" s="121"/>
      <c r="ED760" s="121"/>
      <c r="EE760" s="121"/>
      <c r="EF760" s="121"/>
      <c r="EG760" s="123"/>
      <c r="EH760" s="127"/>
      <c r="EI760" s="125"/>
      <c r="EJ760" s="126"/>
      <c r="EK760" s="30"/>
      <c r="EL760" s="127"/>
      <c r="EM760" s="128"/>
      <c r="EN760" s="123"/>
      <c r="EO760" s="128"/>
      <c r="EP760" s="13"/>
      <c r="EQ760" s="129"/>
      <c r="ER760" s="123"/>
      <c r="ES760" s="130"/>
      <c r="ET760" s="13"/>
      <c r="EU760" s="123"/>
      <c r="EV760" s="131"/>
    </row>
    <row r="761" spans="35:152">
      <c r="AI761" s="121"/>
      <c r="AJ761" s="13"/>
      <c r="AK761" s="13"/>
      <c r="AL761" s="13"/>
      <c r="AM761" s="13"/>
      <c r="AN761" s="13"/>
      <c r="AO761" s="13"/>
      <c r="AW761" s="121"/>
      <c r="AX761" s="121"/>
      <c r="AY761" s="121"/>
      <c r="AZ761" s="121"/>
      <c r="BA761" s="121"/>
      <c r="BB761" s="121"/>
      <c r="BC761" s="121"/>
      <c r="BD761" s="121"/>
      <c r="BE761" s="121"/>
      <c r="BF761" s="121"/>
      <c r="BG761" s="123"/>
      <c r="BH761" s="127"/>
      <c r="BI761" s="125"/>
      <c r="BJ761" s="126"/>
      <c r="BK761" s="30"/>
      <c r="BL761" s="127"/>
      <c r="BM761" s="128"/>
      <c r="BN761" s="123"/>
      <c r="BO761" s="128"/>
      <c r="BP761" s="13"/>
      <c r="BQ761" s="129"/>
      <c r="BR761" s="123"/>
      <c r="BS761" s="130"/>
      <c r="BT761" s="13"/>
      <c r="BU761" s="123"/>
      <c r="BV761" s="131"/>
      <c r="DI761" s="121"/>
      <c r="DJ761" s="13"/>
      <c r="DK761" s="13"/>
      <c r="DL761" s="13"/>
      <c r="DM761" s="13"/>
      <c r="DN761" s="13"/>
      <c r="DO761" s="13"/>
      <c r="DW761" s="121"/>
      <c r="DX761" s="121"/>
      <c r="DY761" s="121"/>
      <c r="DZ761" s="121"/>
      <c r="EA761" s="121"/>
      <c r="EB761" s="121"/>
      <c r="EC761" s="121"/>
      <c r="ED761" s="121"/>
      <c r="EE761" s="121"/>
      <c r="EF761" s="121"/>
      <c r="EG761" s="123"/>
      <c r="EH761" s="127"/>
      <c r="EI761" s="125"/>
      <c r="EJ761" s="126"/>
      <c r="EK761" s="30"/>
      <c r="EL761" s="127"/>
      <c r="EM761" s="128"/>
      <c r="EN761" s="123"/>
      <c r="EO761" s="128"/>
      <c r="EP761" s="13"/>
      <c r="EQ761" s="129"/>
      <c r="ER761" s="123"/>
      <c r="ES761" s="130"/>
      <c r="ET761" s="13"/>
      <c r="EU761" s="123"/>
      <c r="EV761" s="131"/>
    </row>
    <row r="762" spans="35:152">
      <c r="AI762" s="121"/>
      <c r="AJ762" s="13"/>
      <c r="AK762" s="13"/>
      <c r="AL762" s="13"/>
      <c r="AM762" s="13"/>
      <c r="AN762" s="13"/>
      <c r="AO762" s="13"/>
      <c r="AW762" s="121"/>
      <c r="AX762" s="121"/>
      <c r="AY762" s="121"/>
      <c r="AZ762" s="121"/>
      <c r="BA762" s="121"/>
      <c r="BB762" s="121"/>
      <c r="BC762" s="121"/>
      <c r="BD762" s="121"/>
      <c r="BE762" s="121"/>
      <c r="BF762" s="121"/>
      <c r="BG762" s="123"/>
      <c r="BH762" s="127"/>
      <c r="BI762" s="125"/>
      <c r="BJ762" s="126"/>
      <c r="BK762" s="30"/>
      <c r="BL762" s="127"/>
      <c r="BM762" s="128"/>
      <c r="BN762" s="123"/>
      <c r="BO762" s="128"/>
      <c r="BP762" s="13"/>
      <c r="BQ762" s="129"/>
      <c r="BR762" s="123"/>
      <c r="BS762" s="130"/>
      <c r="BT762" s="13"/>
      <c r="BU762" s="123"/>
      <c r="BV762" s="131"/>
      <c r="DI762" s="121"/>
      <c r="DJ762" s="13"/>
      <c r="DK762" s="13"/>
      <c r="DL762" s="13"/>
      <c r="DM762" s="13"/>
      <c r="DN762" s="13"/>
      <c r="DO762" s="13"/>
      <c r="DW762" s="121"/>
      <c r="DX762" s="121"/>
      <c r="DY762" s="121"/>
      <c r="DZ762" s="121"/>
      <c r="EA762" s="121"/>
      <c r="EB762" s="121"/>
      <c r="EC762" s="121"/>
      <c r="ED762" s="121"/>
      <c r="EE762" s="121"/>
      <c r="EF762" s="121"/>
      <c r="EG762" s="123"/>
      <c r="EH762" s="127"/>
      <c r="EI762" s="125"/>
      <c r="EJ762" s="126"/>
      <c r="EK762" s="30"/>
      <c r="EL762" s="127"/>
      <c r="EM762" s="128"/>
      <c r="EN762" s="123"/>
      <c r="EO762" s="128"/>
      <c r="EP762" s="13"/>
      <c r="EQ762" s="129"/>
      <c r="ER762" s="123"/>
      <c r="ES762" s="130"/>
      <c r="ET762" s="13"/>
      <c r="EU762" s="123"/>
      <c r="EV762" s="131"/>
    </row>
    <row r="763" spans="35:152">
      <c r="AI763" s="121"/>
      <c r="AJ763" s="13"/>
      <c r="AK763" s="13"/>
      <c r="AL763" s="13"/>
      <c r="AM763" s="13"/>
      <c r="AN763" s="13"/>
      <c r="AO763" s="13"/>
      <c r="AW763" s="121"/>
      <c r="AX763" s="121"/>
      <c r="AY763" s="121"/>
      <c r="AZ763" s="121"/>
      <c r="BA763" s="121"/>
      <c r="BB763" s="121"/>
      <c r="BC763" s="121"/>
      <c r="BD763" s="121"/>
      <c r="BE763" s="121"/>
      <c r="BF763" s="121"/>
      <c r="BG763" s="123"/>
      <c r="BH763" s="127"/>
      <c r="BI763" s="125"/>
      <c r="BJ763" s="126"/>
      <c r="BK763" s="30"/>
      <c r="BL763" s="127"/>
      <c r="BM763" s="128"/>
      <c r="BN763" s="123"/>
      <c r="BO763" s="128"/>
      <c r="BP763" s="13"/>
      <c r="BQ763" s="129"/>
      <c r="BR763" s="123"/>
      <c r="BS763" s="130"/>
      <c r="BT763" s="13"/>
      <c r="BU763" s="123"/>
      <c r="BV763" s="131"/>
      <c r="DI763" s="121"/>
      <c r="DJ763" s="13"/>
      <c r="DK763" s="13"/>
      <c r="DL763" s="13"/>
      <c r="DM763" s="13"/>
      <c r="DN763" s="13"/>
      <c r="DO763" s="13"/>
      <c r="DW763" s="121"/>
      <c r="DX763" s="121"/>
      <c r="DY763" s="121"/>
      <c r="DZ763" s="121"/>
      <c r="EA763" s="121"/>
      <c r="EB763" s="121"/>
      <c r="EC763" s="121"/>
      <c r="ED763" s="121"/>
      <c r="EE763" s="121"/>
      <c r="EF763" s="121"/>
      <c r="EG763" s="123"/>
      <c r="EH763" s="127"/>
      <c r="EI763" s="125"/>
      <c r="EJ763" s="126"/>
      <c r="EK763" s="30"/>
      <c r="EL763" s="127"/>
      <c r="EM763" s="128"/>
      <c r="EN763" s="123"/>
      <c r="EO763" s="128"/>
      <c r="EP763" s="13"/>
      <c r="EQ763" s="129"/>
      <c r="ER763" s="123"/>
      <c r="ES763" s="130"/>
      <c r="ET763" s="13"/>
      <c r="EU763" s="123"/>
      <c r="EV763" s="131"/>
    </row>
    <row r="764" spans="35:152">
      <c r="AI764" s="121"/>
      <c r="AJ764" s="13"/>
      <c r="AK764" s="13"/>
      <c r="AL764" s="13"/>
      <c r="AM764" s="13"/>
      <c r="AN764" s="13"/>
      <c r="AO764" s="13"/>
      <c r="AW764" s="121"/>
      <c r="AX764" s="121"/>
      <c r="AY764" s="121"/>
      <c r="AZ764" s="121"/>
      <c r="BA764" s="121"/>
      <c r="BB764" s="121"/>
      <c r="BC764" s="121"/>
      <c r="BD764" s="121"/>
      <c r="BE764" s="121"/>
      <c r="BF764" s="121"/>
      <c r="BG764" s="123"/>
      <c r="BH764" s="127"/>
      <c r="BI764" s="125"/>
      <c r="BJ764" s="126"/>
      <c r="BK764" s="30"/>
      <c r="BL764" s="127"/>
      <c r="BM764" s="128"/>
      <c r="BN764" s="123"/>
      <c r="BO764" s="128"/>
      <c r="BP764" s="13"/>
      <c r="BQ764" s="129"/>
      <c r="BR764" s="123"/>
      <c r="BS764" s="130"/>
      <c r="BT764" s="13"/>
      <c r="BU764" s="123"/>
      <c r="BV764" s="131"/>
      <c r="DI764" s="121"/>
      <c r="DJ764" s="13"/>
      <c r="DK764" s="13"/>
      <c r="DL764" s="13"/>
      <c r="DM764" s="13"/>
      <c r="DN764" s="13"/>
      <c r="DO764" s="13"/>
      <c r="DW764" s="121"/>
      <c r="DX764" s="121"/>
      <c r="DY764" s="121"/>
      <c r="DZ764" s="121"/>
      <c r="EA764" s="121"/>
      <c r="EB764" s="121"/>
      <c r="EC764" s="121"/>
      <c r="ED764" s="121"/>
      <c r="EE764" s="121"/>
      <c r="EF764" s="121"/>
      <c r="EG764" s="123"/>
      <c r="EH764" s="127"/>
      <c r="EI764" s="125"/>
      <c r="EJ764" s="126"/>
      <c r="EK764" s="30"/>
      <c r="EL764" s="127"/>
      <c r="EM764" s="128"/>
      <c r="EN764" s="123"/>
      <c r="EO764" s="128"/>
      <c r="EP764" s="13"/>
      <c r="EQ764" s="129"/>
      <c r="ER764" s="123"/>
      <c r="ES764" s="130"/>
      <c r="ET764" s="13"/>
      <c r="EU764" s="123"/>
      <c r="EV764" s="131"/>
    </row>
    <row r="765" spans="35:152">
      <c r="AI765" s="121"/>
      <c r="AJ765" s="13"/>
      <c r="AK765" s="13"/>
      <c r="AL765" s="13"/>
      <c r="AM765" s="13"/>
      <c r="AN765" s="13"/>
      <c r="AO765" s="13"/>
      <c r="AW765" s="121"/>
      <c r="AX765" s="121"/>
      <c r="AY765" s="121"/>
      <c r="AZ765" s="121"/>
      <c r="BA765" s="121"/>
      <c r="BB765" s="121"/>
      <c r="BC765" s="121"/>
      <c r="BD765" s="121"/>
      <c r="BE765" s="121"/>
      <c r="BF765" s="121"/>
      <c r="BG765" s="123"/>
      <c r="BH765" s="127"/>
      <c r="BI765" s="125"/>
      <c r="BJ765" s="126"/>
      <c r="BK765" s="30"/>
      <c r="BL765" s="127"/>
      <c r="BM765" s="128"/>
      <c r="BN765" s="123"/>
      <c r="BO765" s="128"/>
      <c r="BP765" s="13"/>
      <c r="BQ765" s="129"/>
      <c r="BR765" s="123"/>
      <c r="BS765" s="130"/>
      <c r="BT765" s="13"/>
      <c r="BU765" s="123"/>
      <c r="BV765" s="131"/>
      <c r="DI765" s="121"/>
      <c r="DJ765" s="13"/>
      <c r="DK765" s="13"/>
      <c r="DL765" s="13"/>
      <c r="DM765" s="13"/>
      <c r="DN765" s="13"/>
      <c r="DO765" s="13"/>
      <c r="DW765" s="121"/>
      <c r="DX765" s="121"/>
      <c r="DY765" s="121"/>
      <c r="DZ765" s="121"/>
      <c r="EA765" s="121"/>
      <c r="EB765" s="121"/>
      <c r="EC765" s="121"/>
      <c r="ED765" s="121"/>
      <c r="EE765" s="121"/>
      <c r="EF765" s="121"/>
      <c r="EG765" s="123"/>
      <c r="EH765" s="127"/>
      <c r="EI765" s="125"/>
      <c r="EJ765" s="126"/>
      <c r="EK765" s="30"/>
      <c r="EL765" s="127"/>
      <c r="EM765" s="128"/>
      <c r="EN765" s="123"/>
      <c r="EO765" s="128"/>
      <c r="EP765" s="13"/>
      <c r="EQ765" s="129"/>
      <c r="ER765" s="123"/>
      <c r="ES765" s="130"/>
      <c r="ET765" s="13"/>
      <c r="EU765" s="123"/>
      <c r="EV765" s="131"/>
    </row>
    <row r="766" spans="35:152">
      <c r="AI766" s="121"/>
      <c r="AJ766" s="13"/>
      <c r="AK766" s="13"/>
      <c r="AL766" s="13"/>
      <c r="AM766" s="13"/>
      <c r="AN766" s="13"/>
      <c r="AO766" s="13"/>
      <c r="AW766" s="121"/>
      <c r="AX766" s="121"/>
      <c r="AY766" s="121"/>
      <c r="AZ766" s="121"/>
      <c r="BA766" s="121"/>
      <c r="BB766" s="121"/>
      <c r="BC766" s="121"/>
      <c r="BD766" s="121"/>
      <c r="BE766" s="121"/>
      <c r="BF766" s="121"/>
      <c r="BG766" s="123"/>
      <c r="BH766" s="127"/>
      <c r="BI766" s="125"/>
      <c r="BJ766" s="126"/>
      <c r="BK766" s="30"/>
      <c r="BL766" s="127"/>
      <c r="BM766" s="128"/>
      <c r="BN766" s="123"/>
      <c r="BO766" s="128"/>
      <c r="BP766" s="13"/>
      <c r="BQ766" s="129"/>
      <c r="BR766" s="123"/>
      <c r="BS766" s="130"/>
      <c r="BT766" s="13"/>
      <c r="BU766" s="123"/>
      <c r="BV766" s="131"/>
      <c r="DI766" s="121"/>
      <c r="DJ766" s="13"/>
      <c r="DK766" s="13"/>
      <c r="DL766" s="13"/>
      <c r="DM766" s="13"/>
      <c r="DN766" s="13"/>
      <c r="DO766" s="13"/>
      <c r="DW766" s="121"/>
      <c r="DX766" s="121"/>
      <c r="DY766" s="121"/>
      <c r="DZ766" s="121"/>
      <c r="EA766" s="121"/>
      <c r="EB766" s="121"/>
      <c r="EC766" s="121"/>
      <c r="ED766" s="121"/>
      <c r="EE766" s="121"/>
      <c r="EF766" s="121"/>
      <c r="EG766" s="123"/>
      <c r="EH766" s="127"/>
      <c r="EI766" s="125"/>
      <c r="EJ766" s="126"/>
      <c r="EK766" s="30"/>
      <c r="EL766" s="127"/>
      <c r="EM766" s="128"/>
      <c r="EN766" s="123"/>
      <c r="EO766" s="128"/>
      <c r="EP766" s="13"/>
      <c r="EQ766" s="129"/>
      <c r="ER766" s="123"/>
      <c r="ES766" s="130"/>
      <c r="ET766" s="13"/>
      <c r="EU766" s="123"/>
      <c r="EV766" s="131"/>
    </row>
    <row r="767" spans="35:152">
      <c r="AI767" s="121"/>
      <c r="AJ767" s="13"/>
      <c r="AK767" s="13"/>
      <c r="AL767" s="13"/>
      <c r="AM767" s="13"/>
      <c r="AN767" s="13"/>
      <c r="AO767" s="13"/>
      <c r="AW767" s="121"/>
      <c r="AX767" s="121"/>
      <c r="AY767" s="121"/>
      <c r="AZ767" s="121"/>
      <c r="BA767" s="121"/>
      <c r="BB767" s="121"/>
      <c r="BC767" s="121"/>
      <c r="BD767" s="121"/>
      <c r="BE767" s="121"/>
      <c r="BF767" s="121"/>
      <c r="BG767" s="123"/>
      <c r="BH767" s="127"/>
      <c r="BI767" s="125"/>
      <c r="BJ767" s="126"/>
      <c r="BK767" s="30"/>
      <c r="BL767" s="127"/>
      <c r="BM767" s="128"/>
      <c r="BN767" s="123"/>
      <c r="BO767" s="128"/>
      <c r="BP767" s="13"/>
      <c r="BQ767" s="129"/>
      <c r="BR767" s="123"/>
      <c r="BS767" s="130"/>
      <c r="BT767" s="13"/>
      <c r="BU767" s="123"/>
      <c r="BV767" s="131"/>
      <c r="DI767" s="121"/>
      <c r="DJ767" s="13"/>
      <c r="DK767" s="13"/>
      <c r="DL767" s="13"/>
      <c r="DM767" s="13"/>
      <c r="DN767" s="13"/>
      <c r="DO767" s="13"/>
      <c r="DW767" s="121"/>
      <c r="DX767" s="121"/>
      <c r="DY767" s="121"/>
      <c r="DZ767" s="121"/>
      <c r="EA767" s="121"/>
      <c r="EB767" s="121"/>
      <c r="EC767" s="121"/>
      <c r="ED767" s="121"/>
      <c r="EE767" s="121"/>
      <c r="EF767" s="121"/>
      <c r="EG767" s="123"/>
      <c r="EH767" s="127"/>
      <c r="EI767" s="125"/>
      <c r="EJ767" s="126"/>
      <c r="EK767" s="30"/>
      <c r="EL767" s="127"/>
      <c r="EM767" s="128"/>
      <c r="EN767" s="123"/>
      <c r="EO767" s="128"/>
      <c r="EP767" s="13"/>
      <c r="EQ767" s="129"/>
      <c r="ER767" s="123"/>
      <c r="ES767" s="130"/>
      <c r="ET767" s="13"/>
      <c r="EU767" s="123"/>
      <c r="EV767" s="131"/>
    </row>
    <row r="768" spans="35:152">
      <c r="AI768" s="121"/>
      <c r="AJ768" s="13"/>
      <c r="AK768" s="13"/>
      <c r="AL768" s="13"/>
      <c r="AM768" s="13"/>
      <c r="AN768" s="13"/>
      <c r="AO768" s="13"/>
      <c r="AW768" s="121"/>
      <c r="AX768" s="121"/>
      <c r="AY768" s="121"/>
      <c r="AZ768" s="121"/>
      <c r="BA768" s="121"/>
      <c r="BB768" s="121"/>
      <c r="BC768" s="121"/>
      <c r="BD768" s="121"/>
      <c r="BE768" s="121"/>
      <c r="BF768" s="121"/>
      <c r="BG768" s="123"/>
      <c r="BH768" s="127"/>
      <c r="BI768" s="125"/>
      <c r="BJ768" s="126"/>
      <c r="BK768" s="30"/>
      <c r="BL768" s="127"/>
      <c r="BM768" s="128"/>
      <c r="BN768" s="123"/>
      <c r="BO768" s="128"/>
      <c r="BP768" s="13"/>
      <c r="BQ768" s="129"/>
      <c r="BR768" s="123"/>
      <c r="BS768" s="130"/>
      <c r="BT768" s="13"/>
      <c r="BU768" s="123"/>
      <c r="BV768" s="131"/>
      <c r="DI768" s="121"/>
      <c r="DJ768" s="13"/>
      <c r="DK768" s="13"/>
      <c r="DL768" s="13"/>
      <c r="DM768" s="13"/>
      <c r="DN768" s="13"/>
      <c r="DO768" s="13"/>
      <c r="DW768" s="121"/>
      <c r="DX768" s="121"/>
      <c r="DY768" s="121"/>
      <c r="DZ768" s="121"/>
      <c r="EA768" s="121"/>
      <c r="EB768" s="121"/>
      <c r="EC768" s="121"/>
      <c r="ED768" s="121"/>
      <c r="EE768" s="121"/>
      <c r="EF768" s="121"/>
      <c r="EG768" s="123"/>
      <c r="EH768" s="127"/>
      <c r="EI768" s="125"/>
      <c r="EJ768" s="126"/>
      <c r="EK768" s="30"/>
      <c r="EL768" s="127"/>
      <c r="EM768" s="128"/>
      <c r="EN768" s="123"/>
      <c r="EO768" s="128"/>
      <c r="EP768" s="13"/>
      <c r="EQ768" s="129"/>
      <c r="ER768" s="123"/>
      <c r="ES768" s="130"/>
      <c r="ET768" s="13"/>
      <c r="EU768" s="123"/>
      <c r="EV768" s="131"/>
    </row>
    <row r="769" spans="35:152">
      <c r="AI769" s="121"/>
      <c r="AJ769" s="13"/>
      <c r="AK769" s="13"/>
      <c r="AL769" s="13"/>
      <c r="AM769" s="13"/>
      <c r="AN769" s="13"/>
      <c r="AO769" s="13"/>
      <c r="AW769" s="121"/>
      <c r="AX769" s="121"/>
      <c r="AY769" s="121"/>
      <c r="AZ769" s="121"/>
      <c r="BA769" s="121"/>
      <c r="BB769" s="121"/>
      <c r="BC769" s="121"/>
      <c r="BD769" s="121"/>
      <c r="BE769" s="121"/>
      <c r="BF769" s="121"/>
      <c r="BG769" s="123"/>
      <c r="BH769" s="127"/>
      <c r="BI769" s="125"/>
      <c r="BJ769" s="126"/>
      <c r="BK769" s="30"/>
      <c r="BL769" s="127"/>
      <c r="BM769" s="128"/>
      <c r="BN769" s="123"/>
      <c r="BO769" s="128"/>
      <c r="BP769" s="13"/>
      <c r="BQ769" s="129"/>
      <c r="BR769" s="123"/>
      <c r="BS769" s="130"/>
      <c r="BT769" s="13"/>
      <c r="BU769" s="123"/>
      <c r="BV769" s="131"/>
      <c r="DI769" s="121"/>
      <c r="DJ769" s="13"/>
      <c r="DK769" s="13"/>
      <c r="DL769" s="13"/>
      <c r="DM769" s="13"/>
      <c r="DN769" s="13"/>
      <c r="DO769" s="13"/>
      <c r="DW769" s="121"/>
      <c r="DX769" s="121"/>
      <c r="DY769" s="121"/>
      <c r="DZ769" s="121"/>
      <c r="EA769" s="121"/>
      <c r="EB769" s="121"/>
      <c r="EC769" s="121"/>
      <c r="ED769" s="121"/>
      <c r="EE769" s="121"/>
      <c r="EF769" s="121"/>
      <c r="EG769" s="123"/>
      <c r="EH769" s="127"/>
      <c r="EI769" s="125"/>
      <c r="EJ769" s="126"/>
      <c r="EK769" s="30"/>
      <c r="EL769" s="127"/>
      <c r="EM769" s="128"/>
      <c r="EN769" s="123"/>
      <c r="EO769" s="128"/>
      <c r="EP769" s="13"/>
      <c r="EQ769" s="129"/>
      <c r="ER769" s="123"/>
      <c r="ES769" s="130"/>
      <c r="ET769" s="13"/>
      <c r="EU769" s="123"/>
      <c r="EV769" s="131"/>
    </row>
    <row r="770" spans="35:152">
      <c r="AI770" s="121"/>
      <c r="AJ770" s="13"/>
      <c r="AK770" s="13"/>
      <c r="AL770" s="13"/>
      <c r="AM770" s="13"/>
      <c r="AN770" s="13"/>
      <c r="AO770" s="13"/>
      <c r="AW770" s="121"/>
      <c r="AX770" s="121"/>
      <c r="AY770" s="121"/>
      <c r="AZ770" s="121"/>
      <c r="BA770" s="121"/>
      <c r="BB770" s="121"/>
      <c r="BC770" s="121"/>
      <c r="BD770" s="121"/>
      <c r="BE770" s="121"/>
      <c r="BF770" s="121"/>
      <c r="BG770" s="123"/>
      <c r="BH770" s="127"/>
      <c r="BI770" s="125"/>
      <c r="BJ770" s="126"/>
      <c r="BK770" s="30"/>
      <c r="BL770" s="127"/>
      <c r="BM770" s="128"/>
      <c r="BN770" s="123"/>
      <c r="BO770" s="128"/>
      <c r="BP770" s="13"/>
      <c r="BQ770" s="129"/>
      <c r="BR770" s="123"/>
      <c r="BS770" s="130"/>
      <c r="BT770" s="13"/>
      <c r="BU770" s="123"/>
      <c r="BV770" s="131"/>
      <c r="DI770" s="121"/>
      <c r="DJ770" s="13"/>
      <c r="DK770" s="13"/>
      <c r="DL770" s="13"/>
      <c r="DM770" s="13"/>
      <c r="DN770" s="13"/>
      <c r="DO770" s="13"/>
      <c r="DW770" s="121"/>
      <c r="DX770" s="121"/>
      <c r="DY770" s="121"/>
      <c r="DZ770" s="121"/>
      <c r="EA770" s="121"/>
      <c r="EB770" s="121"/>
      <c r="EC770" s="121"/>
      <c r="ED770" s="121"/>
      <c r="EE770" s="121"/>
      <c r="EF770" s="121"/>
      <c r="EG770" s="123"/>
      <c r="EH770" s="127"/>
      <c r="EI770" s="125"/>
      <c r="EJ770" s="126"/>
      <c r="EK770" s="30"/>
      <c r="EL770" s="127"/>
      <c r="EM770" s="128"/>
      <c r="EN770" s="123"/>
      <c r="EO770" s="128"/>
      <c r="EP770" s="13"/>
      <c r="EQ770" s="129"/>
      <c r="ER770" s="123"/>
      <c r="ES770" s="130"/>
      <c r="ET770" s="13"/>
      <c r="EU770" s="123"/>
      <c r="EV770" s="131"/>
    </row>
    <row r="771" spans="35:152">
      <c r="AI771" s="121"/>
      <c r="AJ771" s="13"/>
      <c r="AK771" s="13"/>
      <c r="AL771" s="13"/>
      <c r="AM771" s="13"/>
      <c r="AN771" s="13"/>
      <c r="AO771" s="13"/>
      <c r="AW771" s="121"/>
      <c r="AX771" s="121"/>
      <c r="AY771" s="121"/>
      <c r="AZ771" s="121"/>
      <c r="BA771" s="121"/>
      <c r="BB771" s="121"/>
      <c r="BC771" s="121"/>
      <c r="BD771" s="121"/>
      <c r="BE771" s="121"/>
      <c r="BF771" s="121"/>
      <c r="BG771" s="123"/>
      <c r="BH771" s="127"/>
      <c r="BI771" s="125"/>
      <c r="BJ771" s="126"/>
      <c r="BK771" s="30"/>
      <c r="BL771" s="127"/>
      <c r="BM771" s="128"/>
      <c r="BN771" s="123"/>
      <c r="BO771" s="128"/>
      <c r="BP771" s="13"/>
      <c r="BQ771" s="129"/>
      <c r="BR771" s="123"/>
      <c r="BS771" s="130"/>
      <c r="BT771" s="13"/>
      <c r="BU771" s="123"/>
      <c r="BV771" s="131"/>
      <c r="DI771" s="121"/>
      <c r="DJ771" s="13"/>
      <c r="DK771" s="13"/>
      <c r="DL771" s="13"/>
      <c r="DM771" s="13"/>
      <c r="DN771" s="13"/>
      <c r="DO771" s="13"/>
      <c r="DW771" s="121"/>
      <c r="DX771" s="121"/>
      <c r="DY771" s="121"/>
      <c r="DZ771" s="121"/>
      <c r="EA771" s="121"/>
      <c r="EB771" s="121"/>
      <c r="EC771" s="121"/>
      <c r="ED771" s="121"/>
      <c r="EE771" s="121"/>
      <c r="EF771" s="121"/>
      <c r="EG771" s="123"/>
      <c r="EH771" s="127"/>
      <c r="EI771" s="125"/>
      <c r="EJ771" s="126"/>
      <c r="EK771" s="30"/>
      <c r="EL771" s="127"/>
      <c r="EM771" s="128"/>
      <c r="EN771" s="123"/>
      <c r="EO771" s="128"/>
      <c r="EP771" s="13"/>
      <c r="EQ771" s="129"/>
      <c r="ER771" s="123"/>
      <c r="ES771" s="130"/>
      <c r="ET771" s="13"/>
      <c r="EU771" s="123"/>
      <c r="EV771" s="131"/>
    </row>
    <row r="772" spans="35:152">
      <c r="AI772" s="121"/>
      <c r="AJ772" s="13"/>
      <c r="AK772" s="13"/>
      <c r="AL772" s="13"/>
      <c r="AM772" s="13"/>
      <c r="AN772" s="13"/>
      <c r="AO772" s="13"/>
      <c r="AW772" s="121"/>
      <c r="AX772" s="121"/>
      <c r="AY772" s="121"/>
      <c r="AZ772" s="121"/>
      <c r="BA772" s="121"/>
      <c r="BB772" s="121"/>
      <c r="BC772" s="121"/>
      <c r="BD772" s="121"/>
      <c r="BE772" s="121"/>
      <c r="BF772" s="121"/>
      <c r="BG772" s="123"/>
      <c r="BH772" s="127"/>
      <c r="BI772" s="125"/>
      <c r="BJ772" s="126"/>
      <c r="BK772" s="30"/>
      <c r="BL772" s="127"/>
      <c r="BM772" s="128"/>
      <c r="BN772" s="123"/>
      <c r="BO772" s="128"/>
      <c r="BP772" s="13"/>
      <c r="BQ772" s="129"/>
      <c r="BR772" s="123"/>
      <c r="BS772" s="130"/>
      <c r="BT772" s="13"/>
      <c r="BU772" s="123"/>
      <c r="BV772" s="131"/>
      <c r="DI772" s="121"/>
      <c r="DJ772" s="13"/>
      <c r="DK772" s="13"/>
      <c r="DL772" s="13"/>
      <c r="DM772" s="13"/>
      <c r="DN772" s="13"/>
      <c r="DO772" s="13"/>
      <c r="DW772" s="121"/>
      <c r="DX772" s="121"/>
      <c r="DY772" s="121"/>
      <c r="DZ772" s="121"/>
      <c r="EA772" s="121"/>
      <c r="EB772" s="121"/>
      <c r="EC772" s="121"/>
      <c r="ED772" s="121"/>
      <c r="EE772" s="121"/>
      <c r="EF772" s="121"/>
      <c r="EG772" s="123"/>
      <c r="EH772" s="127"/>
      <c r="EI772" s="125"/>
      <c r="EJ772" s="126"/>
      <c r="EK772" s="30"/>
      <c r="EL772" s="127"/>
      <c r="EM772" s="128"/>
      <c r="EN772" s="123"/>
      <c r="EO772" s="128"/>
      <c r="EP772" s="13"/>
      <c r="EQ772" s="129"/>
      <c r="ER772" s="123"/>
      <c r="ES772" s="130"/>
      <c r="ET772" s="13"/>
      <c r="EU772" s="123"/>
      <c r="EV772" s="131"/>
    </row>
    <row r="773" spans="35:152">
      <c r="AI773" s="121"/>
      <c r="AJ773" s="13"/>
      <c r="AK773" s="13"/>
      <c r="AL773" s="13"/>
      <c r="AM773" s="13"/>
      <c r="AN773" s="13"/>
      <c r="AO773" s="13"/>
      <c r="AW773" s="121"/>
      <c r="AX773" s="121"/>
      <c r="AY773" s="121"/>
      <c r="AZ773" s="121"/>
      <c r="BA773" s="121"/>
      <c r="BB773" s="121"/>
      <c r="BC773" s="121"/>
      <c r="BD773" s="121"/>
      <c r="BE773" s="121"/>
      <c r="BF773" s="121"/>
      <c r="BG773" s="123"/>
      <c r="BH773" s="127"/>
      <c r="BI773" s="125"/>
      <c r="BJ773" s="126"/>
      <c r="BK773" s="30"/>
      <c r="BL773" s="127"/>
      <c r="BM773" s="128"/>
      <c r="BN773" s="123"/>
      <c r="BO773" s="128"/>
      <c r="BP773" s="13"/>
      <c r="BQ773" s="129"/>
      <c r="BR773" s="123"/>
      <c r="BS773" s="130"/>
      <c r="BT773" s="13"/>
      <c r="BU773" s="123"/>
      <c r="BV773" s="131"/>
      <c r="DI773" s="121"/>
      <c r="DJ773" s="13"/>
      <c r="DK773" s="13"/>
      <c r="DL773" s="13"/>
      <c r="DM773" s="13"/>
      <c r="DN773" s="13"/>
      <c r="DO773" s="13"/>
      <c r="DW773" s="121"/>
      <c r="DX773" s="121"/>
      <c r="DY773" s="121"/>
      <c r="DZ773" s="121"/>
      <c r="EA773" s="121"/>
      <c r="EB773" s="121"/>
      <c r="EC773" s="121"/>
      <c r="ED773" s="121"/>
      <c r="EE773" s="121"/>
      <c r="EF773" s="121"/>
      <c r="EG773" s="123"/>
      <c r="EH773" s="127"/>
      <c r="EI773" s="125"/>
      <c r="EJ773" s="126"/>
      <c r="EK773" s="30"/>
      <c r="EL773" s="127"/>
      <c r="EM773" s="128"/>
      <c r="EN773" s="123"/>
      <c r="EO773" s="128"/>
      <c r="EP773" s="13"/>
      <c r="EQ773" s="129"/>
      <c r="ER773" s="123"/>
      <c r="ES773" s="130"/>
      <c r="ET773" s="13"/>
      <c r="EU773" s="123"/>
      <c r="EV773" s="131"/>
    </row>
    <row r="774" spans="35:152">
      <c r="AI774" s="121"/>
      <c r="AJ774" s="13"/>
      <c r="AK774" s="13"/>
      <c r="AL774" s="13"/>
      <c r="AM774" s="13"/>
      <c r="AN774" s="13"/>
      <c r="AO774" s="13"/>
      <c r="AW774" s="121"/>
      <c r="AX774" s="121"/>
      <c r="AY774" s="121"/>
      <c r="AZ774" s="121"/>
      <c r="BA774" s="121"/>
      <c r="BB774" s="121"/>
      <c r="BC774" s="121"/>
      <c r="BD774" s="121"/>
      <c r="BE774" s="121"/>
      <c r="BF774" s="121"/>
      <c r="BG774" s="123"/>
      <c r="BH774" s="127"/>
      <c r="BI774" s="125"/>
      <c r="BJ774" s="126"/>
      <c r="BK774" s="30"/>
      <c r="BL774" s="127"/>
      <c r="BM774" s="128"/>
      <c r="BN774" s="123"/>
      <c r="BO774" s="128"/>
      <c r="BP774" s="13"/>
      <c r="BQ774" s="129"/>
      <c r="BR774" s="123"/>
      <c r="BS774" s="130"/>
      <c r="BT774" s="13"/>
      <c r="BU774" s="123"/>
      <c r="BV774" s="131"/>
      <c r="DI774" s="121"/>
      <c r="DJ774" s="13"/>
      <c r="DK774" s="13"/>
      <c r="DL774" s="13"/>
      <c r="DM774" s="13"/>
      <c r="DN774" s="13"/>
      <c r="DO774" s="13"/>
      <c r="DW774" s="121"/>
      <c r="DX774" s="121"/>
      <c r="DY774" s="121"/>
      <c r="DZ774" s="121"/>
      <c r="EA774" s="121"/>
      <c r="EB774" s="121"/>
      <c r="EC774" s="121"/>
      <c r="ED774" s="121"/>
      <c r="EE774" s="121"/>
      <c r="EF774" s="121"/>
      <c r="EG774" s="123"/>
      <c r="EH774" s="127"/>
      <c r="EI774" s="125"/>
      <c r="EJ774" s="126"/>
      <c r="EK774" s="30"/>
      <c r="EL774" s="127"/>
      <c r="EM774" s="128"/>
      <c r="EN774" s="123"/>
      <c r="EO774" s="128"/>
      <c r="EP774" s="13"/>
      <c r="EQ774" s="129"/>
      <c r="ER774" s="123"/>
      <c r="ES774" s="130"/>
      <c r="ET774" s="13"/>
      <c r="EU774" s="123"/>
      <c r="EV774" s="131"/>
    </row>
    <row r="775" spans="35:152">
      <c r="AI775" s="121"/>
      <c r="AJ775" s="13"/>
      <c r="AK775" s="13"/>
      <c r="AL775" s="13"/>
      <c r="AM775" s="13"/>
      <c r="AN775" s="13"/>
      <c r="AO775" s="13"/>
      <c r="AW775" s="121"/>
      <c r="AX775" s="121"/>
      <c r="AY775" s="121"/>
      <c r="AZ775" s="121"/>
      <c r="BA775" s="121"/>
      <c r="BB775" s="121"/>
      <c r="BC775" s="121"/>
      <c r="BD775" s="121"/>
      <c r="BE775" s="121"/>
      <c r="BF775" s="121"/>
      <c r="BG775" s="123"/>
      <c r="BH775" s="127"/>
      <c r="BI775" s="125"/>
      <c r="BJ775" s="126"/>
      <c r="BK775" s="30"/>
      <c r="BL775" s="127"/>
      <c r="BM775" s="128"/>
      <c r="BN775" s="123"/>
      <c r="BO775" s="128"/>
      <c r="BP775" s="13"/>
      <c r="BQ775" s="129"/>
      <c r="BR775" s="123"/>
      <c r="BS775" s="130"/>
      <c r="BT775" s="13"/>
      <c r="BU775" s="123"/>
      <c r="BV775" s="131"/>
      <c r="DI775" s="121"/>
      <c r="DJ775" s="13"/>
      <c r="DK775" s="13"/>
      <c r="DL775" s="13"/>
      <c r="DM775" s="13"/>
      <c r="DN775" s="13"/>
      <c r="DO775" s="13"/>
      <c r="DW775" s="121"/>
      <c r="DX775" s="121"/>
      <c r="DY775" s="121"/>
      <c r="DZ775" s="121"/>
      <c r="EA775" s="121"/>
      <c r="EB775" s="121"/>
      <c r="EC775" s="121"/>
      <c r="ED775" s="121"/>
      <c r="EE775" s="121"/>
      <c r="EF775" s="121"/>
      <c r="EG775" s="123"/>
      <c r="EH775" s="127"/>
      <c r="EI775" s="125"/>
      <c r="EJ775" s="126"/>
      <c r="EK775" s="30"/>
      <c r="EL775" s="127"/>
      <c r="EM775" s="128"/>
      <c r="EN775" s="123"/>
      <c r="EO775" s="128"/>
      <c r="EP775" s="13"/>
      <c r="EQ775" s="129"/>
      <c r="ER775" s="123"/>
      <c r="ES775" s="130"/>
      <c r="ET775" s="13"/>
      <c r="EU775" s="123"/>
      <c r="EV775" s="131"/>
    </row>
    <row r="776" spans="35:152">
      <c r="AI776" s="121"/>
      <c r="AJ776" s="13"/>
      <c r="AK776" s="13"/>
      <c r="AL776" s="13"/>
      <c r="AM776" s="13"/>
      <c r="AN776" s="13"/>
      <c r="AO776" s="13"/>
      <c r="AW776" s="121"/>
      <c r="AX776" s="121"/>
      <c r="AY776" s="121"/>
      <c r="AZ776" s="121"/>
      <c r="BA776" s="121"/>
      <c r="BB776" s="121"/>
      <c r="BC776" s="121"/>
      <c r="BD776" s="121"/>
      <c r="BE776" s="121"/>
      <c r="BF776" s="121"/>
      <c r="BG776" s="123"/>
      <c r="BH776" s="127"/>
      <c r="BI776" s="125"/>
      <c r="BJ776" s="126"/>
      <c r="BK776" s="30"/>
      <c r="BL776" s="127"/>
      <c r="BM776" s="128"/>
      <c r="BN776" s="123"/>
      <c r="BO776" s="128"/>
      <c r="BP776" s="13"/>
      <c r="BQ776" s="129"/>
      <c r="BR776" s="123"/>
      <c r="BS776" s="130"/>
      <c r="BT776" s="13"/>
      <c r="BU776" s="123"/>
      <c r="BV776" s="131"/>
      <c r="DI776" s="121"/>
      <c r="DJ776" s="13"/>
      <c r="DK776" s="13"/>
      <c r="DL776" s="13"/>
      <c r="DM776" s="13"/>
      <c r="DN776" s="13"/>
      <c r="DO776" s="13"/>
      <c r="DW776" s="121"/>
      <c r="DX776" s="121"/>
      <c r="DY776" s="121"/>
      <c r="DZ776" s="121"/>
      <c r="EA776" s="121"/>
      <c r="EB776" s="121"/>
      <c r="EC776" s="121"/>
      <c r="ED776" s="121"/>
      <c r="EE776" s="121"/>
      <c r="EF776" s="121"/>
      <c r="EG776" s="123"/>
      <c r="EH776" s="127"/>
      <c r="EI776" s="125"/>
      <c r="EJ776" s="126"/>
      <c r="EK776" s="30"/>
      <c r="EL776" s="127"/>
      <c r="EM776" s="128"/>
      <c r="EN776" s="123"/>
      <c r="EO776" s="128"/>
      <c r="EP776" s="13"/>
      <c r="EQ776" s="129"/>
      <c r="ER776" s="123"/>
      <c r="ES776" s="130"/>
      <c r="ET776" s="13"/>
      <c r="EU776" s="123"/>
      <c r="EV776" s="131"/>
    </row>
    <row r="777" spans="35:152">
      <c r="AI777" s="121"/>
      <c r="AJ777" s="13"/>
      <c r="AK777" s="13"/>
      <c r="AL777" s="13"/>
      <c r="AM777" s="13"/>
      <c r="AN777" s="13"/>
      <c r="AO777" s="13"/>
      <c r="AW777" s="121"/>
      <c r="AX777" s="121"/>
      <c r="AY777" s="121"/>
      <c r="AZ777" s="121"/>
      <c r="BA777" s="121"/>
      <c r="BB777" s="121"/>
      <c r="BC777" s="121"/>
      <c r="BD777" s="121"/>
      <c r="BE777" s="121"/>
      <c r="BF777" s="121"/>
      <c r="BG777" s="123"/>
      <c r="BH777" s="127"/>
      <c r="BI777" s="125"/>
      <c r="BJ777" s="126"/>
      <c r="BK777" s="30"/>
      <c r="BL777" s="127"/>
      <c r="BM777" s="128"/>
      <c r="BN777" s="123"/>
      <c r="BO777" s="128"/>
      <c r="BP777" s="13"/>
      <c r="BQ777" s="129"/>
      <c r="BR777" s="123"/>
      <c r="BS777" s="130"/>
      <c r="BT777" s="13"/>
      <c r="BU777" s="123"/>
      <c r="BV777" s="131"/>
      <c r="DI777" s="121"/>
      <c r="DJ777" s="13"/>
      <c r="DK777" s="13"/>
      <c r="DL777" s="13"/>
      <c r="DM777" s="13"/>
      <c r="DN777" s="13"/>
      <c r="DO777" s="13"/>
      <c r="DW777" s="121"/>
      <c r="DX777" s="121"/>
      <c r="DY777" s="121"/>
      <c r="DZ777" s="121"/>
      <c r="EA777" s="121"/>
      <c r="EB777" s="121"/>
      <c r="EC777" s="121"/>
      <c r="ED777" s="121"/>
      <c r="EE777" s="121"/>
      <c r="EF777" s="121"/>
      <c r="EG777" s="123"/>
      <c r="EH777" s="127"/>
      <c r="EI777" s="125"/>
      <c r="EJ777" s="126"/>
      <c r="EK777" s="30"/>
      <c r="EL777" s="127"/>
      <c r="EM777" s="128"/>
      <c r="EN777" s="123"/>
      <c r="EO777" s="128"/>
      <c r="EP777" s="13"/>
      <c r="EQ777" s="129"/>
      <c r="ER777" s="123"/>
      <c r="ES777" s="130"/>
      <c r="ET777" s="13"/>
      <c r="EU777" s="123"/>
      <c r="EV777" s="131"/>
    </row>
    <row r="778" spans="35:152">
      <c r="AI778" s="121"/>
      <c r="AJ778" s="13"/>
      <c r="AK778" s="13"/>
      <c r="AL778" s="13"/>
      <c r="AM778" s="13"/>
      <c r="AN778" s="13"/>
      <c r="AO778" s="13"/>
      <c r="AW778" s="121"/>
      <c r="AX778" s="121"/>
      <c r="AY778" s="121"/>
      <c r="AZ778" s="121"/>
      <c r="BA778" s="121"/>
      <c r="BB778" s="121"/>
      <c r="BC778" s="121"/>
      <c r="BD778" s="121"/>
      <c r="BE778" s="121"/>
      <c r="BF778" s="121"/>
      <c r="BG778" s="123"/>
      <c r="BH778" s="127"/>
      <c r="BI778" s="125"/>
      <c r="BJ778" s="126"/>
      <c r="BK778" s="30"/>
      <c r="BL778" s="127"/>
      <c r="BM778" s="128"/>
      <c r="BN778" s="123"/>
      <c r="BO778" s="128"/>
      <c r="BP778" s="13"/>
      <c r="BQ778" s="129"/>
      <c r="BR778" s="123"/>
      <c r="BS778" s="130"/>
      <c r="BT778" s="13"/>
      <c r="BU778" s="123"/>
      <c r="BV778" s="131"/>
      <c r="DI778" s="121"/>
      <c r="DJ778" s="13"/>
      <c r="DK778" s="13"/>
      <c r="DL778" s="13"/>
      <c r="DM778" s="13"/>
      <c r="DN778" s="13"/>
      <c r="DO778" s="13"/>
      <c r="DW778" s="121"/>
      <c r="DX778" s="121"/>
      <c r="DY778" s="121"/>
      <c r="DZ778" s="121"/>
      <c r="EA778" s="121"/>
      <c r="EB778" s="121"/>
      <c r="EC778" s="121"/>
      <c r="ED778" s="121"/>
      <c r="EE778" s="121"/>
      <c r="EF778" s="121"/>
      <c r="EG778" s="123"/>
      <c r="EH778" s="127"/>
      <c r="EI778" s="125"/>
      <c r="EJ778" s="126"/>
      <c r="EK778" s="30"/>
      <c r="EL778" s="127"/>
      <c r="EM778" s="128"/>
      <c r="EN778" s="123"/>
      <c r="EO778" s="128"/>
      <c r="EP778" s="13"/>
      <c r="EQ778" s="129"/>
      <c r="ER778" s="123"/>
      <c r="ES778" s="130"/>
      <c r="ET778" s="13"/>
      <c r="EU778" s="123"/>
      <c r="EV778" s="131"/>
    </row>
    <row r="779" spans="35:152">
      <c r="AI779" s="121"/>
      <c r="AJ779" s="13"/>
      <c r="AK779" s="13"/>
      <c r="AL779" s="13"/>
      <c r="AM779" s="13"/>
      <c r="AN779" s="13"/>
      <c r="AO779" s="13"/>
      <c r="AW779" s="121"/>
      <c r="AX779" s="121"/>
      <c r="AY779" s="121"/>
      <c r="AZ779" s="121"/>
      <c r="BA779" s="121"/>
      <c r="BB779" s="121"/>
      <c r="BC779" s="121"/>
      <c r="BD779" s="121"/>
      <c r="BE779" s="121"/>
      <c r="BF779" s="121"/>
      <c r="BG779" s="123"/>
      <c r="BH779" s="127"/>
      <c r="BI779" s="125"/>
      <c r="BJ779" s="126"/>
      <c r="BK779" s="30"/>
      <c r="BL779" s="127"/>
      <c r="BM779" s="128"/>
      <c r="BN779" s="123"/>
      <c r="BO779" s="128"/>
      <c r="BP779" s="13"/>
      <c r="BQ779" s="129"/>
      <c r="BR779" s="123"/>
      <c r="BS779" s="130"/>
      <c r="BT779" s="13"/>
      <c r="BU779" s="123"/>
      <c r="BV779" s="131"/>
      <c r="DI779" s="121"/>
      <c r="DJ779" s="13"/>
      <c r="DK779" s="13"/>
      <c r="DL779" s="13"/>
      <c r="DM779" s="13"/>
      <c r="DN779" s="13"/>
      <c r="DO779" s="13"/>
      <c r="DW779" s="121"/>
      <c r="DX779" s="121"/>
      <c r="DY779" s="121"/>
      <c r="DZ779" s="121"/>
      <c r="EA779" s="121"/>
      <c r="EB779" s="121"/>
      <c r="EC779" s="121"/>
      <c r="ED779" s="121"/>
      <c r="EE779" s="121"/>
      <c r="EF779" s="121"/>
      <c r="EG779" s="123"/>
      <c r="EH779" s="127"/>
      <c r="EI779" s="125"/>
      <c r="EJ779" s="126"/>
      <c r="EK779" s="30"/>
      <c r="EL779" s="127"/>
      <c r="EM779" s="128"/>
      <c r="EN779" s="123"/>
      <c r="EO779" s="128"/>
      <c r="EP779" s="13"/>
      <c r="EQ779" s="129"/>
      <c r="ER779" s="123"/>
      <c r="ES779" s="130"/>
      <c r="ET779" s="13"/>
      <c r="EU779" s="123"/>
      <c r="EV779" s="131"/>
    </row>
    <row r="780" spans="35:152">
      <c r="AI780" s="121"/>
      <c r="AJ780" s="13"/>
      <c r="AK780" s="13"/>
      <c r="AL780" s="13"/>
      <c r="AM780" s="13"/>
      <c r="AN780" s="13"/>
      <c r="AO780" s="13"/>
      <c r="AW780" s="121"/>
      <c r="AX780" s="121"/>
      <c r="AY780" s="121"/>
      <c r="AZ780" s="121"/>
      <c r="BA780" s="121"/>
      <c r="BB780" s="121"/>
      <c r="BC780" s="121"/>
      <c r="BD780" s="121"/>
      <c r="BE780" s="121"/>
      <c r="BF780" s="121"/>
      <c r="BG780" s="123"/>
      <c r="BH780" s="127"/>
      <c r="BI780" s="125"/>
      <c r="BJ780" s="126"/>
      <c r="BK780" s="30"/>
      <c r="BL780" s="127"/>
      <c r="BM780" s="128"/>
      <c r="BN780" s="123"/>
      <c r="BO780" s="128"/>
      <c r="BP780" s="13"/>
      <c r="BQ780" s="129"/>
      <c r="BR780" s="123"/>
      <c r="BS780" s="130"/>
      <c r="BT780" s="13"/>
      <c r="BU780" s="123"/>
      <c r="BV780" s="131"/>
      <c r="DI780" s="121"/>
      <c r="DJ780" s="13"/>
      <c r="DK780" s="13"/>
      <c r="DL780" s="13"/>
      <c r="DM780" s="13"/>
      <c r="DN780" s="13"/>
      <c r="DO780" s="13"/>
      <c r="DW780" s="121"/>
      <c r="DX780" s="121"/>
      <c r="DY780" s="121"/>
      <c r="DZ780" s="121"/>
      <c r="EA780" s="121"/>
      <c r="EB780" s="121"/>
      <c r="EC780" s="121"/>
      <c r="ED780" s="121"/>
      <c r="EE780" s="121"/>
      <c r="EF780" s="121"/>
      <c r="EG780" s="123"/>
      <c r="EH780" s="127"/>
      <c r="EI780" s="125"/>
      <c r="EJ780" s="126"/>
      <c r="EK780" s="30"/>
      <c r="EL780" s="127"/>
      <c r="EM780" s="128"/>
      <c r="EN780" s="123"/>
      <c r="EO780" s="128"/>
      <c r="EP780" s="13"/>
      <c r="EQ780" s="129"/>
      <c r="ER780" s="123"/>
      <c r="ES780" s="130"/>
      <c r="ET780" s="13"/>
      <c r="EU780" s="123"/>
      <c r="EV780" s="131"/>
    </row>
    <row r="781" spans="35:152">
      <c r="AI781" s="121"/>
      <c r="AJ781" s="13"/>
      <c r="AK781" s="13"/>
      <c r="AL781" s="13"/>
      <c r="AM781" s="13"/>
      <c r="AN781" s="13"/>
      <c r="AO781" s="13"/>
      <c r="AW781" s="121"/>
      <c r="AX781" s="121"/>
      <c r="AY781" s="121"/>
      <c r="AZ781" s="121"/>
      <c r="BA781" s="121"/>
      <c r="BB781" s="121"/>
      <c r="BC781" s="121"/>
      <c r="BD781" s="121"/>
      <c r="BE781" s="121"/>
      <c r="BF781" s="121"/>
      <c r="BG781" s="123"/>
      <c r="BH781" s="127"/>
      <c r="BI781" s="125"/>
      <c r="BJ781" s="126"/>
      <c r="BK781" s="30"/>
      <c r="BL781" s="127"/>
      <c r="BM781" s="128"/>
      <c r="BN781" s="123"/>
      <c r="BO781" s="128"/>
      <c r="BP781" s="13"/>
      <c r="BQ781" s="129"/>
      <c r="BR781" s="123"/>
      <c r="BS781" s="130"/>
      <c r="BT781" s="13"/>
      <c r="BU781" s="123"/>
      <c r="BV781" s="131"/>
      <c r="DI781" s="121"/>
      <c r="DJ781" s="13"/>
      <c r="DK781" s="13"/>
      <c r="DL781" s="13"/>
      <c r="DM781" s="13"/>
      <c r="DN781" s="13"/>
      <c r="DO781" s="13"/>
      <c r="DW781" s="121"/>
      <c r="DX781" s="121"/>
      <c r="DY781" s="121"/>
      <c r="DZ781" s="121"/>
      <c r="EA781" s="121"/>
      <c r="EB781" s="121"/>
      <c r="EC781" s="121"/>
      <c r="ED781" s="121"/>
      <c r="EE781" s="121"/>
      <c r="EF781" s="121"/>
      <c r="EG781" s="123"/>
      <c r="EH781" s="127"/>
      <c r="EI781" s="125"/>
      <c r="EJ781" s="126"/>
      <c r="EK781" s="30"/>
      <c r="EL781" s="127"/>
      <c r="EM781" s="128"/>
      <c r="EN781" s="123"/>
      <c r="EO781" s="128"/>
      <c r="EP781" s="13"/>
      <c r="EQ781" s="129"/>
      <c r="ER781" s="123"/>
      <c r="ES781" s="130"/>
      <c r="ET781" s="13"/>
      <c r="EU781" s="123"/>
      <c r="EV781" s="131"/>
    </row>
    <row r="782" spans="35:152">
      <c r="AI782" s="121"/>
      <c r="AJ782" s="13"/>
      <c r="AK782" s="13"/>
      <c r="AL782" s="13"/>
      <c r="AM782" s="13"/>
      <c r="AN782" s="13"/>
      <c r="AO782" s="13"/>
      <c r="AW782" s="121"/>
      <c r="AX782" s="121"/>
      <c r="AY782" s="121"/>
      <c r="AZ782" s="121"/>
      <c r="BA782" s="121"/>
      <c r="BB782" s="121"/>
      <c r="BC782" s="121"/>
      <c r="BD782" s="121"/>
      <c r="BE782" s="121"/>
      <c r="BF782" s="121"/>
      <c r="BG782" s="123"/>
      <c r="BH782" s="127"/>
      <c r="BI782" s="125"/>
      <c r="BJ782" s="126"/>
      <c r="BK782" s="30"/>
      <c r="BL782" s="127"/>
      <c r="BM782" s="128"/>
      <c r="BN782" s="123"/>
      <c r="BO782" s="128"/>
      <c r="BP782" s="13"/>
      <c r="BQ782" s="129"/>
      <c r="BR782" s="123"/>
      <c r="BS782" s="130"/>
      <c r="BT782" s="13"/>
      <c r="BU782" s="123"/>
      <c r="BV782" s="131"/>
      <c r="DI782" s="121"/>
      <c r="DJ782" s="13"/>
      <c r="DK782" s="13"/>
      <c r="DL782" s="13"/>
      <c r="DM782" s="13"/>
      <c r="DN782" s="13"/>
      <c r="DO782" s="13"/>
      <c r="DW782" s="121"/>
      <c r="DX782" s="121"/>
      <c r="DY782" s="121"/>
      <c r="DZ782" s="121"/>
      <c r="EA782" s="121"/>
      <c r="EB782" s="121"/>
      <c r="EC782" s="121"/>
      <c r="ED782" s="121"/>
      <c r="EE782" s="121"/>
      <c r="EF782" s="121"/>
      <c r="EG782" s="123"/>
      <c r="EH782" s="127"/>
      <c r="EI782" s="125"/>
      <c r="EJ782" s="126"/>
      <c r="EK782" s="30"/>
      <c r="EL782" s="127"/>
      <c r="EM782" s="128"/>
      <c r="EN782" s="123"/>
      <c r="EO782" s="128"/>
      <c r="EP782" s="13"/>
      <c r="EQ782" s="129"/>
      <c r="ER782" s="123"/>
      <c r="ES782" s="130"/>
      <c r="ET782" s="13"/>
      <c r="EU782" s="123"/>
      <c r="EV782" s="131"/>
    </row>
    <row r="783" spans="35:152">
      <c r="AI783" s="121"/>
      <c r="AJ783" s="13"/>
      <c r="AK783" s="13"/>
      <c r="AL783" s="13"/>
      <c r="AM783" s="13"/>
      <c r="AN783" s="13"/>
      <c r="AO783" s="13"/>
      <c r="AW783" s="121"/>
      <c r="AX783" s="121"/>
      <c r="AY783" s="121"/>
      <c r="AZ783" s="121"/>
      <c r="BA783" s="121"/>
      <c r="BB783" s="121"/>
      <c r="BC783" s="121"/>
      <c r="BD783" s="121"/>
      <c r="BE783" s="121"/>
      <c r="BF783" s="121"/>
      <c r="BG783" s="123"/>
      <c r="BH783" s="127"/>
      <c r="BI783" s="125"/>
      <c r="BJ783" s="126"/>
      <c r="BK783" s="30"/>
      <c r="BL783" s="127"/>
      <c r="BM783" s="128"/>
      <c r="BN783" s="123"/>
      <c r="BO783" s="128"/>
      <c r="BP783" s="13"/>
      <c r="BQ783" s="129"/>
      <c r="BR783" s="123"/>
      <c r="BS783" s="130"/>
      <c r="BT783" s="13"/>
      <c r="BU783" s="123"/>
      <c r="BV783" s="131"/>
      <c r="DI783" s="121"/>
      <c r="DJ783" s="13"/>
      <c r="DK783" s="13"/>
      <c r="DL783" s="13"/>
      <c r="DM783" s="13"/>
      <c r="DN783" s="13"/>
      <c r="DO783" s="13"/>
      <c r="DW783" s="121"/>
      <c r="DX783" s="121"/>
      <c r="DY783" s="121"/>
      <c r="DZ783" s="121"/>
      <c r="EA783" s="121"/>
      <c r="EB783" s="121"/>
      <c r="EC783" s="121"/>
      <c r="ED783" s="121"/>
      <c r="EE783" s="121"/>
      <c r="EF783" s="121"/>
      <c r="EG783" s="123"/>
      <c r="EH783" s="127"/>
      <c r="EI783" s="125"/>
      <c r="EJ783" s="126"/>
      <c r="EK783" s="30"/>
      <c r="EL783" s="127"/>
      <c r="EM783" s="128"/>
      <c r="EN783" s="123"/>
      <c r="EO783" s="128"/>
      <c r="EP783" s="13"/>
      <c r="EQ783" s="129"/>
      <c r="ER783" s="123"/>
      <c r="ES783" s="130"/>
      <c r="ET783" s="13"/>
      <c r="EU783" s="123"/>
      <c r="EV783" s="131"/>
    </row>
    <row r="784" spans="35:152">
      <c r="AI784" s="121"/>
      <c r="AJ784" s="13"/>
      <c r="AK784" s="13"/>
      <c r="AL784" s="13"/>
      <c r="AM784" s="13"/>
      <c r="AN784" s="13"/>
      <c r="AO784" s="13"/>
      <c r="AW784" s="121"/>
      <c r="AX784" s="121"/>
      <c r="AY784" s="121"/>
      <c r="AZ784" s="121"/>
      <c r="BA784" s="121"/>
      <c r="BB784" s="121"/>
      <c r="BC784" s="121"/>
      <c r="BD784" s="121"/>
      <c r="BE784" s="121"/>
      <c r="BF784" s="121"/>
      <c r="BG784" s="123"/>
      <c r="BH784" s="127"/>
      <c r="BI784" s="125"/>
      <c r="BJ784" s="126"/>
      <c r="BK784" s="30"/>
      <c r="BL784" s="127"/>
      <c r="BM784" s="128"/>
      <c r="BN784" s="123"/>
      <c r="BO784" s="128"/>
      <c r="BP784" s="13"/>
      <c r="BQ784" s="129"/>
      <c r="BR784" s="123"/>
      <c r="BS784" s="130"/>
      <c r="BT784" s="13"/>
      <c r="BU784" s="123"/>
      <c r="BV784" s="131"/>
      <c r="DI784" s="121"/>
      <c r="DJ784" s="13"/>
      <c r="DK784" s="13"/>
      <c r="DL784" s="13"/>
      <c r="DM784" s="13"/>
      <c r="DN784" s="13"/>
      <c r="DO784" s="13"/>
      <c r="DW784" s="121"/>
      <c r="DX784" s="121"/>
      <c r="DY784" s="121"/>
      <c r="DZ784" s="121"/>
      <c r="EA784" s="121"/>
      <c r="EB784" s="121"/>
      <c r="EC784" s="121"/>
      <c r="ED784" s="121"/>
      <c r="EE784" s="121"/>
      <c r="EF784" s="121"/>
      <c r="EG784" s="123"/>
      <c r="EH784" s="127"/>
      <c r="EI784" s="125"/>
      <c r="EJ784" s="126"/>
      <c r="EK784" s="30"/>
      <c r="EL784" s="127"/>
      <c r="EM784" s="128"/>
      <c r="EN784" s="123"/>
      <c r="EO784" s="128"/>
      <c r="EP784" s="13"/>
      <c r="EQ784" s="129"/>
      <c r="ER784" s="123"/>
      <c r="ES784" s="130"/>
      <c r="ET784" s="13"/>
      <c r="EU784" s="123"/>
      <c r="EV784" s="131"/>
    </row>
    <row r="785" spans="35:152">
      <c r="AI785" s="121"/>
      <c r="AJ785" s="13"/>
      <c r="AK785" s="13"/>
      <c r="AL785" s="13"/>
      <c r="AM785" s="13"/>
      <c r="AN785" s="13"/>
      <c r="AO785" s="13"/>
      <c r="AW785" s="121"/>
      <c r="AX785" s="121"/>
      <c r="AY785" s="121"/>
      <c r="AZ785" s="121"/>
      <c r="BA785" s="121"/>
      <c r="BB785" s="121"/>
      <c r="BC785" s="121"/>
      <c r="BD785" s="121"/>
      <c r="BE785" s="121"/>
      <c r="BF785" s="121"/>
      <c r="BG785" s="123"/>
      <c r="BH785" s="127"/>
      <c r="BI785" s="125"/>
      <c r="BJ785" s="126"/>
      <c r="BK785" s="30"/>
      <c r="BL785" s="127"/>
      <c r="BM785" s="128"/>
      <c r="BN785" s="123"/>
      <c r="BO785" s="128"/>
      <c r="BP785" s="13"/>
      <c r="BQ785" s="129"/>
      <c r="BR785" s="123"/>
      <c r="BS785" s="130"/>
      <c r="BT785" s="13"/>
      <c r="BU785" s="123"/>
      <c r="BV785" s="131"/>
      <c r="DI785" s="121"/>
      <c r="DJ785" s="13"/>
      <c r="DK785" s="13"/>
      <c r="DL785" s="13"/>
      <c r="DM785" s="13"/>
      <c r="DN785" s="13"/>
      <c r="DO785" s="13"/>
      <c r="DW785" s="121"/>
      <c r="DX785" s="121"/>
      <c r="DY785" s="121"/>
      <c r="DZ785" s="121"/>
      <c r="EA785" s="121"/>
      <c r="EB785" s="121"/>
      <c r="EC785" s="121"/>
      <c r="ED785" s="121"/>
      <c r="EE785" s="121"/>
      <c r="EF785" s="121"/>
      <c r="EG785" s="123"/>
      <c r="EH785" s="127"/>
      <c r="EI785" s="125"/>
      <c r="EJ785" s="126"/>
      <c r="EK785" s="30"/>
      <c r="EL785" s="127"/>
      <c r="EM785" s="128"/>
      <c r="EN785" s="123"/>
      <c r="EO785" s="128"/>
      <c r="EP785" s="13"/>
      <c r="EQ785" s="129"/>
      <c r="ER785" s="123"/>
      <c r="ES785" s="130"/>
      <c r="ET785" s="13"/>
      <c r="EU785" s="123"/>
      <c r="EV785" s="131"/>
    </row>
    <row r="786" spans="35:152">
      <c r="AI786" s="121"/>
      <c r="AJ786" s="13"/>
      <c r="AK786" s="13"/>
      <c r="AL786" s="13"/>
      <c r="AM786" s="13"/>
      <c r="AN786" s="13"/>
      <c r="AO786" s="13"/>
      <c r="AW786" s="121"/>
      <c r="AX786" s="121"/>
      <c r="AY786" s="121"/>
      <c r="AZ786" s="121"/>
      <c r="BA786" s="121"/>
      <c r="BB786" s="121"/>
      <c r="BC786" s="121"/>
      <c r="BD786" s="121"/>
      <c r="BE786" s="121"/>
      <c r="BF786" s="121"/>
      <c r="BG786" s="123"/>
      <c r="BH786" s="127"/>
      <c r="BI786" s="125"/>
      <c r="BJ786" s="126"/>
      <c r="BK786" s="30"/>
      <c r="BL786" s="127"/>
      <c r="BM786" s="128"/>
      <c r="BN786" s="123"/>
      <c r="BO786" s="128"/>
      <c r="BP786" s="13"/>
      <c r="BQ786" s="129"/>
      <c r="BR786" s="123"/>
      <c r="BS786" s="130"/>
      <c r="BT786" s="13"/>
      <c r="BU786" s="123"/>
      <c r="BV786" s="131"/>
      <c r="DI786" s="121"/>
      <c r="DJ786" s="13"/>
      <c r="DK786" s="13"/>
      <c r="DL786" s="13"/>
      <c r="DM786" s="13"/>
      <c r="DN786" s="13"/>
      <c r="DO786" s="13"/>
      <c r="DW786" s="121"/>
      <c r="DX786" s="121"/>
      <c r="DY786" s="121"/>
      <c r="DZ786" s="121"/>
      <c r="EA786" s="121"/>
      <c r="EB786" s="121"/>
      <c r="EC786" s="121"/>
      <c r="ED786" s="121"/>
      <c r="EE786" s="121"/>
      <c r="EF786" s="121"/>
      <c r="EG786" s="123"/>
      <c r="EH786" s="127"/>
      <c r="EI786" s="125"/>
      <c r="EJ786" s="126"/>
      <c r="EK786" s="30"/>
      <c r="EL786" s="127"/>
      <c r="EM786" s="128"/>
      <c r="EN786" s="123"/>
      <c r="EO786" s="128"/>
      <c r="EP786" s="13"/>
      <c r="EQ786" s="129"/>
      <c r="ER786" s="123"/>
      <c r="ES786" s="130"/>
      <c r="ET786" s="13"/>
      <c r="EU786" s="123"/>
      <c r="EV786" s="131"/>
    </row>
    <row r="787" spans="35:152">
      <c r="AI787" s="121"/>
      <c r="AJ787" s="13"/>
      <c r="AK787" s="13"/>
      <c r="AL787" s="13"/>
      <c r="AM787" s="13"/>
      <c r="AN787" s="13"/>
      <c r="AO787" s="13"/>
      <c r="AW787" s="121"/>
      <c r="AX787" s="121"/>
      <c r="AY787" s="121"/>
      <c r="AZ787" s="121"/>
      <c r="BA787" s="121"/>
      <c r="BB787" s="121"/>
      <c r="BC787" s="121"/>
      <c r="BD787" s="121"/>
      <c r="BE787" s="121"/>
      <c r="BF787" s="121"/>
      <c r="BG787" s="123"/>
      <c r="BH787" s="127"/>
      <c r="BI787" s="125"/>
      <c r="BJ787" s="126"/>
      <c r="BK787" s="30"/>
      <c r="BL787" s="127"/>
      <c r="BM787" s="128"/>
      <c r="BN787" s="123"/>
      <c r="BO787" s="128"/>
      <c r="BP787" s="13"/>
      <c r="BQ787" s="129"/>
      <c r="BR787" s="123"/>
      <c r="BS787" s="130"/>
      <c r="BT787" s="13"/>
      <c r="BU787" s="123"/>
      <c r="BV787" s="131"/>
      <c r="DI787" s="121"/>
      <c r="DJ787" s="13"/>
      <c r="DK787" s="13"/>
      <c r="DL787" s="13"/>
      <c r="DM787" s="13"/>
      <c r="DN787" s="13"/>
      <c r="DO787" s="13"/>
      <c r="DW787" s="121"/>
      <c r="DX787" s="121"/>
      <c r="DY787" s="121"/>
      <c r="DZ787" s="121"/>
      <c r="EA787" s="121"/>
      <c r="EB787" s="121"/>
      <c r="EC787" s="121"/>
      <c r="ED787" s="121"/>
      <c r="EE787" s="121"/>
      <c r="EF787" s="121"/>
      <c r="EG787" s="123"/>
      <c r="EH787" s="127"/>
      <c r="EI787" s="125"/>
      <c r="EJ787" s="126"/>
      <c r="EK787" s="30"/>
      <c r="EL787" s="127"/>
      <c r="EM787" s="128"/>
      <c r="EN787" s="123"/>
      <c r="EO787" s="128"/>
      <c r="EP787" s="13"/>
      <c r="EQ787" s="129"/>
      <c r="ER787" s="123"/>
      <c r="ES787" s="130"/>
      <c r="ET787" s="13"/>
      <c r="EU787" s="123"/>
      <c r="EV787" s="131"/>
    </row>
    <row r="788" spans="35:152">
      <c r="AI788" s="121"/>
      <c r="AJ788" s="13"/>
      <c r="AK788" s="13"/>
      <c r="AL788" s="13"/>
      <c r="AM788" s="13"/>
      <c r="AN788" s="13"/>
      <c r="AO788" s="13"/>
      <c r="AW788" s="121"/>
      <c r="AX788" s="121"/>
      <c r="AY788" s="121"/>
      <c r="AZ788" s="121"/>
      <c r="BA788" s="121"/>
      <c r="BB788" s="121"/>
      <c r="BC788" s="121"/>
      <c r="BD788" s="121"/>
      <c r="BE788" s="121"/>
      <c r="BF788" s="121"/>
      <c r="BG788" s="123"/>
      <c r="BH788" s="127"/>
      <c r="BI788" s="125"/>
      <c r="BJ788" s="126"/>
      <c r="BK788" s="30"/>
      <c r="BL788" s="127"/>
      <c r="BM788" s="128"/>
      <c r="BN788" s="123"/>
      <c r="BO788" s="128"/>
      <c r="BP788" s="13"/>
      <c r="BQ788" s="129"/>
      <c r="BR788" s="123"/>
      <c r="BS788" s="130"/>
      <c r="BT788" s="13"/>
      <c r="BU788" s="123"/>
      <c r="BV788" s="131"/>
      <c r="DI788" s="121"/>
      <c r="DJ788" s="13"/>
      <c r="DK788" s="13"/>
      <c r="DL788" s="13"/>
      <c r="DM788" s="13"/>
      <c r="DN788" s="13"/>
      <c r="DO788" s="13"/>
      <c r="DW788" s="121"/>
      <c r="DX788" s="121"/>
      <c r="DY788" s="121"/>
      <c r="DZ788" s="121"/>
      <c r="EA788" s="121"/>
      <c r="EB788" s="121"/>
      <c r="EC788" s="121"/>
      <c r="ED788" s="121"/>
      <c r="EE788" s="121"/>
      <c r="EF788" s="121"/>
      <c r="EG788" s="123"/>
      <c r="EH788" s="127"/>
      <c r="EI788" s="125"/>
      <c r="EJ788" s="126"/>
      <c r="EK788" s="30"/>
      <c r="EL788" s="127"/>
      <c r="EM788" s="128"/>
      <c r="EN788" s="123"/>
      <c r="EO788" s="128"/>
      <c r="EP788" s="13"/>
      <c r="EQ788" s="129"/>
      <c r="ER788" s="123"/>
      <c r="ES788" s="130"/>
      <c r="ET788" s="13"/>
      <c r="EU788" s="123"/>
      <c r="EV788" s="131"/>
    </row>
    <row r="789" spans="35:152">
      <c r="AI789" s="121"/>
      <c r="AJ789" s="13"/>
      <c r="AK789" s="13"/>
      <c r="AL789" s="13"/>
      <c r="AM789" s="13"/>
      <c r="AN789" s="13"/>
      <c r="AO789" s="13"/>
      <c r="AW789" s="121"/>
      <c r="AX789" s="121"/>
      <c r="AY789" s="121"/>
      <c r="AZ789" s="121"/>
      <c r="BA789" s="121"/>
      <c r="BB789" s="121"/>
      <c r="BC789" s="121"/>
      <c r="BD789" s="121"/>
      <c r="BE789" s="121"/>
      <c r="BF789" s="121"/>
      <c r="BG789" s="123"/>
      <c r="BH789" s="127"/>
      <c r="BI789" s="125"/>
      <c r="BJ789" s="126"/>
      <c r="BK789" s="30"/>
      <c r="BL789" s="127"/>
      <c r="BM789" s="128"/>
      <c r="BN789" s="123"/>
      <c r="BO789" s="128"/>
      <c r="BP789" s="13"/>
      <c r="BQ789" s="129"/>
      <c r="BR789" s="123"/>
      <c r="BS789" s="130"/>
      <c r="BT789" s="13"/>
      <c r="BU789" s="123"/>
      <c r="BV789" s="131"/>
      <c r="DI789" s="121"/>
      <c r="DJ789" s="13"/>
      <c r="DK789" s="13"/>
      <c r="DL789" s="13"/>
      <c r="DM789" s="13"/>
      <c r="DN789" s="13"/>
      <c r="DO789" s="13"/>
      <c r="DW789" s="121"/>
      <c r="DX789" s="121"/>
      <c r="DY789" s="121"/>
      <c r="DZ789" s="121"/>
      <c r="EA789" s="121"/>
      <c r="EB789" s="121"/>
      <c r="EC789" s="121"/>
      <c r="ED789" s="121"/>
      <c r="EE789" s="121"/>
      <c r="EF789" s="121"/>
      <c r="EG789" s="123"/>
      <c r="EH789" s="127"/>
      <c r="EI789" s="125"/>
      <c r="EJ789" s="126"/>
      <c r="EK789" s="30"/>
      <c r="EL789" s="127"/>
      <c r="EM789" s="128"/>
      <c r="EN789" s="123"/>
      <c r="EO789" s="128"/>
      <c r="EP789" s="13"/>
      <c r="EQ789" s="129"/>
      <c r="ER789" s="123"/>
      <c r="ES789" s="130"/>
      <c r="ET789" s="13"/>
      <c r="EU789" s="123"/>
      <c r="EV789" s="131"/>
    </row>
    <row r="790" spans="35:152">
      <c r="AI790" s="121"/>
      <c r="AJ790" s="13"/>
      <c r="AK790" s="13"/>
      <c r="AL790" s="13"/>
      <c r="AM790" s="13"/>
      <c r="AN790" s="13"/>
      <c r="AO790" s="13"/>
      <c r="AW790" s="121"/>
      <c r="AX790" s="121"/>
      <c r="AY790" s="121"/>
      <c r="AZ790" s="121"/>
      <c r="BA790" s="121"/>
      <c r="BB790" s="121"/>
      <c r="BC790" s="121"/>
      <c r="BD790" s="121"/>
      <c r="BE790" s="121"/>
      <c r="BF790" s="121"/>
      <c r="BG790" s="123"/>
      <c r="BH790" s="127"/>
      <c r="BI790" s="125"/>
      <c r="BJ790" s="126"/>
      <c r="BK790" s="30"/>
      <c r="BL790" s="127"/>
      <c r="BM790" s="128"/>
      <c r="BN790" s="123"/>
      <c r="BO790" s="128"/>
      <c r="BP790" s="13"/>
      <c r="BQ790" s="129"/>
      <c r="BR790" s="123"/>
      <c r="BS790" s="130"/>
      <c r="BT790" s="13"/>
      <c r="BU790" s="123"/>
      <c r="BV790" s="131"/>
      <c r="DI790" s="121"/>
      <c r="DJ790" s="13"/>
      <c r="DK790" s="13"/>
      <c r="DL790" s="13"/>
      <c r="DM790" s="13"/>
      <c r="DN790" s="13"/>
      <c r="DO790" s="13"/>
      <c r="DW790" s="121"/>
      <c r="DX790" s="121"/>
      <c r="DY790" s="121"/>
      <c r="DZ790" s="121"/>
      <c r="EA790" s="121"/>
      <c r="EB790" s="121"/>
      <c r="EC790" s="121"/>
      <c r="ED790" s="121"/>
      <c r="EE790" s="121"/>
      <c r="EF790" s="121"/>
      <c r="EG790" s="123"/>
      <c r="EH790" s="127"/>
      <c r="EI790" s="125"/>
      <c r="EJ790" s="126"/>
      <c r="EK790" s="30"/>
      <c r="EL790" s="127"/>
      <c r="EM790" s="128"/>
      <c r="EN790" s="123"/>
      <c r="EO790" s="128"/>
      <c r="EP790" s="13"/>
      <c r="EQ790" s="129"/>
      <c r="ER790" s="123"/>
      <c r="ES790" s="130"/>
      <c r="ET790" s="13"/>
      <c r="EU790" s="123"/>
      <c r="EV790" s="131"/>
    </row>
    <row r="791" spans="35:152">
      <c r="AI791" s="121"/>
      <c r="AJ791" s="13"/>
      <c r="AK791" s="13"/>
      <c r="AL791" s="13"/>
      <c r="AM791" s="13"/>
      <c r="AN791" s="13"/>
      <c r="AO791" s="13"/>
      <c r="AW791" s="121"/>
      <c r="AX791" s="121"/>
      <c r="AY791" s="121"/>
      <c r="AZ791" s="121"/>
      <c r="BA791" s="121"/>
      <c r="BB791" s="121"/>
      <c r="BC791" s="121"/>
      <c r="BD791" s="121"/>
      <c r="BE791" s="121"/>
      <c r="BF791" s="121"/>
      <c r="BG791" s="123"/>
      <c r="BH791" s="127"/>
      <c r="BI791" s="125"/>
      <c r="BJ791" s="126"/>
      <c r="BK791" s="30"/>
      <c r="BL791" s="127"/>
      <c r="BM791" s="128"/>
      <c r="BN791" s="123"/>
      <c r="BO791" s="128"/>
      <c r="BP791" s="13"/>
      <c r="BQ791" s="129"/>
      <c r="BR791" s="123"/>
      <c r="BS791" s="130"/>
      <c r="BT791" s="13"/>
      <c r="BU791" s="123"/>
      <c r="BV791" s="131"/>
      <c r="DI791" s="121"/>
      <c r="DJ791" s="13"/>
      <c r="DK791" s="13"/>
      <c r="DL791" s="13"/>
      <c r="DM791" s="13"/>
      <c r="DN791" s="13"/>
      <c r="DO791" s="13"/>
      <c r="DW791" s="121"/>
      <c r="DX791" s="121"/>
      <c r="DY791" s="121"/>
      <c r="DZ791" s="121"/>
      <c r="EA791" s="121"/>
      <c r="EB791" s="121"/>
      <c r="EC791" s="121"/>
      <c r="ED791" s="121"/>
      <c r="EE791" s="121"/>
      <c r="EF791" s="121"/>
      <c r="EG791" s="123"/>
      <c r="EH791" s="127"/>
      <c r="EI791" s="125"/>
      <c r="EJ791" s="126"/>
      <c r="EK791" s="30"/>
      <c r="EL791" s="127"/>
      <c r="EM791" s="128"/>
      <c r="EN791" s="123"/>
      <c r="EO791" s="128"/>
      <c r="EP791" s="13"/>
      <c r="EQ791" s="129"/>
      <c r="ER791" s="123"/>
      <c r="ES791" s="130"/>
      <c r="ET791" s="13"/>
      <c r="EU791" s="123"/>
      <c r="EV791" s="131"/>
    </row>
    <row r="792" spans="35:152">
      <c r="AI792" s="121"/>
      <c r="AJ792" s="13"/>
      <c r="AK792" s="13"/>
      <c r="AL792" s="13"/>
      <c r="AM792" s="13"/>
      <c r="AN792" s="13"/>
      <c r="AO792" s="13"/>
      <c r="AW792" s="121"/>
      <c r="AX792" s="121"/>
      <c r="AY792" s="121"/>
      <c r="AZ792" s="121"/>
      <c r="BA792" s="121"/>
      <c r="BB792" s="121"/>
      <c r="BC792" s="121"/>
      <c r="BD792" s="121"/>
      <c r="BE792" s="121"/>
      <c r="BF792" s="121"/>
      <c r="BG792" s="123"/>
      <c r="BH792" s="127"/>
      <c r="BI792" s="125"/>
      <c r="BJ792" s="126"/>
      <c r="BK792" s="30"/>
      <c r="BL792" s="127"/>
      <c r="BM792" s="128"/>
      <c r="BN792" s="123"/>
      <c r="BO792" s="128"/>
      <c r="BP792" s="13"/>
      <c r="BQ792" s="129"/>
      <c r="BR792" s="123"/>
      <c r="BS792" s="130"/>
      <c r="BT792" s="13"/>
      <c r="BU792" s="123"/>
      <c r="BV792" s="131"/>
      <c r="DI792" s="121"/>
      <c r="DJ792" s="13"/>
      <c r="DK792" s="13"/>
      <c r="DL792" s="13"/>
      <c r="DM792" s="13"/>
      <c r="DN792" s="13"/>
      <c r="DO792" s="13"/>
      <c r="DW792" s="121"/>
      <c r="DX792" s="121"/>
      <c r="DY792" s="121"/>
      <c r="DZ792" s="121"/>
      <c r="EA792" s="121"/>
      <c r="EB792" s="121"/>
      <c r="EC792" s="121"/>
      <c r="ED792" s="121"/>
      <c r="EE792" s="121"/>
      <c r="EF792" s="121"/>
      <c r="EG792" s="123"/>
      <c r="EH792" s="127"/>
      <c r="EI792" s="125"/>
      <c r="EJ792" s="126"/>
      <c r="EK792" s="30"/>
      <c r="EL792" s="127"/>
      <c r="EM792" s="128"/>
      <c r="EN792" s="123"/>
      <c r="EO792" s="128"/>
      <c r="EP792" s="13"/>
      <c r="EQ792" s="129"/>
      <c r="ER792" s="123"/>
      <c r="ES792" s="130"/>
      <c r="ET792" s="13"/>
      <c r="EU792" s="123"/>
      <c r="EV792" s="131"/>
    </row>
    <row r="793" spans="35:152">
      <c r="AI793" s="121"/>
      <c r="AJ793" s="13"/>
      <c r="AK793" s="13"/>
      <c r="AL793" s="13"/>
      <c r="AM793" s="13"/>
      <c r="AN793" s="13"/>
      <c r="AO793" s="13"/>
      <c r="AW793" s="121"/>
      <c r="AX793" s="121"/>
      <c r="AY793" s="121"/>
      <c r="AZ793" s="121"/>
      <c r="BA793" s="121"/>
      <c r="BB793" s="121"/>
      <c r="BC793" s="121"/>
      <c r="BD793" s="121"/>
      <c r="BE793" s="121"/>
      <c r="BF793" s="121"/>
      <c r="BG793" s="123"/>
      <c r="BH793" s="127"/>
      <c r="BI793" s="125"/>
      <c r="BJ793" s="126"/>
      <c r="BK793" s="30"/>
      <c r="BL793" s="127"/>
      <c r="BM793" s="128"/>
      <c r="BN793" s="123"/>
      <c r="BO793" s="128"/>
      <c r="BP793" s="13"/>
      <c r="BQ793" s="129"/>
      <c r="BR793" s="123"/>
      <c r="BS793" s="130"/>
      <c r="BT793" s="13"/>
      <c r="BU793" s="123"/>
      <c r="BV793" s="131"/>
      <c r="DI793" s="121"/>
      <c r="DJ793" s="13"/>
      <c r="DK793" s="13"/>
      <c r="DL793" s="13"/>
      <c r="DM793" s="13"/>
      <c r="DN793" s="13"/>
      <c r="DO793" s="13"/>
      <c r="DW793" s="121"/>
      <c r="DX793" s="121"/>
      <c r="DY793" s="121"/>
      <c r="DZ793" s="121"/>
      <c r="EA793" s="121"/>
      <c r="EB793" s="121"/>
      <c r="EC793" s="121"/>
      <c r="ED793" s="121"/>
      <c r="EE793" s="121"/>
      <c r="EF793" s="121"/>
      <c r="EG793" s="123"/>
      <c r="EH793" s="127"/>
      <c r="EI793" s="125"/>
      <c r="EJ793" s="126"/>
      <c r="EK793" s="30"/>
      <c r="EL793" s="127"/>
      <c r="EM793" s="128"/>
      <c r="EN793" s="123"/>
      <c r="EO793" s="128"/>
      <c r="EP793" s="13"/>
      <c r="EQ793" s="129"/>
      <c r="ER793" s="123"/>
      <c r="ES793" s="130"/>
      <c r="ET793" s="13"/>
      <c r="EU793" s="123"/>
      <c r="EV793" s="131"/>
    </row>
    <row r="794" spans="35:152">
      <c r="AI794" s="121"/>
      <c r="AJ794" s="13"/>
      <c r="AK794" s="13"/>
      <c r="AL794" s="13"/>
      <c r="AM794" s="13"/>
      <c r="AN794" s="13"/>
      <c r="AO794" s="13"/>
      <c r="AW794" s="121"/>
      <c r="AX794" s="121"/>
      <c r="AY794" s="121"/>
      <c r="AZ794" s="121"/>
      <c r="BA794" s="121"/>
      <c r="BB794" s="121"/>
      <c r="BC794" s="121"/>
      <c r="BD794" s="121"/>
      <c r="BE794" s="121"/>
      <c r="BF794" s="121"/>
      <c r="BG794" s="123"/>
      <c r="BH794" s="127"/>
      <c r="BI794" s="125"/>
      <c r="BJ794" s="126"/>
      <c r="BK794" s="30"/>
      <c r="BL794" s="127"/>
      <c r="BM794" s="128"/>
      <c r="BN794" s="123"/>
      <c r="BO794" s="128"/>
      <c r="BP794" s="13"/>
      <c r="BQ794" s="129"/>
      <c r="BR794" s="123"/>
      <c r="BS794" s="130"/>
      <c r="BT794" s="13"/>
      <c r="BU794" s="123"/>
      <c r="BV794" s="131"/>
      <c r="DI794" s="121"/>
      <c r="DJ794" s="13"/>
      <c r="DK794" s="13"/>
      <c r="DL794" s="13"/>
      <c r="DM794" s="13"/>
      <c r="DN794" s="13"/>
      <c r="DO794" s="13"/>
      <c r="DW794" s="121"/>
      <c r="DX794" s="121"/>
      <c r="DY794" s="121"/>
      <c r="DZ794" s="121"/>
      <c r="EA794" s="121"/>
      <c r="EB794" s="121"/>
      <c r="EC794" s="121"/>
      <c r="ED794" s="121"/>
      <c r="EE794" s="121"/>
      <c r="EF794" s="121"/>
      <c r="EG794" s="123"/>
      <c r="EH794" s="127"/>
      <c r="EI794" s="125"/>
      <c r="EJ794" s="126"/>
      <c r="EK794" s="30"/>
      <c r="EL794" s="127"/>
      <c r="EM794" s="128"/>
      <c r="EN794" s="123"/>
      <c r="EO794" s="128"/>
      <c r="EP794" s="13"/>
      <c r="EQ794" s="129"/>
      <c r="ER794" s="123"/>
      <c r="ES794" s="130"/>
      <c r="ET794" s="13"/>
      <c r="EU794" s="123"/>
      <c r="EV794" s="131"/>
    </row>
    <row r="795" spans="35:152">
      <c r="AI795" s="121"/>
      <c r="AJ795" s="13"/>
      <c r="AK795" s="13"/>
      <c r="AL795" s="13"/>
      <c r="AM795" s="13"/>
      <c r="AN795" s="13"/>
      <c r="AO795" s="13"/>
      <c r="AW795" s="121"/>
      <c r="AX795" s="121"/>
      <c r="AY795" s="121"/>
      <c r="AZ795" s="121"/>
      <c r="BA795" s="121"/>
      <c r="BB795" s="121"/>
      <c r="BC795" s="121"/>
      <c r="BD795" s="121"/>
      <c r="BE795" s="121"/>
      <c r="BF795" s="121"/>
      <c r="BG795" s="123"/>
      <c r="BH795" s="127"/>
      <c r="BI795" s="125"/>
      <c r="BJ795" s="126"/>
      <c r="BK795" s="30"/>
      <c r="BL795" s="127"/>
      <c r="BM795" s="128"/>
      <c r="BN795" s="123"/>
      <c r="BO795" s="128"/>
      <c r="BP795" s="13"/>
      <c r="BQ795" s="129"/>
      <c r="BR795" s="123"/>
      <c r="BS795" s="130"/>
      <c r="BT795" s="13"/>
      <c r="BU795" s="123"/>
      <c r="BV795" s="131"/>
      <c r="DI795" s="121"/>
      <c r="DJ795" s="13"/>
      <c r="DK795" s="13"/>
      <c r="DL795" s="13"/>
      <c r="DM795" s="13"/>
      <c r="DN795" s="13"/>
      <c r="DO795" s="13"/>
      <c r="DW795" s="121"/>
      <c r="DX795" s="121"/>
      <c r="DY795" s="121"/>
      <c r="DZ795" s="121"/>
      <c r="EA795" s="121"/>
      <c r="EB795" s="121"/>
      <c r="EC795" s="121"/>
      <c r="ED795" s="121"/>
      <c r="EE795" s="121"/>
      <c r="EF795" s="121"/>
      <c r="EG795" s="123"/>
      <c r="EH795" s="127"/>
      <c r="EI795" s="125"/>
      <c r="EJ795" s="126"/>
      <c r="EK795" s="30"/>
      <c r="EL795" s="127"/>
      <c r="EM795" s="128"/>
      <c r="EN795" s="123"/>
      <c r="EO795" s="128"/>
      <c r="EP795" s="13"/>
      <c r="EQ795" s="129"/>
      <c r="ER795" s="123"/>
      <c r="ES795" s="130"/>
      <c r="ET795" s="13"/>
      <c r="EU795" s="123"/>
      <c r="EV795" s="131"/>
    </row>
    <row r="796" spans="35:152">
      <c r="AI796" s="121"/>
      <c r="AJ796" s="13"/>
      <c r="AK796" s="13"/>
      <c r="AL796" s="13"/>
      <c r="AM796" s="13"/>
      <c r="AN796" s="13"/>
      <c r="AO796" s="13"/>
      <c r="AW796" s="121"/>
      <c r="AX796" s="121"/>
      <c r="AY796" s="121"/>
      <c r="AZ796" s="121"/>
      <c r="BA796" s="121"/>
      <c r="BB796" s="121"/>
      <c r="BC796" s="121"/>
      <c r="BD796" s="121"/>
      <c r="BE796" s="121"/>
      <c r="BF796" s="121"/>
      <c r="BG796" s="123"/>
      <c r="BH796" s="127"/>
      <c r="BI796" s="125"/>
      <c r="BJ796" s="126"/>
      <c r="BK796" s="30"/>
      <c r="BL796" s="127"/>
      <c r="BM796" s="128"/>
      <c r="BN796" s="123"/>
      <c r="BO796" s="128"/>
      <c r="BP796" s="13"/>
      <c r="BQ796" s="129"/>
      <c r="BR796" s="123"/>
      <c r="BS796" s="130"/>
      <c r="BT796" s="13"/>
      <c r="BU796" s="123"/>
      <c r="BV796" s="131"/>
      <c r="DI796" s="121"/>
      <c r="DJ796" s="13"/>
      <c r="DK796" s="13"/>
      <c r="DL796" s="13"/>
      <c r="DM796" s="13"/>
      <c r="DN796" s="13"/>
      <c r="DO796" s="13"/>
      <c r="DW796" s="121"/>
      <c r="DX796" s="121"/>
      <c r="DY796" s="121"/>
      <c r="DZ796" s="121"/>
      <c r="EA796" s="121"/>
      <c r="EB796" s="121"/>
      <c r="EC796" s="121"/>
      <c r="ED796" s="121"/>
      <c r="EE796" s="121"/>
      <c r="EF796" s="121"/>
      <c r="EG796" s="123"/>
      <c r="EH796" s="127"/>
      <c r="EI796" s="125"/>
      <c r="EJ796" s="126"/>
      <c r="EK796" s="30"/>
      <c r="EL796" s="127"/>
      <c r="EM796" s="128"/>
      <c r="EN796" s="123"/>
      <c r="EO796" s="128"/>
      <c r="EP796" s="13"/>
      <c r="EQ796" s="129"/>
      <c r="ER796" s="123"/>
      <c r="ES796" s="130"/>
      <c r="ET796" s="13"/>
      <c r="EU796" s="123"/>
      <c r="EV796" s="131"/>
    </row>
    <row r="797" spans="35:152">
      <c r="AI797" s="121"/>
      <c r="AJ797" s="13"/>
      <c r="AK797" s="13"/>
      <c r="AL797" s="13"/>
      <c r="AM797" s="13"/>
      <c r="AN797" s="13"/>
      <c r="AO797" s="13"/>
      <c r="AW797" s="121"/>
      <c r="AX797" s="121"/>
      <c r="AY797" s="121"/>
      <c r="AZ797" s="121"/>
      <c r="BA797" s="121"/>
      <c r="BB797" s="121"/>
      <c r="BC797" s="121"/>
      <c r="BD797" s="121"/>
      <c r="BE797" s="121"/>
      <c r="BF797" s="121"/>
      <c r="BG797" s="123"/>
      <c r="BH797" s="127"/>
      <c r="BI797" s="125"/>
      <c r="BJ797" s="126"/>
      <c r="BK797" s="30"/>
      <c r="BL797" s="127"/>
      <c r="BM797" s="128"/>
      <c r="BN797" s="123"/>
      <c r="BO797" s="128"/>
      <c r="BP797" s="13"/>
      <c r="BQ797" s="129"/>
      <c r="BR797" s="123"/>
      <c r="BS797" s="130"/>
      <c r="BT797" s="13"/>
      <c r="BU797" s="123"/>
      <c r="BV797" s="131"/>
      <c r="DI797" s="121"/>
      <c r="DJ797" s="13"/>
      <c r="DK797" s="13"/>
      <c r="DL797" s="13"/>
      <c r="DM797" s="13"/>
      <c r="DN797" s="13"/>
      <c r="DO797" s="13"/>
      <c r="DW797" s="121"/>
      <c r="DX797" s="121"/>
      <c r="DY797" s="121"/>
      <c r="DZ797" s="121"/>
      <c r="EA797" s="121"/>
      <c r="EB797" s="121"/>
      <c r="EC797" s="121"/>
      <c r="ED797" s="121"/>
      <c r="EE797" s="121"/>
      <c r="EF797" s="121"/>
      <c r="EG797" s="123"/>
      <c r="EH797" s="127"/>
      <c r="EI797" s="125"/>
      <c r="EJ797" s="126"/>
      <c r="EK797" s="30"/>
      <c r="EL797" s="127"/>
      <c r="EM797" s="128"/>
      <c r="EN797" s="123"/>
      <c r="EO797" s="128"/>
      <c r="EP797" s="13"/>
      <c r="EQ797" s="129"/>
      <c r="ER797" s="123"/>
      <c r="ES797" s="130"/>
      <c r="ET797" s="13"/>
      <c r="EU797" s="123"/>
      <c r="EV797" s="131"/>
    </row>
    <row r="798" spans="35:152">
      <c r="AI798" s="121"/>
      <c r="AJ798" s="13"/>
      <c r="AK798" s="13"/>
      <c r="AL798" s="13"/>
      <c r="AM798" s="13"/>
      <c r="AN798" s="13"/>
      <c r="AO798" s="13"/>
      <c r="AW798" s="121"/>
      <c r="AX798" s="121"/>
      <c r="AY798" s="121"/>
      <c r="AZ798" s="121"/>
      <c r="BA798" s="121"/>
      <c r="BB798" s="121"/>
      <c r="BC798" s="121"/>
      <c r="BD798" s="121"/>
      <c r="BE798" s="121"/>
      <c r="BF798" s="121"/>
      <c r="BG798" s="123"/>
      <c r="BH798" s="127"/>
      <c r="BI798" s="125"/>
      <c r="BJ798" s="126"/>
      <c r="BK798" s="30"/>
      <c r="BL798" s="127"/>
      <c r="BM798" s="128"/>
      <c r="BN798" s="123"/>
      <c r="BO798" s="128"/>
      <c r="BP798" s="13"/>
      <c r="BQ798" s="129"/>
      <c r="BR798" s="123"/>
      <c r="BS798" s="130"/>
      <c r="BT798" s="13"/>
      <c r="BU798" s="123"/>
      <c r="BV798" s="131"/>
      <c r="DI798" s="121"/>
      <c r="DJ798" s="13"/>
      <c r="DK798" s="13"/>
      <c r="DL798" s="13"/>
      <c r="DM798" s="13"/>
      <c r="DN798" s="13"/>
      <c r="DO798" s="13"/>
      <c r="DW798" s="121"/>
      <c r="DX798" s="121"/>
      <c r="DY798" s="121"/>
      <c r="DZ798" s="121"/>
      <c r="EA798" s="121"/>
      <c r="EB798" s="121"/>
      <c r="EC798" s="121"/>
      <c r="ED798" s="121"/>
      <c r="EE798" s="121"/>
      <c r="EF798" s="121"/>
      <c r="EG798" s="123"/>
      <c r="EH798" s="127"/>
      <c r="EI798" s="125"/>
      <c r="EJ798" s="126"/>
      <c r="EK798" s="30"/>
      <c r="EL798" s="127"/>
      <c r="EM798" s="128"/>
      <c r="EN798" s="123"/>
      <c r="EO798" s="128"/>
      <c r="EP798" s="13"/>
      <c r="EQ798" s="129"/>
      <c r="ER798" s="123"/>
      <c r="ES798" s="130"/>
      <c r="ET798" s="13"/>
      <c r="EU798" s="123"/>
      <c r="EV798" s="131"/>
    </row>
    <row r="799" spans="35:152">
      <c r="AI799" s="121"/>
      <c r="AJ799" s="13"/>
      <c r="AK799" s="13"/>
      <c r="AL799" s="13"/>
      <c r="AM799" s="13"/>
      <c r="AN799" s="13"/>
      <c r="AO799" s="13"/>
      <c r="AW799" s="121"/>
      <c r="AX799" s="121"/>
      <c r="AY799" s="121"/>
      <c r="AZ799" s="121"/>
      <c r="BA799" s="121"/>
      <c r="BB799" s="121"/>
      <c r="BC799" s="121"/>
      <c r="BD799" s="121"/>
      <c r="BE799" s="121"/>
      <c r="BF799" s="121"/>
      <c r="BG799" s="123"/>
      <c r="BH799" s="127"/>
      <c r="BI799" s="125"/>
      <c r="BJ799" s="126"/>
      <c r="BK799" s="30"/>
      <c r="BL799" s="127"/>
      <c r="BM799" s="128"/>
      <c r="BN799" s="123"/>
      <c r="BO799" s="128"/>
      <c r="BP799" s="13"/>
      <c r="BQ799" s="129"/>
      <c r="BR799" s="123"/>
      <c r="BS799" s="130"/>
      <c r="BT799" s="13"/>
      <c r="BU799" s="123"/>
      <c r="BV799" s="131"/>
      <c r="DI799" s="121"/>
      <c r="DJ799" s="13"/>
      <c r="DK799" s="13"/>
      <c r="DL799" s="13"/>
      <c r="DM799" s="13"/>
      <c r="DN799" s="13"/>
      <c r="DO799" s="13"/>
      <c r="DW799" s="121"/>
      <c r="DX799" s="121"/>
      <c r="DY799" s="121"/>
      <c r="DZ799" s="121"/>
      <c r="EA799" s="121"/>
      <c r="EB799" s="121"/>
      <c r="EC799" s="121"/>
      <c r="ED799" s="121"/>
      <c r="EE799" s="121"/>
      <c r="EF799" s="121"/>
      <c r="EG799" s="123"/>
      <c r="EH799" s="127"/>
      <c r="EI799" s="125"/>
      <c r="EJ799" s="126"/>
      <c r="EK799" s="30"/>
      <c r="EL799" s="127"/>
      <c r="EM799" s="128"/>
      <c r="EN799" s="123"/>
      <c r="EO799" s="128"/>
      <c r="EP799" s="13"/>
      <c r="EQ799" s="129"/>
      <c r="ER799" s="123"/>
      <c r="ES799" s="130"/>
      <c r="ET799" s="13"/>
      <c r="EU799" s="123"/>
      <c r="EV799" s="131"/>
    </row>
    <row r="800" spans="35:152">
      <c r="AI800" s="121"/>
      <c r="AJ800" s="13"/>
      <c r="AK800" s="13"/>
      <c r="AL800" s="13"/>
      <c r="AM800" s="13"/>
      <c r="AN800" s="13"/>
      <c r="AO800" s="13"/>
      <c r="AW800" s="121"/>
      <c r="AX800" s="121"/>
      <c r="AY800" s="121"/>
      <c r="AZ800" s="121"/>
      <c r="BA800" s="121"/>
      <c r="BB800" s="121"/>
      <c r="BC800" s="121"/>
      <c r="BD800" s="121"/>
      <c r="BE800" s="121"/>
      <c r="BF800" s="121"/>
      <c r="BG800" s="123"/>
      <c r="BH800" s="127"/>
      <c r="BI800" s="125"/>
      <c r="BJ800" s="126"/>
      <c r="BK800" s="30"/>
      <c r="BL800" s="127"/>
      <c r="BM800" s="128"/>
      <c r="BN800" s="123"/>
      <c r="BO800" s="128"/>
      <c r="BP800" s="13"/>
      <c r="BQ800" s="129"/>
      <c r="BR800" s="123"/>
      <c r="BS800" s="130"/>
      <c r="BT800" s="13"/>
      <c r="BU800" s="123"/>
      <c r="BV800" s="131"/>
      <c r="DI800" s="121"/>
      <c r="DJ800" s="13"/>
      <c r="DK800" s="13"/>
      <c r="DL800" s="13"/>
      <c r="DM800" s="13"/>
      <c r="DN800" s="13"/>
      <c r="DO800" s="13"/>
      <c r="DW800" s="121"/>
      <c r="DX800" s="121"/>
      <c r="DY800" s="121"/>
      <c r="DZ800" s="121"/>
      <c r="EA800" s="121"/>
      <c r="EB800" s="121"/>
      <c r="EC800" s="121"/>
      <c r="ED800" s="121"/>
      <c r="EE800" s="121"/>
      <c r="EF800" s="121"/>
      <c r="EG800" s="123"/>
      <c r="EH800" s="127"/>
      <c r="EI800" s="125"/>
      <c r="EJ800" s="126"/>
      <c r="EK800" s="30"/>
      <c r="EL800" s="127"/>
      <c r="EM800" s="128"/>
      <c r="EN800" s="123"/>
      <c r="EO800" s="128"/>
      <c r="EP800" s="13"/>
      <c r="EQ800" s="129"/>
      <c r="ER800" s="123"/>
      <c r="ES800" s="130"/>
      <c r="ET800" s="13"/>
      <c r="EU800" s="123"/>
      <c r="EV800" s="131"/>
    </row>
    <row r="801" spans="35:152">
      <c r="AI801" s="121"/>
      <c r="AJ801" s="13"/>
      <c r="AK801" s="13"/>
      <c r="AL801" s="13"/>
      <c r="AM801" s="13"/>
      <c r="AN801" s="13"/>
      <c r="AO801" s="13"/>
      <c r="AW801" s="121"/>
      <c r="AX801" s="121"/>
      <c r="AY801" s="121"/>
      <c r="AZ801" s="121"/>
      <c r="BA801" s="121"/>
      <c r="BB801" s="121"/>
      <c r="BC801" s="121"/>
      <c r="BD801" s="121"/>
      <c r="BE801" s="121"/>
      <c r="BF801" s="121"/>
      <c r="BG801" s="123"/>
      <c r="BH801" s="127"/>
      <c r="BI801" s="125"/>
      <c r="BJ801" s="126"/>
      <c r="BK801" s="30"/>
      <c r="BL801" s="127"/>
      <c r="BM801" s="128"/>
      <c r="BN801" s="123"/>
      <c r="BO801" s="128"/>
      <c r="BP801" s="13"/>
      <c r="BQ801" s="129"/>
      <c r="BR801" s="123"/>
      <c r="BS801" s="130"/>
      <c r="BT801" s="13"/>
      <c r="BU801" s="123"/>
      <c r="BV801" s="131"/>
      <c r="DI801" s="121"/>
      <c r="DJ801" s="13"/>
      <c r="DK801" s="13"/>
      <c r="DL801" s="13"/>
      <c r="DM801" s="13"/>
      <c r="DN801" s="13"/>
      <c r="DO801" s="13"/>
      <c r="DW801" s="121"/>
      <c r="DX801" s="121"/>
      <c r="DY801" s="121"/>
      <c r="DZ801" s="121"/>
      <c r="EA801" s="121"/>
      <c r="EB801" s="121"/>
      <c r="EC801" s="121"/>
      <c r="ED801" s="121"/>
      <c r="EE801" s="121"/>
      <c r="EF801" s="121"/>
      <c r="EG801" s="123"/>
      <c r="EH801" s="127"/>
      <c r="EI801" s="125"/>
      <c r="EJ801" s="126"/>
      <c r="EK801" s="30"/>
      <c r="EL801" s="127"/>
      <c r="EM801" s="128"/>
      <c r="EN801" s="123"/>
      <c r="EO801" s="128"/>
      <c r="EP801" s="13"/>
      <c r="EQ801" s="129"/>
      <c r="ER801" s="123"/>
      <c r="ES801" s="130"/>
      <c r="ET801" s="13"/>
      <c r="EU801" s="123"/>
      <c r="EV801" s="131"/>
    </row>
    <row r="802" spans="35:152">
      <c r="AI802" s="121"/>
      <c r="AJ802" s="13"/>
      <c r="AK802" s="13"/>
      <c r="AL802" s="13"/>
      <c r="AM802" s="13"/>
      <c r="AN802" s="13"/>
      <c r="AO802" s="13"/>
      <c r="AW802" s="121"/>
      <c r="AX802" s="121"/>
      <c r="AY802" s="121"/>
      <c r="AZ802" s="121"/>
      <c r="BA802" s="121"/>
      <c r="BB802" s="121"/>
      <c r="BC802" s="121"/>
      <c r="BD802" s="121"/>
      <c r="BE802" s="121"/>
      <c r="BF802" s="121"/>
      <c r="BG802" s="123"/>
      <c r="BH802" s="127"/>
      <c r="BI802" s="125"/>
      <c r="BJ802" s="126"/>
      <c r="BK802" s="30"/>
      <c r="BL802" s="127"/>
      <c r="BM802" s="128"/>
      <c r="BN802" s="123"/>
      <c r="BO802" s="128"/>
      <c r="BP802" s="13"/>
      <c r="BQ802" s="129"/>
      <c r="BR802" s="123"/>
      <c r="BS802" s="130"/>
      <c r="BT802" s="13"/>
      <c r="BU802" s="123"/>
      <c r="BV802" s="131"/>
      <c r="DI802" s="121"/>
      <c r="DJ802" s="13"/>
      <c r="DK802" s="13"/>
      <c r="DL802" s="13"/>
      <c r="DM802" s="13"/>
      <c r="DN802" s="13"/>
      <c r="DO802" s="13"/>
      <c r="DW802" s="121"/>
      <c r="DX802" s="121"/>
      <c r="DY802" s="121"/>
      <c r="DZ802" s="121"/>
      <c r="EA802" s="121"/>
      <c r="EB802" s="121"/>
      <c r="EC802" s="121"/>
      <c r="ED802" s="121"/>
      <c r="EE802" s="121"/>
      <c r="EF802" s="121"/>
      <c r="EG802" s="123"/>
      <c r="EH802" s="127"/>
      <c r="EI802" s="125"/>
      <c r="EJ802" s="126"/>
      <c r="EK802" s="30"/>
      <c r="EL802" s="127"/>
      <c r="EM802" s="128"/>
      <c r="EN802" s="123"/>
      <c r="EO802" s="128"/>
      <c r="EP802" s="13"/>
      <c r="EQ802" s="129"/>
      <c r="ER802" s="123"/>
      <c r="ES802" s="130"/>
      <c r="ET802" s="13"/>
      <c r="EU802" s="123"/>
      <c r="EV802" s="131"/>
    </row>
    <row r="803" spans="35:152">
      <c r="AI803" s="121"/>
      <c r="AJ803" s="13"/>
      <c r="AK803" s="13"/>
      <c r="AL803" s="13"/>
      <c r="AM803" s="13"/>
      <c r="AN803" s="13"/>
      <c r="AO803" s="13"/>
      <c r="AW803" s="121"/>
      <c r="AX803" s="121"/>
      <c r="AY803" s="121"/>
      <c r="AZ803" s="121"/>
      <c r="BA803" s="121"/>
      <c r="BB803" s="121"/>
      <c r="BC803" s="121"/>
      <c r="BD803" s="121"/>
      <c r="BE803" s="121"/>
      <c r="BF803" s="121"/>
      <c r="BG803" s="123"/>
      <c r="BH803" s="127"/>
      <c r="BI803" s="125"/>
      <c r="BJ803" s="126"/>
      <c r="BK803" s="30"/>
      <c r="BL803" s="127"/>
      <c r="BM803" s="128"/>
      <c r="BN803" s="123"/>
      <c r="BO803" s="128"/>
      <c r="BP803" s="13"/>
      <c r="BQ803" s="129"/>
      <c r="BR803" s="123"/>
      <c r="BS803" s="130"/>
      <c r="BT803" s="13"/>
      <c r="BU803" s="123"/>
      <c r="BV803" s="131"/>
      <c r="DI803" s="121"/>
      <c r="DJ803" s="13"/>
      <c r="DK803" s="13"/>
      <c r="DL803" s="13"/>
      <c r="DM803" s="13"/>
      <c r="DN803" s="13"/>
      <c r="DO803" s="13"/>
      <c r="DW803" s="121"/>
      <c r="DX803" s="121"/>
      <c r="DY803" s="121"/>
      <c r="DZ803" s="121"/>
      <c r="EA803" s="121"/>
      <c r="EB803" s="121"/>
      <c r="EC803" s="121"/>
      <c r="ED803" s="121"/>
      <c r="EE803" s="121"/>
      <c r="EF803" s="121"/>
      <c r="EG803" s="123"/>
      <c r="EH803" s="127"/>
      <c r="EI803" s="125"/>
      <c r="EJ803" s="126"/>
      <c r="EK803" s="30"/>
      <c r="EL803" s="127"/>
      <c r="EM803" s="128"/>
      <c r="EN803" s="123"/>
      <c r="EO803" s="128"/>
      <c r="EP803" s="13"/>
      <c r="EQ803" s="129"/>
      <c r="ER803" s="123"/>
      <c r="ES803" s="130"/>
      <c r="ET803" s="13"/>
      <c r="EU803" s="123"/>
      <c r="EV803" s="131"/>
    </row>
    <row r="804" spans="35:152">
      <c r="AI804" s="121"/>
      <c r="AJ804" s="13"/>
      <c r="AK804" s="13"/>
      <c r="AL804" s="13"/>
      <c r="AM804" s="13"/>
      <c r="AN804" s="13"/>
      <c r="AO804" s="13"/>
      <c r="AW804" s="121"/>
      <c r="AX804" s="121"/>
      <c r="AY804" s="121"/>
      <c r="AZ804" s="121"/>
      <c r="BA804" s="121"/>
      <c r="BB804" s="121"/>
      <c r="BC804" s="121"/>
      <c r="BD804" s="121"/>
      <c r="BE804" s="121"/>
      <c r="BF804" s="121"/>
      <c r="BG804" s="123"/>
      <c r="BH804" s="127"/>
      <c r="BI804" s="125"/>
      <c r="BJ804" s="126"/>
      <c r="BK804" s="30"/>
      <c r="BL804" s="127"/>
      <c r="BM804" s="128"/>
      <c r="BN804" s="123"/>
      <c r="BO804" s="128"/>
      <c r="BP804" s="13"/>
      <c r="BQ804" s="129"/>
      <c r="BR804" s="123"/>
      <c r="BS804" s="130"/>
      <c r="BT804" s="13"/>
      <c r="BU804" s="123"/>
      <c r="BV804" s="131"/>
      <c r="DI804" s="121"/>
      <c r="DJ804" s="13"/>
      <c r="DK804" s="13"/>
      <c r="DL804" s="13"/>
      <c r="DM804" s="13"/>
      <c r="DN804" s="13"/>
      <c r="DO804" s="13"/>
      <c r="DW804" s="121"/>
      <c r="DX804" s="121"/>
      <c r="DY804" s="121"/>
      <c r="DZ804" s="121"/>
      <c r="EA804" s="121"/>
      <c r="EB804" s="121"/>
      <c r="EC804" s="121"/>
      <c r="ED804" s="121"/>
      <c r="EE804" s="121"/>
      <c r="EF804" s="121"/>
      <c r="EG804" s="123"/>
      <c r="EH804" s="127"/>
      <c r="EI804" s="125"/>
      <c r="EJ804" s="126"/>
      <c r="EK804" s="30"/>
      <c r="EL804" s="127"/>
      <c r="EM804" s="128"/>
      <c r="EN804" s="123"/>
      <c r="EO804" s="128"/>
      <c r="EP804" s="13"/>
      <c r="EQ804" s="129"/>
      <c r="ER804" s="123"/>
      <c r="ES804" s="130"/>
      <c r="ET804" s="13"/>
      <c r="EU804" s="123"/>
      <c r="EV804" s="131"/>
    </row>
    <row r="805" spans="35:152">
      <c r="AI805" s="121"/>
      <c r="AJ805" s="13"/>
      <c r="AK805" s="13"/>
      <c r="AL805" s="13"/>
      <c r="AM805" s="13"/>
      <c r="AN805" s="13"/>
      <c r="AO805" s="13"/>
      <c r="AW805" s="121"/>
      <c r="AX805" s="121"/>
      <c r="AY805" s="121"/>
      <c r="AZ805" s="121"/>
      <c r="BA805" s="121"/>
      <c r="BB805" s="121"/>
      <c r="BC805" s="121"/>
      <c r="BD805" s="121"/>
      <c r="BE805" s="121"/>
      <c r="BF805" s="121"/>
      <c r="BG805" s="123"/>
      <c r="BH805" s="127"/>
      <c r="BI805" s="125"/>
      <c r="BJ805" s="126"/>
      <c r="BK805" s="30"/>
      <c r="BL805" s="127"/>
      <c r="BM805" s="128"/>
      <c r="BN805" s="123"/>
      <c r="BO805" s="128"/>
      <c r="BP805" s="13"/>
      <c r="BQ805" s="129"/>
      <c r="BR805" s="123"/>
      <c r="BS805" s="130"/>
      <c r="BT805" s="13"/>
      <c r="BU805" s="123"/>
      <c r="BV805" s="131"/>
      <c r="DI805" s="121"/>
      <c r="DJ805" s="13"/>
      <c r="DK805" s="13"/>
      <c r="DL805" s="13"/>
      <c r="DM805" s="13"/>
      <c r="DN805" s="13"/>
      <c r="DO805" s="13"/>
      <c r="DW805" s="121"/>
      <c r="DX805" s="121"/>
      <c r="DY805" s="121"/>
      <c r="DZ805" s="121"/>
      <c r="EA805" s="121"/>
      <c r="EB805" s="121"/>
      <c r="EC805" s="121"/>
      <c r="ED805" s="121"/>
      <c r="EE805" s="121"/>
      <c r="EF805" s="121"/>
      <c r="EG805" s="123"/>
      <c r="EH805" s="127"/>
      <c r="EI805" s="125"/>
      <c r="EJ805" s="126"/>
      <c r="EK805" s="30"/>
      <c r="EL805" s="127"/>
      <c r="EM805" s="128"/>
      <c r="EN805" s="123"/>
      <c r="EO805" s="128"/>
      <c r="EP805" s="13"/>
      <c r="EQ805" s="129"/>
      <c r="ER805" s="123"/>
      <c r="ES805" s="130"/>
      <c r="ET805" s="13"/>
      <c r="EU805" s="123"/>
      <c r="EV805" s="131"/>
    </row>
    <row r="806" spans="35:152">
      <c r="AI806" s="121"/>
      <c r="AJ806" s="13"/>
      <c r="AK806" s="13"/>
      <c r="AL806" s="13"/>
      <c r="AM806" s="13"/>
      <c r="AN806" s="13"/>
      <c r="AO806" s="13"/>
      <c r="AW806" s="121"/>
      <c r="AX806" s="121"/>
      <c r="AY806" s="121"/>
      <c r="AZ806" s="121"/>
      <c r="BA806" s="121"/>
      <c r="BB806" s="121"/>
      <c r="BC806" s="121"/>
      <c r="BD806" s="121"/>
      <c r="BE806" s="121"/>
      <c r="BF806" s="121"/>
      <c r="BG806" s="123"/>
      <c r="BH806" s="127"/>
      <c r="BI806" s="125"/>
      <c r="BJ806" s="126"/>
      <c r="BK806" s="30"/>
      <c r="BL806" s="127"/>
      <c r="BM806" s="128"/>
      <c r="BN806" s="123"/>
      <c r="BO806" s="128"/>
      <c r="BP806" s="13"/>
      <c r="BQ806" s="129"/>
      <c r="BR806" s="123"/>
      <c r="BS806" s="130"/>
      <c r="BT806" s="13"/>
      <c r="BU806" s="123"/>
      <c r="BV806" s="131"/>
      <c r="DI806" s="121"/>
      <c r="DJ806" s="13"/>
      <c r="DK806" s="13"/>
      <c r="DL806" s="13"/>
      <c r="DM806" s="13"/>
      <c r="DN806" s="13"/>
      <c r="DO806" s="13"/>
      <c r="DW806" s="121"/>
      <c r="DX806" s="121"/>
      <c r="DY806" s="121"/>
      <c r="DZ806" s="121"/>
      <c r="EA806" s="121"/>
      <c r="EB806" s="121"/>
      <c r="EC806" s="121"/>
      <c r="ED806" s="121"/>
      <c r="EE806" s="121"/>
      <c r="EF806" s="121"/>
      <c r="EG806" s="123"/>
      <c r="EH806" s="127"/>
      <c r="EI806" s="125"/>
      <c r="EJ806" s="126"/>
      <c r="EK806" s="30"/>
      <c r="EL806" s="127"/>
      <c r="EM806" s="128"/>
      <c r="EN806" s="123"/>
      <c r="EO806" s="128"/>
      <c r="EP806" s="13"/>
      <c r="EQ806" s="129"/>
      <c r="ER806" s="123"/>
      <c r="ES806" s="130"/>
      <c r="ET806" s="13"/>
      <c r="EU806" s="123"/>
      <c r="EV806" s="131"/>
    </row>
    <row r="807" spans="35:152">
      <c r="AI807" s="121"/>
      <c r="AJ807" s="13"/>
      <c r="AK807" s="13"/>
      <c r="AL807" s="13"/>
      <c r="AM807" s="13"/>
      <c r="AN807" s="13"/>
      <c r="AO807" s="13"/>
      <c r="AW807" s="121"/>
      <c r="AX807" s="121"/>
      <c r="AY807" s="121"/>
      <c r="AZ807" s="121"/>
      <c r="BA807" s="121"/>
      <c r="BB807" s="121"/>
      <c r="BC807" s="121"/>
      <c r="BD807" s="121"/>
      <c r="BE807" s="121"/>
      <c r="BF807" s="121"/>
      <c r="BG807" s="123"/>
      <c r="BH807" s="127"/>
      <c r="BI807" s="125"/>
      <c r="BJ807" s="126"/>
      <c r="BK807" s="30"/>
      <c r="BL807" s="127"/>
      <c r="BM807" s="128"/>
      <c r="BN807" s="123"/>
      <c r="BO807" s="128"/>
      <c r="BP807" s="13"/>
      <c r="BQ807" s="129"/>
      <c r="BR807" s="123"/>
      <c r="BS807" s="130"/>
      <c r="BT807" s="13"/>
      <c r="BU807" s="123"/>
      <c r="BV807" s="131"/>
      <c r="DI807" s="121"/>
      <c r="DJ807" s="13"/>
      <c r="DK807" s="13"/>
      <c r="DL807" s="13"/>
      <c r="DM807" s="13"/>
      <c r="DN807" s="13"/>
      <c r="DO807" s="13"/>
      <c r="DW807" s="121"/>
      <c r="DX807" s="121"/>
      <c r="DY807" s="121"/>
      <c r="DZ807" s="121"/>
      <c r="EA807" s="121"/>
      <c r="EB807" s="121"/>
      <c r="EC807" s="121"/>
      <c r="ED807" s="121"/>
      <c r="EE807" s="121"/>
      <c r="EF807" s="121"/>
      <c r="EG807" s="123"/>
      <c r="EH807" s="127"/>
      <c r="EI807" s="125"/>
      <c r="EJ807" s="126"/>
      <c r="EK807" s="30"/>
      <c r="EL807" s="127"/>
      <c r="EM807" s="128"/>
      <c r="EN807" s="123"/>
      <c r="EO807" s="128"/>
      <c r="EP807" s="13"/>
      <c r="EQ807" s="129"/>
      <c r="ER807" s="123"/>
      <c r="ES807" s="130"/>
      <c r="ET807" s="13"/>
      <c r="EU807" s="123"/>
      <c r="EV807" s="131"/>
    </row>
    <row r="808" spans="35:152">
      <c r="AI808" s="121"/>
      <c r="AJ808" s="13"/>
      <c r="AK808" s="13"/>
      <c r="AL808" s="13"/>
      <c r="AM808" s="13"/>
      <c r="AN808" s="13"/>
      <c r="AO808" s="13"/>
      <c r="AW808" s="121"/>
      <c r="AX808" s="121"/>
      <c r="AY808" s="121"/>
      <c r="AZ808" s="121"/>
      <c r="BA808" s="121"/>
      <c r="BB808" s="121"/>
      <c r="BC808" s="121"/>
      <c r="BD808" s="121"/>
      <c r="BE808" s="121"/>
      <c r="BF808" s="121"/>
      <c r="BG808" s="123"/>
      <c r="BH808" s="127"/>
      <c r="BI808" s="125"/>
      <c r="BJ808" s="126"/>
      <c r="BK808" s="30"/>
      <c r="BL808" s="127"/>
      <c r="BM808" s="128"/>
      <c r="BN808" s="123"/>
      <c r="BO808" s="128"/>
      <c r="BP808" s="13"/>
      <c r="BQ808" s="129"/>
      <c r="BR808" s="123"/>
      <c r="BS808" s="130"/>
      <c r="BT808" s="13"/>
      <c r="BU808" s="123"/>
      <c r="BV808" s="131"/>
      <c r="DI808" s="121"/>
      <c r="DJ808" s="13"/>
      <c r="DK808" s="13"/>
      <c r="DL808" s="13"/>
      <c r="DM808" s="13"/>
      <c r="DN808" s="13"/>
      <c r="DO808" s="13"/>
      <c r="DW808" s="121"/>
      <c r="DX808" s="121"/>
      <c r="DY808" s="121"/>
      <c r="DZ808" s="121"/>
      <c r="EA808" s="121"/>
      <c r="EB808" s="121"/>
      <c r="EC808" s="121"/>
      <c r="ED808" s="121"/>
      <c r="EE808" s="121"/>
      <c r="EF808" s="121"/>
      <c r="EG808" s="123"/>
      <c r="EH808" s="127"/>
      <c r="EI808" s="125"/>
      <c r="EJ808" s="126"/>
      <c r="EK808" s="30"/>
      <c r="EL808" s="127"/>
      <c r="EM808" s="128"/>
      <c r="EN808" s="123"/>
      <c r="EO808" s="128"/>
      <c r="EP808" s="13"/>
      <c r="EQ808" s="129"/>
      <c r="ER808" s="123"/>
      <c r="ES808" s="130"/>
      <c r="ET808" s="13"/>
      <c r="EU808" s="123"/>
      <c r="EV808" s="131"/>
    </row>
    <row r="809" spans="35:152">
      <c r="AI809" s="121"/>
      <c r="AJ809" s="13"/>
      <c r="AK809" s="13"/>
      <c r="AL809" s="13"/>
      <c r="AM809" s="13"/>
      <c r="AN809" s="13"/>
      <c r="AO809" s="13"/>
      <c r="AW809" s="121"/>
      <c r="AX809" s="121"/>
      <c r="AY809" s="121"/>
      <c r="AZ809" s="121"/>
      <c r="BA809" s="121"/>
      <c r="BB809" s="121"/>
      <c r="BC809" s="121"/>
      <c r="BD809" s="121"/>
      <c r="BE809" s="121"/>
      <c r="BF809" s="121"/>
      <c r="BG809" s="123"/>
      <c r="BH809" s="127"/>
      <c r="BI809" s="125"/>
      <c r="BJ809" s="126"/>
      <c r="BK809" s="30"/>
      <c r="BL809" s="127"/>
      <c r="BM809" s="128"/>
      <c r="BN809" s="123"/>
      <c r="BO809" s="128"/>
      <c r="BP809" s="13"/>
      <c r="BQ809" s="129"/>
      <c r="BR809" s="123"/>
      <c r="BS809" s="130"/>
      <c r="BT809" s="13"/>
      <c r="BU809" s="123"/>
      <c r="BV809" s="131"/>
      <c r="DI809" s="121"/>
      <c r="DJ809" s="13"/>
      <c r="DK809" s="13"/>
      <c r="DL809" s="13"/>
      <c r="DM809" s="13"/>
      <c r="DN809" s="13"/>
      <c r="DO809" s="13"/>
      <c r="DW809" s="121"/>
      <c r="DX809" s="121"/>
      <c r="DY809" s="121"/>
      <c r="DZ809" s="121"/>
      <c r="EA809" s="121"/>
      <c r="EB809" s="121"/>
      <c r="EC809" s="121"/>
      <c r="ED809" s="121"/>
      <c r="EE809" s="121"/>
      <c r="EF809" s="121"/>
      <c r="EG809" s="123"/>
      <c r="EH809" s="127"/>
      <c r="EI809" s="125"/>
      <c r="EJ809" s="126"/>
      <c r="EK809" s="30"/>
      <c r="EL809" s="127"/>
      <c r="EM809" s="128"/>
      <c r="EN809" s="123"/>
      <c r="EO809" s="128"/>
      <c r="EP809" s="13"/>
      <c r="EQ809" s="129"/>
      <c r="ER809" s="123"/>
      <c r="ES809" s="130"/>
      <c r="ET809" s="13"/>
      <c r="EU809" s="123"/>
      <c r="EV809" s="131"/>
    </row>
    <row r="810" spans="35:152">
      <c r="AI810" s="121"/>
      <c r="AJ810" s="13"/>
      <c r="AK810" s="13"/>
      <c r="AL810" s="13"/>
      <c r="AM810" s="13"/>
      <c r="AN810" s="13"/>
      <c r="AO810" s="13"/>
      <c r="AW810" s="121"/>
      <c r="AX810" s="121"/>
      <c r="AY810" s="121"/>
      <c r="AZ810" s="121"/>
      <c r="BA810" s="121"/>
      <c r="BB810" s="121"/>
      <c r="BC810" s="121"/>
      <c r="BD810" s="121"/>
      <c r="BE810" s="121"/>
      <c r="BF810" s="121"/>
      <c r="BG810" s="123"/>
      <c r="BH810" s="127"/>
      <c r="BI810" s="125"/>
      <c r="BJ810" s="126"/>
      <c r="BK810" s="30"/>
      <c r="BL810" s="127"/>
      <c r="BM810" s="128"/>
      <c r="BN810" s="123"/>
      <c r="BO810" s="128"/>
      <c r="BP810" s="13"/>
      <c r="BQ810" s="129"/>
      <c r="BR810" s="123"/>
      <c r="BS810" s="130"/>
      <c r="BT810" s="13"/>
      <c r="BU810" s="123"/>
      <c r="BV810" s="131"/>
      <c r="DI810" s="121"/>
      <c r="DJ810" s="13"/>
      <c r="DK810" s="13"/>
      <c r="DL810" s="13"/>
      <c r="DM810" s="13"/>
      <c r="DN810" s="13"/>
      <c r="DO810" s="13"/>
      <c r="DW810" s="121"/>
      <c r="DX810" s="121"/>
      <c r="DY810" s="121"/>
      <c r="DZ810" s="121"/>
      <c r="EA810" s="121"/>
      <c r="EB810" s="121"/>
      <c r="EC810" s="121"/>
      <c r="ED810" s="121"/>
      <c r="EE810" s="121"/>
      <c r="EF810" s="121"/>
      <c r="EG810" s="123"/>
      <c r="EH810" s="127"/>
      <c r="EI810" s="125"/>
      <c r="EJ810" s="126"/>
      <c r="EK810" s="30"/>
      <c r="EL810" s="127"/>
      <c r="EM810" s="128"/>
      <c r="EN810" s="123"/>
      <c r="EO810" s="128"/>
      <c r="EP810" s="13"/>
      <c r="EQ810" s="129"/>
      <c r="ER810" s="123"/>
      <c r="ES810" s="130"/>
      <c r="ET810" s="13"/>
      <c r="EU810" s="123"/>
      <c r="EV810" s="131"/>
    </row>
    <row r="811" spans="35:152">
      <c r="AI811" s="121"/>
      <c r="AJ811" s="13"/>
      <c r="AK811" s="13"/>
      <c r="AL811" s="13"/>
      <c r="AM811" s="13"/>
      <c r="AN811" s="13"/>
      <c r="AO811" s="13"/>
      <c r="AW811" s="121"/>
      <c r="AX811" s="121"/>
      <c r="AY811" s="121"/>
      <c r="AZ811" s="121"/>
      <c r="BA811" s="121"/>
      <c r="BB811" s="121"/>
      <c r="BC811" s="121"/>
      <c r="BD811" s="121"/>
      <c r="BE811" s="121"/>
      <c r="BF811" s="121"/>
      <c r="BG811" s="123"/>
      <c r="BH811" s="127"/>
      <c r="BI811" s="125"/>
      <c r="BJ811" s="126"/>
      <c r="BK811" s="30"/>
      <c r="BL811" s="127"/>
      <c r="BM811" s="128"/>
      <c r="BN811" s="123"/>
      <c r="BO811" s="128"/>
      <c r="BP811" s="13"/>
      <c r="BQ811" s="129"/>
      <c r="BR811" s="123"/>
      <c r="BS811" s="130"/>
      <c r="BT811" s="13"/>
      <c r="BU811" s="123"/>
      <c r="BV811" s="131"/>
      <c r="DI811" s="121"/>
      <c r="DJ811" s="13"/>
      <c r="DK811" s="13"/>
      <c r="DL811" s="13"/>
      <c r="DM811" s="13"/>
      <c r="DN811" s="13"/>
      <c r="DO811" s="13"/>
      <c r="DW811" s="121"/>
      <c r="DX811" s="121"/>
      <c r="DY811" s="121"/>
      <c r="DZ811" s="121"/>
      <c r="EA811" s="121"/>
      <c r="EB811" s="121"/>
      <c r="EC811" s="121"/>
      <c r="ED811" s="121"/>
      <c r="EE811" s="121"/>
      <c r="EF811" s="121"/>
      <c r="EG811" s="123"/>
      <c r="EH811" s="127"/>
      <c r="EI811" s="125"/>
      <c r="EJ811" s="126"/>
      <c r="EK811" s="30"/>
      <c r="EL811" s="127"/>
      <c r="EM811" s="128"/>
      <c r="EN811" s="123"/>
      <c r="EO811" s="128"/>
      <c r="EP811" s="13"/>
      <c r="EQ811" s="129"/>
      <c r="ER811" s="123"/>
      <c r="ES811" s="130"/>
      <c r="ET811" s="13"/>
      <c r="EU811" s="123"/>
      <c r="EV811" s="131"/>
    </row>
    <row r="812" spans="35:152">
      <c r="AI812" s="121"/>
      <c r="AJ812" s="13"/>
      <c r="AK812" s="13"/>
      <c r="AL812" s="13"/>
      <c r="AM812" s="13"/>
      <c r="AN812" s="13"/>
      <c r="AO812" s="13"/>
      <c r="AW812" s="121"/>
      <c r="AX812" s="121"/>
      <c r="AY812" s="121"/>
      <c r="AZ812" s="121"/>
      <c r="BA812" s="121"/>
      <c r="BB812" s="121"/>
      <c r="BC812" s="121"/>
      <c r="BD812" s="121"/>
      <c r="BE812" s="121"/>
      <c r="BF812" s="121"/>
      <c r="BG812" s="123"/>
      <c r="BH812" s="127"/>
      <c r="BI812" s="125"/>
      <c r="BJ812" s="126"/>
      <c r="BK812" s="30"/>
      <c r="BL812" s="127"/>
      <c r="BM812" s="128"/>
      <c r="BN812" s="123"/>
      <c r="BO812" s="128"/>
      <c r="BP812" s="13"/>
      <c r="BQ812" s="129"/>
      <c r="BR812" s="123"/>
      <c r="BS812" s="130"/>
      <c r="BT812" s="13"/>
      <c r="BU812" s="123"/>
      <c r="BV812" s="131"/>
      <c r="DI812" s="121"/>
      <c r="DJ812" s="13"/>
      <c r="DK812" s="13"/>
      <c r="DL812" s="13"/>
      <c r="DM812" s="13"/>
      <c r="DN812" s="13"/>
      <c r="DO812" s="13"/>
      <c r="DW812" s="121"/>
      <c r="DX812" s="121"/>
      <c r="DY812" s="121"/>
      <c r="DZ812" s="121"/>
      <c r="EA812" s="121"/>
      <c r="EB812" s="121"/>
      <c r="EC812" s="121"/>
      <c r="ED812" s="121"/>
      <c r="EE812" s="121"/>
      <c r="EF812" s="121"/>
      <c r="EG812" s="123"/>
      <c r="EH812" s="127"/>
      <c r="EI812" s="125"/>
      <c r="EJ812" s="126"/>
      <c r="EK812" s="30"/>
      <c r="EL812" s="127"/>
      <c r="EM812" s="128"/>
      <c r="EN812" s="123"/>
      <c r="EO812" s="128"/>
      <c r="EP812" s="13"/>
      <c r="EQ812" s="129"/>
      <c r="ER812" s="123"/>
      <c r="ES812" s="130"/>
      <c r="ET812" s="13"/>
      <c r="EU812" s="123"/>
      <c r="EV812" s="131"/>
    </row>
    <row r="813" spans="35:152">
      <c r="AI813" s="121"/>
      <c r="AJ813" s="13"/>
      <c r="AK813" s="13"/>
      <c r="AL813" s="13"/>
      <c r="AM813" s="13"/>
      <c r="AN813" s="13"/>
      <c r="AO813" s="13"/>
      <c r="AW813" s="121"/>
      <c r="AX813" s="121"/>
      <c r="AY813" s="121"/>
      <c r="AZ813" s="121"/>
      <c r="BA813" s="121"/>
      <c r="BB813" s="121"/>
      <c r="BC813" s="121"/>
      <c r="BD813" s="121"/>
      <c r="BE813" s="121"/>
      <c r="BF813" s="121"/>
      <c r="BG813" s="123"/>
      <c r="BH813" s="127"/>
      <c r="BI813" s="125"/>
      <c r="BJ813" s="126"/>
      <c r="BK813" s="30"/>
      <c r="BL813" s="127"/>
      <c r="BM813" s="128"/>
      <c r="BN813" s="123"/>
      <c r="BO813" s="128"/>
      <c r="BP813" s="13"/>
      <c r="BQ813" s="129"/>
      <c r="BR813" s="123"/>
      <c r="BS813" s="130"/>
      <c r="BT813" s="13"/>
      <c r="BU813" s="123"/>
      <c r="BV813" s="131"/>
      <c r="DI813" s="121"/>
      <c r="DJ813" s="13"/>
      <c r="DK813" s="13"/>
      <c r="DL813" s="13"/>
      <c r="DM813" s="13"/>
      <c r="DN813" s="13"/>
      <c r="DO813" s="13"/>
      <c r="DW813" s="121"/>
      <c r="DX813" s="121"/>
      <c r="DY813" s="121"/>
      <c r="DZ813" s="121"/>
      <c r="EA813" s="121"/>
      <c r="EB813" s="121"/>
      <c r="EC813" s="121"/>
      <c r="ED813" s="121"/>
      <c r="EE813" s="121"/>
      <c r="EF813" s="121"/>
      <c r="EG813" s="123"/>
      <c r="EH813" s="127"/>
      <c r="EI813" s="125"/>
      <c r="EJ813" s="126"/>
      <c r="EK813" s="30"/>
      <c r="EL813" s="127"/>
      <c r="EM813" s="128"/>
      <c r="EN813" s="123"/>
      <c r="EO813" s="128"/>
      <c r="EP813" s="13"/>
      <c r="EQ813" s="129"/>
      <c r="ER813" s="123"/>
      <c r="ES813" s="130"/>
      <c r="ET813" s="13"/>
      <c r="EU813" s="123"/>
      <c r="EV813" s="131"/>
    </row>
    <row r="814" spans="35:152">
      <c r="AI814" s="121"/>
      <c r="AJ814" s="13"/>
      <c r="AK814" s="13"/>
      <c r="AL814" s="13"/>
      <c r="AM814" s="13"/>
      <c r="AN814" s="13"/>
      <c r="AO814" s="13"/>
      <c r="AW814" s="121"/>
      <c r="AX814" s="121"/>
      <c r="AY814" s="121"/>
      <c r="AZ814" s="121"/>
      <c r="BA814" s="121"/>
      <c r="BB814" s="121"/>
      <c r="BC814" s="121"/>
      <c r="BD814" s="121"/>
      <c r="BE814" s="121"/>
      <c r="BF814" s="121"/>
      <c r="BG814" s="123"/>
      <c r="BH814" s="127"/>
      <c r="BI814" s="125"/>
      <c r="BJ814" s="126"/>
      <c r="BK814" s="30"/>
      <c r="BL814" s="127"/>
      <c r="BM814" s="128"/>
      <c r="BN814" s="123"/>
      <c r="BO814" s="128"/>
      <c r="BP814" s="13"/>
      <c r="BQ814" s="129"/>
      <c r="BR814" s="123"/>
      <c r="BS814" s="130"/>
      <c r="BT814" s="13"/>
      <c r="BU814" s="123"/>
      <c r="BV814" s="131"/>
      <c r="DI814" s="121"/>
      <c r="DJ814" s="13"/>
      <c r="DK814" s="13"/>
      <c r="DL814" s="13"/>
      <c r="DM814" s="13"/>
      <c r="DN814" s="13"/>
      <c r="DO814" s="13"/>
      <c r="DW814" s="121"/>
      <c r="DX814" s="121"/>
      <c r="DY814" s="121"/>
      <c r="DZ814" s="121"/>
      <c r="EA814" s="121"/>
      <c r="EB814" s="121"/>
      <c r="EC814" s="121"/>
      <c r="ED814" s="121"/>
      <c r="EE814" s="121"/>
      <c r="EF814" s="121"/>
      <c r="EG814" s="123"/>
      <c r="EH814" s="127"/>
      <c r="EI814" s="125"/>
      <c r="EJ814" s="126"/>
      <c r="EK814" s="30"/>
      <c r="EL814" s="127"/>
      <c r="EM814" s="128"/>
      <c r="EN814" s="123"/>
      <c r="EO814" s="128"/>
      <c r="EP814" s="13"/>
      <c r="EQ814" s="129"/>
      <c r="ER814" s="123"/>
      <c r="ES814" s="130"/>
      <c r="ET814" s="13"/>
      <c r="EU814" s="123"/>
      <c r="EV814" s="131"/>
    </row>
    <row r="815" spans="35:152">
      <c r="AI815" s="121"/>
      <c r="AJ815" s="13"/>
      <c r="AK815" s="13"/>
      <c r="AL815" s="13"/>
      <c r="AM815" s="13"/>
      <c r="AN815" s="13"/>
      <c r="AO815" s="13"/>
      <c r="AW815" s="121"/>
      <c r="AX815" s="121"/>
      <c r="AY815" s="121"/>
      <c r="AZ815" s="121"/>
      <c r="BA815" s="121"/>
      <c r="BB815" s="121"/>
      <c r="BC815" s="121"/>
      <c r="BD815" s="121"/>
      <c r="BE815" s="121"/>
      <c r="BF815" s="121"/>
      <c r="BG815" s="123"/>
      <c r="BH815" s="127"/>
      <c r="BI815" s="125"/>
      <c r="BJ815" s="126"/>
      <c r="BK815" s="30"/>
      <c r="BL815" s="127"/>
      <c r="BM815" s="128"/>
      <c r="BN815" s="123"/>
      <c r="BO815" s="128"/>
      <c r="BP815" s="13"/>
      <c r="BQ815" s="129"/>
      <c r="BR815" s="123"/>
      <c r="BS815" s="130"/>
      <c r="BT815" s="13"/>
      <c r="BU815" s="123"/>
      <c r="BV815" s="131"/>
      <c r="DI815" s="121"/>
      <c r="DJ815" s="13"/>
      <c r="DK815" s="13"/>
      <c r="DL815" s="13"/>
      <c r="DM815" s="13"/>
      <c r="DN815" s="13"/>
      <c r="DO815" s="13"/>
      <c r="DW815" s="121"/>
      <c r="DX815" s="121"/>
      <c r="DY815" s="121"/>
      <c r="DZ815" s="121"/>
      <c r="EA815" s="121"/>
      <c r="EB815" s="121"/>
      <c r="EC815" s="121"/>
      <c r="ED815" s="121"/>
      <c r="EE815" s="121"/>
      <c r="EF815" s="121"/>
      <c r="EG815" s="123"/>
      <c r="EH815" s="127"/>
      <c r="EI815" s="125"/>
      <c r="EJ815" s="126"/>
      <c r="EK815" s="30"/>
      <c r="EL815" s="127"/>
      <c r="EM815" s="128"/>
      <c r="EN815" s="123"/>
      <c r="EO815" s="128"/>
      <c r="EP815" s="13"/>
      <c r="EQ815" s="129"/>
      <c r="ER815" s="123"/>
      <c r="ES815" s="130"/>
      <c r="ET815" s="13"/>
      <c r="EU815" s="123"/>
      <c r="EV815" s="131"/>
    </row>
    <row r="816" spans="35:152">
      <c r="AI816" s="121"/>
      <c r="AJ816" s="13"/>
      <c r="AK816" s="13"/>
      <c r="AL816" s="13"/>
      <c r="AM816" s="13"/>
      <c r="AN816" s="13"/>
      <c r="AO816" s="13"/>
      <c r="AW816" s="121"/>
      <c r="AX816" s="121"/>
      <c r="AY816" s="121"/>
      <c r="AZ816" s="121"/>
      <c r="BA816" s="121"/>
      <c r="BB816" s="121"/>
      <c r="BC816" s="121"/>
      <c r="BD816" s="121"/>
      <c r="BE816" s="121"/>
      <c r="BF816" s="121"/>
      <c r="BG816" s="123"/>
      <c r="BH816" s="127"/>
      <c r="BI816" s="125"/>
      <c r="BJ816" s="126"/>
      <c r="BK816" s="30"/>
      <c r="BL816" s="127"/>
      <c r="BM816" s="128"/>
      <c r="BN816" s="123"/>
      <c r="BO816" s="128"/>
      <c r="BP816" s="13"/>
      <c r="BQ816" s="129"/>
      <c r="BR816" s="123"/>
      <c r="BS816" s="130"/>
      <c r="BT816" s="13"/>
      <c r="BU816" s="123"/>
      <c r="BV816" s="131"/>
      <c r="DI816" s="121"/>
      <c r="DJ816" s="13"/>
      <c r="DK816" s="13"/>
      <c r="DL816" s="13"/>
      <c r="DM816" s="13"/>
      <c r="DN816" s="13"/>
      <c r="DO816" s="13"/>
      <c r="DW816" s="121"/>
      <c r="DX816" s="121"/>
      <c r="DY816" s="121"/>
      <c r="DZ816" s="121"/>
      <c r="EA816" s="121"/>
      <c r="EB816" s="121"/>
      <c r="EC816" s="121"/>
      <c r="ED816" s="121"/>
      <c r="EE816" s="121"/>
      <c r="EF816" s="121"/>
      <c r="EG816" s="123"/>
      <c r="EH816" s="127"/>
      <c r="EI816" s="125"/>
      <c r="EJ816" s="126"/>
      <c r="EK816" s="30"/>
      <c r="EL816" s="127"/>
      <c r="EM816" s="128"/>
      <c r="EN816" s="123"/>
      <c r="EO816" s="128"/>
      <c r="EP816" s="13"/>
      <c r="EQ816" s="129"/>
      <c r="ER816" s="123"/>
      <c r="ES816" s="130"/>
      <c r="ET816" s="13"/>
      <c r="EU816" s="123"/>
      <c r="EV816" s="131"/>
    </row>
    <row r="817" spans="35:152">
      <c r="AI817" s="121"/>
      <c r="AJ817" s="13"/>
      <c r="AK817" s="13"/>
      <c r="AL817" s="13"/>
      <c r="AM817" s="13"/>
      <c r="AN817" s="13"/>
      <c r="AO817" s="13"/>
      <c r="AW817" s="121"/>
      <c r="AX817" s="121"/>
      <c r="AY817" s="121"/>
      <c r="AZ817" s="121"/>
      <c r="BA817" s="121"/>
      <c r="BB817" s="121"/>
      <c r="BC817" s="121"/>
      <c r="BD817" s="121"/>
      <c r="BE817" s="121"/>
      <c r="BF817" s="121"/>
      <c r="BG817" s="123"/>
      <c r="BH817" s="127"/>
      <c r="BI817" s="125"/>
      <c r="BJ817" s="126"/>
      <c r="BK817" s="30"/>
      <c r="BL817" s="127"/>
      <c r="BM817" s="128"/>
      <c r="BN817" s="123"/>
      <c r="BO817" s="128"/>
      <c r="BP817" s="13"/>
      <c r="BQ817" s="129"/>
      <c r="BR817" s="123"/>
      <c r="BS817" s="130"/>
      <c r="BT817" s="13"/>
      <c r="BU817" s="123"/>
      <c r="BV817" s="131"/>
      <c r="DI817" s="121"/>
      <c r="DJ817" s="13"/>
      <c r="DK817" s="13"/>
      <c r="DL817" s="13"/>
      <c r="DM817" s="13"/>
      <c r="DN817" s="13"/>
      <c r="DO817" s="13"/>
      <c r="DW817" s="121"/>
      <c r="DX817" s="121"/>
      <c r="DY817" s="121"/>
      <c r="DZ817" s="121"/>
      <c r="EA817" s="121"/>
      <c r="EB817" s="121"/>
      <c r="EC817" s="121"/>
      <c r="ED817" s="121"/>
      <c r="EE817" s="121"/>
      <c r="EF817" s="121"/>
      <c r="EG817" s="123"/>
      <c r="EH817" s="127"/>
      <c r="EI817" s="125"/>
      <c r="EJ817" s="126"/>
      <c r="EK817" s="30"/>
      <c r="EL817" s="127"/>
      <c r="EM817" s="128"/>
      <c r="EN817" s="123"/>
      <c r="EO817" s="128"/>
      <c r="EP817" s="13"/>
      <c r="EQ817" s="129"/>
      <c r="ER817" s="123"/>
      <c r="ES817" s="130"/>
      <c r="ET817" s="13"/>
      <c r="EU817" s="123"/>
      <c r="EV817" s="131"/>
    </row>
    <row r="818" spans="35:152">
      <c r="AI818" s="121"/>
      <c r="AJ818" s="13"/>
      <c r="AK818" s="13"/>
      <c r="AL818" s="13"/>
      <c r="AM818" s="13"/>
      <c r="AN818" s="13"/>
      <c r="AO818" s="13"/>
      <c r="AW818" s="121"/>
      <c r="AX818" s="121"/>
      <c r="AY818" s="121"/>
      <c r="AZ818" s="121"/>
      <c r="BA818" s="121"/>
      <c r="BB818" s="121"/>
      <c r="BC818" s="121"/>
      <c r="BD818" s="121"/>
      <c r="BE818" s="121"/>
      <c r="BF818" s="121"/>
      <c r="BG818" s="123"/>
      <c r="BH818" s="127"/>
      <c r="BI818" s="125"/>
      <c r="BJ818" s="126"/>
      <c r="BK818" s="30"/>
      <c r="BL818" s="127"/>
      <c r="BM818" s="128"/>
      <c r="BN818" s="123"/>
      <c r="BO818" s="128"/>
      <c r="BP818" s="13"/>
      <c r="BQ818" s="129"/>
      <c r="BR818" s="123"/>
      <c r="BS818" s="130"/>
      <c r="BT818" s="13"/>
      <c r="BU818" s="123"/>
      <c r="BV818" s="131"/>
      <c r="DI818" s="121"/>
      <c r="DJ818" s="13"/>
      <c r="DK818" s="13"/>
      <c r="DL818" s="13"/>
      <c r="DM818" s="13"/>
      <c r="DN818" s="13"/>
      <c r="DO818" s="13"/>
      <c r="DW818" s="121"/>
      <c r="DX818" s="121"/>
      <c r="DY818" s="121"/>
      <c r="DZ818" s="121"/>
      <c r="EA818" s="121"/>
      <c r="EB818" s="121"/>
      <c r="EC818" s="121"/>
      <c r="ED818" s="121"/>
      <c r="EE818" s="121"/>
      <c r="EF818" s="121"/>
      <c r="EG818" s="123"/>
      <c r="EH818" s="127"/>
      <c r="EI818" s="125"/>
      <c r="EJ818" s="126"/>
      <c r="EK818" s="30"/>
      <c r="EL818" s="127"/>
      <c r="EM818" s="128"/>
      <c r="EN818" s="123"/>
      <c r="EO818" s="128"/>
      <c r="EP818" s="13"/>
      <c r="EQ818" s="129"/>
      <c r="ER818" s="123"/>
      <c r="ES818" s="130"/>
      <c r="ET818" s="13"/>
      <c r="EU818" s="123"/>
      <c r="EV818" s="131"/>
    </row>
    <row r="819" spans="35:152">
      <c r="AI819" s="121"/>
      <c r="AJ819" s="13"/>
      <c r="AK819" s="13"/>
      <c r="AL819" s="13"/>
      <c r="AM819" s="13"/>
      <c r="AN819" s="13"/>
      <c r="AO819" s="13"/>
      <c r="AW819" s="121"/>
      <c r="AX819" s="121"/>
      <c r="AY819" s="121"/>
      <c r="AZ819" s="121"/>
      <c r="BA819" s="121"/>
      <c r="BB819" s="121"/>
      <c r="BC819" s="121"/>
      <c r="BD819" s="121"/>
      <c r="BE819" s="121"/>
      <c r="BF819" s="121"/>
      <c r="BG819" s="123"/>
      <c r="BH819" s="127"/>
      <c r="BI819" s="125"/>
      <c r="BJ819" s="126"/>
      <c r="BK819" s="30"/>
      <c r="BL819" s="127"/>
      <c r="BM819" s="128"/>
      <c r="BN819" s="123"/>
      <c r="BO819" s="128"/>
      <c r="BP819" s="13"/>
      <c r="BQ819" s="129"/>
      <c r="BR819" s="123"/>
      <c r="BS819" s="130"/>
      <c r="BT819" s="13"/>
      <c r="BU819" s="123"/>
      <c r="BV819" s="131"/>
      <c r="DI819" s="121"/>
      <c r="DJ819" s="13"/>
      <c r="DK819" s="13"/>
      <c r="DL819" s="13"/>
      <c r="DM819" s="13"/>
      <c r="DN819" s="13"/>
      <c r="DO819" s="13"/>
      <c r="DW819" s="121"/>
      <c r="DX819" s="121"/>
      <c r="DY819" s="121"/>
      <c r="DZ819" s="121"/>
      <c r="EA819" s="121"/>
      <c r="EB819" s="121"/>
      <c r="EC819" s="121"/>
      <c r="ED819" s="121"/>
      <c r="EE819" s="121"/>
      <c r="EF819" s="121"/>
      <c r="EG819" s="123"/>
      <c r="EH819" s="127"/>
      <c r="EI819" s="125"/>
      <c r="EJ819" s="126"/>
      <c r="EK819" s="30"/>
      <c r="EL819" s="127"/>
      <c r="EM819" s="128"/>
      <c r="EN819" s="123"/>
      <c r="EO819" s="128"/>
      <c r="EP819" s="13"/>
      <c r="EQ819" s="129"/>
      <c r="ER819" s="123"/>
      <c r="ES819" s="130"/>
      <c r="ET819" s="13"/>
      <c r="EU819" s="123"/>
      <c r="EV819" s="131"/>
    </row>
    <row r="820" spans="35:152">
      <c r="AI820" s="121"/>
      <c r="AJ820" s="13"/>
      <c r="AK820" s="13"/>
      <c r="AL820" s="13"/>
      <c r="AM820" s="13"/>
      <c r="AN820" s="13"/>
      <c r="AO820" s="13"/>
      <c r="AW820" s="121"/>
      <c r="AX820" s="121"/>
      <c r="AY820" s="121"/>
      <c r="AZ820" s="121"/>
      <c r="BA820" s="121"/>
      <c r="BB820" s="121"/>
      <c r="BC820" s="121"/>
      <c r="BD820" s="121"/>
      <c r="BE820" s="121"/>
      <c r="BF820" s="121"/>
      <c r="BG820" s="123"/>
      <c r="BH820" s="127"/>
      <c r="BI820" s="125"/>
      <c r="BJ820" s="126"/>
      <c r="BK820" s="30"/>
      <c r="BL820" s="127"/>
      <c r="BM820" s="128"/>
      <c r="BN820" s="123"/>
      <c r="BO820" s="128"/>
      <c r="BP820" s="13"/>
      <c r="BQ820" s="129"/>
      <c r="BR820" s="123"/>
      <c r="BS820" s="130"/>
      <c r="BT820" s="13"/>
      <c r="BU820" s="123"/>
      <c r="BV820" s="131"/>
      <c r="DI820" s="121"/>
      <c r="DJ820" s="13"/>
      <c r="DK820" s="13"/>
      <c r="DL820" s="13"/>
      <c r="DM820" s="13"/>
      <c r="DN820" s="13"/>
      <c r="DO820" s="13"/>
      <c r="DW820" s="121"/>
      <c r="DX820" s="121"/>
      <c r="DY820" s="121"/>
      <c r="DZ820" s="121"/>
      <c r="EA820" s="121"/>
      <c r="EB820" s="121"/>
      <c r="EC820" s="121"/>
      <c r="ED820" s="121"/>
      <c r="EE820" s="121"/>
      <c r="EF820" s="121"/>
      <c r="EG820" s="123"/>
      <c r="EH820" s="127"/>
      <c r="EI820" s="125"/>
      <c r="EJ820" s="126"/>
      <c r="EK820" s="30"/>
      <c r="EL820" s="127"/>
      <c r="EM820" s="128"/>
      <c r="EN820" s="123"/>
      <c r="EO820" s="128"/>
      <c r="EP820" s="13"/>
      <c r="EQ820" s="129"/>
      <c r="ER820" s="123"/>
      <c r="ES820" s="130"/>
      <c r="ET820" s="13"/>
      <c r="EU820" s="123"/>
      <c r="EV820" s="131"/>
    </row>
    <row r="821" spans="35:152">
      <c r="AI821" s="121"/>
      <c r="AJ821" s="13"/>
      <c r="AK821" s="13"/>
      <c r="AL821" s="13"/>
      <c r="AM821" s="13"/>
      <c r="AN821" s="13"/>
      <c r="AO821" s="13"/>
      <c r="AW821" s="121"/>
      <c r="AX821" s="121"/>
      <c r="AY821" s="121"/>
      <c r="AZ821" s="121"/>
      <c r="BA821" s="121"/>
      <c r="BB821" s="121"/>
      <c r="BC821" s="121"/>
      <c r="BD821" s="121"/>
      <c r="BE821" s="121"/>
      <c r="BF821" s="121"/>
      <c r="BG821" s="123"/>
      <c r="BH821" s="127"/>
      <c r="BI821" s="125"/>
      <c r="BJ821" s="126"/>
      <c r="BK821" s="30"/>
      <c r="BL821" s="127"/>
      <c r="BM821" s="128"/>
      <c r="BN821" s="123"/>
      <c r="BO821" s="128"/>
      <c r="BP821" s="13"/>
      <c r="BQ821" s="129"/>
      <c r="BR821" s="123"/>
      <c r="BS821" s="130"/>
      <c r="BT821" s="13"/>
      <c r="BU821" s="123"/>
      <c r="BV821" s="131"/>
      <c r="DI821" s="121"/>
      <c r="DJ821" s="13"/>
      <c r="DK821" s="13"/>
      <c r="DL821" s="13"/>
      <c r="DM821" s="13"/>
      <c r="DN821" s="13"/>
      <c r="DO821" s="13"/>
      <c r="DW821" s="121"/>
      <c r="DX821" s="121"/>
      <c r="DY821" s="121"/>
      <c r="DZ821" s="121"/>
      <c r="EA821" s="121"/>
      <c r="EB821" s="121"/>
      <c r="EC821" s="121"/>
      <c r="ED821" s="121"/>
      <c r="EE821" s="121"/>
      <c r="EF821" s="121"/>
      <c r="EG821" s="123"/>
      <c r="EH821" s="127"/>
      <c r="EI821" s="125"/>
      <c r="EJ821" s="126"/>
      <c r="EK821" s="30"/>
      <c r="EL821" s="127"/>
      <c r="EM821" s="128"/>
      <c r="EN821" s="123"/>
      <c r="EO821" s="128"/>
      <c r="EP821" s="13"/>
      <c r="EQ821" s="129"/>
      <c r="ER821" s="123"/>
      <c r="ES821" s="130"/>
      <c r="ET821" s="13"/>
      <c r="EU821" s="123"/>
      <c r="EV821" s="131"/>
    </row>
    <row r="822" spans="35:152">
      <c r="AI822" s="121"/>
      <c r="AJ822" s="13"/>
      <c r="AK822" s="13"/>
      <c r="AL822" s="13"/>
      <c r="AM822" s="13"/>
      <c r="AN822" s="13"/>
      <c r="AO822" s="13"/>
      <c r="AW822" s="121"/>
      <c r="AX822" s="121"/>
      <c r="AY822" s="121"/>
      <c r="AZ822" s="121"/>
      <c r="BA822" s="121"/>
      <c r="BB822" s="121"/>
      <c r="BC822" s="121"/>
      <c r="BD822" s="121"/>
      <c r="BE822" s="121"/>
      <c r="BF822" s="121"/>
      <c r="BG822" s="123"/>
      <c r="BH822" s="127"/>
      <c r="BI822" s="125"/>
      <c r="BJ822" s="126"/>
      <c r="BK822" s="30"/>
      <c r="BL822" s="127"/>
      <c r="BM822" s="128"/>
      <c r="BN822" s="123"/>
      <c r="BO822" s="128"/>
      <c r="BP822" s="13"/>
      <c r="BQ822" s="129"/>
      <c r="BR822" s="123"/>
      <c r="BS822" s="130"/>
      <c r="BT822" s="13"/>
      <c r="BU822" s="123"/>
      <c r="BV822" s="131"/>
      <c r="DI822" s="121"/>
      <c r="DJ822" s="13"/>
      <c r="DK822" s="13"/>
      <c r="DL822" s="13"/>
      <c r="DM822" s="13"/>
      <c r="DN822" s="13"/>
      <c r="DO822" s="13"/>
      <c r="DW822" s="121"/>
      <c r="DX822" s="121"/>
      <c r="DY822" s="121"/>
      <c r="DZ822" s="121"/>
      <c r="EA822" s="121"/>
      <c r="EB822" s="121"/>
      <c r="EC822" s="121"/>
      <c r="ED822" s="121"/>
      <c r="EE822" s="121"/>
      <c r="EF822" s="121"/>
      <c r="EG822" s="123"/>
      <c r="EH822" s="127"/>
      <c r="EI822" s="125"/>
      <c r="EJ822" s="126"/>
      <c r="EK822" s="30"/>
      <c r="EL822" s="127"/>
      <c r="EM822" s="128"/>
      <c r="EN822" s="123"/>
      <c r="EO822" s="128"/>
      <c r="EP822" s="13"/>
      <c r="EQ822" s="129"/>
      <c r="ER822" s="123"/>
      <c r="ES822" s="130"/>
      <c r="ET822" s="13"/>
      <c r="EU822" s="123"/>
      <c r="EV822" s="131"/>
    </row>
    <row r="823" spans="35:152">
      <c r="AI823" s="121"/>
      <c r="AJ823" s="13"/>
      <c r="AK823" s="13"/>
      <c r="AL823" s="13"/>
      <c r="AM823" s="13"/>
      <c r="AN823" s="13"/>
      <c r="AO823" s="13"/>
      <c r="AW823" s="121"/>
      <c r="AX823" s="121"/>
      <c r="AY823" s="121"/>
      <c r="AZ823" s="121"/>
      <c r="BA823" s="121"/>
      <c r="BB823" s="121"/>
      <c r="BC823" s="121"/>
      <c r="BD823" s="121"/>
      <c r="BE823" s="121"/>
      <c r="BF823" s="121"/>
      <c r="BG823" s="123"/>
      <c r="BH823" s="127"/>
      <c r="BI823" s="125"/>
      <c r="BJ823" s="126"/>
      <c r="BK823" s="30"/>
      <c r="BL823" s="127"/>
      <c r="BM823" s="128"/>
      <c r="BN823" s="123"/>
      <c r="BO823" s="128"/>
      <c r="BP823" s="13"/>
      <c r="BQ823" s="129"/>
      <c r="BR823" s="123"/>
      <c r="BS823" s="130"/>
      <c r="BT823" s="13"/>
      <c r="BU823" s="123"/>
      <c r="BV823" s="131"/>
      <c r="DI823" s="121"/>
      <c r="DJ823" s="13"/>
      <c r="DK823" s="13"/>
      <c r="DL823" s="13"/>
      <c r="DM823" s="13"/>
      <c r="DN823" s="13"/>
      <c r="DO823" s="13"/>
      <c r="DW823" s="121"/>
      <c r="DX823" s="121"/>
      <c r="DY823" s="121"/>
      <c r="DZ823" s="121"/>
      <c r="EA823" s="121"/>
      <c r="EB823" s="121"/>
      <c r="EC823" s="121"/>
      <c r="ED823" s="121"/>
      <c r="EE823" s="121"/>
      <c r="EF823" s="121"/>
      <c r="EG823" s="123"/>
      <c r="EH823" s="127"/>
      <c r="EI823" s="125"/>
      <c r="EJ823" s="126"/>
      <c r="EK823" s="30"/>
      <c r="EL823" s="127"/>
      <c r="EM823" s="128"/>
      <c r="EN823" s="123"/>
      <c r="EO823" s="128"/>
      <c r="EP823" s="13"/>
      <c r="EQ823" s="129"/>
      <c r="ER823" s="123"/>
      <c r="ES823" s="130"/>
      <c r="ET823" s="13"/>
      <c r="EU823" s="123"/>
      <c r="EV823" s="131"/>
    </row>
    <row r="824" spans="35:152">
      <c r="AI824" s="121"/>
      <c r="AJ824" s="13"/>
      <c r="AK824" s="13"/>
      <c r="AL824" s="13"/>
      <c r="AM824" s="13"/>
      <c r="AN824" s="13"/>
      <c r="AO824" s="13"/>
      <c r="AW824" s="121"/>
      <c r="AX824" s="121"/>
      <c r="AY824" s="121"/>
      <c r="AZ824" s="121"/>
      <c r="BA824" s="121"/>
      <c r="BB824" s="121"/>
      <c r="BC824" s="121"/>
      <c r="BD824" s="121"/>
      <c r="BE824" s="121"/>
      <c r="BF824" s="121"/>
      <c r="BG824" s="123"/>
      <c r="BH824" s="127"/>
      <c r="BI824" s="125"/>
      <c r="BJ824" s="126"/>
      <c r="BK824" s="30"/>
      <c r="BL824" s="127"/>
      <c r="BM824" s="128"/>
      <c r="BN824" s="123"/>
      <c r="BO824" s="128"/>
      <c r="BP824" s="13"/>
      <c r="BQ824" s="129"/>
      <c r="BR824" s="123"/>
      <c r="BS824" s="130"/>
      <c r="BT824" s="13"/>
      <c r="BU824" s="123"/>
      <c r="BV824" s="131"/>
      <c r="DI824" s="121"/>
      <c r="DJ824" s="13"/>
      <c r="DK824" s="13"/>
      <c r="DL824" s="13"/>
      <c r="DM824" s="13"/>
      <c r="DN824" s="13"/>
      <c r="DO824" s="13"/>
      <c r="DW824" s="121"/>
      <c r="DX824" s="121"/>
      <c r="DY824" s="121"/>
      <c r="DZ824" s="121"/>
      <c r="EA824" s="121"/>
      <c r="EB824" s="121"/>
      <c r="EC824" s="121"/>
      <c r="ED824" s="121"/>
      <c r="EE824" s="121"/>
      <c r="EF824" s="121"/>
      <c r="EG824" s="123"/>
      <c r="EH824" s="127"/>
      <c r="EI824" s="125"/>
      <c r="EJ824" s="126"/>
      <c r="EK824" s="30"/>
      <c r="EL824" s="127"/>
      <c r="EM824" s="128"/>
      <c r="EN824" s="123"/>
      <c r="EO824" s="128"/>
      <c r="EP824" s="13"/>
      <c r="EQ824" s="129"/>
      <c r="ER824" s="123"/>
      <c r="ES824" s="130"/>
      <c r="ET824" s="13"/>
      <c r="EU824" s="123"/>
      <c r="EV824" s="131"/>
    </row>
    <row r="825" spans="35:152">
      <c r="AI825" s="121"/>
      <c r="AJ825" s="13"/>
      <c r="AK825" s="13"/>
      <c r="AL825" s="13"/>
      <c r="AM825" s="13"/>
      <c r="AN825" s="13"/>
      <c r="AO825" s="13"/>
      <c r="AW825" s="121"/>
      <c r="AX825" s="121"/>
      <c r="AY825" s="121"/>
      <c r="AZ825" s="121"/>
      <c r="BA825" s="121"/>
      <c r="BB825" s="121"/>
      <c r="BC825" s="121"/>
      <c r="BD825" s="121"/>
      <c r="BE825" s="121"/>
      <c r="BF825" s="121"/>
      <c r="BG825" s="123"/>
      <c r="BH825" s="127"/>
      <c r="BI825" s="125"/>
      <c r="BJ825" s="126"/>
      <c r="BK825" s="30"/>
      <c r="BL825" s="127"/>
      <c r="BM825" s="128"/>
      <c r="BN825" s="123"/>
      <c r="BO825" s="128"/>
      <c r="BP825" s="13"/>
      <c r="BQ825" s="129"/>
      <c r="BR825" s="123"/>
      <c r="BS825" s="130"/>
      <c r="BT825" s="13"/>
      <c r="BU825" s="123"/>
      <c r="BV825" s="131"/>
      <c r="DI825" s="121"/>
      <c r="DJ825" s="13"/>
      <c r="DK825" s="13"/>
      <c r="DL825" s="13"/>
      <c r="DM825" s="13"/>
      <c r="DN825" s="13"/>
      <c r="DO825" s="13"/>
      <c r="DW825" s="121"/>
      <c r="DX825" s="121"/>
      <c r="DY825" s="121"/>
      <c r="DZ825" s="121"/>
      <c r="EA825" s="121"/>
      <c r="EB825" s="121"/>
      <c r="EC825" s="121"/>
      <c r="ED825" s="121"/>
      <c r="EE825" s="121"/>
      <c r="EF825" s="121"/>
      <c r="EG825" s="123"/>
      <c r="EH825" s="127"/>
      <c r="EI825" s="125"/>
      <c r="EJ825" s="126"/>
      <c r="EK825" s="30"/>
      <c r="EL825" s="127"/>
      <c r="EM825" s="128"/>
      <c r="EN825" s="123"/>
      <c r="EO825" s="128"/>
      <c r="EP825" s="13"/>
      <c r="EQ825" s="129"/>
      <c r="ER825" s="123"/>
      <c r="ES825" s="130"/>
      <c r="ET825" s="13"/>
      <c r="EU825" s="123"/>
      <c r="EV825" s="131"/>
    </row>
    <row r="826" spans="35:152">
      <c r="AI826" s="121"/>
      <c r="AJ826" s="13"/>
      <c r="AK826" s="13"/>
      <c r="AL826" s="13"/>
      <c r="AM826" s="13"/>
      <c r="AN826" s="13"/>
      <c r="AO826" s="13"/>
      <c r="AW826" s="121"/>
      <c r="AX826" s="121"/>
      <c r="AY826" s="121"/>
      <c r="AZ826" s="121"/>
      <c r="BA826" s="121"/>
      <c r="BB826" s="121"/>
      <c r="BC826" s="121"/>
      <c r="BD826" s="121"/>
      <c r="BE826" s="121"/>
      <c r="BF826" s="121"/>
      <c r="BG826" s="123"/>
      <c r="BH826" s="127"/>
      <c r="BI826" s="125"/>
      <c r="BJ826" s="126"/>
      <c r="BK826" s="30"/>
      <c r="BL826" s="127"/>
      <c r="BM826" s="128"/>
      <c r="BN826" s="123"/>
      <c r="BO826" s="128"/>
      <c r="BP826" s="13"/>
      <c r="BQ826" s="129"/>
      <c r="BR826" s="123"/>
      <c r="BS826" s="130"/>
      <c r="BT826" s="13"/>
      <c r="BU826" s="123"/>
      <c r="BV826" s="131"/>
      <c r="DI826" s="121"/>
      <c r="DJ826" s="13"/>
      <c r="DK826" s="13"/>
      <c r="DL826" s="13"/>
      <c r="DM826" s="13"/>
      <c r="DN826" s="13"/>
      <c r="DO826" s="13"/>
      <c r="DW826" s="121"/>
      <c r="DX826" s="121"/>
      <c r="DY826" s="121"/>
      <c r="DZ826" s="121"/>
      <c r="EA826" s="121"/>
      <c r="EB826" s="121"/>
      <c r="EC826" s="121"/>
      <c r="ED826" s="121"/>
      <c r="EE826" s="121"/>
      <c r="EF826" s="121"/>
      <c r="EG826" s="123"/>
      <c r="EH826" s="127"/>
      <c r="EI826" s="125"/>
      <c r="EJ826" s="126"/>
      <c r="EK826" s="30"/>
      <c r="EL826" s="127"/>
      <c r="EM826" s="128"/>
      <c r="EN826" s="123"/>
      <c r="EO826" s="128"/>
      <c r="EP826" s="13"/>
      <c r="EQ826" s="129"/>
      <c r="ER826" s="123"/>
      <c r="ES826" s="130"/>
      <c r="ET826" s="13"/>
      <c r="EU826" s="123"/>
      <c r="EV826" s="131"/>
    </row>
    <row r="827" spans="35:152">
      <c r="AI827" s="121"/>
      <c r="AJ827" s="13"/>
      <c r="AK827" s="13"/>
      <c r="AL827" s="13"/>
      <c r="AM827" s="13"/>
      <c r="AN827" s="13"/>
      <c r="AO827" s="13"/>
      <c r="AW827" s="121"/>
      <c r="AX827" s="121"/>
      <c r="AY827" s="121"/>
      <c r="AZ827" s="121"/>
      <c r="BA827" s="121"/>
      <c r="BB827" s="121"/>
      <c r="BC827" s="121"/>
      <c r="BD827" s="121"/>
      <c r="BE827" s="121"/>
      <c r="BF827" s="121"/>
      <c r="BG827" s="123"/>
      <c r="BH827" s="127"/>
      <c r="BI827" s="125"/>
      <c r="BJ827" s="126"/>
      <c r="BK827" s="30"/>
      <c r="BL827" s="127"/>
      <c r="BM827" s="128"/>
      <c r="BN827" s="123"/>
      <c r="BO827" s="128"/>
      <c r="BP827" s="13"/>
      <c r="BQ827" s="129"/>
      <c r="BR827" s="123"/>
      <c r="BS827" s="130"/>
      <c r="BT827" s="13"/>
      <c r="BU827" s="123"/>
      <c r="BV827" s="131"/>
      <c r="DI827" s="121"/>
      <c r="DJ827" s="13"/>
      <c r="DK827" s="13"/>
      <c r="DL827" s="13"/>
      <c r="DM827" s="13"/>
      <c r="DN827" s="13"/>
      <c r="DO827" s="13"/>
      <c r="DW827" s="121"/>
      <c r="DX827" s="121"/>
      <c r="DY827" s="121"/>
      <c r="DZ827" s="121"/>
      <c r="EA827" s="121"/>
      <c r="EB827" s="121"/>
      <c r="EC827" s="121"/>
      <c r="ED827" s="121"/>
      <c r="EE827" s="121"/>
      <c r="EF827" s="121"/>
      <c r="EG827" s="123"/>
      <c r="EH827" s="127"/>
      <c r="EI827" s="125"/>
      <c r="EJ827" s="126"/>
      <c r="EK827" s="30"/>
      <c r="EL827" s="127"/>
      <c r="EM827" s="128"/>
      <c r="EN827" s="123"/>
      <c r="EO827" s="128"/>
      <c r="EP827" s="13"/>
      <c r="EQ827" s="129"/>
      <c r="ER827" s="123"/>
      <c r="ES827" s="130"/>
      <c r="ET827" s="13"/>
      <c r="EU827" s="123"/>
      <c r="EV827" s="131"/>
    </row>
    <row r="828" spans="35:152">
      <c r="AI828" s="121"/>
      <c r="AJ828" s="13"/>
      <c r="AK828" s="13"/>
      <c r="AL828" s="13"/>
      <c r="AM828" s="13"/>
      <c r="AN828" s="13"/>
      <c r="AO828" s="13"/>
      <c r="AW828" s="121"/>
      <c r="AX828" s="121"/>
      <c r="AY828" s="121"/>
      <c r="AZ828" s="121"/>
      <c r="BA828" s="121"/>
      <c r="BB828" s="121"/>
      <c r="BC828" s="121"/>
      <c r="BD828" s="121"/>
      <c r="BE828" s="121"/>
      <c r="BF828" s="121"/>
      <c r="BG828" s="123"/>
      <c r="BH828" s="127"/>
      <c r="BI828" s="125"/>
      <c r="BJ828" s="126"/>
      <c r="BK828" s="30"/>
      <c r="BL828" s="127"/>
      <c r="BM828" s="128"/>
      <c r="BN828" s="123"/>
      <c r="BO828" s="128"/>
      <c r="BP828" s="13"/>
      <c r="BQ828" s="129"/>
      <c r="BR828" s="123"/>
      <c r="BS828" s="130"/>
      <c r="BT828" s="13"/>
      <c r="BU828" s="123"/>
      <c r="BV828" s="131"/>
      <c r="DI828" s="121"/>
      <c r="DJ828" s="13"/>
      <c r="DK828" s="13"/>
      <c r="DL828" s="13"/>
      <c r="DM828" s="13"/>
      <c r="DN828" s="13"/>
      <c r="DO828" s="13"/>
      <c r="DW828" s="121"/>
      <c r="DX828" s="121"/>
      <c r="DY828" s="121"/>
      <c r="DZ828" s="121"/>
      <c r="EA828" s="121"/>
      <c r="EB828" s="121"/>
      <c r="EC828" s="121"/>
      <c r="ED828" s="121"/>
      <c r="EE828" s="121"/>
      <c r="EF828" s="121"/>
      <c r="EG828" s="123"/>
      <c r="EH828" s="127"/>
      <c r="EI828" s="125"/>
      <c r="EJ828" s="126"/>
      <c r="EK828" s="30"/>
      <c r="EL828" s="127"/>
      <c r="EM828" s="128"/>
      <c r="EN828" s="123"/>
      <c r="EO828" s="128"/>
      <c r="EP828" s="13"/>
      <c r="EQ828" s="129"/>
      <c r="ER828" s="123"/>
      <c r="ES828" s="130"/>
      <c r="ET828" s="13"/>
      <c r="EU828" s="123"/>
      <c r="EV828" s="131"/>
    </row>
    <row r="829" spans="35:152">
      <c r="AI829" s="121"/>
      <c r="AJ829" s="13"/>
      <c r="AK829" s="13"/>
      <c r="AL829" s="13"/>
      <c r="AM829" s="13"/>
      <c r="AN829" s="13"/>
      <c r="AO829" s="13"/>
      <c r="AW829" s="121"/>
      <c r="AX829" s="121"/>
      <c r="AY829" s="121"/>
      <c r="AZ829" s="121"/>
      <c r="BA829" s="121"/>
      <c r="BB829" s="121"/>
      <c r="BC829" s="121"/>
      <c r="BD829" s="121"/>
      <c r="BE829" s="121"/>
      <c r="BF829" s="121"/>
      <c r="BG829" s="123"/>
      <c r="BH829" s="127"/>
      <c r="BI829" s="125"/>
      <c r="BJ829" s="126"/>
      <c r="BK829" s="30"/>
      <c r="BL829" s="127"/>
      <c r="BM829" s="128"/>
      <c r="BN829" s="123"/>
      <c r="BO829" s="128"/>
      <c r="BP829" s="13"/>
      <c r="BQ829" s="129"/>
      <c r="BR829" s="123"/>
      <c r="BS829" s="130"/>
      <c r="BT829" s="13"/>
      <c r="BU829" s="123"/>
      <c r="BV829" s="131"/>
      <c r="DI829" s="121"/>
      <c r="DJ829" s="13"/>
      <c r="DK829" s="13"/>
      <c r="DL829" s="13"/>
      <c r="DM829" s="13"/>
      <c r="DN829" s="13"/>
      <c r="DO829" s="13"/>
      <c r="DW829" s="121"/>
      <c r="DX829" s="121"/>
      <c r="DY829" s="121"/>
      <c r="DZ829" s="121"/>
      <c r="EA829" s="121"/>
      <c r="EB829" s="121"/>
      <c r="EC829" s="121"/>
      <c r="ED829" s="121"/>
      <c r="EE829" s="121"/>
      <c r="EF829" s="121"/>
      <c r="EG829" s="123"/>
      <c r="EH829" s="127"/>
      <c r="EI829" s="125"/>
      <c r="EJ829" s="126"/>
      <c r="EK829" s="30"/>
      <c r="EL829" s="127"/>
      <c r="EM829" s="128"/>
      <c r="EN829" s="123"/>
      <c r="EO829" s="128"/>
      <c r="EP829" s="13"/>
      <c r="EQ829" s="129"/>
      <c r="ER829" s="123"/>
      <c r="ES829" s="130"/>
      <c r="ET829" s="13"/>
      <c r="EU829" s="123"/>
      <c r="EV829" s="131"/>
    </row>
    <row r="830" spans="35:152">
      <c r="AI830" s="121"/>
      <c r="AJ830" s="13"/>
      <c r="AK830" s="13"/>
      <c r="AL830" s="13"/>
      <c r="AM830" s="13"/>
      <c r="AN830" s="13"/>
      <c r="AO830" s="13"/>
      <c r="AW830" s="121"/>
      <c r="AX830" s="121"/>
      <c r="AY830" s="121"/>
      <c r="AZ830" s="121"/>
      <c r="BA830" s="121"/>
      <c r="BB830" s="121"/>
      <c r="BC830" s="121"/>
      <c r="BD830" s="121"/>
      <c r="BE830" s="121"/>
      <c r="BF830" s="121"/>
      <c r="BG830" s="123"/>
      <c r="BH830" s="127"/>
      <c r="BI830" s="125"/>
      <c r="BJ830" s="126"/>
      <c r="BK830" s="30"/>
      <c r="BL830" s="127"/>
      <c r="BM830" s="128"/>
      <c r="BN830" s="123"/>
      <c r="BO830" s="128"/>
      <c r="BP830" s="13"/>
      <c r="BQ830" s="129"/>
      <c r="BR830" s="123"/>
      <c r="BS830" s="130"/>
      <c r="BT830" s="13"/>
      <c r="BU830" s="123"/>
      <c r="BV830" s="131"/>
      <c r="DI830" s="121"/>
      <c r="DJ830" s="13"/>
      <c r="DK830" s="13"/>
      <c r="DL830" s="13"/>
      <c r="DM830" s="13"/>
      <c r="DN830" s="13"/>
      <c r="DO830" s="13"/>
      <c r="DW830" s="121"/>
      <c r="DX830" s="121"/>
      <c r="DY830" s="121"/>
      <c r="DZ830" s="121"/>
      <c r="EA830" s="121"/>
      <c r="EB830" s="121"/>
      <c r="EC830" s="121"/>
      <c r="ED830" s="121"/>
      <c r="EE830" s="121"/>
      <c r="EF830" s="121"/>
      <c r="EG830" s="123"/>
      <c r="EH830" s="127"/>
      <c r="EI830" s="125"/>
      <c r="EJ830" s="126"/>
      <c r="EK830" s="30"/>
      <c r="EL830" s="127"/>
      <c r="EM830" s="128"/>
      <c r="EN830" s="123"/>
      <c r="EO830" s="128"/>
      <c r="EP830" s="13"/>
      <c r="EQ830" s="129"/>
      <c r="ER830" s="123"/>
      <c r="ES830" s="130"/>
      <c r="ET830" s="13"/>
      <c r="EU830" s="123"/>
      <c r="EV830" s="131"/>
    </row>
    <row r="831" spans="35:152">
      <c r="AI831" s="121"/>
      <c r="AJ831" s="13"/>
      <c r="AK831" s="13"/>
      <c r="AL831" s="13"/>
      <c r="AM831" s="13"/>
      <c r="AN831" s="13"/>
      <c r="AO831" s="13"/>
      <c r="AW831" s="121"/>
      <c r="AX831" s="121"/>
      <c r="AY831" s="121"/>
      <c r="AZ831" s="121"/>
      <c r="BA831" s="121"/>
      <c r="BB831" s="121"/>
      <c r="BC831" s="121"/>
      <c r="BD831" s="121"/>
      <c r="BE831" s="121"/>
      <c r="BF831" s="121"/>
      <c r="BG831" s="123"/>
      <c r="BH831" s="127"/>
      <c r="BI831" s="125"/>
      <c r="BJ831" s="126"/>
      <c r="BK831" s="30"/>
      <c r="BL831" s="127"/>
      <c r="BM831" s="128"/>
      <c r="BN831" s="123"/>
      <c r="BO831" s="128"/>
      <c r="BP831" s="13"/>
      <c r="BQ831" s="129"/>
      <c r="BR831" s="123"/>
      <c r="BS831" s="130"/>
      <c r="BT831" s="13"/>
      <c r="BU831" s="123"/>
      <c r="BV831" s="131"/>
      <c r="DI831" s="121"/>
      <c r="DJ831" s="13"/>
      <c r="DK831" s="13"/>
      <c r="DL831" s="13"/>
      <c r="DM831" s="13"/>
      <c r="DN831" s="13"/>
      <c r="DO831" s="13"/>
      <c r="DW831" s="121"/>
      <c r="DX831" s="121"/>
      <c r="DY831" s="121"/>
      <c r="DZ831" s="121"/>
      <c r="EA831" s="121"/>
      <c r="EB831" s="121"/>
      <c r="EC831" s="121"/>
      <c r="ED831" s="121"/>
      <c r="EE831" s="121"/>
      <c r="EF831" s="121"/>
      <c r="EG831" s="123"/>
      <c r="EH831" s="127"/>
      <c r="EI831" s="125"/>
      <c r="EJ831" s="126"/>
      <c r="EK831" s="30"/>
      <c r="EL831" s="127"/>
      <c r="EM831" s="128"/>
      <c r="EN831" s="123"/>
      <c r="EO831" s="128"/>
      <c r="EP831" s="13"/>
      <c r="EQ831" s="129"/>
      <c r="ER831" s="123"/>
      <c r="ES831" s="130"/>
      <c r="ET831" s="13"/>
      <c r="EU831" s="123"/>
      <c r="EV831" s="131"/>
    </row>
    <row r="832" spans="35:152">
      <c r="AI832" s="121"/>
      <c r="AJ832" s="13"/>
      <c r="AK832" s="13"/>
      <c r="AL832" s="13"/>
      <c r="AM832" s="13"/>
      <c r="AN832" s="13"/>
      <c r="AO832" s="13"/>
      <c r="AW832" s="121"/>
      <c r="AX832" s="121"/>
      <c r="AY832" s="121"/>
      <c r="AZ832" s="121"/>
      <c r="BA832" s="121"/>
      <c r="BB832" s="121"/>
      <c r="BC832" s="121"/>
      <c r="BD832" s="121"/>
      <c r="BE832" s="121"/>
      <c r="BF832" s="121"/>
      <c r="BG832" s="123"/>
      <c r="BH832" s="127"/>
      <c r="BI832" s="125"/>
      <c r="BJ832" s="126"/>
      <c r="BK832" s="30"/>
      <c r="BL832" s="127"/>
      <c r="BM832" s="128"/>
      <c r="BN832" s="123"/>
      <c r="BO832" s="128"/>
      <c r="BP832" s="13"/>
      <c r="BQ832" s="129"/>
      <c r="BR832" s="123"/>
      <c r="BS832" s="130"/>
      <c r="BT832" s="13"/>
      <c r="BU832" s="123"/>
      <c r="BV832" s="131"/>
      <c r="DI832" s="121"/>
      <c r="DJ832" s="13"/>
      <c r="DK832" s="13"/>
      <c r="DL832" s="13"/>
      <c r="DM832" s="13"/>
      <c r="DN832" s="13"/>
      <c r="DO832" s="13"/>
      <c r="DW832" s="121"/>
      <c r="DX832" s="121"/>
      <c r="DY832" s="121"/>
      <c r="DZ832" s="121"/>
      <c r="EA832" s="121"/>
      <c r="EB832" s="121"/>
      <c r="EC832" s="121"/>
      <c r="ED832" s="121"/>
      <c r="EE832" s="121"/>
      <c r="EF832" s="121"/>
      <c r="EG832" s="123"/>
      <c r="EH832" s="127"/>
      <c r="EI832" s="125"/>
      <c r="EJ832" s="126"/>
      <c r="EK832" s="30"/>
      <c r="EL832" s="127"/>
      <c r="EM832" s="128"/>
      <c r="EN832" s="123"/>
      <c r="EO832" s="128"/>
      <c r="EP832" s="13"/>
      <c r="EQ832" s="129"/>
      <c r="ER832" s="123"/>
      <c r="ES832" s="130"/>
      <c r="ET832" s="13"/>
      <c r="EU832" s="123"/>
      <c r="EV832" s="131"/>
    </row>
    <row r="833" spans="35:152">
      <c r="AI833" s="121"/>
      <c r="AJ833" s="13"/>
      <c r="AK833" s="13"/>
      <c r="AL833" s="13"/>
      <c r="AM833" s="13"/>
      <c r="AN833" s="13"/>
      <c r="AO833" s="13"/>
      <c r="AW833" s="121"/>
      <c r="AX833" s="121"/>
      <c r="AY833" s="121"/>
      <c r="AZ833" s="121"/>
      <c r="BA833" s="121"/>
      <c r="BB833" s="121"/>
      <c r="BC833" s="121"/>
      <c r="BD833" s="121"/>
      <c r="BE833" s="121"/>
      <c r="BF833" s="121"/>
      <c r="BG833" s="123"/>
      <c r="BH833" s="127"/>
      <c r="BI833" s="125"/>
      <c r="BJ833" s="126"/>
      <c r="BK833" s="30"/>
      <c r="BL833" s="127"/>
      <c r="BM833" s="128"/>
      <c r="BN833" s="123"/>
      <c r="BO833" s="128"/>
      <c r="BP833" s="13"/>
      <c r="BQ833" s="129"/>
      <c r="BR833" s="123"/>
      <c r="BS833" s="130"/>
      <c r="BT833" s="13"/>
      <c r="BU833" s="123"/>
      <c r="BV833" s="131"/>
      <c r="DI833" s="121"/>
      <c r="DJ833" s="13"/>
      <c r="DK833" s="13"/>
      <c r="DL833" s="13"/>
      <c r="DM833" s="13"/>
      <c r="DN833" s="13"/>
      <c r="DO833" s="13"/>
      <c r="DW833" s="121"/>
      <c r="DX833" s="121"/>
      <c r="DY833" s="121"/>
      <c r="DZ833" s="121"/>
      <c r="EA833" s="121"/>
      <c r="EB833" s="121"/>
      <c r="EC833" s="121"/>
      <c r="ED833" s="121"/>
      <c r="EE833" s="121"/>
      <c r="EF833" s="121"/>
      <c r="EG833" s="123"/>
      <c r="EH833" s="127"/>
      <c r="EI833" s="125"/>
      <c r="EJ833" s="126"/>
      <c r="EK833" s="30"/>
      <c r="EL833" s="127"/>
      <c r="EM833" s="128"/>
      <c r="EN833" s="123"/>
      <c r="EO833" s="128"/>
      <c r="EP833" s="13"/>
      <c r="EQ833" s="129"/>
      <c r="ER833" s="123"/>
      <c r="ES833" s="130"/>
      <c r="ET833" s="13"/>
      <c r="EU833" s="123"/>
      <c r="EV833" s="131"/>
    </row>
    <row r="834" spans="35:152">
      <c r="AI834" s="121"/>
      <c r="AJ834" s="13"/>
      <c r="AK834" s="13"/>
      <c r="AL834" s="13"/>
      <c r="AM834" s="13"/>
      <c r="AN834" s="13"/>
      <c r="AO834" s="13"/>
      <c r="AW834" s="121"/>
      <c r="AX834" s="121"/>
      <c r="AY834" s="121"/>
      <c r="AZ834" s="121"/>
      <c r="BA834" s="121"/>
      <c r="BB834" s="121"/>
      <c r="BC834" s="121"/>
      <c r="BD834" s="121"/>
      <c r="BE834" s="121"/>
      <c r="BF834" s="121"/>
      <c r="BG834" s="123"/>
      <c r="BH834" s="127"/>
      <c r="BI834" s="125"/>
      <c r="BJ834" s="126"/>
      <c r="BK834" s="30"/>
      <c r="BL834" s="127"/>
      <c r="BM834" s="128"/>
      <c r="BN834" s="123"/>
      <c r="BO834" s="128"/>
      <c r="BP834" s="13"/>
      <c r="BQ834" s="129"/>
      <c r="BR834" s="123"/>
      <c r="BS834" s="130"/>
      <c r="BT834" s="13"/>
      <c r="BU834" s="123"/>
      <c r="BV834" s="131"/>
      <c r="DI834" s="121"/>
      <c r="DJ834" s="13"/>
      <c r="DK834" s="13"/>
      <c r="DL834" s="13"/>
      <c r="DM834" s="13"/>
      <c r="DN834" s="13"/>
      <c r="DO834" s="13"/>
      <c r="DW834" s="121"/>
      <c r="DX834" s="121"/>
      <c r="DY834" s="121"/>
      <c r="DZ834" s="121"/>
      <c r="EA834" s="121"/>
      <c r="EB834" s="121"/>
      <c r="EC834" s="121"/>
      <c r="ED834" s="121"/>
      <c r="EE834" s="121"/>
      <c r="EF834" s="121"/>
      <c r="EG834" s="123"/>
      <c r="EH834" s="127"/>
      <c r="EI834" s="125"/>
      <c r="EJ834" s="126"/>
      <c r="EK834" s="30"/>
      <c r="EL834" s="127"/>
      <c r="EM834" s="128"/>
      <c r="EN834" s="123"/>
      <c r="EO834" s="128"/>
      <c r="EP834" s="13"/>
      <c r="EQ834" s="129"/>
      <c r="ER834" s="123"/>
      <c r="ES834" s="130"/>
      <c r="ET834" s="13"/>
      <c r="EU834" s="123"/>
      <c r="EV834" s="131"/>
    </row>
    <row r="835" spans="35:152">
      <c r="AI835" s="121"/>
      <c r="AJ835" s="13"/>
      <c r="AK835" s="13"/>
      <c r="AL835" s="13"/>
      <c r="AM835" s="13"/>
      <c r="AN835" s="13"/>
      <c r="AO835" s="13"/>
      <c r="AW835" s="121"/>
      <c r="AX835" s="121"/>
      <c r="AY835" s="121"/>
      <c r="AZ835" s="121"/>
      <c r="BA835" s="121"/>
      <c r="BB835" s="121"/>
      <c r="BC835" s="121"/>
      <c r="BD835" s="121"/>
      <c r="BE835" s="121"/>
      <c r="BF835" s="121"/>
      <c r="BG835" s="123"/>
      <c r="BH835" s="127"/>
      <c r="BI835" s="125"/>
      <c r="BJ835" s="126"/>
      <c r="BK835" s="30"/>
      <c r="BL835" s="127"/>
      <c r="BM835" s="128"/>
      <c r="BN835" s="123"/>
      <c r="BO835" s="128"/>
      <c r="BP835" s="13"/>
      <c r="BQ835" s="129"/>
      <c r="BR835" s="123"/>
      <c r="BS835" s="130"/>
      <c r="BT835" s="13"/>
      <c r="BU835" s="123"/>
      <c r="BV835" s="131"/>
      <c r="DI835" s="121"/>
      <c r="DJ835" s="13"/>
      <c r="DK835" s="13"/>
      <c r="DL835" s="13"/>
      <c r="DM835" s="13"/>
      <c r="DN835" s="13"/>
      <c r="DO835" s="13"/>
      <c r="DW835" s="121"/>
      <c r="DX835" s="121"/>
      <c r="DY835" s="121"/>
      <c r="DZ835" s="121"/>
      <c r="EA835" s="121"/>
      <c r="EB835" s="121"/>
      <c r="EC835" s="121"/>
      <c r="ED835" s="121"/>
      <c r="EE835" s="121"/>
      <c r="EF835" s="121"/>
      <c r="EG835" s="123"/>
      <c r="EH835" s="127"/>
      <c r="EI835" s="125"/>
      <c r="EJ835" s="126"/>
      <c r="EK835" s="30"/>
      <c r="EL835" s="127"/>
      <c r="EM835" s="128"/>
      <c r="EN835" s="123"/>
      <c r="EO835" s="128"/>
      <c r="EP835" s="13"/>
      <c r="EQ835" s="129"/>
      <c r="ER835" s="123"/>
      <c r="ES835" s="130"/>
      <c r="ET835" s="13"/>
      <c r="EU835" s="123"/>
      <c r="EV835" s="131"/>
    </row>
    <row r="836" spans="35:152">
      <c r="AI836" s="121"/>
      <c r="AJ836" s="13"/>
      <c r="AK836" s="13"/>
      <c r="AL836" s="13"/>
      <c r="AM836" s="13"/>
      <c r="AN836" s="13"/>
      <c r="AO836" s="13"/>
      <c r="AW836" s="121"/>
      <c r="AX836" s="121"/>
      <c r="AY836" s="121"/>
      <c r="AZ836" s="121"/>
      <c r="BA836" s="121"/>
      <c r="BB836" s="121"/>
      <c r="BC836" s="121"/>
      <c r="BD836" s="121"/>
      <c r="BE836" s="121"/>
      <c r="BF836" s="121"/>
      <c r="BG836" s="123"/>
      <c r="BH836" s="127"/>
      <c r="BI836" s="125"/>
      <c r="BJ836" s="126"/>
      <c r="BK836" s="30"/>
      <c r="BL836" s="127"/>
      <c r="BM836" s="128"/>
      <c r="BN836" s="123"/>
      <c r="BO836" s="128"/>
      <c r="BP836" s="13"/>
      <c r="BQ836" s="129"/>
      <c r="BR836" s="123"/>
      <c r="BS836" s="130"/>
      <c r="BT836" s="13"/>
      <c r="BU836" s="123"/>
      <c r="BV836" s="131"/>
      <c r="DI836" s="121"/>
      <c r="DJ836" s="13"/>
      <c r="DK836" s="13"/>
      <c r="DL836" s="13"/>
      <c r="DM836" s="13"/>
      <c r="DN836" s="13"/>
      <c r="DO836" s="13"/>
      <c r="DW836" s="121"/>
      <c r="DX836" s="121"/>
      <c r="DY836" s="121"/>
      <c r="DZ836" s="121"/>
      <c r="EA836" s="121"/>
      <c r="EB836" s="121"/>
      <c r="EC836" s="121"/>
      <c r="ED836" s="121"/>
      <c r="EE836" s="121"/>
      <c r="EF836" s="121"/>
      <c r="EG836" s="123"/>
      <c r="EH836" s="127"/>
      <c r="EI836" s="125"/>
      <c r="EJ836" s="126"/>
      <c r="EK836" s="30"/>
      <c r="EL836" s="127"/>
      <c r="EM836" s="128"/>
      <c r="EN836" s="123"/>
      <c r="EO836" s="128"/>
      <c r="EP836" s="13"/>
      <c r="EQ836" s="129"/>
      <c r="ER836" s="123"/>
      <c r="ES836" s="130"/>
      <c r="ET836" s="13"/>
      <c r="EU836" s="123"/>
      <c r="EV836" s="131"/>
    </row>
    <row r="837" spans="35:152">
      <c r="AI837" s="121"/>
      <c r="AJ837" s="13"/>
      <c r="AK837" s="13"/>
      <c r="AL837" s="13"/>
      <c r="AM837" s="13"/>
      <c r="AN837" s="13"/>
      <c r="AO837" s="13"/>
      <c r="AW837" s="121"/>
      <c r="AX837" s="121"/>
      <c r="AY837" s="121"/>
      <c r="AZ837" s="121"/>
      <c r="BA837" s="121"/>
      <c r="BB837" s="121"/>
      <c r="BC837" s="121"/>
      <c r="BD837" s="121"/>
      <c r="BE837" s="121"/>
      <c r="BF837" s="121"/>
      <c r="BG837" s="123"/>
      <c r="BH837" s="127"/>
      <c r="BI837" s="125"/>
      <c r="BJ837" s="126"/>
      <c r="BK837" s="30"/>
      <c r="BL837" s="127"/>
      <c r="BM837" s="128"/>
      <c r="BN837" s="123"/>
      <c r="BO837" s="128"/>
      <c r="BP837" s="13"/>
      <c r="BQ837" s="129"/>
      <c r="BR837" s="123"/>
      <c r="BS837" s="130"/>
      <c r="BT837" s="13"/>
      <c r="BU837" s="123"/>
      <c r="BV837" s="131"/>
      <c r="DI837" s="121"/>
      <c r="DJ837" s="13"/>
      <c r="DK837" s="13"/>
      <c r="DL837" s="13"/>
      <c r="DM837" s="13"/>
      <c r="DN837" s="13"/>
      <c r="DO837" s="13"/>
      <c r="DW837" s="121"/>
      <c r="DX837" s="121"/>
      <c r="DY837" s="121"/>
      <c r="DZ837" s="121"/>
      <c r="EA837" s="121"/>
      <c r="EB837" s="121"/>
      <c r="EC837" s="121"/>
      <c r="ED837" s="121"/>
      <c r="EE837" s="121"/>
      <c r="EF837" s="121"/>
      <c r="EG837" s="123"/>
      <c r="EH837" s="127"/>
      <c r="EI837" s="125"/>
      <c r="EJ837" s="126"/>
      <c r="EK837" s="30"/>
      <c r="EL837" s="127"/>
      <c r="EM837" s="128"/>
      <c r="EN837" s="123"/>
      <c r="EO837" s="128"/>
      <c r="EP837" s="13"/>
      <c r="EQ837" s="129"/>
      <c r="ER837" s="123"/>
      <c r="ES837" s="130"/>
      <c r="ET837" s="13"/>
      <c r="EU837" s="123"/>
      <c r="EV837" s="131"/>
    </row>
    <row r="838" spans="35:152">
      <c r="AI838" s="121"/>
      <c r="AJ838" s="13"/>
      <c r="AK838" s="13"/>
      <c r="AL838" s="13"/>
      <c r="AM838" s="13"/>
      <c r="AN838" s="13"/>
      <c r="AO838" s="13"/>
      <c r="AW838" s="121"/>
      <c r="AX838" s="121"/>
      <c r="AY838" s="121"/>
      <c r="AZ838" s="121"/>
      <c r="BA838" s="121"/>
      <c r="BB838" s="121"/>
      <c r="BC838" s="121"/>
      <c r="BD838" s="121"/>
      <c r="BE838" s="121"/>
      <c r="BF838" s="121"/>
      <c r="BG838" s="123"/>
      <c r="BH838" s="127"/>
      <c r="BI838" s="125"/>
      <c r="BJ838" s="126"/>
      <c r="BK838" s="30"/>
      <c r="BL838" s="127"/>
      <c r="BM838" s="128"/>
      <c r="BN838" s="123"/>
      <c r="BO838" s="128"/>
      <c r="BP838" s="13"/>
      <c r="BQ838" s="129"/>
      <c r="BR838" s="123"/>
      <c r="BS838" s="130"/>
      <c r="BT838" s="13"/>
      <c r="BU838" s="123"/>
      <c r="BV838" s="131"/>
      <c r="DI838" s="121"/>
      <c r="DJ838" s="13"/>
      <c r="DK838" s="13"/>
      <c r="DL838" s="13"/>
      <c r="DM838" s="13"/>
      <c r="DN838" s="13"/>
      <c r="DO838" s="13"/>
      <c r="DW838" s="121"/>
      <c r="DX838" s="121"/>
      <c r="DY838" s="121"/>
      <c r="DZ838" s="121"/>
      <c r="EA838" s="121"/>
      <c r="EB838" s="121"/>
      <c r="EC838" s="121"/>
      <c r="ED838" s="121"/>
      <c r="EE838" s="121"/>
      <c r="EF838" s="121"/>
      <c r="EG838" s="123"/>
      <c r="EH838" s="127"/>
      <c r="EI838" s="125"/>
      <c r="EJ838" s="126"/>
      <c r="EK838" s="30"/>
      <c r="EL838" s="127"/>
      <c r="EM838" s="128"/>
      <c r="EN838" s="123"/>
      <c r="EO838" s="128"/>
      <c r="EP838" s="13"/>
      <c r="EQ838" s="129"/>
      <c r="ER838" s="123"/>
      <c r="ES838" s="130"/>
      <c r="ET838" s="13"/>
      <c r="EU838" s="123"/>
      <c r="EV838" s="131"/>
    </row>
    <row r="839" spans="35:152">
      <c r="AI839" s="121"/>
      <c r="AJ839" s="13"/>
      <c r="AK839" s="13"/>
      <c r="AL839" s="13"/>
      <c r="AM839" s="13"/>
      <c r="AN839" s="13"/>
      <c r="AO839" s="13"/>
      <c r="AW839" s="121"/>
      <c r="AX839" s="121"/>
      <c r="AY839" s="121"/>
      <c r="AZ839" s="121"/>
      <c r="BA839" s="121"/>
      <c r="BB839" s="121"/>
      <c r="BC839" s="121"/>
      <c r="BD839" s="121"/>
      <c r="BE839" s="121"/>
      <c r="BF839" s="121"/>
      <c r="BG839" s="123"/>
      <c r="BH839" s="127"/>
      <c r="BI839" s="125"/>
      <c r="BJ839" s="126"/>
      <c r="BK839" s="30"/>
      <c r="BL839" s="127"/>
      <c r="BM839" s="128"/>
      <c r="BN839" s="123"/>
      <c r="BO839" s="128"/>
      <c r="BP839" s="13"/>
      <c r="BQ839" s="129"/>
      <c r="BR839" s="123"/>
      <c r="BS839" s="130"/>
      <c r="BT839" s="13"/>
      <c r="BU839" s="123"/>
      <c r="BV839" s="131"/>
      <c r="DI839" s="121"/>
      <c r="DJ839" s="13"/>
      <c r="DK839" s="13"/>
      <c r="DL839" s="13"/>
      <c r="DM839" s="13"/>
      <c r="DN839" s="13"/>
      <c r="DO839" s="13"/>
      <c r="DW839" s="121"/>
      <c r="DX839" s="121"/>
      <c r="DY839" s="121"/>
      <c r="DZ839" s="121"/>
      <c r="EA839" s="121"/>
      <c r="EB839" s="121"/>
      <c r="EC839" s="121"/>
      <c r="ED839" s="121"/>
      <c r="EE839" s="121"/>
      <c r="EF839" s="121"/>
      <c r="EG839" s="123"/>
      <c r="EH839" s="127"/>
      <c r="EI839" s="125"/>
      <c r="EJ839" s="126"/>
      <c r="EK839" s="30"/>
      <c r="EL839" s="127"/>
      <c r="EM839" s="128"/>
      <c r="EN839" s="123"/>
      <c r="EO839" s="128"/>
      <c r="EP839" s="13"/>
      <c r="EQ839" s="129"/>
      <c r="ER839" s="123"/>
      <c r="ES839" s="130"/>
      <c r="ET839" s="13"/>
      <c r="EU839" s="123"/>
      <c r="EV839" s="131"/>
    </row>
    <row r="840" spans="35:152">
      <c r="AI840" s="121"/>
      <c r="AJ840" s="13"/>
      <c r="AK840" s="13"/>
      <c r="AL840" s="13"/>
      <c r="AM840" s="13"/>
      <c r="AN840" s="13"/>
      <c r="AO840" s="13"/>
      <c r="AW840" s="121"/>
      <c r="AX840" s="121"/>
      <c r="AY840" s="121"/>
      <c r="AZ840" s="121"/>
      <c r="BA840" s="121"/>
      <c r="BB840" s="121"/>
      <c r="BC840" s="121"/>
      <c r="BD840" s="121"/>
      <c r="BE840" s="121"/>
      <c r="BF840" s="121"/>
      <c r="BG840" s="123"/>
      <c r="BH840" s="127"/>
      <c r="BI840" s="125"/>
      <c r="BJ840" s="126"/>
      <c r="BK840" s="30"/>
      <c r="BL840" s="127"/>
      <c r="BM840" s="128"/>
      <c r="BN840" s="123"/>
      <c r="BO840" s="128"/>
      <c r="BP840" s="13"/>
      <c r="BQ840" s="129"/>
      <c r="BR840" s="123"/>
      <c r="BS840" s="130"/>
      <c r="BT840" s="13"/>
      <c r="BU840" s="123"/>
      <c r="BV840" s="131"/>
      <c r="DI840" s="121"/>
      <c r="DJ840" s="13"/>
      <c r="DK840" s="13"/>
      <c r="DL840" s="13"/>
      <c r="DM840" s="13"/>
      <c r="DN840" s="13"/>
      <c r="DO840" s="13"/>
      <c r="DW840" s="121"/>
      <c r="DX840" s="121"/>
      <c r="DY840" s="121"/>
      <c r="DZ840" s="121"/>
      <c r="EA840" s="121"/>
      <c r="EB840" s="121"/>
      <c r="EC840" s="121"/>
      <c r="ED840" s="121"/>
      <c r="EE840" s="121"/>
      <c r="EF840" s="121"/>
      <c r="EG840" s="123"/>
      <c r="EH840" s="127"/>
      <c r="EI840" s="125"/>
      <c r="EJ840" s="126"/>
      <c r="EK840" s="30"/>
      <c r="EL840" s="127"/>
      <c r="EM840" s="128"/>
      <c r="EN840" s="123"/>
      <c r="EO840" s="128"/>
      <c r="EP840" s="13"/>
      <c r="EQ840" s="129"/>
      <c r="ER840" s="123"/>
      <c r="ES840" s="130"/>
      <c r="ET840" s="13"/>
      <c r="EU840" s="123"/>
      <c r="EV840" s="131"/>
    </row>
    <row r="841" spans="35:152">
      <c r="AI841" s="121"/>
      <c r="AJ841" s="13"/>
      <c r="AK841" s="13"/>
      <c r="AL841" s="13"/>
      <c r="AM841" s="13"/>
      <c r="AN841" s="13"/>
      <c r="AO841" s="13"/>
      <c r="AW841" s="121"/>
      <c r="AX841" s="121"/>
      <c r="AY841" s="121"/>
      <c r="AZ841" s="121"/>
      <c r="BA841" s="121"/>
      <c r="BB841" s="121"/>
      <c r="BC841" s="121"/>
      <c r="BD841" s="121"/>
      <c r="BE841" s="121"/>
      <c r="BF841" s="121"/>
      <c r="BG841" s="123"/>
      <c r="BH841" s="127"/>
      <c r="BI841" s="125"/>
      <c r="BJ841" s="126"/>
      <c r="BK841" s="30"/>
      <c r="BL841" s="127"/>
      <c r="BM841" s="128"/>
      <c r="BN841" s="123"/>
      <c r="BO841" s="128"/>
      <c r="BP841" s="13"/>
      <c r="BQ841" s="129"/>
      <c r="BR841" s="123"/>
      <c r="BS841" s="130"/>
      <c r="BT841" s="13"/>
      <c r="BU841" s="123"/>
      <c r="BV841" s="131"/>
      <c r="DI841" s="121"/>
      <c r="DJ841" s="13"/>
      <c r="DK841" s="13"/>
      <c r="DL841" s="13"/>
      <c r="DM841" s="13"/>
      <c r="DN841" s="13"/>
      <c r="DO841" s="13"/>
      <c r="DW841" s="121"/>
      <c r="DX841" s="121"/>
      <c r="DY841" s="121"/>
      <c r="DZ841" s="121"/>
      <c r="EA841" s="121"/>
      <c r="EB841" s="121"/>
      <c r="EC841" s="121"/>
      <c r="ED841" s="121"/>
      <c r="EE841" s="121"/>
      <c r="EF841" s="121"/>
      <c r="EG841" s="123"/>
      <c r="EH841" s="127"/>
      <c r="EI841" s="125"/>
      <c r="EJ841" s="126"/>
      <c r="EK841" s="30"/>
      <c r="EL841" s="127"/>
      <c r="EM841" s="128"/>
      <c r="EN841" s="123"/>
      <c r="EO841" s="128"/>
      <c r="EP841" s="13"/>
      <c r="EQ841" s="129"/>
      <c r="ER841" s="123"/>
      <c r="ES841" s="130"/>
      <c r="ET841" s="13"/>
      <c r="EU841" s="123"/>
      <c r="EV841" s="131"/>
    </row>
    <row r="842" spans="35:152">
      <c r="AI842" s="121"/>
      <c r="AJ842" s="13"/>
      <c r="AK842" s="13"/>
      <c r="AL842" s="13"/>
      <c r="AM842" s="13"/>
      <c r="AN842" s="13"/>
      <c r="AO842" s="13"/>
      <c r="AW842" s="121"/>
      <c r="AX842" s="121"/>
      <c r="AY842" s="121"/>
      <c r="AZ842" s="121"/>
      <c r="BA842" s="121"/>
      <c r="BB842" s="121"/>
      <c r="BC842" s="121"/>
      <c r="BD842" s="121"/>
      <c r="BE842" s="121"/>
      <c r="BF842" s="121"/>
      <c r="BG842" s="123"/>
      <c r="BH842" s="127"/>
      <c r="BI842" s="125"/>
      <c r="BJ842" s="126"/>
      <c r="BK842" s="30"/>
      <c r="BL842" s="127"/>
      <c r="BM842" s="128"/>
      <c r="BN842" s="123"/>
      <c r="BO842" s="128"/>
      <c r="BP842" s="13"/>
      <c r="BQ842" s="129"/>
      <c r="BR842" s="123"/>
      <c r="BS842" s="130"/>
      <c r="BT842" s="13"/>
      <c r="BU842" s="123"/>
      <c r="BV842" s="131"/>
      <c r="DI842" s="121"/>
      <c r="DJ842" s="13"/>
      <c r="DK842" s="13"/>
      <c r="DL842" s="13"/>
      <c r="DM842" s="13"/>
      <c r="DN842" s="13"/>
      <c r="DO842" s="13"/>
      <c r="DW842" s="121"/>
      <c r="DX842" s="121"/>
      <c r="DY842" s="121"/>
      <c r="DZ842" s="121"/>
      <c r="EA842" s="121"/>
      <c r="EB842" s="121"/>
      <c r="EC842" s="121"/>
      <c r="ED842" s="121"/>
      <c r="EE842" s="121"/>
      <c r="EF842" s="121"/>
      <c r="EG842" s="123"/>
      <c r="EH842" s="127"/>
      <c r="EI842" s="125"/>
      <c r="EJ842" s="126"/>
      <c r="EK842" s="30"/>
      <c r="EL842" s="127"/>
      <c r="EM842" s="128"/>
      <c r="EN842" s="123"/>
      <c r="EO842" s="128"/>
      <c r="EP842" s="13"/>
      <c r="EQ842" s="129"/>
      <c r="ER842" s="123"/>
      <c r="ES842" s="130"/>
      <c r="ET842" s="13"/>
      <c r="EU842" s="123"/>
      <c r="EV842" s="131"/>
    </row>
    <row r="843" spans="35:152">
      <c r="AI843" s="121"/>
      <c r="AJ843" s="13"/>
      <c r="AK843" s="13"/>
      <c r="AL843" s="13"/>
      <c r="AM843" s="13"/>
      <c r="AN843" s="13"/>
      <c r="AO843" s="13"/>
      <c r="AW843" s="121"/>
      <c r="AX843" s="121"/>
      <c r="AY843" s="121"/>
      <c r="AZ843" s="121"/>
      <c r="BA843" s="121"/>
      <c r="BB843" s="121"/>
      <c r="BC843" s="121"/>
      <c r="BD843" s="121"/>
      <c r="BE843" s="121"/>
      <c r="BF843" s="121"/>
      <c r="BG843" s="123"/>
      <c r="BH843" s="127"/>
      <c r="BI843" s="125"/>
      <c r="BJ843" s="126"/>
      <c r="BK843" s="30"/>
      <c r="BL843" s="127"/>
      <c r="BM843" s="128"/>
      <c r="BN843" s="123"/>
      <c r="BO843" s="128"/>
      <c r="BP843" s="13"/>
      <c r="BQ843" s="129"/>
      <c r="BR843" s="123"/>
      <c r="BS843" s="130"/>
      <c r="BT843" s="13"/>
      <c r="BU843" s="123"/>
      <c r="BV843" s="131"/>
      <c r="DI843" s="121"/>
      <c r="DJ843" s="13"/>
      <c r="DK843" s="13"/>
      <c r="DL843" s="13"/>
      <c r="DM843" s="13"/>
      <c r="DN843" s="13"/>
      <c r="DO843" s="13"/>
      <c r="DW843" s="121"/>
      <c r="DX843" s="121"/>
      <c r="DY843" s="121"/>
      <c r="DZ843" s="121"/>
      <c r="EA843" s="121"/>
      <c r="EB843" s="121"/>
      <c r="EC843" s="121"/>
      <c r="ED843" s="121"/>
      <c r="EE843" s="121"/>
      <c r="EF843" s="121"/>
      <c r="EG843" s="123"/>
      <c r="EH843" s="127"/>
      <c r="EI843" s="125"/>
      <c r="EJ843" s="126"/>
      <c r="EK843" s="30"/>
      <c r="EL843" s="127"/>
      <c r="EM843" s="128"/>
      <c r="EN843" s="123"/>
      <c r="EO843" s="128"/>
      <c r="EP843" s="13"/>
      <c r="EQ843" s="129"/>
      <c r="ER843" s="123"/>
      <c r="ES843" s="130"/>
      <c r="ET843" s="13"/>
      <c r="EU843" s="123"/>
      <c r="EV843" s="131"/>
    </row>
    <row r="844" spans="35:152">
      <c r="AI844" s="121"/>
      <c r="AJ844" s="13"/>
      <c r="AK844" s="13"/>
      <c r="AL844" s="13"/>
      <c r="AM844" s="13"/>
      <c r="AN844" s="13"/>
      <c r="AO844" s="13"/>
      <c r="AW844" s="121"/>
      <c r="AX844" s="121"/>
      <c r="AY844" s="121"/>
      <c r="AZ844" s="121"/>
      <c r="BA844" s="121"/>
      <c r="BB844" s="121"/>
      <c r="BC844" s="121"/>
      <c r="BD844" s="121"/>
      <c r="BE844" s="121"/>
      <c r="BF844" s="121"/>
      <c r="BG844" s="123"/>
      <c r="BH844" s="127"/>
      <c r="BI844" s="125"/>
      <c r="BJ844" s="126"/>
      <c r="BK844" s="30"/>
      <c r="BL844" s="127"/>
      <c r="BM844" s="128"/>
      <c r="BN844" s="123"/>
      <c r="BO844" s="128"/>
      <c r="BP844" s="13"/>
      <c r="BQ844" s="129"/>
      <c r="BR844" s="123"/>
      <c r="BS844" s="130"/>
      <c r="BT844" s="13"/>
      <c r="BU844" s="123"/>
      <c r="BV844" s="131"/>
      <c r="DI844" s="121"/>
      <c r="DJ844" s="13"/>
      <c r="DK844" s="13"/>
      <c r="DL844" s="13"/>
      <c r="DM844" s="13"/>
      <c r="DN844" s="13"/>
      <c r="DO844" s="13"/>
      <c r="DW844" s="121"/>
      <c r="DX844" s="121"/>
      <c r="DY844" s="121"/>
      <c r="DZ844" s="121"/>
      <c r="EA844" s="121"/>
      <c r="EB844" s="121"/>
      <c r="EC844" s="121"/>
      <c r="ED844" s="121"/>
      <c r="EE844" s="121"/>
      <c r="EF844" s="121"/>
      <c r="EG844" s="123"/>
      <c r="EH844" s="127"/>
      <c r="EI844" s="125"/>
      <c r="EJ844" s="126"/>
      <c r="EK844" s="30"/>
      <c r="EL844" s="127"/>
      <c r="EM844" s="128"/>
      <c r="EN844" s="123"/>
      <c r="EO844" s="128"/>
      <c r="EP844" s="13"/>
      <c r="EQ844" s="129"/>
      <c r="ER844" s="123"/>
      <c r="ES844" s="130"/>
      <c r="ET844" s="13"/>
      <c r="EU844" s="123"/>
      <c r="EV844" s="131"/>
    </row>
    <row r="845" spans="35:152">
      <c r="AI845" s="121"/>
      <c r="AJ845" s="13"/>
      <c r="AK845" s="13"/>
      <c r="AL845" s="13"/>
      <c r="AM845" s="13"/>
      <c r="AN845" s="13"/>
      <c r="AO845" s="13"/>
      <c r="AW845" s="121"/>
      <c r="AX845" s="121"/>
      <c r="AY845" s="121"/>
      <c r="AZ845" s="121"/>
      <c r="BA845" s="121"/>
      <c r="BB845" s="121"/>
      <c r="BC845" s="121"/>
      <c r="BD845" s="121"/>
      <c r="BE845" s="121"/>
      <c r="BF845" s="121"/>
      <c r="BG845" s="123"/>
      <c r="BH845" s="127"/>
      <c r="BI845" s="125"/>
      <c r="BJ845" s="126"/>
      <c r="BK845" s="30"/>
      <c r="BL845" s="127"/>
      <c r="BM845" s="128"/>
      <c r="BN845" s="123"/>
      <c r="BO845" s="128"/>
      <c r="BP845" s="13"/>
      <c r="BQ845" s="129"/>
      <c r="BR845" s="123"/>
      <c r="BS845" s="130"/>
      <c r="BT845" s="13"/>
      <c r="BU845" s="123"/>
      <c r="BV845" s="131"/>
      <c r="DI845" s="121"/>
      <c r="DJ845" s="13"/>
      <c r="DK845" s="13"/>
      <c r="DL845" s="13"/>
      <c r="DM845" s="13"/>
      <c r="DN845" s="13"/>
      <c r="DO845" s="13"/>
      <c r="DW845" s="121"/>
      <c r="DX845" s="121"/>
      <c r="DY845" s="121"/>
      <c r="DZ845" s="121"/>
      <c r="EA845" s="121"/>
      <c r="EB845" s="121"/>
      <c r="EC845" s="121"/>
      <c r="ED845" s="121"/>
      <c r="EE845" s="121"/>
      <c r="EF845" s="121"/>
      <c r="EG845" s="123"/>
      <c r="EH845" s="127"/>
      <c r="EI845" s="125"/>
      <c r="EJ845" s="126"/>
      <c r="EK845" s="30"/>
      <c r="EL845" s="127"/>
      <c r="EM845" s="128"/>
      <c r="EN845" s="123"/>
      <c r="EO845" s="128"/>
      <c r="EP845" s="13"/>
      <c r="EQ845" s="129"/>
      <c r="ER845" s="123"/>
      <c r="ES845" s="130"/>
      <c r="ET845" s="13"/>
      <c r="EU845" s="123"/>
      <c r="EV845" s="131"/>
    </row>
    <row r="846" spans="35:152">
      <c r="AI846" s="121"/>
      <c r="AJ846" s="13"/>
      <c r="AK846" s="13"/>
      <c r="AL846" s="13"/>
      <c r="AM846" s="13"/>
      <c r="AN846" s="13"/>
      <c r="AO846" s="13"/>
      <c r="AW846" s="121"/>
      <c r="AX846" s="121"/>
      <c r="AY846" s="121"/>
      <c r="AZ846" s="121"/>
      <c r="BA846" s="121"/>
      <c r="BB846" s="121"/>
      <c r="BC846" s="121"/>
      <c r="BD846" s="121"/>
      <c r="BE846" s="121"/>
      <c r="BF846" s="121"/>
      <c r="BG846" s="123"/>
      <c r="BH846" s="127"/>
      <c r="BI846" s="125"/>
      <c r="BJ846" s="126"/>
      <c r="BK846" s="30"/>
      <c r="BL846" s="127"/>
      <c r="BM846" s="128"/>
      <c r="BN846" s="123"/>
      <c r="BO846" s="128"/>
      <c r="BP846" s="13"/>
      <c r="BQ846" s="129"/>
      <c r="BR846" s="123"/>
      <c r="BS846" s="130"/>
      <c r="BT846" s="13"/>
      <c r="BU846" s="123"/>
      <c r="BV846" s="131"/>
      <c r="DI846" s="121"/>
      <c r="DJ846" s="13"/>
      <c r="DK846" s="13"/>
      <c r="DL846" s="13"/>
      <c r="DM846" s="13"/>
      <c r="DN846" s="13"/>
      <c r="DO846" s="13"/>
      <c r="DW846" s="121"/>
      <c r="DX846" s="121"/>
      <c r="DY846" s="121"/>
      <c r="DZ846" s="121"/>
      <c r="EA846" s="121"/>
      <c r="EB846" s="121"/>
      <c r="EC846" s="121"/>
      <c r="ED846" s="121"/>
      <c r="EE846" s="121"/>
      <c r="EF846" s="121"/>
      <c r="EG846" s="123"/>
      <c r="EH846" s="127"/>
      <c r="EI846" s="125"/>
      <c r="EJ846" s="126"/>
      <c r="EK846" s="30"/>
      <c r="EL846" s="127"/>
      <c r="EM846" s="128"/>
      <c r="EN846" s="123"/>
      <c r="EO846" s="128"/>
      <c r="EP846" s="13"/>
      <c r="EQ846" s="129"/>
      <c r="ER846" s="123"/>
      <c r="ES846" s="130"/>
      <c r="ET846" s="13"/>
      <c r="EU846" s="123"/>
      <c r="EV846" s="131"/>
    </row>
    <row r="847" spans="35:152">
      <c r="AI847" s="121"/>
      <c r="AJ847" s="13"/>
      <c r="AK847" s="13"/>
      <c r="AL847" s="13"/>
      <c r="AM847" s="13"/>
      <c r="AN847" s="13"/>
      <c r="AO847" s="13"/>
      <c r="AW847" s="121"/>
      <c r="AX847" s="121"/>
      <c r="AY847" s="121"/>
      <c r="AZ847" s="121"/>
      <c r="BA847" s="121"/>
      <c r="BB847" s="121"/>
      <c r="BC847" s="121"/>
      <c r="BD847" s="121"/>
      <c r="BE847" s="121"/>
      <c r="BF847" s="121"/>
      <c r="BG847" s="123"/>
      <c r="BH847" s="127"/>
      <c r="BI847" s="125"/>
      <c r="BJ847" s="126"/>
      <c r="BK847" s="30"/>
      <c r="BL847" s="127"/>
      <c r="BM847" s="128"/>
      <c r="BN847" s="123"/>
      <c r="BO847" s="128"/>
      <c r="BP847" s="13"/>
      <c r="BQ847" s="129"/>
      <c r="BR847" s="123"/>
      <c r="BS847" s="130"/>
      <c r="BT847" s="13"/>
      <c r="BU847" s="123"/>
      <c r="BV847" s="131"/>
      <c r="DI847" s="121"/>
      <c r="DJ847" s="13"/>
      <c r="DK847" s="13"/>
      <c r="DL847" s="13"/>
      <c r="DM847" s="13"/>
      <c r="DN847" s="13"/>
      <c r="DO847" s="13"/>
      <c r="DW847" s="121"/>
      <c r="DX847" s="121"/>
      <c r="DY847" s="121"/>
      <c r="DZ847" s="121"/>
      <c r="EA847" s="121"/>
      <c r="EB847" s="121"/>
      <c r="EC847" s="121"/>
      <c r="ED847" s="121"/>
      <c r="EE847" s="121"/>
      <c r="EF847" s="121"/>
      <c r="EG847" s="123"/>
      <c r="EH847" s="127"/>
      <c r="EI847" s="125"/>
      <c r="EJ847" s="126"/>
      <c r="EK847" s="30"/>
      <c r="EL847" s="127"/>
      <c r="EM847" s="128"/>
      <c r="EN847" s="123"/>
      <c r="EO847" s="128"/>
      <c r="EP847" s="13"/>
      <c r="EQ847" s="129"/>
      <c r="ER847" s="123"/>
      <c r="ES847" s="130"/>
      <c r="ET847" s="13"/>
      <c r="EU847" s="123"/>
      <c r="EV847" s="131"/>
    </row>
    <row r="848" spans="35:152">
      <c r="AI848" s="121"/>
      <c r="AJ848" s="13"/>
      <c r="AK848" s="13"/>
      <c r="AL848" s="13"/>
      <c r="AM848" s="13"/>
      <c r="AN848" s="13"/>
      <c r="AO848" s="13"/>
      <c r="AW848" s="121"/>
      <c r="AX848" s="121"/>
      <c r="AY848" s="121"/>
      <c r="AZ848" s="121"/>
      <c r="BA848" s="121"/>
      <c r="BB848" s="121"/>
      <c r="BC848" s="121"/>
      <c r="BD848" s="121"/>
      <c r="BE848" s="121"/>
      <c r="BF848" s="121"/>
      <c r="BG848" s="123"/>
      <c r="BH848" s="127"/>
      <c r="BI848" s="125"/>
      <c r="BJ848" s="126"/>
      <c r="BK848" s="30"/>
      <c r="BL848" s="127"/>
      <c r="BM848" s="128"/>
      <c r="BN848" s="123"/>
      <c r="BO848" s="128"/>
      <c r="BP848" s="13"/>
      <c r="BQ848" s="129"/>
      <c r="BR848" s="123"/>
      <c r="BS848" s="130"/>
      <c r="BT848" s="13"/>
      <c r="BU848" s="123"/>
      <c r="BV848" s="131"/>
      <c r="DI848" s="121"/>
      <c r="DJ848" s="13"/>
      <c r="DK848" s="13"/>
      <c r="DL848" s="13"/>
      <c r="DM848" s="13"/>
      <c r="DN848" s="13"/>
      <c r="DO848" s="13"/>
      <c r="DW848" s="121"/>
      <c r="DX848" s="121"/>
      <c r="DY848" s="121"/>
      <c r="DZ848" s="121"/>
      <c r="EA848" s="121"/>
      <c r="EB848" s="121"/>
      <c r="EC848" s="121"/>
      <c r="ED848" s="121"/>
      <c r="EE848" s="121"/>
      <c r="EF848" s="121"/>
      <c r="EG848" s="123"/>
      <c r="EH848" s="127"/>
      <c r="EI848" s="125"/>
      <c r="EJ848" s="126"/>
      <c r="EK848" s="30"/>
      <c r="EL848" s="127"/>
      <c r="EM848" s="128"/>
      <c r="EN848" s="123"/>
      <c r="EO848" s="128"/>
      <c r="EP848" s="13"/>
      <c r="EQ848" s="129"/>
      <c r="ER848" s="123"/>
      <c r="ES848" s="130"/>
      <c r="ET848" s="13"/>
      <c r="EU848" s="123"/>
      <c r="EV848" s="131"/>
    </row>
    <row r="849" spans="35:152">
      <c r="AI849" s="121"/>
      <c r="AJ849" s="13"/>
      <c r="AK849" s="13"/>
      <c r="AL849" s="13"/>
      <c r="AM849" s="13"/>
      <c r="AN849" s="13"/>
      <c r="AO849" s="13"/>
      <c r="AW849" s="121"/>
      <c r="AX849" s="121"/>
      <c r="AY849" s="121"/>
      <c r="AZ849" s="121"/>
      <c r="BA849" s="121"/>
      <c r="BB849" s="121"/>
      <c r="BC849" s="121"/>
      <c r="BD849" s="121"/>
      <c r="BE849" s="121"/>
      <c r="BF849" s="121"/>
      <c r="BG849" s="123"/>
      <c r="BH849" s="127"/>
      <c r="BI849" s="125"/>
      <c r="BJ849" s="126"/>
      <c r="BK849" s="30"/>
      <c r="BL849" s="127"/>
      <c r="BM849" s="128"/>
      <c r="BN849" s="123"/>
      <c r="BO849" s="128"/>
      <c r="BP849" s="13"/>
      <c r="BQ849" s="129"/>
      <c r="BR849" s="123"/>
      <c r="BS849" s="130"/>
      <c r="BT849" s="13"/>
      <c r="BU849" s="123"/>
      <c r="BV849" s="131"/>
      <c r="DI849" s="121"/>
      <c r="DJ849" s="13"/>
      <c r="DK849" s="13"/>
      <c r="DL849" s="13"/>
      <c r="DM849" s="13"/>
      <c r="DN849" s="13"/>
      <c r="DO849" s="13"/>
      <c r="DW849" s="121"/>
      <c r="DX849" s="121"/>
      <c r="DY849" s="121"/>
      <c r="DZ849" s="121"/>
      <c r="EA849" s="121"/>
      <c r="EB849" s="121"/>
      <c r="EC849" s="121"/>
      <c r="ED849" s="121"/>
      <c r="EE849" s="121"/>
      <c r="EF849" s="121"/>
      <c r="EG849" s="123"/>
      <c r="EH849" s="127"/>
      <c r="EI849" s="125"/>
      <c r="EJ849" s="126"/>
      <c r="EK849" s="30"/>
      <c r="EL849" s="127"/>
      <c r="EM849" s="128"/>
      <c r="EN849" s="123"/>
      <c r="EO849" s="128"/>
      <c r="EP849" s="13"/>
      <c r="EQ849" s="129"/>
      <c r="ER849" s="123"/>
      <c r="ES849" s="130"/>
      <c r="ET849" s="13"/>
      <c r="EU849" s="123"/>
      <c r="EV849" s="131"/>
    </row>
    <row r="850" spans="35:152">
      <c r="AI850" s="121"/>
      <c r="AJ850" s="13"/>
      <c r="AK850" s="13"/>
      <c r="AL850" s="13"/>
      <c r="AM850" s="13"/>
      <c r="AN850" s="13"/>
      <c r="AO850" s="13"/>
      <c r="AW850" s="121"/>
      <c r="AX850" s="121"/>
      <c r="AY850" s="121"/>
      <c r="AZ850" s="121"/>
      <c r="BA850" s="121"/>
      <c r="BB850" s="121"/>
      <c r="BC850" s="121"/>
      <c r="BD850" s="121"/>
      <c r="BE850" s="121"/>
      <c r="BF850" s="121"/>
      <c r="BG850" s="123"/>
      <c r="BH850" s="127"/>
      <c r="BI850" s="125"/>
      <c r="BJ850" s="126"/>
      <c r="BK850" s="30"/>
      <c r="BL850" s="127"/>
      <c r="BM850" s="128"/>
      <c r="BN850" s="123"/>
      <c r="BO850" s="128"/>
      <c r="BP850" s="13"/>
      <c r="BQ850" s="129"/>
      <c r="BR850" s="123"/>
      <c r="BS850" s="130"/>
      <c r="BT850" s="13"/>
      <c r="BU850" s="123"/>
      <c r="BV850" s="131"/>
      <c r="DI850" s="121"/>
      <c r="DJ850" s="13"/>
      <c r="DK850" s="13"/>
      <c r="DL850" s="13"/>
      <c r="DM850" s="13"/>
      <c r="DN850" s="13"/>
      <c r="DO850" s="13"/>
      <c r="DW850" s="121"/>
      <c r="DX850" s="121"/>
      <c r="DY850" s="121"/>
      <c r="DZ850" s="121"/>
      <c r="EA850" s="121"/>
      <c r="EB850" s="121"/>
      <c r="EC850" s="121"/>
      <c r="ED850" s="121"/>
      <c r="EE850" s="121"/>
      <c r="EF850" s="121"/>
      <c r="EG850" s="123"/>
      <c r="EH850" s="127"/>
      <c r="EI850" s="125"/>
      <c r="EJ850" s="126"/>
      <c r="EK850" s="30"/>
      <c r="EL850" s="127"/>
      <c r="EM850" s="128"/>
      <c r="EN850" s="123"/>
      <c r="EO850" s="128"/>
      <c r="EP850" s="13"/>
      <c r="EQ850" s="129"/>
      <c r="ER850" s="123"/>
      <c r="ES850" s="130"/>
      <c r="ET850" s="13"/>
      <c r="EU850" s="123"/>
      <c r="EV850" s="131"/>
    </row>
    <row r="851" spans="35:152">
      <c r="AI851" s="121"/>
      <c r="AJ851" s="13"/>
      <c r="AK851" s="13"/>
      <c r="AL851" s="13"/>
      <c r="AM851" s="13"/>
      <c r="AN851" s="13"/>
      <c r="AO851" s="13"/>
      <c r="AW851" s="121"/>
      <c r="AX851" s="121"/>
      <c r="AY851" s="121"/>
      <c r="AZ851" s="121"/>
      <c r="BA851" s="121"/>
      <c r="BB851" s="121"/>
      <c r="BC851" s="121"/>
      <c r="BD851" s="121"/>
      <c r="BE851" s="121"/>
      <c r="BF851" s="121"/>
      <c r="BG851" s="123"/>
      <c r="BH851" s="127"/>
      <c r="BI851" s="125"/>
      <c r="BJ851" s="126"/>
      <c r="BK851" s="30"/>
      <c r="BL851" s="127"/>
      <c r="BM851" s="128"/>
      <c r="BN851" s="123"/>
      <c r="BO851" s="128"/>
      <c r="BP851" s="13"/>
      <c r="BQ851" s="129"/>
      <c r="BR851" s="123"/>
      <c r="BS851" s="130"/>
      <c r="BT851" s="13"/>
      <c r="BU851" s="123"/>
      <c r="BV851" s="131"/>
      <c r="DI851" s="121"/>
      <c r="DJ851" s="13"/>
      <c r="DK851" s="13"/>
      <c r="DL851" s="13"/>
      <c r="DM851" s="13"/>
      <c r="DN851" s="13"/>
      <c r="DO851" s="13"/>
      <c r="DW851" s="121"/>
      <c r="DX851" s="121"/>
      <c r="DY851" s="121"/>
      <c r="DZ851" s="121"/>
      <c r="EA851" s="121"/>
      <c r="EB851" s="121"/>
      <c r="EC851" s="121"/>
      <c r="ED851" s="121"/>
      <c r="EE851" s="121"/>
      <c r="EF851" s="121"/>
      <c r="EG851" s="123"/>
      <c r="EH851" s="127"/>
      <c r="EI851" s="125"/>
      <c r="EJ851" s="126"/>
      <c r="EK851" s="30"/>
      <c r="EL851" s="127"/>
      <c r="EM851" s="128"/>
      <c r="EN851" s="123"/>
      <c r="EO851" s="128"/>
      <c r="EP851" s="13"/>
      <c r="EQ851" s="129"/>
      <c r="ER851" s="123"/>
      <c r="ES851" s="130"/>
      <c r="ET851" s="13"/>
      <c r="EU851" s="123"/>
      <c r="EV851" s="131"/>
    </row>
    <row r="852" spans="35:152">
      <c r="AI852" s="121"/>
      <c r="AJ852" s="13"/>
      <c r="AK852" s="13"/>
      <c r="AL852" s="13"/>
      <c r="AM852" s="13"/>
      <c r="AN852" s="13"/>
      <c r="AO852" s="13"/>
      <c r="AW852" s="121"/>
      <c r="AX852" s="121"/>
      <c r="AY852" s="121"/>
      <c r="AZ852" s="121"/>
      <c r="BA852" s="121"/>
      <c r="BB852" s="121"/>
      <c r="BC852" s="121"/>
      <c r="BD852" s="121"/>
      <c r="BE852" s="121"/>
      <c r="BF852" s="121"/>
      <c r="BG852" s="123"/>
      <c r="BH852" s="127"/>
      <c r="BI852" s="125"/>
      <c r="BJ852" s="126"/>
      <c r="BK852" s="30"/>
      <c r="BL852" s="127"/>
      <c r="BM852" s="128"/>
      <c r="BN852" s="123"/>
      <c r="BO852" s="128"/>
      <c r="BP852" s="13"/>
      <c r="BQ852" s="129"/>
      <c r="BR852" s="123"/>
      <c r="BS852" s="130"/>
      <c r="BT852" s="13"/>
      <c r="BU852" s="123"/>
      <c r="BV852" s="131"/>
      <c r="DI852" s="121"/>
      <c r="DJ852" s="13"/>
      <c r="DK852" s="13"/>
      <c r="DL852" s="13"/>
      <c r="DM852" s="13"/>
      <c r="DN852" s="13"/>
      <c r="DO852" s="13"/>
      <c r="DW852" s="121"/>
      <c r="DX852" s="121"/>
      <c r="DY852" s="121"/>
      <c r="DZ852" s="121"/>
      <c r="EA852" s="121"/>
      <c r="EB852" s="121"/>
      <c r="EC852" s="121"/>
      <c r="ED852" s="121"/>
      <c r="EE852" s="121"/>
      <c r="EF852" s="121"/>
      <c r="EG852" s="123"/>
      <c r="EH852" s="127"/>
      <c r="EI852" s="125"/>
      <c r="EJ852" s="126"/>
      <c r="EK852" s="30"/>
      <c r="EL852" s="127"/>
      <c r="EM852" s="128"/>
      <c r="EN852" s="123"/>
      <c r="EO852" s="128"/>
      <c r="EP852" s="13"/>
      <c r="EQ852" s="129"/>
      <c r="ER852" s="123"/>
      <c r="ES852" s="130"/>
      <c r="ET852" s="13"/>
      <c r="EU852" s="123"/>
      <c r="EV852" s="131"/>
    </row>
    <row r="853" spans="35:152">
      <c r="AI853" s="121"/>
      <c r="AJ853" s="13"/>
      <c r="AK853" s="13"/>
      <c r="AL853" s="13"/>
      <c r="AM853" s="13"/>
      <c r="AN853" s="13"/>
      <c r="AO853" s="13"/>
      <c r="AW853" s="121"/>
      <c r="AX853" s="121"/>
      <c r="AY853" s="121"/>
      <c r="AZ853" s="121"/>
      <c r="BA853" s="121"/>
      <c r="BB853" s="121"/>
      <c r="BC853" s="121"/>
      <c r="BD853" s="121"/>
      <c r="BE853" s="121"/>
      <c r="BF853" s="121"/>
      <c r="BG853" s="123"/>
      <c r="BH853" s="127"/>
      <c r="BI853" s="125"/>
      <c r="BJ853" s="126"/>
      <c r="BK853" s="30"/>
      <c r="BL853" s="127"/>
      <c r="BM853" s="128"/>
      <c r="BN853" s="123"/>
      <c r="BO853" s="128"/>
      <c r="BP853" s="13"/>
      <c r="BQ853" s="129"/>
      <c r="BR853" s="123"/>
      <c r="BS853" s="130"/>
      <c r="BT853" s="13"/>
      <c r="BU853" s="123"/>
      <c r="BV853" s="131"/>
      <c r="DI853" s="121"/>
      <c r="DJ853" s="13"/>
      <c r="DK853" s="13"/>
      <c r="DL853" s="13"/>
      <c r="DM853" s="13"/>
      <c r="DN853" s="13"/>
      <c r="DO853" s="13"/>
      <c r="DW853" s="121"/>
      <c r="DX853" s="121"/>
      <c r="DY853" s="121"/>
      <c r="DZ853" s="121"/>
      <c r="EA853" s="121"/>
      <c r="EB853" s="121"/>
      <c r="EC853" s="121"/>
      <c r="ED853" s="121"/>
      <c r="EE853" s="121"/>
      <c r="EF853" s="121"/>
      <c r="EG853" s="123"/>
      <c r="EH853" s="127"/>
      <c r="EI853" s="125"/>
      <c r="EJ853" s="126"/>
      <c r="EK853" s="30"/>
      <c r="EL853" s="127"/>
      <c r="EM853" s="128"/>
      <c r="EN853" s="123"/>
      <c r="EO853" s="128"/>
      <c r="EP853" s="13"/>
      <c r="EQ853" s="129"/>
      <c r="ER853" s="123"/>
      <c r="ES853" s="130"/>
      <c r="ET853" s="13"/>
      <c r="EU853" s="123"/>
      <c r="EV853" s="131"/>
    </row>
    <row r="854" spans="35:152">
      <c r="AI854" s="121"/>
      <c r="AJ854" s="13"/>
      <c r="AK854" s="13"/>
      <c r="AL854" s="13"/>
      <c r="AM854" s="13"/>
      <c r="AN854" s="13"/>
      <c r="AO854" s="13"/>
      <c r="AW854" s="121"/>
      <c r="AX854" s="121"/>
      <c r="AY854" s="121"/>
      <c r="AZ854" s="121"/>
      <c r="BA854" s="121"/>
      <c r="BB854" s="121"/>
      <c r="BC854" s="121"/>
      <c r="BD854" s="121"/>
      <c r="BE854" s="121"/>
      <c r="BF854" s="121"/>
      <c r="BG854" s="123"/>
      <c r="BH854" s="127"/>
      <c r="BI854" s="125"/>
      <c r="BJ854" s="126"/>
      <c r="BK854" s="30"/>
      <c r="BL854" s="127"/>
      <c r="BM854" s="128"/>
      <c r="BN854" s="123"/>
      <c r="BO854" s="128"/>
      <c r="BP854" s="13"/>
      <c r="BQ854" s="129"/>
      <c r="BR854" s="123"/>
      <c r="BS854" s="130"/>
      <c r="BT854" s="13"/>
      <c r="BU854" s="123"/>
      <c r="BV854" s="131"/>
      <c r="DI854" s="121"/>
      <c r="DJ854" s="13"/>
      <c r="DK854" s="13"/>
      <c r="DL854" s="13"/>
      <c r="DM854" s="13"/>
      <c r="DN854" s="13"/>
      <c r="DO854" s="13"/>
      <c r="DW854" s="121"/>
      <c r="DX854" s="121"/>
      <c r="DY854" s="121"/>
      <c r="DZ854" s="121"/>
      <c r="EA854" s="121"/>
      <c r="EB854" s="121"/>
      <c r="EC854" s="121"/>
      <c r="ED854" s="121"/>
      <c r="EE854" s="121"/>
      <c r="EF854" s="121"/>
      <c r="EG854" s="123"/>
      <c r="EH854" s="127"/>
      <c r="EI854" s="125"/>
      <c r="EJ854" s="126"/>
      <c r="EK854" s="30"/>
      <c r="EL854" s="127"/>
      <c r="EM854" s="128"/>
      <c r="EN854" s="123"/>
      <c r="EO854" s="128"/>
      <c r="EP854" s="13"/>
      <c r="EQ854" s="129"/>
      <c r="ER854" s="123"/>
      <c r="ES854" s="130"/>
      <c r="ET854" s="13"/>
      <c r="EU854" s="123"/>
      <c r="EV854" s="131"/>
    </row>
    <row r="855" spans="35:152">
      <c r="AI855" s="121"/>
      <c r="AJ855" s="13"/>
      <c r="AK855" s="13"/>
      <c r="AL855" s="13"/>
      <c r="AM855" s="13"/>
      <c r="AN855" s="13"/>
      <c r="AO855" s="13"/>
      <c r="AW855" s="121"/>
      <c r="AX855" s="121"/>
      <c r="AY855" s="121"/>
      <c r="AZ855" s="121"/>
      <c r="BA855" s="121"/>
      <c r="BB855" s="121"/>
      <c r="BC855" s="121"/>
      <c r="BD855" s="121"/>
      <c r="BE855" s="121"/>
      <c r="BF855" s="121"/>
      <c r="BG855" s="123"/>
      <c r="BH855" s="127"/>
      <c r="BI855" s="125"/>
      <c r="BJ855" s="126"/>
      <c r="BK855" s="30"/>
      <c r="BL855" s="127"/>
      <c r="BM855" s="128"/>
      <c r="BN855" s="123"/>
      <c r="BO855" s="128"/>
      <c r="BP855" s="13"/>
      <c r="BQ855" s="129"/>
      <c r="BR855" s="123"/>
      <c r="BS855" s="130"/>
      <c r="BT855" s="13"/>
      <c r="BU855" s="123"/>
      <c r="BV855" s="131"/>
      <c r="DI855" s="121"/>
      <c r="DJ855" s="13"/>
      <c r="DK855" s="13"/>
      <c r="DL855" s="13"/>
      <c r="DM855" s="13"/>
      <c r="DN855" s="13"/>
      <c r="DO855" s="13"/>
      <c r="DW855" s="121"/>
      <c r="DX855" s="121"/>
      <c r="DY855" s="121"/>
      <c r="DZ855" s="121"/>
      <c r="EA855" s="121"/>
      <c r="EB855" s="121"/>
      <c r="EC855" s="121"/>
      <c r="ED855" s="121"/>
      <c r="EE855" s="121"/>
      <c r="EF855" s="121"/>
      <c r="EG855" s="123"/>
      <c r="EH855" s="127"/>
      <c r="EI855" s="125"/>
      <c r="EJ855" s="126"/>
      <c r="EK855" s="30"/>
      <c r="EL855" s="127"/>
      <c r="EM855" s="128"/>
      <c r="EN855" s="123"/>
      <c r="EO855" s="128"/>
      <c r="EP855" s="13"/>
      <c r="EQ855" s="129"/>
      <c r="ER855" s="123"/>
      <c r="ES855" s="130"/>
      <c r="ET855" s="13"/>
      <c r="EU855" s="123"/>
      <c r="EV855" s="131"/>
    </row>
    <row r="856" spans="35:152">
      <c r="AI856" s="121"/>
      <c r="AJ856" s="13"/>
      <c r="AK856" s="13"/>
      <c r="AL856" s="13"/>
      <c r="AM856" s="13"/>
      <c r="AN856" s="13"/>
      <c r="AO856" s="13"/>
      <c r="AW856" s="121"/>
      <c r="AX856" s="121"/>
      <c r="AY856" s="121"/>
      <c r="AZ856" s="121"/>
      <c r="BA856" s="121"/>
      <c r="BB856" s="121"/>
      <c r="BC856" s="121"/>
      <c r="BD856" s="121"/>
      <c r="BE856" s="121"/>
      <c r="BF856" s="121"/>
      <c r="BG856" s="123"/>
      <c r="BH856" s="127"/>
      <c r="BI856" s="125"/>
      <c r="BJ856" s="126"/>
      <c r="BK856" s="30"/>
      <c r="BL856" s="127"/>
      <c r="BM856" s="128"/>
      <c r="BN856" s="123"/>
      <c r="BO856" s="128"/>
      <c r="BP856" s="13"/>
      <c r="BQ856" s="129"/>
      <c r="BR856" s="123"/>
      <c r="BS856" s="130"/>
      <c r="BT856" s="13"/>
      <c r="BU856" s="123"/>
      <c r="BV856" s="131"/>
      <c r="DI856" s="121"/>
      <c r="DJ856" s="13"/>
      <c r="DK856" s="13"/>
      <c r="DL856" s="13"/>
      <c r="DM856" s="13"/>
      <c r="DN856" s="13"/>
      <c r="DO856" s="13"/>
      <c r="DW856" s="121"/>
      <c r="DX856" s="121"/>
      <c r="DY856" s="121"/>
      <c r="DZ856" s="121"/>
      <c r="EA856" s="121"/>
      <c r="EB856" s="121"/>
      <c r="EC856" s="121"/>
      <c r="ED856" s="121"/>
      <c r="EE856" s="121"/>
      <c r="EF856" s="121"/>
      <c r="EG856" s="123"/>
      <c r="EH856" s="127"/>
      <c r="EI856" s="125"/>
      <c r="EJ856" s="126"/>
      <c r="EK856" s="30"/>
      <c r="EL856" s="127"/>
      <c r="EM856" s="128"/>
      <c r="EN856" s="123"/>
      <c r="EO856" s="128"/>
      <c r="EP856" s="13"/>
      <c r="EQ856" s="129"/>
      <c r="ER856" s="123"/>
      <c r="ES856" s="130"/>
      <c r="ET856" s="13"/>
      <c r="EU856" s="123"/>
      <c r="EV856" s="131"/>
    </row>
    <row r="857" spans="35:152">
      <c r="AI857" s="121"/>
      <c r="AJ857" s="13"/>
      <c r="AK857" s="13"/>
      <c r="AL857" s="13"/>
      <c r="AM857" s="13"/>
      <c r="AN857" s="13"/>
      <c r="AO857" s="13"/>
      <c r="AW857" s="121"/>
      <c r="AX857" s="121"/>
      <c r="AY857" s="121"/>
      <c r="AZ857" s="121"/>
      <c r="BA857" s="121"/>
      <c r="BB857" s="121"/>
      <c r="BC857" s="121"/>
      <c r="BD857" s="121"/>
      <c r="BE857" s="121"/>
      <c r="BF857" s="121"/>
      <c r="BG857" s="123"/>
      <c r="BH857" s="127"/>
      <c r="BI857" s="125"/>
      <c r="BJ857" s="126"/>
      <c r="BK857" s="30"/>
      <c r="BL857" s="127"/>
      <c r="BM857" s="128"/>
      <c r="BN857" s="123"/>
      <c r="BO857" s="128"/>
      <c r="BP857" s="13"/>
      <c r="BQ857" s="129"/>
      <c r="BR857" s="123"/>
      <c r="BS857" s="130"/>
      <c r="BT857" s="13"/>
      <c r="BU857" s="123"/>
      <c r="BV857" s="131"/>
      <c r="DI857" s="121"/>
      <c r="DJ857" s="13"/>
      <c r="DK857" s="13"/>
      <c r="DL857" s="13"/>
      <c r="DM857" s="13"/>
      <c r="DN857" s="13"/>
      <c r="DO857" s="13"/>
      <c r="DW857" s="121"/>
      <c r="DX857" s="121"/>
      <c r="DY857" s="121"/>
      <c r="DZ857" s="121"/>
      <c r="EA857" s="121"/>
      <c r="EB857" s="121"/>
      <c r="EC857" s="121"/>
      <c r="ED857" s="121"/>
      <c r="EE857" s="121"/>
      <c r="EF857" s="121"/>
      <c r="EG857" s="123"/>
      <c r="EH857" s="127"/>
      <c r="EI857" s="125"/>
      <c r="EJ857" s="126"/>
      <c r="EK857" s="30"/>
      <c r="EL857" s="127"/>
      <c r="EM857" s="128"/>
      <c r="EN857" s="123"/>
      <c r="EO857" s="128"/>
      <c r="EP857" s="13"/>
      <c r="EQ857" s="129"/>
      <c r="ER857" s="123"/>
      <c r="ES857" s="130"/>
      <c r="ET857" s="13"/>
      <c r="EU857" s="123"/>
      <c r="EV857" s="131"/>
    </row>
    <row r="858" spans="35:152">
      <c r="AI858" s="121"/>
      <c r="AJ858" s="13"/>
      <c r="AK858" s="13"/>
      <c r="AL858" s="13"/>
      <c r="AM858" s="13"/>
      <c r="AN858" s="13"/>
      <c r="AO858" s="13"/>
      <c r="AW858" s="121"/>
      <c r="AX858" s="121"/>
      <c r="AY858" s="121"/>
      <c r="AZ858" s="121"/>
      <c r="BA858" s="121"/>
      <c r="BB858" s="121"/>
      <c r="BC858" s="121"/>
      <c r="BD858" s="121"/>
      <c r="BE858" s="121"/>
      <c r="BF858" s="121"/>
      <c r="BG858" s="123"/>
      <c r="BH858" s="127"/>
      <c r="BI858" s="125"/>
      <c r="BJ858" s="126"/>
      <c r="BK858" s="30"/>
      <c r="BL858" s="127"/>
      <c r="BM858" s="128"/>
      <c r="BN858" s="123"/>
      <c r="BO858" s="128"/>
      <c r="BP858" s="13"/>
      <c r="BQ858" s="129"/>
      <c r="BR858" s="123"/>
      <c r="BS858" s="130"/>
      <c r="BT858" s="13"/>
      <c r="BU858" s="123"/>
      <c r="BV858" s="131"/>
      <c r="DI858" s="121"/>
      <c r="DJ858" s="13"/>
      <c r="DK858" s="13"/>
      <c r="DL858" s="13"/>
      <c r="DM858" s="13"/>
      <c r="DN858" s="13"/>
      <c r="DO858" s="13"/>
      <c r="DW858" s="121"/>
      <c r="DX858" s="121"/>
      <c r="DY858" s="121"/>
      <c r="DZ858" s="121"/>
      <c r="EA858" s="121"/>
      <c r="EB858" s="121"/>
      <c r="EC858" s="121"/>
      <c r="ED858" s="121"/>
      <c r="EE858" s="121"/>
      <c r="EF858" s="121"/>
      <c r="EG858" s="123"/>
      <c r="EH858" s="127"/>
      <c r="EI858" s="125"/>
      <c r="EJ858" s="126"/>
      <c r="EK858" s="30"/>
      <c r="EL858" s="127"/>
      <c r="EM858" s="128"/>
      <c r="EN858" s="123"/>
      <c r="EO858" s="128"/>
      <c r="EP858" s="13"/>
      <c r="EQ858" s="129"/>
      <c r="ER858" s="123"/>
      <c r="ES858" s="130"/>
      <c r="ET858" s="13"/>
      <c r="EU858" s="123"/>
      <c r="EV858" s="131"/>
    </row>
    <row r="859" spans="35:152">
      <c r="AI859" s="121"/>
      <c r="AJ859" s="13"/>
      <c r="AK859" s="13"/>
      <c r="AL859" s="13"/>
      <c r="AM859" s="13"/>
      <c r="AN859" s="13"/>
      <c r="AO859" s="13"/>
      <c r="AW859" s="121"/>
      <c r="AX859" s="121"/>
      <c r="AY859" s="121"/>
      <c r="AZ859" s="121"/>
      <c r="BA859" s="121"/>
      <c r="BB859" s="121"/>
      <c r="BC859" s="121"/>
      <c r="BD859" s="121"/>
      <c r="BE859" s="121"/>
      <c r="BF859" s="121"/>
      <c r="BG859" s="123"/>
      <c r="BH859" s="127"/>
      <c r="BI859" s="125"/>
      <c r="BJ859" s="126"/>
      <c r="BK859" s="30"/>
      <c r="BL859" s="127"/>
      <c r="BM859" s="128"/>
      <c r="BN859" s="123"/>
      <c r="BO859" s="128"/>
      <c r="BP859" s="13"/>
      <c r="BQ859" s="129"/>
      <c r="BR859" s="123"/>
      <c r="BS859" s="130"/>
      <c r="BT859" s="13"/>
      <c r="BU859" s="123"/>
      <c r="BV859" s="131"/>
      <c r="DI859" s="121"/>
      <c r="DJ859" s="13"/>
      <c r="DK859" s="13"/>
      <c r="DL859" s="13"/>
      <c r="DM859" s="13"/>
      <c r="DN859" s="13"/>
      <c r="DO859" s="13"/>
      <c r="DW859" s="121"/>
      <c r="DX859" s="121"/>
      <c r="DY859" s="121"/>
      <c r="DZ859" s="121"/>
      <c r="EA859" s="121"/>
      <c r="EB859" s="121"/>
      <c r="EC859" s="121"/>
      <c r="ED859" s="121"/>
      <c r="EE859" s="121"/>
      <c r="EF859" s="121"/>
      <c r="EG859" s="123"/>
      <c r="EH859" s="127"/>
      <c r="EI859" s="125"/>
      <c r="EJ859" s="126"/>
      <c r="EK859" s="30"/>
      <c r="EL859" s="127"/>
      <c r="EM859" s="128"/>
      <c r="EN859" s="123"/>
      <c r="EO859" s="128"/>
      <c r="EP859" s="13"/>
      <c r="EQ859" s="129"/>
      <c r="ER859" s="123"/>
      <c r="ES859" s="130"/>
      <c r="ET859" s="13"/>
      <c r="EU859" s="123"/>
      <c r="EV859" s="131"/>
    </row>
    <row r="860" spans="35:152">
      <c r="AI860" s="121"/>
      <c r="AJ860" s="13"/>
      <c r="AK860" s="13"/>
      <c r="AL860" s="13"/>
      <c r="AM860" s="13"/>
      <c r="AN860" s="13"/>
      <c r="AO860" s="13"/>
      <c r="AW860" s="121"/>
      <c r="AX860" s="121"/>
      <c r="AY860" s="121"/>
      <c r="AZ860" s="121"/>
      <c r="BA860" s="121"/>
      <c r="BB860" s="121"/>
      <c r="BC860" s="121"/>
      <c r="BD860" s="121"/>
      <c r="BE860" s="121"/>
      <c r="BF860" s="121"/>
      <c r="BG860" s="123"/>
      <c r="BH860" s="127"/>
      <c r="BI860" s="125"/>
      <c r="BJ860" s="126"/>
      <c r="BK860" s="30"/>
      <c r="BL860" s="127"/>
      <c r="BM860" s="128"/>
      <c r="BN860" s="123"/>
      <c r="BO860" s="128"/>
      <c r="BP860" s="13"/>
      <c r="BQ860" s="129"/>
      <c r="BR860" s="123"/>
      <c r="BS860" s="130"/>
      <c r="BT860" s="13"/>
      <c r="BU860" s="123"/>
      <c r="BV860" s="131"/>
      <c r="DI860" s="121"/>
      <c r="DJ860" s="13"/>
      <c r="DK860" s="13"/>
      <c r="DL860" s="13"/>
      <c r="DM860" s="13"/>
      <c r="DN860" s="13"/>
      <c r="DO860" s="13"/>
      <c r="DW860" s="121"/>
      <c r="DX860" s="121"/>
      <c r="DY860" s="121"/>
      <c r="DZ860" s="121"/>
      <c r="EA860" s="121"/>
      <c r="EB860" s="121"/>
      <c r="EC860" s="121"/>
      <c r="ED860" s="121"/>
      <c r="EE860" s="121"/>
      <c r="EF860" s="121"/>
      <c r="EG860" s="123"/>
      <c r="EH860" s="127"/>
      <c r="EI860" s="125"/>
      <c r="EJ860" s="126"/>
      <c r="EK860" s="30"/>
      <c r="EL860" s="127"/>
      <c r="EM860" s="128"/>
      <c r="EN860" s="123"/>
      <c r="EO860" s="128"/>
      <c r="EP860" s="13"/>
      <c r="EQ860" s="129"/>
      <c r="ER860" s="123"/>
      <c r="ES860" s="130"/>
      <c r="ET860" s="13"/>
      <c r="EU860" s="123"/>
      <c r="EV860" s="131"/>
    </row>
    <row r="861" spans="35:152">
      <c r="AI861" s="121"/>
      <c r="AJ861" s="13"/>
      <c r="AK861" s="13"/>
      <c r="AL861" s="13"/>
      <c r="AM861" s="13"/>
      <c r="AN861" s="13"/>
      <c r="AO861" s="13"/>
      <c r="AW861" s="121"/>
      <c r="AX861" s="121"/>
      <c r="AY861" s="121"/>
      <c r="AZ861" s="121"/>
      <c r="BA861" s="121"/>
      <c r="BB861" s="121"/>
      <c r="BC861" s="121"/>
      <c r="BD861" s="121"/>
      <c r="BE861" s="121"/>
      <c r="BF861" s="121"/>
      <c r="BG861" s="123"/>
      <c r="BH861" s="127"/>
      <c r="BI861" s="125"/>
      <c r="BJ861" s="126"/>
      <c r="BK861" s="30"/>
      <c r="BL861" s="127"/>
      <c r="BM861" s="128"/>
      <c r="BN861" s="123"/>
      <c r="BO861" s="128"/>
      <c r="BP861" s="13"/>
      <c r="BQ861" s="129"/>
      <c r="BR861" s="123"/>
      <c r="BS861" s="130"/>
      <c r="BT861" s="13"/>
      <c r="BU861" s="123"/>
      <c r="BV861" s="131"/>
      <c r="DI861" s="121"/>
      <c r="DJ861" s="13"/>
      <c r="DK861" s="13"/>
      <c r="DL861" s="13"/>
      <c r="DM861" s="13"/>
      <c r="DN861" s="13"/>
      <c r="DO861" s="13"/>
      <c r="DW861" s="121"/>
      <c r="DX861" s="121"/>
      <c r="DY861" s="121"/>
      <c r="DZ861" s="121"/>
      <c r="EA861" s="121"/>
      <c r="EB861" s="121"/>
      <c r="EC861" s="121"/>
      <c r="ED861" s="121"/>
      <c r="EE861" s="121"/>
      <c r="EF861" s="121"/>
      <c r="EG861" s="123"/>
      <c r="EH861" s="127"/>
      <c r="EI861" s="125"/>
      <c r="EJ861" s="126"/>
      <c r="EK861" s="30"/>
      <c r="EL861" s="127"/>
      <c r="EM861" s="128"/>
      <c r="EN861" s="123"/>
      <c r="EO861" s="128"/>
      <c r="EP861" s="13"/>
      <c r="EQ861" s="129"/>
      <c r="ER861" s="123"/>
      <c r="ES861" s="130"/>
      <c r="ET861" s="13"/>
      <c r="EU861" s="123"/>
      <c r="EV861" s="131"/>
    </row>
    <row r="862" spans="35:152">
      <c r="AI862" s="121"/>
      <c r="AJ862" s="13"/>
      <c r="AK862" s="13"/>
      <c r="AL862" s="13"/>
      <c r="AM862" s="13"/>
      <c r="AN862" s="13"/>
      <c r="AO862" s="13"/>
      <c r="AW862" s="121"/>
      <c r="AX862" s="121"/>
      <c r="AY862" s="121"/>
      <c r="AZ862" s="121"/>
      <c r="BA862" s="121"/>
      <c r="BB862" s="121"/>
      <c r="BC862" s="121"/>
      <c r="BD862" s="121"/>
      <c r="BE862" s="121"/>
      <c r="BF862" s="121"/>
      <c r="BG862" s="123"/>
      <c r="BH862" s="127"/>
      <c r="BI862" s="125"/>
      <c r="BJ862" s="126"/>
      <c r="BK862" s="30"/>
      <c r="BL862" s="127"/>
      <c r="BM862" s="128"/>
      <c r="BN862" s="123"/>
      <c r="BO862" s="128"/>
      <c r="BP862" s="13"/>
      <c r="BQ862" s="129"/>
      <c r="BR862" s="123"/>
      <c r="BS862" s="130"/>
      <c r="BT862" s="13"/>
      <c r="BU862" s="123"/>
      <c r="BV862" s="131"/>
      <c r="DI862" s="121"/>
      <c r="DJ862" s="13"/>
      <c r="DK862" s="13"/>
      <c r="DL862" s="13"/>
      <c r="DM862" s="13"/>
      <c r="DN862" s="13"/>
      <c r="DO862" s="13"/>
      <c r="DW862" s="121"/>
      <c r="DX862" s="121"/>
      <c r="DY862" s="121"/>
      <c r="DZ862" s="121"/>
      <c r="EA862" s="121"/>
      <c r="EB862" s="121"/>
      <c r="EC862" s="121"/>
      <c r="ED862" s="121"/>
      <c r="EE862" s="121"/>
      <c r="EF862" s="121"/>
      <c r="EG862" s="123"/>
      <c r="EH862" s="127"/>
      <c r="EI862" s="125"/>
      <c r="EJ862" s="126"/>
      <c r="EK862" s="30"/>
      <c r="EL862" s="127"/>
      <c r="EM862" s="128"/>
      <c r="EN862" s="123"/>
      <c r="EO862" s="128"/>
      <c r="EP862" s="13"/>
      <c r="EQ862" s="129"/>
      <c r="ER862" s="123"/>
      <c r="ES862" s="130"/>
      <c r="ET862" s="13"/>
      <c r="EU862" s="123"/>
      <c r="EV862" s="131"/>
    </row>
    <row r="863" spans="35:152">
      <c r="AI863" s="121"/>
      <c r="AJ863" s="13"/>
      <c r="AK863" s="13"/>
      <c r="AL863" s="13"/>
      <c r="AM863" s="13"/>
      <c r="AN863" s="13"/>
      <c r="AO863" s="13"/>
      <c r="AW863" s="121"/>
      <c r="AX863" s="121"/>
      <c r="AY863" s="121"/>
      <c r="AZ863" s="121"/>
      <c r="BA863" s="121"/>
      <c r="BB863" s="121"/>
      <c r="BC863" s="121"/>
      <c r="BD863" s="121"/>
      <c r="BE863" s="121"/>
      <c r="BF863" s="121"/>
      <c r="BG863" s="123"/>
      <c r="BH863" s="127"/>
      <c r="BI863" s="125"/>
      <c r="BJ863" s="126"/>
      <c r="BK863" s="30"/>
      <c r="BL863" s="127"/>
      <c r="BM863" s="128"/>
      <c r="BN863" s="123"/>
      <c r="BO863" s="128"/>
      <c r="BP863" s="13"/>
      <c r="BQ863" s="129"/>
      <c r="BR863" s="123"/>
      <c r="BS863" s="130"/>
      <c r="BT863" s="13"/>
      <c r="BU863" s="123"/>
      <c r="BV863" s="131"/>
      <c r="DI863" s="121"/>
      <c r="DJ863" s="13"/>
      <c r="DK863" s="13"/>
      <c r="DL863" s="13"/>
      <c r="DM863" s="13"/>
      <c r="DN863" s="13"/>
      <c r="DO863" s="13"/>
      <c r="DW863" s="121"/>
      <c r="DX863" s="121"/>
      <c r="DY863" s="121"/>
      <c r="DZ863" s="121"/>
      <c r="EA863" s="121"/>
      <c r="EB863" s="121"/>
      <c r="EC863" s="121"/>
      <c r="ED863" s="121"/>
      <c r="EE863" s="121"/>
      <c r="EF863" s="121"/>
      <c r="EG863" s="123"/>
      <c r="EH863" s="127"/>
      <c r="EI863" s="125"/>
      <c r="EJ863" s="126"/>
      <c r="EK863" s="30"/>
      <c r="EL863" s="127"/>
      <c r="EM863" s="128"/>
      <c r="EN863" s="123"/>
      <c r="EO863" s="128"/>
      <c r="EP863" s="13"/>
      <c r="EQ863" s="129"/>
      <c r="ER863" s="123"/>
      <c r="ES863" s="130"/>
      <c r="ET863" s="13"/>
      <c r="EU863" s="123"/>
      <c r="EV863" s="131"/>
    </row>
    <row r="864" spans="35:152">
      <c r="AI864" s="121"/>
      <c r="AJ864" s="13"/>
      <c r="AK864" s="13"/>
      <c r="AL864" s="13"/>
      <c r="AM864" s="13"/>
      <c r="AN864" s="13"/>
      <c r="AO864" s="13"/>
      <c r="AW864" s="121"/>
      <c r="AX864" s="121"/>
      <c r="AY864" s="121"/>
      <c r="AZ864" s="121"/>
      <c r="BA864" s="121"/>
      <c r="BB864" s="121"/>
      <c r="BC864" s="121"/>
      <c r="BD864" s="121"/>
      <c r="BE864" s="121"/>
      <c r="BF864" s="121"/>
      <c r="BG864" s="123"/>
      <c r="BH864" s="127"/>
      <c r="BI864" s="125"/>
      <c r="BJ864" s="126"/>
      <c r="BK864" s="30"/>
      <c r="BL864" s="127"/>
      <c r="BM864" s="128"/>
      <c r="BN864" s="123"/>
      <c r="BO864" s="128"/>
      <c r="BP864" s="13"/>
      <c r="BQ864" s="129"/>
      <c r="BR864" s="123"/>
      <c r="BS864" s="130"/>
      <c r="BT864" s="13"/>
      <c r="BU864" s="123"/>
      <c r="BV864" s="131"/>
      <c r="DI864" s="121"/>
      <c r="DJ864" s="13"/>
      <c r="DK864" s="13"/>
      <c r="DL864" s="13"/>
      <c r="DM864" s="13"/>
      <c r="DN864" s="13"/>
      <c r="DO864" s="13"/>
      <c r="DW864" s="121"/>
      <c r="DX864" s="121"/>
      <c r="DY864" s="121"/>
      <c r="DZ864" s="121"/>
      <c r="EA864" s="121"/>
      <c r="EB864" s="121"/>
      <c r="EC864" s="121"/>
      <c r="ED864" s="121"/>
      <c r="EE864" s="121"/>
      <c r="EF864" s="121"/>
      <c r="EG864" s="123"/>
      <c r="EH864" s="127"/>
      <c r="EI864" s="125"/>
      <c r="EJ864" s="126"/>
      <c r="EK864" s="30"/>
      <c r="EL864" s="127"/>
      <c r="EM864" s="128"/>
      <c r="EN864" s="123"/>
      <c r="EO864" s="128"/>
      <c r="EP864" s="13"/>
      <c r="EQ864" s="129"/>
      <c r="ER864" s="123"/>
      <c r="ES864" s="130"/>
      <c r="ET864" s="13"/>
      <c r="EU864" s="123"/>
      <c r="EV864" s="131"/>
    </row>
    <row r="865" spans="35:152">
      <c r="AI865" s="121"/>
      <c r="AJ865" s="13"/>
      <c r="AK865" s="13"/>
      <c r="AL865" s="13"/>
      <c r="AM865" s="13"/>
      <c r="AN865" s="13"/>
      <c r="AO865" s="13"/>
      <c r="AW865" s="121"/>
      <c r="AX865" s="121"/>
      <c r="AY865" s="121"/>
      <c r="AZ865" s="121"/>
      <c r="BA865" s="121"/>
      <c r="BB865" s="121"/>
      <c r="BC865" s="121"/>
      <c r="BD865" s="121"/>
      <c r="BE865" s="121"/>
      <c r="BF865" s="121"/>
      <c r="BG865" s="123"/>
      <c r="BH865" s="127"/>
      <c r="BI865" s="125"/>
      <c r="BJ865" s="126"/>
      <c r="BK865" s="30"/>
      <c r="BL865" s="127"/>
      <c r="BM865" s="128"/>
      <c r="BN865" s="123"/>
      <c r="BO865" s="128"/>
      <c r="BP865" s="13"/>
      <c r="BQ865" s="129"/>
      <c r="BR865" s="123"/>
      <c r="BS865" s="130"/>
      <c r="BT865" s="13"/>
      <c r="BU865" s="123"/>
      <c r="BV865" s="131"/>
      <c r="DI865" s="121"/>
      <c r="DJ865" s="13"/>
      <c r="DK865" s="13"/>
      <c r="DL865" s="13"/>
      <c r="DM865" s="13"/>
      <c r="DN865" s="13"/>
      <c r="DO865" s="13"/>
      <c r="DW865" s="121"/>
      <c r="DX865" s="121"/>
      <c r="DY865" s="121"/>
      <c r="DZ865" s="121"/>
      <c r="EA865" s="121"/>
      <c r="EB865" s="121"/>
      <c r="EC865" s="121"/>
      <c r="ED865" s="121"/>
      <c r="EE865" s="121"/>
      <c r="EF865" s="121"/>
      <c r="EG865" s="123"/>
      <c r="EH865" s="127"/>
      <c r="EI865" s="125"/>
      <c r="EJ865" s="126"/>
      <c r="EK865" s="30"/>
      <c r="EL865" s="127"/>
      <c r="EM865" s="128"/>
      <c r="EN865" s="123"/>
      <c r="EO865" s="128"/>
      <c r="EP865" s="13"/>
      <c r="EQ865" s="129"/>
      <c r="ER865" s="123"/>
      <c r="ES865" s="130"/>
      <c r="ET865" s="13"/>
      <c r="EU865" s="123"/>
      <c r="EV865" s="131"/>
    </row>
    <row r="866" spans="35:152">
      <c r="AI866" s="121"/>
      <c r="AJ866" s="13"/>
      <c r="AK866" s="13"/>
      <c r="AL866" s="13"/>
      <c r="AM866" s="13"/>
      <c r="AN866" s="13"/>
      <c r="AO866" s="13"/>
      <c r="AW866" s="121"/>
      <c r="AX866" s="121"/>
      <c r="AY866" s="121"/>
      <c r="AZ866" s="121"/>
      <c r="BA866" s="121"/>
      <c r="BB866" s="121"/>
      <c r="BC866" s="121"/>
      <c r="BD866" s="121"/>
      <c r="BE866" s="121"/>
      <c r="BF866" s="121"/>
      <c r="BG866" s="123"/>
      <c r="BH866" s="127"/>
      <c r="BI866" s="125"/>
      <c r="BJ866" s="126"/>
      <c r="BK866" s="30"/>
      <c r="BL866" s="127"/>
      <c r="BM866" s="128"/>
      <c r="BN866" s="123"/>
      <c r="BO866" s="128"/>
      <c r="BP866" s="13"/>
      <c r="BQ866" s="129"/>
      <c r="BR866" s="123"/>
      <c r="BS866" s="130"/>
      <c r="BT866" s="13"/>
      <c r="BU866" s="123"/>
      <c r="BV866" s="131"/>
      <c r="DI866" s="121"/>
      <c r="DJ866" s="13"/>
      <c r="DK866" s="13"/>
      <c r="DL866" s="13"/>
      <c r="DM866" s="13"/>
      <c r="DN866" s="13"/>
      <c r="DO866" s="13"/>
      <c r="DW866" s="121"/>
      <c r="DX866" s="121"/>
      <c r="DY866" s="121"/>
      <c r="DZ866" s="121"/>
      <c r="EA866" s="121"/>
      <c r="EB866" s="121"/>
      <c r="EC866" s="121"/>
      <c r="ED866" s="121"/>
      <c r="EE866" s="121"/>
      <c r="EF866" s="121"/>
      <c r="EG866" s="123"/>
      <c r="EH866" s="127"/>
      <c r="EI866" s="125"/>
      <c r="EJ866" s="126"/>
      <c r="EK866" s="30"/>
      <c r="EL866" s="127"/>
      <c r="EM866" s="128"/>
      <c r="EN866" s="123"/>
      <c r="EO866" s="128"/>
      <c r="EP866" s="13"/>
      <c r="EQ866" s="129"/>
      <c r="ER866" s="123"/>
      <c r="ES866" s="130"/>
      <c r="ET866" s="13"/>
      <c r="EU866" s="123"/>
      <c r="EV866" s="131"/>
    </row>
    <row r="867" spans="35:152">
      <c r="AI867" s="121"/>
      <c r="AJ867" s="13"/>
      <c r="AK867" s="13"/>
      <c r="AL867" s="13"/>
      <c r="AM867" s="13"/>
      <c r="AN867" s="13"/>
      <c r="AO867" s="13"/>
      <c r="AW867" s="121"/>
      <c r="AX867" s="121"/>
      <c r="AY867" s="121"/>
      <c r="AZ867" s="121"/>
      <c r="BA867" s="121"/>
      <c r="BB867" s="121"/>
      <c r="BC867" s="121"/>
      <c r="BD867" s="121"/>
      <c r="BE867" s="121"/>
      <c r="BF867" s="121"/>
      <c r="BG867" s="123"/>
      <c r="BH867" s="127"/>
      <c r="BI867" s="125"/>
      <c r="BJ867" s="126"/>
      <c r="BK867" s="30"/>
      <c r="BL867" s="127"/>
      <c r="BM867" s="128"/>
      <c r="BN867" s="123"/>
      <c r="BO867" s="128"/>
      <c r="BP867" s="13"/>
      <c r="BQ867" s="129"/>
      <c r="BR867" s="123"/>
      <c r="BS867" s="130"/>
      <c r="BT867" s="13"/>
      <c r="BU867" s="123"/>
      <c r="BV867" s="131"/>
      <c r="DI867" s="121"/>
      <c r="DJ867" s="13"/>
      <c r="DK867" s="13"/>
      <c r="DL867" s="13"/>
      <c r="DM867" s="13"/>
      <c r="DN867" s="13"/>
      <c r="DO867" s="13"/>
      <c r="DW867" s="121"/>
      <c r="DX867" s="121"/>
      <c r="DY867" s="121"/>
      <c r="DZ867" s="121"/>
      <c r="EA867" s="121"/>
      <c r="EB867" s="121"/>
      <c r="EC867" s="121"/>
      <c r="ED867" s="121"/>
      <c r="EE867" s="121"/>
      <c r="EF867" s="121"/>
      <c r="EG867" s="123"/>
      <c r="EH867" s="127"/>
      <c r="EI867" s="125"/>
      <c r="EJ867" s="126"/>
      <c r="EK867" s="30"/>
      <c r="EL867" s="127"/>
      <c r="EM867" s="128"/>
      <c r="EN867" s="123"/>
      <c r="EO867" s="128"/>
      <c r="EP867" s="13"/>
      <c r="EQ867" s="129"/>
      <c r="ER867" s="123"/>
      <c r="ES867" s="130"/>
      <c r="ET867" s="13"/>
      <c r="EU867" s="123"/>
      <c r="EV867" s="131"/>
    </row>
    <row r="868" spans="35:152">
      <c r="AI868" s="121"/>
      <c r="AJ868" s="13"/>
      <c r="AK868" s="13"/>
      <c r="AL868" s="13"/>
      <c r="AM868" s="13"/>
      <c r="AN868" s="13"/>
      <c r="AO868" s="13"/>
      <c r="AW868" s="121"/>
      <c r="AX868" s="121"/>
      <c r="AY868" s="121"/>
      <c r="AZ868" s="121"/>
      <c r="BA868" s="121"/>
      <c r="BB868" s="121"/>
      <c r="BC868" s="121"/>
      <c r="BD868" s="121"/>
      <c r="BE868" s="121"/>
      <c r="BF868" s="121"/>
      <c r="BG868" s="123"/>
      <c r="BH868" s="127"/>
      <c r="BI868" s="125"/>
      <c r="BJ868" s="126"/>
      <c r="BK868" s="30"/>
      <c r="BL868" s="127"/>
      <c r="BM868" s="128"/>
      <c r="BN868" s="123"/>
      <c r="BO868" s="128"/>
      <c r="BP868" s="13"/>
      <c r="BQ868" s="129"/>
      <c r="BR868" s="123"/>
      <c r="BS868" s="130"/>
      <c r="BT868" s="13"/>
      <c r="BU868" s="123"/>
      <c r="BV868" s="131"/>
      <c r="DI868" s="121"/>
      <c r="DJ868" s="13"/>
      <c r="DK868" s="13"/>
      <c r="DL868" s="13"/>
      <c r="DM868" s="13"/>
      <c r="DN868" s="13"/>
      <c r="DO868" s="13"/>
      <c r="DW868" s="121"/>
      <c r="DX868" s="121"/>
      <c r="DY868" s="121"/>
      <c r="DZ868" s="121"/>
      <c r="EA868" s="121"/>
      <c r="EB868" s="121"/>
      <c r="EC868" s="121"/>
      <c r="ED868" s="121"/>
      <c r="EE868" s="121"/>
      <c r="EF868" s="121"/>
      <c r="EG868" s="123"/>
      <c r="EH868" s="127"/>
      <c r="EI868" s="125"/>
      <c r="EJ868" s="126"/>
      <c r="EK868" s="30"/>
      <c r="EL868" s="127"/>
      <c r="EM868" s="128"/>
      <c r="EN868" s="123"/>
      <c r="EO868" s="128"/>
      <c r="EP868" s="13"/>
      <c r="EQ868" s="129"/>
      <c r="ER868" s="123"/>
      <c r="ES868" s="130"/>
      <c r="ET868" s="13"/>
      <c r="EU868" s="123"/>
      <c r="EV868" s="131"/>
    </row>
    <row r="869" spans="35:152">
      <c r="AI869" s="121"/>
      <c r="AJ869" s="13"/>
      <c r="AK869" s="13"/>
      <c r="AL869" s="13"/>
      <c r="AM869" s="13"/>
      <c r="AN869" s="13"/>
      <c r="AO869" s="13"/>
      <c r="AW869" s="121"/>
      <c r="AX869" s="121"/>
      <c r="AY869" s="121"/>
      <c r="AZ869" s="121"/>
      <c r="BA869" s="121"/>
      <c r="BB869" s="121"/>
      <c r="BC869" s="121"/>
      <c r="BD869" s="121"/>
      <c r="BE869" s="121"/>
      <c r="BF869" s="121"/>
      <c r="BG869" s="123"/>
      <c r="BH869" s="127"/>
      <c r="BI869" s="125"/>
      <c r="BJ869" s="126"/>
      <c r="BK869" s="30"/>
      <c r="BL869" s="127"/>
      <c r="BM869" s="128"/>
      <c r="BN869" s="123"/>
      <c r="BO869" s="128"/>
      <c r="BP869" s="13"/>
      <c r="BQ869" s="129"/>
      <c r="BR869" s="123"/>
      <c r="BS869" s="130"/>
      <c r="BT869" s="13"/>
      <c r="BU869" s="123"/>
      <c r="BV869" s="131"/>
      <c r="DI869" s="121"/>
      <c r="DJ869" s="13"/>
      <c r="DK869" s="13"/>
      <c r="DL869" s="13"/>
      <c r="DM869" s="13"/>
      <c r="DN869" s="13"/>
      <c r="DO869" s="13"/>
      <c r="DW869" s="121"/>
      <c r="DX869" s="121"/>
      <c r="DY869" s="121"/>
      <c r="DZ869" s="121"/>
      <c r="EA869" s="121"/>
      <c r="EB869" s="121"/>
      <c r="EC869" s="121"/>
      <c r="ED869" s="121"/>
      <c r="EE869" s="121"/>
      <c r="EF869" s="121"/>
      <c r="EG869" s="123"/>
      <c r="EH869" s="127"/>
      <c r="EI869" s="125"/>
      <c r="EJ869" s="126"/>
      <c r="EK869" s="30"/>
      <c r="EL869" s="127"/>
      <c r="EM869" s="128"/>
      <c r="EN869" s="123"/>
      <c r="EO869" s="128"/>
      <c r="EP869" s="13"/>
      <c r="EQ869" s="129"/>
      <c r="ER869" s="123"/>
      <c r="ES869" s="130"/>
      <c r="ET869" s="13"/>
      <c r="EU869" s="123"/>
      <c r="EV869" s="131"/>
    </row>
    <row r="870" spans="35:152">
      <c r="AI870" s="121"/>
      <c r="AJ870" s="13"/>
      <c r="AK870" s="13"/>
      <c r="AL870" s="13"/>
      <c r="AM870" s="13"/>
      <c r="AN870" s="13"/>
      <c r="AO870" s="13"/>
      <c r="AW870" s="121"/>
      <c r="AX870" s="121"/>
      <c r="AY870" s="121"/>
      <c r="AZ870" s="121"/>
      <c r="BA870" s="121"/>
      <c r="BB870" s="121"/>
      <c r="BC870" s="121"/>
      <c r="BD870" s="121"/>
      <c r="BE870" s="121"/>
      <c r="BF870" s="121"/>
      <c r="BG870" s="123"/>
      <c r="BH870" s="127"/>
      <c r="BI870" s="125"/>
      <c r="BJ870" s="126"/>
      <c r="BK870" s="30"/>
      <c r="BL870" s="127"/>
      <c r="BM870" s="128"/>
      <c r="BN870" s="123"/>
      <c r="BO870" s="128"/>
      <c r="BP870" s="13"/>
      <c r="BQ870" s="129"/>
      <c r="BR870" s="123"/>
      <c r="BS870" s="130"/>
      <c r="BT870" s="13"/>
      <c r="BU870" s="123"/>
      <c r="BV870" s="131"/>
      <c r="DI870" s="121"/>
      <c r="DJ870" s="13"/>
      <c r="DK870" s="13"/>
      <c r="DL870" s="13"/>
      <c r="DM870" s="13"/>
      <c r="DN870" s="13"/>
      <c r="DO870" s="13"/>
      <c r="DW870" s="121"/>
      <c r="DX870" s="121"/>
      <c r="DY870" s="121"/>
      <c r="DZ870" s="121"/>
      <c r="EA870" s="121"/>
      <c r="EB870" s="121"/>
      <c r="EC870" s="121"/>
      <c r="ED870" s="121"/>
      <c r="EE870" s="121"/>
      <c r="EF870" s="121"/>
      <c r="EG870" s="123"/>
      <c r="EH870" s="127"/>
      <c r="EI870" s="125"/>
      <c r="EJ870" s="126"/>
      <c r="EK870" s="30"/>
      <c r="EL870" s="127"/>
      <c r="EM870" s="128"/>
      <c r="EN870" s="123"/>
      <c r="EO870" s="128"/>
      <c r="EP870" s="13"/>
      <c r="EQ870" s="129"/>
      <c r="ER870" s="123"/>
      <c r="ES870" s="130"/>
      <c r="ET870" s="13"/>
      <c r="EU870" s="123"/>
      <c r="EV870" s="131"/>
    </row>
    <row r="871" spans="35:152">
      <c r="AI871" s="121"/>
      <c r="AJ871" s="13"/>
      <c r="AK871" s="13"/>
      <c r="AL871" s="13"/>
      <c r="AM871" s="13"/>
      <c r="AN871" s="13"/>
      <c r="AO871" s="13"/>
      <c r="AW871" s="121"/>
      <c r="AX871" s="121"/>
      <c r="AY871" s="121"/>
      <c r="AZ871" s="121"/>
      <c r="BA871" s="121"/>
      <c r="BB871" s="121"/>
      <c r="BC871" s="121"/>
      <c r="BD871" s="121"/>
      <c r="BE871" s="121"/>
      <c r="BF871" s="121"/>
      <c r="BG871" s="123"/>
      <c r="BH871" s="127"/>
      <c r="BI871" s="125"/>
      <c r="BJ871" s="126"/>
      <c r="BK871" s="30"/>
      <c r="BL871" s="127"/>
      <c r="BM871" s="128"/>
      <c r="BN871" s="123"/>
      <c r="BO871" s="128"/>
      <c r="BP871" s="13"/>
      <c r="BQ871" s="129"/>
      <c r="BR871" s="123"/>
      <c r="BS871" s="130"/>
      <c r="BT871" s="13"/>
      <c r="BU871" s="123"/>
      <c r="BV871" s="131"/>
      <c r="DI871" s="121"/>
      <c r="DJ871" s="13"/>
      <c r="DK871" s="13"/>
      <c r="DL871" s="13"/>
      <c r="DM871" s="13"/>
      <c r="DN871" s="13"/>
      <c r="DO871" s="13"/>
      <c r="DW871" s="121"/>
      <c r="DX871" s="121"/>
      <c r="DY871" s="121"/>
      <c r="DZ871" s="121"/>
      <c r="EA871" s="121"/>
      <c r="EB871" s="121"/>
      <c r="EC871" s="121"/>
      <c r="ED871" s="121"/>
      <c r="EE871" s="121"/>
      <c r="EF871" s="121"/>
      <c r="EG871" s="123"/>
      <c r="EH871" s="127"/>
      <c r="EI871" s="125"/>
      <c r="EJ871" s="126"/>
      <c r="EK871" s="30"/>
      <c r="EL871" s="127"/>
      <c r="EM871" s="128"/>
      <c r="EN871" s="123"/>
      <c r="EO871" s="128"/>
      <c r="EP871" s="13"/>
      <c r="EQ871" s="129"/>
      <c r="ER871" s="123"/>
      <c r="ES871" s="130"/>
      <c r="ET871" s="13"/>
      <c r="EU871" s="123"/>
      <c r="EV871" s="131"/>
    </row>
    <row r="872" spans="35:152">
      <c r="AI872" s="121"/>
      <c r="AJ872" s="13"/>
      <c r="AK872" s="13"/>
      <c r="AL872" s="13"/>
      <c r="AM872" s="13"/>
      <c r="AN872" s="13"/>
      <c r="AO872" s="13"/>
      <c r="AW872" s="121"/>
      <c r="AX872" s="121"/>
      <c r="AY872" s="121"/>
      <c r="AZ872" s="121"/>
      <c r="BA872" s="121"/>
      <c r="BB872" s="121"/>
      <c r="BC872" s="121"/>
      <c r="BD872" s="121"/>
      <c r="BE872" s="121"/>
      <c r="BF872" s="121"/>
      <c r="BG872" s="123"/>
      <c r="BH872" s="127"/>
      <c r="BI872" s="125"/>
      <c r="BJ872" s="126"/>
      <c r="BK872" s="30"/>
      <c r="BL872" s="127"/>
      <c r="BM872" s="128"/>
      <c r="BN872" s="123"/>
      <c r="BO872" s="128"/>
      <c r="BP872" s="13"/>
      <c r="BQ872" s="129"/>
      <c r="BR872" s="123"/>
      <c r="BS872" s="130"/>
      <c r="BT872" s="13"/>
      <c r="BU872" s="123"/>
      <c r="BV872" s="131"/>
      <c r="DI872" s="121"/>
      <c r="DJ872" s="13"/>
      <c r="DK872" s="13"/>
      <c r="DL872" s="13"/>
      <c r="DM872" s="13"/>
      <c r="DN872" s="13"/>
      <c r="DO872" s="13"/>
      <c r="DW872" s="121"/>
      <c r="DX872" s="121"/>
      <c r="DY872" s="121"/>
      <c r="DZ872" s="121"/>
      <c r="EA872" s="121"/>
      <c r="EB872" s="121"/>
      <c r="EC872" s="121"/>
      <c r="ED872" s="121"/>
      <c r="EE872" s="121"/>
      <c r="EF872" s="121"/>
      <c r="EG872" s="123"/>
      <c r="EH872" s="127"/>
      <c r="EI872" s="125"/>
      <c r="EJ872" s="126"/>
      <c r="EK872" s="30"/>
      <c r="EL872" s="127"/>
      <c r="EM872" s="128"/>
      <c r="EN872" s="123"/>
      <c r="EO872" s="128"/>
      <c r="EP872" s="13"/>
      <c r="EQ872" s="129"/>
      <c r="ER872" s="123"/>
      <c r="ES872" s="130"/>
      <c r="ET872" s="13"/>
      <c r="EU872" s="123"/>
      <c r="EV872" s="131"/>
    </row>
    <row r="873" spans="35:152">
      <c r="AI873" s="121"/>
      <c r="AJ873" s="13"/>
      <c r="AK873" s="13"/>
      <c r="AL873" s="13"/>
      <c r="AM873" s="13"/>
      <c r="AN873" s="13"/>
      <c r="AO873" s="13"/>
      <c r="AW873" s="121"/>
      <c r="AX873" s="121"/>
      <c r="AY873" s="121"/>
      <c r="AZ873" s="121"/>
      <c r="BA873" s="121"/>
      <c r="BB873" s="121"/>
      <c r="BC873" s="121"/>
      <c r="BD873" s="121"/>
      <c r="BE873" s="121"/>
      <c r="BF873" s="121"/>
      <c r="BG873" s="123"/>
      <c r="BH873" s="127"/>
      <c r="BI873" s="125"/>
      <c r="BJ873" s="126"/>
      <c r="BK873" s="30"/>
      <c r="BL873" s="127"/>
      <c r="BM873" s="128"/>
      <c r="BN873" s="123"/>
      <c r="BO873" s="128"/>
      <c r="BP873" s="13"/>
      <c r="BQ873" s="129"/>
      <c r="BR873" s="123"/>
      <c r="BS873" s="130"/>
      <c r="BT873" s="13"/>
      <c r="BU873" s="123"/>
      <c r="BV873" s="131"/>
      <c r="DI873" s="121"/>
      <c r="DJ873" s="13"/>
      <c r="DK873" s="13"/>
      <c r="DL873" s="13"/>
      <c r="DM873" s="13"/>
      <c r="DN873" s="13"/>
      <c r="DO873" s="13"/>
      <c r="DW873" s="121"/>
      <c r="DX873" s="121"/>
      <c r="DY873" s="121"/>
      <c r="DZ873" s="121"/>
      <c r="EA873" s="121"/>
      <c r="EB873" s="121"/>
      <c r="EC873" s="121"/>
      <c r="ED873" s="121"/>
      <c r="EE873" s="121"/>
      <c r="EF873" s="121"/>
      <c r="EG873" s="123"/>
      <c r="EH873" s="127"/>
      <c r="EI873" s="125"/>
      <c r="EJ873" s="126"/>
      <c r="EK873" s="30"/>
      <c r="EL873" s="127"/>
      <c r="EM873" s="128"/>
      <c r="EN873" s="123"/>
      <c r="EO873" s="128"/>
      <c r="EP873" s="13"/>
      <c r="EQ873" s="129"/>
      <c r="ER873" s="123"/>
      <c r="ES873" s="130"/>
      <c r="ET873" s="13"/>
      <c r="EU873" s="123"/>
      <c r="EV873" s="131"/>
    </row>
    <row r="874" spans="35:152">
      <c r="AI874" s="121"/>
      <c r="AJ874" s="13"/>
      <c r="AK874" s="13"/>
      <c r="AL874" s="13"/>
      <c r="AM874" s="13"/>
      <c r="AN874" s="13"/>
      <c r="AO874" s="13"/>
      <c r="AW874" s="121"/>
      <c r="AX874" s="121"/>
      <c r="AY874" s="121"/>
      <c r="AZ874" s="121"/>
      <c r="BA874" s="121"/>
      <c r="BB874" s="121"/>
      <c r="BC874" s="121"/>
      <c r="BD874" s="121"/>
      <c r="BE874" s="121"/>
      <c r="BF874" s="121"/>
      <c r="BG874" s="123"/>
      <c r="BH874" s="127"/>
      <c r="BI874" s="125"/>
      <c r="BJ874" s="126"/>
      <c r="BK874" s="30"/>
      <c r="BL874" s="127"/>
      <c r="BM874" s="128"/>
      <c r="BN874" s="123"/>
      <c r="BO874" s="128"/>
      <c r="BP874" s="13"/>
      <c r="BQ874" s="129"/>
      <c r="BR874" s="123"/>
      <c r="BS874" s="130"/>
      <c r="BT874" s="13"/>
      <c r="BU874" s="123"/>
      <c r="BV874" s="131"/>
      <c r="DI874" s="121"/>
      <c r="DJ874" s="13"/>
      <c r="DK874" s="13"/>
      <c r="DL874" s="13"/>
      <c r="DM874" s="13"/>
      <c r="DN874" s="13"/>
      <c r="DO874" s="13"/>
      <c r="DW874" s="121"/>
      <c r="DX874" s="121"/>
      <c r="DY874" s="121"/>
      <c r="DZ874" s="121"/>
      <c r="EA874" s="121"/>
      <c r="EB874" s="121"/>
      <c r="EC874" s="121"/>
      <c r="ED874" s="121"/>
      <c r="EE874" s="121"/>
      <c r="EF874" s="121"/>
      <c r="EG874" s="123"/>
      <c r="EH874" s="127"/>
      <c r="EI874" s="125"/>
      <c r="EJ874" s="126"/>
      <c r="EK874" s="30"/>
      <c r="EL874" s="127"/>
      <c r="EM874" s="128"/>
      <c r="EN874" s="123"/>
      <c r="EO874" s="128"/>
      <c r="EP874" s="13"/>
      <c r="EQ874" s="129"/>
      <c r="ER874" s="123"/>
      <c r="ES874" s="130"/>
      <c r="ET874" s="13"/>
      <c r="EU874" s="123"/>
      <c r="EV874" s="131"/>
    </row>
    <row r="875" spans="35:152">
      <c r="AI875" s="121"/>
      <c r="AJ875" s="13"/>
      <c r="AK875" s="13"/>
      <c r="AL875" s="13"/>
      <c r="AM875" s="13"/>
      <c r="AN875" s="13"/>
      <c r="AO875" s="13"/>
      <c r="AW875" s="121"/>
      <c r="AX875" s="121"/>
      <c r="AY875" s="121"/>
      <c r="AZ875" s="121"/>
      <c r="BA875" s="121"/>
      <c r="BB875" s="121"/>
      <c r="BC875" s="121"/>
      <c r="BD875" s="121"/>
      <c r="BE875" s="121"/>
      <c r="BF875" s="121"/>
      <c r="BG875" s="123"/>
      <c r="BH875" s="127"/>
      <c r="BI875" s="125"/>
      <c r="BJ875" s="126"/>
      <c r="BK875" s="30"/>
      <c r="BL875" s="127"/>
      <c r="BM875" s="128"/>
      <c r="BN875" s="123"/>
      <c r="BO875" s="128"/>
      <c r="BP875" s="13"/>
      <c r="BQ875" s="129"/>
      <c r="BR875" s="123"/>
      <c r="BS875" s="130"/>
      <c r="BT875" s="13"/>
      <c r="BU875" s="123"/>
      <c r="BV875" s="131"/>
      <c r="DI875" s="121"/>
      <c r="DJ875" s="13"/>
      <c r="DK875" s="13"/>
      <c r="DL875" s="13"/>
      <c r="DM875" s="13"/>
      <c r="DN875" s="13"/>
      <c r="DO875" s="13"/>
      <c r="DW875" s="121"/>
      <c r="DX875" s="121"/>
      <c r="DY875" s="121"/>
      <c r="DZ875" s="121"/>
      <c r="EA875" s="121"/>
      <c r="EB875" s="121"/>
      <c r="EC875" s="121"/>
      <c r="ED875" s="121"/>
      <c r="EE875" s="121"/>
      <c r="EF875" s="121"/>
      <c r="EG875" s="123"/>
      <c r="EH875" s="127"/>
      <c r="EI875" s="125"/>
      <c r="EJ875" s="126"/>
      <c r="EK875" s="30"/>
      <c r="EL875" s="127"/>
      <c r="EM875" s="128"/>
      <c r="EN875" s="123"/>
      <c r="EO875" s="128"/>
      <c r="EP875" s="13"/>
      <c r="EQ875" s="129"/>
      <c r="ER875" s="123"/>
      <c r="ES875" s="130"/>
      <c r="ET875" s="13"/>
      <c r="EU875" s="123"/>
      <c r="EV875" s="131"/>
    </row>
    <row r="876" spans="35:152">
      <c r="AI876" s="121"/>
      <c r="AJ876" s="13"/>
      <c r="AK876" s="13"/>
      <c r="AL876" s="13"/>
      <c r="AM876" s="13"/>
      <c r="AN876" s="13"/>
      <c r="AO876" s="13"/>
      <c r="AW876" s="121"/>
      <c r="AX876" s="121"/>
      <c r="AY876" s="121"/>
      <c r="AZ876" s="121"/>
      <c r="BA876" s="121"/>
      <c r="BB876" s="121"/>
      <c r="BC876" s="121"/>
      <c r="BD876" s="121"/>
      <c r="BE876" s="121"/>
      <c r="BF876" s="121"/>
      <c r="BG876" s="123"/>
      <c r="BH876" s="127"/>
      <c r="BI876" s="125"/>
      <c r="BJ876" s="126"/>
      <c r="BK876" s="30"/>
      <c r="BL876" s="127"/>
      <c r="BM876" s="128"/>
      <c r="BN876" s="123"/>
      <c r="BO876" s="128"/>
      <c r="BP876" s="13"/>
      <c r="BQ876" s="129"/>
      <c r="BR876" s="123"/>
      <c r="BS876" s="130"/>
      <c r="BT876" s="13"/>
      <c r="BU876" s="123"/>
      <c r="BV876" s="131"/>
      <c r="DI876" s="121"/>
      <c r="DJ876" s="13"/>
      <c r="DK876" s="13"/>
      <c r="DL876" s="13"/>
      <c r="DM876" s="13"/>
      <c r="DN876" s="13"/>
      <c r="DO876" s="13"/>
      <c r="DW876" s="121"/>
      <c r="DX876" s="121"/>
      <c r="DY876" s="121"/>
      <c r="DZ876" s="121"/>
      <c r="EA876" s="121"/>
      <c r="EB876" s="121"/>
      <c r="EC876" s="121"/>
      <c r="ED876" s="121"/>
      <c r="EE876" s="121"/>
      <c r="EF876" s="121"/>
      <c r="EG876" s="123"/>
      <c r="EH876" s="127"/>
      <c r="EI876" s="125"/>
      <c r="EJ876" s="126"/>
      <c r="EK876" s="30"/>
      <c r="EL876" s="127"/>
      <c r="EM876" s="128"/>
      <c r="EN876" s="123"/>
      <c r="EO876" s="128"/>
      <c r="EP876" s="13"/>
      <c r="EQ876" s="129"/>
      <c r="ER876" s="123"/>
      <c r="ES876" s="130"/>
      <c r="ET876" s="13"/>
      <c r="EU876" s="123"/>
      <c r="EV876" s="131"/>
    </row>
    <row r="877" spans="35:152">
      <c r="AI877" s="121"/>
      <c r="AJ877" s="13"/>
      <c r="AK877" s="13"/>
      <c r="AL877" s="13"/>
      <c r="AM877" s="13"/>
      <c r="AN877" s="13"/>
      <c r="AO877" s="13"/>
      <c r="AW877" s="121"/>
      <c r="AX877" s="121"/>
      <c r="AY877" s="121"/>
      <c r="AZ877" s="121"/>
      <c r="BA877" s="121"/>
      <c r="BB877" s="121"/>
      <c r="BC877" s="121"/>
      <c r="BD877" s="121"/>
      <c r="BE877" s="121"/>
      <c r="BF877" s="121"/>
      <c r="BG877" s="123"/>
      <c r="BH877" s="127"/>
      <c r="BI877" s="125"/>
      <c r="BJ877" s="126"/>
      <c r="BK877" s="30"/>
      <c r="BL877" s="127"/>
      <c r="BM877" s="128"/>
      <c r="BN877" s="123"/>
      <c r="BO877" s="128"/>
      <c r="BP877" s="13"/>
      <c r="BQ877" s="129"/>
      <c r="BR877" s="123"/>
      <c r="BS877" s="130"/>
      <c r="BT877" s="13"/>
      <c r="BU877" s="123"/>
      <c r="BV877" s="131"/>
      <c r="DI877" s="121"/>
      <c r="DJ877" s="13"/>
      <c r="DK877" s="13"/>
      <c r="DL877" s="13"/>
      <c r="DM877" s="13"/>
      <c r="DN877" s="13"/>
      <c r="DO877" s="13"/>
      <c r="DW877" s="121"/>
      <c r="DX877" s="121"/>
      <c r="DY877" s="121"/>
      <c r="DZ877" s="121"/>
      <c r="EA877" s="121"/>
      <c r="EB877" s="121"/>
      <c r="EC877" s="121"/>
      <c r="ED877" s="121"/>
      <c r="EE877" s="121"/>
      <c r="EF877" s="121"/>
      <c r="EG877" s="123"/>
      <c r="EH877" s="127"/>
      <c r="EI877" s="125"/>
      <c r="EJ877" s="126"/>
      <c r="EK877" s="30"/>
      <c r="EL877" s="127"/>
      <c r="EM877" s="128"/>
      <c r="EN877" s="123"/>
      <c r="EO877" s="128"/>
      <c r="EP877" s="13"/>
      <c r="EQ877" s="129"/>
      <c r="ER877" s="123"/>
      <c r="ES877" s="130"/>
      <c r="ET877" s="13"/>
      <c r="EU877" s="123"/>
      <c r="EV877" s="131"/>
    </row>
    <row r="878" spans="35:152">
      <c r="AI878" s="121"/>
      <c r="AJ878" s="13"/>
      <c r="AK878" s="13"/>
      <c r="AL878" s="13"/>
      <c r="AM878" s="13"/>
      <c r="AN878" s="13"/>
      <c r="AO878" s="13"/>
      <c r="AW878" s="121"/>
      <c r="AX878" s="121"/>
      <c r="AY878" s="121"/>
      <c r="AZ878" s="121"/>
      <c r="BA878" s="121"/>
      <c r="BB878" s="121"/>
      <c r="BC878" s="121"/>
      <c r="BD878" s="121"/>
      <c r="BE878" s="121"/>
      <c r="BF878" s="121"/>
      <c r="BG878" s="123"/>
      <c r="BH878" s="127"/>
      <c r="BI878" s="125"/>
      <c r="BJ878" s="126"/>
      <c r="BK878" s="30"/>
      <c r="BL878" s="127"/>
      <c r="BM878" s="128"/>
      <c r="BN878" s="123"/>
      <c r="BO878" s="128"/>
      <c r="BP878" s="13"/>
      <c r="BQ878" s="129"/>
      <c r="BR878" s="123"/>
      <c r="BS878" s="130"/>
      <c r="BT878" s="13"/>
      <c r="BU878" s="123"/>
      <c r="BV878" s="131"/>
      <c r="DI878" s="121"/>
      <c r="DJ878" s="13"/>
      <c r="DK878" s="13"/>
      <c r="DL878" s="13"/>
      <c r="DM878" s="13"/>
      <c r="DN878" s="13"/>
      <c r="DO878" s="13"/>
      <c r="DW878" s="121"/>
      <c r="DX878" s="121"/>
      <c r="DY878" s="121"/>
      <c r="DZ878" s="121"/>
      <c r="EA878" s="121"/>
      <c r="EB878" s="121"/>
      <c r="EC878" s="121"/>
      <c r="ED878" s="121"/>
      <c r="EE878" s="121"/>
      <c r="EF878" s="121"/>
      <c r="EG878" s="123"/>
      <c r="EH878" s="127"/>
      <c r="EI878" s="125"/>
      <c r="EJ878" s="126"/>
      <c r="EK878" s="30"/>
      <c r="EL878" s="127"/>
      <c r="EM878" s="128"/>
      <c r="EN878" s="123"/>
      <c r="EO878" s="128"/>
      <c r="EP878" s="13"/>
      <c r="EQ878" s="129"/>
      <c r="ER878" s="123"/>
      <c r="ES878" s="130"/>
      <c r="ET878" s="13"/>
      <c r="EU878" s="123"/>
      <c r="EV878" s="131"/>
    </row>
    <row r="879" spans="35:152">
      <c r="AI879" s="121"/>
      <c r="AJ879" s="13"/>
      <c r="AK879" s="13"/>
      <c r="AL879" s="13"/>
      <c r="AM879" s="13"/>
      <c r="AN879" s="13"/>
      <c r="AO879" s="13"/>
      <c r="AW879" s="121"/>
      <c r="AX879" s="121"/>
      <c r="AY879" s="121"/>
      <c r="AZ879" s="121"/>
      <c r="BA879" s="121"/>
      <c r="BB879" s="121"/>
      <c r="BC879" s="121"/>
      <c r="BD879" s="121"/>
      <c r="BE879" s="121"/>
      <c r="BF879" s="121"/>
      <c r="BG879" s="123"/>
      <c r="BH879" s="127"/>
      <c r="BI879" s="125"/>
      <c r="BJ879" s="126"/>
      <c r="BK879" s="30"/>
      <c r="BL879" s="127"/>
      <c r="BM879" s="128"/>
      <c r="BN879" s="123"/>
      <c r="BO879" s="128"/>
      <c r="BP879" s="13"/>
      <c r="BQ879" s="129"/>
      <c r="BR879" s="123"/>
      <c r="BS879" s="130"/>
      <c r="BT879" s="13"/>
      <c r="BU879" s="123"/>
      <c r="BV879" s="131"/>
      <c r="DI879" s="121"/>
      <c r="DJ879" s="13"/>
      <c r="DK879" s="13"/>
      <c r="DL879" s="13"/>
      <c r="DM879" s="13"/>
      <c r="DN879" s="13"/>
      <c r="DO879" s="13"/>
      <c r="DW879" s="121"/>
      <c r="DX879" s="121"/>
      <c r="DY879" s="121"/>
      <c r="DZ879" s="121"/>
      <c r="EA879" s="121"/>
      <c r="EB879" s="121"/>
      <c r="EC879" s="121"/>
      <c r="ED879" s="121"/>
      <c r="EE879" s="121"/>
      <c r="EF879" s="121"/>
      <c r="EG879" s="123"/>
      <c r="EH879" s="127"/>
      <c r="EI879" s="125"/>
      <c r="EJ879" s="126"/>
      <c r="EK879" s="30"/>
      <c r="EL879" s="127"/>
      <c r="EM879" s="128"/>
      <c r="EN879" s="123"/>
      <c r="EO879" s="128"/>
      <c r="EP879" s="13"/>
      <c r="EQ879" s="129"/>
      <c r="ER879" s="123"/>
      <c r="ES879" s="130"/>
      <c r="ET879" s="13"/>
      <c r="EU879" s="123"/>
      <c r="EV879" s="131"/>
    </row>
    <row r="880" spans="35:152">
      <c r="AI880" s="121"/>
      <c r="AJ880" s="13"/>
      <c r="AK880" s="13"/>
      <c r="AL880" s="13"/>
      <c r="AM880" s="13"/>
      <c r="AN880" s="13"/>
      <c r="AO880" s="13"/>
      <c r="AW880" s="121"/>
      <c r="AX880" s="121"/>
      <c r="AY880" s="121"/>
      <c r="AZ880" s="121"/>
      <c r="BA880" s="121"/>
      <c r="BB880" s="121"/>
      <c r="BC880" s="121"/>
      <c r="BD880" s="121"/>
      <c r="BE880" s="121"/>
      <c r="BF880" s="121"/>
      <c r="BG880" s="123"/>
      <c r="BH880" s="127"/>
      <c r="BI880" s="125"/>
      <c r="BJ880" s="126"/>
      <c r="BK880" s="30"/>
      <c r="BL880" s="127"/>
      <c r="BM880" s="128"/>
      <c r="BN880" s="123"/>
      <c r="BO880" s="128"/>
      <c r="BP880" s="13"/>
      <c r="BQ880" s="129"/>
      <c r="BR880" s="123"/>
      <c r="BS880" s="130"/>
      <c r="BT880" s="13"/>
      <c r="BU880" s="123"/>
      <c r="BV880" s="131"/>
      <c r="DI880" s="121"/>
      <c r="DJ880" s="13"/>
      <c r="DK880" s="13"/>
      <c r="DL880" s="13"/>
      <c r="DM880" s="13"/>
      <c r="DN880" s="13"/>
      <c r="DO880" s="13"/>
      <c r="DW880" s="121"/>
      <c r="DX880" s="121"/>
      <c r="DY880" s="121"/>
      <c r="DZ880" s="121"/>
      <c r="EA880" s="121"/>
      <c r="EB880" s="121"/>
      <c r="EC880" s="121"/>
      <c r="ED880" s="121"/>
      <c r="EE880" s="121"/>
      <c r="EF880" s="121"/>
      <c r="EG880" s="123"/>
      <c r="EH880" s="127"/>
      <c r="EI880" s="125"/>
      <c r="EJ880" s="126"/>
      <c r="EK880" s="30"/>
      <c r="EL880" s="127"/>
      <c r="EM880" s="128"/>
      <c r="EN880" s="123"/>
      <c r="EO880" s="128"/>
      <c r="EP880" s="13"/>
      <c r="EQ880" s="129"/>
      <c r="ER880" s="123"/>
      <c r="ES880" s="130"/>
      <c r="ET880" s="13"/>
      <c r="EU880" s="123"/>
      <c r="EV880" s="131"/>
    </row>
    <row r="881" spans="35:152">
      <c r="AI881" s="121"/>
      <c r="AJ881" s="13"/>
      <c r="AK881" s="13"/>
      <c r="AL881" s="13"/>
      <c r="AM881" s="13"/>
      <c r="AN881" s="13"/>
      <c r="AO881" s="13"/>
      <c r="AW881" s="121"/>
      <c r="AX881" s="121"/>
      <c r="AY881" s="121"/>
      <c r="AZ881" s="121"/>
      <c r="BA881" s="121"/>
      <c r="BB881" s="121"/>
      <c r="BC881" s="121"/>
      <c r="BD881" s="121"/>
      <c r="BE881" s="121"/>
      <c r="BF881" s="121"/>
      <c r="BG881" s="123"/>
      <c r="BH881" s="127"/>
      <c r="BI881" s="125"/>
      <c r="BJ881" s="126"/>
      <c r="BK881" s="30"/>
      <c r="BL881" s="127"/>
      <c r="BM881" s="128"/>
      <c r="BN881" s="123"/>
      <c r="BO881" s="128"/>
      <c r="BP881" s="13"/>
      <c r="BQ881" s="129"/>
      <c r="BR881" s="123"/>
      <c r="BS881" s="130"/>
      <c r="BT881" s="13"/>
      <c r="BU881" s="123"/>
      <c r="BV881" s="131"/>
      <c r="DI881" s="121"/>
      <c r="DJ881" s="13"/>
      <c r="DK881" s="13"/>
      <c r="DL881" s="13"/>
      <c r="DM881" s="13"/>
      <c r="DN881" s="13"/>
      <c r="DO881" s="13"/>
      <c r="DW881" s="121"/>
      <c r="DX881" s="121"/>
      <c r="DY881" s="121"/>
      <c r="DZ881" s="121"/>
      <c r="EA881" s="121"/>
      <c r="EB881" s="121"/>
      <c r="EC881" s="121"/>
      <c r="ED881" s="121"/>
      <c r="EE881" s="121"/>
      <c r="EF881" s="121"/>
      <c r="EG881" s="123"/>
      <c r="EH881" s="127"/>
      <c r="EI881" s="125"/>
      <c r="EJ881" s="126"/>
      <c r="EK881" s="30"/>
      <c r="EL881" s="127"/>
      <c r="EM881" s="128"/>
      <c r="EN881" s="123"/>
      <c r="EO881" s="128"/>
      <c r="EP881" s="13"/>
      <c r="EQ881" s="129"/>
      <c r="ER881" s="123"/>
      <c r="ES881" s="130"/>
      <c r="ET881" s="13"/>
      <c r="EU881" s="123"/>
      <c r="EV881" s="131"/>
    </row>
    <row r="882" spans="35:152">
      <c r="AI882" s="121"/>
      <c r="AJ882" s="13"/>
      <c r="AK882" s="13"/>
      <c r="AL882" s="13"/>
      <c r="AM882" s="13"/>
      <c r="AN882" s="13"/>
      <c r="AO882" s="13"/>
      <c r="AW882" s="121"/>
      <c r="AX882" s="121"/>
      <c r="AY882" s="121"/>
      <c r="AZ882" s="121"/>
      <c r="BA882" s="121"/>
      <c r="BB882" s="121"/>
      <c r="BC882" s="121"/>
      <c r="BD882" s="121"/>
      <c r="BE882" s="121"/>
      <c r="BF882" s="121"/>
      <c r="BG882" s="123"/>
      <c r="BH882" s="127"/>
      <c r="BI882" s="125"/>
      <c r="BJ882" s="126"/>
      <c r="BK882" s="30"/>
      <c r="BL882" s="127"/>
      <c r="BM882" s="128"/>
      <c r="BN882" s="123"/>
      <c r="BO882" s="128"/>
      <c r="BP882" s="13"/>
      <c r="BQ882" s="129"/>
      <c r="BR882" s="123"/>
      <c r="BS882" s="130"/>
      <c r="BT882" s="13"/>
      <c r="BU882" s="123"/>
      <c r="BV882" s="131"/>
      <c r="DI882" s="121"/>
      <c r="DJ882" s="13"/>
      <c r="DK882" s="13"/>
      <c r="DL882" s="13"/>
      <c r="DM882" s="13"/>
      <c r="DN882" s="13"/>
      <c r="DO882" s="13"/>
      <c r="DW882" s="121"/>
      <c r="DX882" s="121"/>
      <c r="DY882" s="121"/>
      <c r="DZ882" s="121"/>
      <c r="EA882" s="121"/>
      <c r="EB882" s="121"/>
      <c r="EC882" s="121"/>
      <c r="ED882" s="121"/>
      <c r="EE882" s="121"/>
      <c r="EF882" s="121"/>
      <c r="EG882" s="123"/>
      <c r="EH882" s="127"/>
      <c r="EI882" s="125"/>
      <c r="EJ882" s="126"/>
      <c r="EK882" s="30"/>
      <c r="EL882" s="127"/>
      <c r="EM882" s="128"/>
      <c r="EN882" s="123"/>
      <c r="EO882" s="128"/>
      <c r="EP882" s="13"/>
      <c r="EQ882" s="129"/>
      <c r="ER882" s="123"/>
      <c r="ES882" s="130"/>
      <c r="ET882" s="13"/>
      <c r="EU882" s="123"/>
      <c r="EV882" s="131"/>
    </row>
    <row r="883" spans="35:152">
      <c r="AI883" s="121"/>
      <c r="AJ883" s="13"/>
      <c r="AK883" s="13"/>
      <c r="AL883" s="13"/>
      <c r="AM883" s="13"/>
      <c r="AN883" s="13"/>
      <c r="AO883" s="13"/>
      <c r="AW883" s="121"/>
      <c r="AX883" s="121"/>
      <c r="AY883" s="121"/>
      <c r="AZ883" s="121"/>
      <c r="BA883" s="121"/>
      <c r="BB883" s="121"/>
      <c r="BC883" s="121"/>
      <c r="BD883" s="121"/>
      <c r="BE883" s="121"/>
      <c r="BF883" s="121"/>
      <c r="BG883" s="123"/>
      <c r="BH883" s="127"/>
      <c r="BI883" s="125"/>
      <c r="BJ883" s="126"/>
      <c r="BK883" s="30"/>
      <c r="BL883" s="127"/>
      <c r="BM883" s="128"/>
      <c r="BN883" s="123"/>
      <c r="BO883" s="128"/>
      <c r="BP883" s="13"/>
      <c r="BQ883" s="129"/>
      <c r="BR883" s="123"/>
      <c r="BS883" s="130"/>
      <c r="BT883" s="13"/>
      <c r="BU883" s="123"/>
      <c r="BV883" s="131"/>
      <c r="DI883" s="121"/>
      <c r="DJ883" s="13"/>
      <c r="DK883" s="13"/>
      <c r="DL883" s="13"/>
      <c r="DM883" s="13"/>
      <c r="DN883" s="13"/>
      <c r="DO883" s="13"/>
      <c r="DW883" s="121"/>
      <c r="DX883" s="121"/>
      <c r="DY883" s="121"/>
      <c r="DZ883" s="121"/>
      <c r="EA883" s="121"/>
      <c r="EB883" s="121"/>
      <c r="EC883" s="121"/>
      <c r="ED883" s="121"/>
      <c r="EE883" s="121"/>
      <c r="EF883" s="121"/>
      <c r="EG883" s="123"/>
      <c r="EH883" s="127"/>
      <c r="EI883" s="125"/>
      <c r="EJ883" s="126"/>
      <c r="EK883" s="30"/>
      <c r="EL883" s="127"/>
      <c r="EM883" s="128"/>
      <c r="EN883" s="123"/>
      <c r="EO883" s="128"/>
      <c r="EP883" s="13"/>
      <c r="EQ883" s="129"/>
      <c r="ER883" s="123"/>
      <c r="ES883" s="130"/>
      <c r="ET883" s="13"/>
      <c r="EU883" s="123"/>
      <c r="EV883" s="131"/>
    </row>
    <row r="884" spans="35:152">
      <c r="AI884" s="121"/>
      <c r="AJ884" s="13"/>
      <c r="AK884" s="13"/>
      <c r="AL884" s="13"/>
      <c r="AM884" s="13"/>
      <c r="AN884" s="13"/>
      <c r="AO884" s="13"/>
      <c r="AW884" s="121"/>
      <c r="AX884" s="121"/>
      <c r="AY884" s="121"/>
      <c r="AZ884" s="121"/>
      <c r="BA884" s="121"/>
      <c r="BB884" s="121"/>
      <c r="BC884" s="121"/>
      <c r="BD884" s="121"/>
      <c r="BE884" s="121"/>
      <c r="BF884" s="121"/>
      <c r="BG884" s="123"/>
      <c r="BH884" s="127"/>
      <c r="BI884" s="125"/>
      <c r="BJ884" s="126"/>
      <c r="BK884" s="30"/>
      <c r="BL884" s="127"/>
      <c r="BM884" s="128"/>
      <c r="BN884" s="123"/>
      <c r="BO884" s="128"/>
      <c r="BP884" s="13"/>
      <c r="BQ884" s="129"/>
      <c r="BR884" s="123"/>
      <c r="BS884" s="130"/>
      <c r="BT884" s="13"/>
      <c r="BU884" s="123"/>
      <c r="BV884" s="131"/>
      <c r="DI884" s="121"/>
      <c r="DJ884" s="13"/>
      <c r="DK884" s="13"/>
      <c r="DL884" s="13"/>
      <c r="DM884" s="13"/>
      <c r="DN884" s="13"/>
      <c r="DO884" s="13"/>
      <c r="DW884" s="121"/>
      <c r="DX884" s="121"/>
      <c r="DY884" s="121"/>
      <c r="DZ884" s="121"/>
      <c r="EA884" s="121"/>
      <c r="EB884" s="121"/>
      <c r="EC884" s="121"/>
      <c r="ED884" s="121"/>
      <c r="EE884" s="121"/>
      <c r="EF884" s="121"/>
      <c r="EG884" s="123"/>
      <c r="EH884" s="127"/>
      <c r="EI884" s="125"/>
      <c r="EJ884" s="126"/>
      <c r="EK884" s="30"/>
      <c r="EL884" s="127"/>
      <c r="EM884" s="128"/>
      <c r="EN884" s="123"/>
      <c r="EO884" s="128"/>
      <c r="EP884" s="13"/>
      <c r="EQ884" s="129"/>
      <c r="ER884" s="123"/>
      <c r="ES884" s="130"/>
      <c r="ET884" s="13"/>
      <c r="EU884" s="123"/>
      <c r="EV884" s="131"/>
    </row>
    <row r="885" spans="35:152">
      <c r="AI885" s="121"/>
      <c r="AJ885" s="13"/>
      <c r="AK885" s="13"/>
      <c r="AL885" s="13"/>
      <c r="AM885" s="13"/>
      <c r="AN885" s="13"/>
      <c r="AO885" s="13"/>
      <c r="AW885" s="121"/>
      <c r="AX885" s="121"/>
      <c r="AY885" s="121"/>
      <c r="AZ885" s="121"/>
      <c r="BA885" s="121"/>
      <c r="BB885" s="121"/>
      <c r="BC885" s="121"/>
      <c r="BD885" s="121"/>
      <c r="BE885" s="121"/>
      <c r="BF885" s="121"/>
      <c r="BG885" s="123"/>
      <c r="BH885" s="127"/>
      <c r="BI885" s="125"/>
      <c r="BJ885" s="126"/>
      <c r="BK885" s="30"/>
      <c r="BL885" s="127"/>
      <c r="BM885" s="128"/>
      <c r="BN885" s="123"/>
      <c r="BO885" s="128"/>
      <c r="BP885" s="13"/>
      <c r="BQ885" s="129"/>
      <c r="BR885" s="123"/>
      <c r="BS885" s="130"/>
      <c r="BT885" s="13"/>
      <c r="BU885" s="123"/>
      <c r="BV885" s="131"/>
      <c r="DI885" s="121"/>
      <c r="DJ885" s="13"/>
      <c r="DK885" s="13"/>
      <c r="DL885" s="13"/>
      <c r="DM885" s="13"/>
      <c r="DN885" s="13"/>
      <c r="DO885" s="13"/>
      <c r="DW885" s="121"/>
      <c r="DX885" s="121"/>
      <c r="DY885" s="121"/>
      <c r="DZ885" s="121"/>
      <c r="EA885" s="121"/>
      <c r="EB885" s="121"/>
      <c r="EC885" s="121"/>
      <c r="ED885" s="121"/>
      <c r="EE885" s="121"/>
      <c r="EF885" s="121"/>
      <c r="EG885" s="123"/>
      <c r="EH885" s="127"/>
      <c r="EI885" s="125"/>
      <c r="EJ885" s="126"/>
      <c r="EK885" s="30"/>
      <c r="EL885" s="127"/>
      <c r="EM885" s="128"/>
      <c r="EN885" s="123"/>
      <c r="EO885" s="128"/>
      <c r="EP885" s="13"/>
      <c r="EQ885" s="129"/>
      <c r="ER885" s="123"/>
      <c r="ES885" s="130"/>
      <c r="ET885" s="13"/>
      <c r="EU885" s="123"/>
      <c r="EV885" s="131"/>
    </row>
    <row r="886" spans="35:152">
      <c r="AI886" s="121"/>
      <c r="AJ886" s="13"/>
      <c r="AK886" s="13"/>
      <c r="AL886" s="13"/>
      <c r="AM886" s="13"/>
      <c r="AN886" s="13"/>
      <c r="AO886" s="13"/>
      <c r="AW886" s="121"/>
      <c r="AX886" s="121"/>
      <c r="AY886" s="121"/>
      <c r="AZ886" s="121"/>
      <c r="BA886" s="121"/>
      <c r="BB886" s="121"/>
      <c r="BC886" s="121"/>
      <c r="BD886" s="121"/>
      <c r="BE886" s="121"/>
      <c r="BF886" s="121"/>
      <c r="BG886" s="123"/>
      <c r="BH886" s="127"/>
      <c r="BI886" s="125"/>
      <c r="BJ886" s="126"/>
      <c r="BK886" s="30"/>
      <c r="BL886" s="127"/>
      <c r="BM886" s="128"/>
      <c r="BN886" s="123"/>
      <c r="BO886" s="128"/>
      <c r="BP886" s="13"/>
      <c r="BQ886" s="129"/>
      <c r="BR886" s="123"/>
      <c r="BS886" s="130"/>
      <c r="BT886" s="13"/>
      <c r="BU886" s="123"/>
      <c r="BV886" s="131"/>
      <c r="DI886" s="121"/>
      <c r="DJ886" s="13"/>
      <c r="DK886" s="13"/>
      <c r="DL886" s="13"/>
      <c r="DM886" s="13"/>
      <c r="DN886" s="13"/>
      <c r="DO886" s="13"/>
      <c r="DW886" s="121"/>
      <c r="DX886" s="121"/>
      <c r="DY886" s="121"/>
      <c r="DZ886" s="121"/>
      <c r="EA886" s="121"/>
      <c r="EB886" s="121"/>
      <c r="EC886" s="121"/>
      <c r="ED886" s="121"/>
      <c r="EE886" s="121"/>
      <c r="EF886" s="121"/>
      <c r="EG886" s="123"/>
      <c r="EH886" s="127"/>
      <c r="EI886" s="125"/>
      <c r="EJ886" s="126"/>
      <c r="EK886" s="30"/>
      <c r="EL886" s="127"/>
      <c r="EM886" s="128"/>
      <c r="EN886" s="123"/>
      <c r="EO886" s="128"/>
      <c r="EP886" s="13"/>
      <c r="EQ886" s="129"/>
      <c r="ER886" s="123"/>
      <c r="ES886" s="130"/>
      <c r="ET886" s="13"/>
      <c r="EU886" s="123"/>
      <c r="EV886" s="131"/>
    </row>
    <row r="887" spans="35:152">
      <c r="AI887" s="121"/>
      <c r="AJ887" s="13"/>
      <c r="AK887" s="13"/>
      <c r="AL887" s="13"/>
      <c r="AM887" s="13"/>
      <c r="AN887" s="13"/>
      <c r="AO887" s="13"/>
      <c r="AW887" s="121"/>
      <c r="AX887" s="121"/>
      <c r="AY887" s="121"/>
      <c r="AZ887" s="121"/>
      <c r="BA887" s="121"/>
      <c r="BB887" s="121"/>
      <c r="BC887" s="121"/>
      <c r="BD887" s="121"/>
      <c r="BE887" s="121"/>
      <c r="BF887" s="121"/>
      <c r="BG887" s="123"/>
      <c r="BH887" s="127"/>
      <c r="BI887" s="125"/>
      <c r="BJ887" s="126"/>
      <c r="BK887" s="30"/>
      <c r="BL887" s="127"/>
      <c r="BM887" s="128"/>
      <c r="BN887" s="123"/>
      <c r="BO887" s="128"/>
      <c r="BP887" s="13"/>
      <c r="BQ887" s="129"/>
      <c r="BR887" s="123"/>
      <c r="BS887" s="130"/>
      <c r="BT887" s="13"/>
      <c r="BU887" s="123"/>
      <c r="BV887" s="131"/>
      <c r="DI887" s="121"/>
      <c r="DJ887" s="13"/>
      <c r="DK887" s="13"/>
      <c r="DL887" s="13"/>
      <c r="DM887" s="13"/>
      <c r="DN887" s="13"/>
      <c r="DO887" s="13"/>
      <c r="DW887" s="121"/>
      <c r="DX887" s="121"/>
      <c r="DY887" s="121"/>
      <c r="DZ887" s="121"/>
      <c r="EA887" s="121"/>
      <c r="EB887" s="121"/>
      <c r="EC887" s="121"/>
      <c r="ED887" s="121"/>
      <c r="EE887" s="121"/>
      <c r="EF887" s="121"/>
      <c r="EG887" s="123"/>
      <c r="EH887" s="127"/>
      <c r="EI887" s="125"/>
      <c r="EJ887" s="126"/>
      <c r="EK887" s="30"/>
      <c r="EL887" s="127"/>
      <c r="EM887" s="128"/>
      <c r="EN887" s="123"/>
      <c r="EO887" s="128"/>
      <c r="EP887" s="13"/>
      <c r="EQ887" s="129"/>
      <c r="ER887" s="123"/>
      <c r="ES887" s="130"/>
      <c r="ET887" s="13"/>
      <c r="EU887" s="123"/>
      <c r="EV887" s="131"/>
    </row>
    <row r="888" spans="35:152">
      <c r="AI888" s="121"/>
      <c r="AJ888" s="13"/>
      <c r="AK888" s="13"/>
      <c r="AL888" s="13"/>
      <c r="AM888" s="13"/>
      <c r="AN888" s="13"/>
      <c r="AO888" s="13"/>
      <c r="AW888" s="121"/>
      <c r="AX888" s="121"/>
      <c r="AY888" s="121"/>
      <c r="AZ888" s="121"/>
      <c r="BA888" s="121"/>
      <c r="BB888" s="121"/>
      <c r="BC888" s="121"/>
      <c r="BD888" s="121"/>
      <c r="BE888" s="121"/>
      <c r="BF888" s="121"/>
      <c r="BG888" s="123"/>
      <c r="BH888" s="127"/>
      <c r="BI888" s="125"/>
      <c r="BJ888" s="126"/>
      <c r="BK888" s="30"/>
      <c r="BL888" s="127"/>
      <c r="BM888" s="128"/>
      <c r="BN888" s="123"/>
      <c r="BO888" s="128"/>
      <c r="BP888" s="13"/>
      <c r="BQ888" s="129"/>
      <c r="BR888" s="123"/>
      <c r="BS888" s="130"/>
      <c r="BT888" s="13"/>
      <c r="BU888" s="123"/>
      <c r="BV888" s="131"/>
      <c r="DI888" s="121"/>
      <c r="DJ888" s="13"/>
      <c r="DK888" s="13"/>
      <c r="DL888" s="13"/>
      <c r="DM888" s="13"/>
      <c r="DN888" s="13"/>
      <c r="DO888" s="13"/>
      <c r="DW888" s="121"/>
      <c r="DX888" s="121"/>
      <c r="DY888" s="121"/>
      <c r="DZ888" s="121"/>
      <c r="EA888" s="121"/>
      <c r="EB888" s="121"/>
      <c r="EC888" s="121"/>
      <c r="ED888" s="121"/>
      <c r="EE888" s="121"/>
      <c r="EF888" s="121"/>
      <c r="EG888" s="123"/>
      <c r="EH888" s="127"/>
      <c r="EI888" s="125"/>
      <c r="EJ888" s="126"/>
      <c r="EK888" s="30"/>
      <c r="EL888" s="127"/>
      <c r="EM888" s="128"/>
      <c r="EN888" s="123"/>
      <c r="EO888" s="128"/>
      <c r="EP888" s="13"/>
      <c r="EQ888" s="129"/>
      <c r="ER888" s="123"/>
      <c r="ES888" s="130"/>
      <c r="ET888" s="13"/>
      <c r="EU888" s="123"/>
      <c r="EV888" s="131"/>
    </row>
    <row r="889" spans="35:152">
      <c r="AI889" s="121"/>
      <c r="AJ889" s="13"/>
      <c r="AK889" s="13"/>
      <c r="AL889" s="13"/>
      <c r="AM889" s="13"/>
      <c r="AN889" s="13"/>
      <c r="AO889" s="13"/>
      <c r="AW889" s="121"/>
      <c r="AX889" s="121"/>
      <c r="AY889" s="121"/>
      <c r="AZ889" s="121"/>
      <c r="BA889" s="121"/>
      <c r="BB889" s="121"/>
      <c r="BC889" s="121"/>
      <c r="BD889" s="121"/>
      <c r="BE889" s="121"/>
      <c r="BF889" s="121"/>
      <c r="BG889" s="123"/>
      <c r="BH889" s="127"/>
      <c r="BI889" s="125"/>
      <c r="BJ889" s="126"/>
      <c r="BK889" s="30"/>
      <c r="BL889" s="127"/>
      <c r="BM889" s="128"/>
      <c r="BN889" s="123"/>
      <c r="BO889" s="128"/>
      <c r="BP889" s="13"/>
      <c r="BQ889" s="129"/>
      <c r="BR889" s="123"/>
      <c r="BS889" s="130"/>
      <c r="BT889" s="13"/>
      <c r="BU889" s="123"/>
      <c r="BV889" s="131"/>
      <c r="DI889" s="121"/>
      <c r="DJ889" s="13"/>
      <c r="DK889" s="13"/>
      <c r="DL889" s="13"/>
      <c r="DM889" s="13"/>
      <c r="DN889" s="13"/>
      <c r="DO889" s="13"/>
      <c r="DW889" s="121"/>
      <c r="DX889" s="121"/>
      <c r="DY889" s="121"/>
      <c r="DZ889" s="121"/>
      <c r="EA889" s="121"/>
      <c r="EB889" s="121"/>
      <c r="EC889" s="121"/>
      <c r="ED889" s="121"/>
      <c r="EE889" s="121"/>
      <c r="EF889" s="121"/>
      <c r="EG889" s="123"/>
      <c r="EH889" s="127"/>
      <c r="EI889" s="125"/>
      <c r="EJ889" s="126"/>
      <c r="EK889" s="30"/>
      <c r="EL889" s="127"/>
      <c r="EM889" s="128"/>
      <c r="EN889" s="123"/>
      <c r="EO889" s="128"/>
      <c r="EP889" s="13"/>
      <c r="EQ889" s="129"/>
      <c r="ER889" s="123"/>
      <c r="ES889" s="130"/>
      <c r="ET889" s="13"/>
      <c r="EU889" s="123"/>
      <c r="EV889" s="131"/>
    </row>
    <row r="890" spans="35:152">
      <c r="AI890" s="121"/>
      <c r="AJ890" s="13"/>
      <c r="AK890" s="13"/>
      <c r="AL890" s="13"/>
      <c r="AM890" s="13"/>
      <c r="AN890" s="13"/>
      <c r="AO890" s="13"/>
      <c r="AW890" s="121"/>
      <c r="AX890" s="121"/>
      <c r="AY890" s="121"/>
      <c r="AZ890" s="121"/>
      <c r="BA890" s="121"/>
      <c r="BB890" s="121"/>
      <c r="BC890" s="121"/>
      <c r="BD890" s="121"/>
      <c r="BE890" s="121"/>
      <c r="BF890" s="121"/>
      <c r="BG890" s="123"/>
      <c r="BH890" s="127"/>
      <c r="BI890" s="125"/>
      <c r="BJ890" s="126"/>
      <c r="BK890" s="30"/>
      <c r="BL890" s="127"/>
      <c r="BM890" s="128"/>
      <c r="BN890" s="123"/>
      <c r="BO890" s="128"/>
      <c r="BP890" s="13"/>
      <c r="BQ890" s="129"/>
      <c r="BR890" s="123"/>
      <c r="BS890" s="130"/>
      <c r="BT890" s="13"/>
      <c r="BU890" s="123"/>
      <c r="BV890" s="131"/>
      <c r="DI890" s="121"/>
      <c r="DJ890" s="13"/>
      <c r="DK890" s="13"/>
      <c r="DL890" s="13"/>
      <c r="DM890" s="13"/>
      <c r="DN890" s="13"/>
      <c r="DO890" s="13"/>
      <c r="DW890" s="121"/>
      <c r="DX890" s="121"/>
      <c r="DY890" s="121"/>
      <c r="DZ890" s="121"/>
      <c r="EA890" s="121"/>
      <c r="EB890" s="121"/>
      <c r="EC890" s="121"/>
      <c r="ED890" s="121"/>
      <c r="EE890" s="121"/>
      <c r="EF890" s="121"/>
      <c r="EG890" s="123"/>
      <c r="EH890" s="127"/>
      <c r="EI890" s="125"/>
      <c r="EJ890" s="126"/>
      <c r="EK890" s="30"/>
      <c r="EL890" s="127"/>
      <c r="EM890" s="128"/>
      <c r="EN890" s="123"/>
      <c r="EO890" s="128"/>
      <c r="EP890" s="13"/>
      <c r="EQ890" s="129"/>
      <c r="ER890" s="123"/>
      <c r="ES890" s="130"/>
      <c r="ET890" s="13"/>
      <c r="EU890" s="123"/>
      <c r="EV890" s="131"/>
    </row>
    <row r="891" spans="35:152">
      <c r="AI891" s="121"/>
      <c r="AJ891" s="13"/>
      <c r="AK891" s="13"/>
      <c r="AL891" s="13"/>
      <c r="AM891" s="13"/>
      <c r="AN891" s="13"/>
      <c r="AO891" s="13"/>
      <c r="AW891" s="121"/>
      <c r="AX891" s="121"/>
      <c r="AY891" s="121"/>
      <c r="AZ891" s="121"/>
      <c r="BA891" s="121"/>
      <c r="BB891" s="121"/>
      <c r="BC891" s="121"/>
      <c r="BD891" s="121"/>
      <c r="BE891" s="121"/>
      <c r="BF891" s="121"/>
      <c r="BG891" s="123"/>
      <c r="BH891" s="127"/>
      <c r="BI891" s="125"/>
      <c r="BJ891" s="126"/>
      <c r="BK891" s="30"/>
      <c r="BL891" s="127"/>
      <c r="BM891" s="128"/>
      <c r="BN891" s="123"/>
      <c r="BO891" s="128"/>
      <c r="BP891" s="13"/>
      <c r="BQ891" s="129"/>
      <c r="BR891" s="123"/>
      <c r="BS891" s="130"/>
      <c r="BT891" s="13"/>
      <c r="BU891" s="123"/>
      <c r="BV891" s="131"/>
      <c r="DI891" s="121"/>
      <c r="DJ891" s="13"/>
      <c r="DK891" s="13"/>
      <c r="DL891" s="13"/>
      <c r="DM891" s="13"/>
      <c r="DN891" s="13"/>
      <c r="DO891" s="13"/>
      <c r="DW891" s="121"/>
      <c r="DX891" s="121"/>
      <c r="DY891" s="121"/>
      <c r="DZ891" s="121"/>
      <c r="EA891" s="121"/>
      <c r="EB891" s="121"/>
      <c r="EC891" s="121"/>
      <c r="ED891" s="121"/>
      <c r="EE891" s="121"/>
      <c r="EF891" s="121"/>
      <c r="EG891" s="123"/>
      <c r="EH891" s="127"/>
      <c r="EI891" s="125"/>
      <c r="EJ891" s="126"/>
      <c r="EK891" s="30"/>
      <c r="EL891" s="127"/>
      <c r="EM891" s="128"/>
      <c r="EN891" s="123"/>
      <c r="EO891" s="128"/>
      <c r="EP891" s="13"/>
      <c r="EQ891" s="129"/>
      <c r="ER891" s="123"/>
      <c r="ES891" s="130"/>
      <c r="ET891" s="13"/>
      <c r="EU891" s="123"/>
      <c r="EV891" s="131"/>
    </row>
    <row r="892" spans="35:152">
      <c r="AI892" s="121"/>
      <c r="AJ892" s="13"/>
      <c r="AK892" s="13"/>
      <c r="AL892" s="13"/>
      <c r="AM892" s="13"/>
      <c r="AN892" s="13"/>
      <c r="AO892" s="13"/>
      <c r="AW892" s="121"/>
      <c r="AX892" s="121"/>
      <c r="AY892" s="121"/>
      <c r="AZ892" s="121"/>
      <c r="BA892" s="121"/>
      <c r="BB892" s="121"/>
      <c r="BC892" s="121"/>
      <c r="BD892" s="121"/>
      <c r="BE892" s="121"/>
      <c r="BF892" s="121"/>
      <c r="BG892" s="123"/>
      <c r="BH892" s="127"/>
      <c r="BI892" s="125"/>
      <c r="BJ892" s="126"/>
      <c r="BK892" s="30"/>
      <c r="BL892" s="127"/>
      <c r="BM892" s="128"/>
      <c r="BN892" s="123"/>
      <c r="BO892" s="128"/>
      <c r="BP892" s="13"/>
      <c r="BQ892" s="129"/>
      <c r="BR892" s="123"/>
      <c r="BS892" s="130"/>
      <c r="BT892" s="13"/>
      <c r="BU892" s="123"/>
      <c r="BV892" s="131"/>
      <c r="DI892" s="121"/>
      <c r="DJ892" s="13"/>
      <c r="DK892" s="13"/>
      <c r="DL892" s="13"/>
      <c r="DM892" s="13"/>
      <c r="DN892" s="13"/>
      <c r="DO892" s="13"/>
      <c r="DW892" s="121"/>
      <c r="DX892" s="121"/>
      <c r="DY892" s="121"/>
      <c r="DZ892" s="121"/>
      <c r="EA892" s="121"/>
      <c r="EB892" s="121"/>
      <c r="EC892" s="121"/>
      <c r="ED892" s="121"/>
      <c r="EE892" s="121"/>
      <c r="EF892" s="121"/>
      <c r="EG892" s="123"/>
      <c r="EH892" s="127"/>
      <c r="EI892" s="125"/>
      <c r="EJ892" s="126"/>
      <c r="EK892" s="30"/>
      <c r="EL892" s="127"/>
      <c r="EM892" s="128"/>
      <c r="EN892" s="123"/>
      <c r="EO892" s="128"/>
      <c r="EP892" s="13"/>
      <c r="EQ892" s="129"/>
      <c r="ER892" s="123"/>
      <c r="ES892" s="130"/>
      <c r="ET892" s="13"/>
      <c r="EU892" s="123"/>
      <c r="EV892" s="131"/>
    </row>
  </sheetData>
  <mergeCells count="44">
    <mergeCell ref="EG19:EH20"/>
    <mergeCell ref="EI19:EL20"/>
    <mergeCell ref="EM19:EV20"/>
    <mergeCell ref="DB21:DB22"/>
    <mergeCell ref="DL21:DO21"/>
    <mergeCell ref="DP21:DP22"/>
    <mergeCell ref="EH21:EH22"/>
    <mergeCell ref="EL21:EL22"/>
    <mergeCell ref="EV21:EV22"/>
    <mergeCell ref="DD19:DH20"/>
    <mergeCell ref="DI19:DO20"/>
    <mergeCell ref="DP19:DV20"/>
    <mergeCell ref="DW19:EC20"/>
    <mergeCell ref="ED19:EF20"/>
    <mergeCell ref="BG19:BH20"/>
    <mergeCell ref="BI19:BL20"/>
    <mergeCell ref="BM19:BV20"/>
    <mergeCell ref="AB21:AB22"/>
    <mergeCell ref="AL21:AO21"/>
    <mergeCell ref="AP21:AP22"/>
    <mergeCell ref="BH21:BH22"/>
    <mergeCell ref="BL21:BL22"/>
    <mergeCell ref="BV21:BV22"/>
    <mergeCell ref="AD19:AH20"/>
    <mergeCell ref="AI19:AO20"/>
    <mergeCell ref="AP19:AV20"/>
    <mergeCell ref="AW19:BC20"/>
    <mergeCell ref="BD19:BF20"/>
    <mergeCell ref="I61:K61"/>
    <mergeCell ref="I11:Q12"/>
    <mergeCell ref="R11:T12"/>
    <mergeCell ref="I13:K13"/>
    <mergeCell ref="B11:F11"/>
    <mergeCell ref="B25:C25"/>
    <mergeCell ref="B41:F41"/>
    <mergeCell ref="L58:L59"/>
    <mergeCell ref="N58:O59"/>
    <mergeCell ref="N60:O60"/>
    <mergeCell ref="I51:K52"/>
    <mergeCell ref="I91:K91"/>
    <mergeCell ref="I92:K92"/>
    <mergeCell ref="I93:K93"/>
    <mergeCell ref="I90:K90"/>
    <mergeCell ref="S90:T93"/>
  </mergeCells>
  <conditionalFormatting sqref="M88:M89">
    <cfRule type="containsText" dxfId="15" priority="34" operator="containsText" text="OK">
      <formula>NOT(ISERROR(SEARCH("OK",M88)))</formula>
    </cfRule>
  </conditionalFormatting>
  <conditionalFormatting sqref="T68 T87 T71:T72 T77 T79 T81">
    <cfRule type="containsText" dxfId="14" priority="30" operator="containsText" text="Check">
      <formula>NOT(ISERROR(SEARCH("Check",T68)))</formula>
    </cfRule>
    <cfRule type="containsText" dxfId="13" priority="31" operator="containsText" text="OK">
      <formula>NOT(ISERROR(SEARCH("OK",T68)))</formula>
    </cfRule>
  </conditionalFormatting>
  <conditionalFormatting sqref="N52">
    <cfRule type="cellIs" dxfId="12" priority="15" operator="lessThan">
      <formula>0</formula>
    </cfRule>
  </conditionalFormatting>
  <conditionalFormatting sqref="F43:G54 B43:C54">
    <cfRule type="expression" dxfId="11" priority="12">
      <formula>$B43=$F$40</formula>
    </cfRule>
  </conditionalFormatting>
  <conditionalFormatting sqref="D43:D54">
    <cfRule type="expression" dxfId="10" priority="11">
      <formula>$B43=$F$40</formula>
    </cfRule>
  </conditionalFormatting>
  <conditionalFormatting sqref="E43:E54">
    <cfRule type="expression" dxfId="9" priority="10">
      <formula>$B43=$F$40</formula>
    </cfRule>
  </conditionalFormatting>
  <conditionalFormatting sqref="B13:F21">
    <cfRule type="expression" dxfId="8" priority="9">
      <formula>$B13=$S$20</formula>
    </cfRule>
  </conditionalFormatting>
  <conditionalFormatting sqref="B27:C34">
    <cfRule type="expression" dxfId="7" priority="8">
      <formula>$B27=$S$52</formula>
    </cfRule>
  </conditionalFormatting>
  <conditionalFormatting sqref="B43:G54">
    <cfRule type="expression" dxfId="6" priority="7">
      <formula>$B43=$G$41</formula>
    </cfRule>
  </conditionalFormatting>
  <conditionalFormatting sqref="BH1:BH1048576">
    <cfRule type="top10" dxfId="5" priority="6" rank="1"/>
  </conditionalFormatting>
  <conditionalFormatting sqref="BL1:BL1048576">
    <cfRule type="top10" dxfId="4" priority="5" rank="1"/>
  </conditionalFormatting>
  <conditionalFormatting sqref="BV1:BV1048576">
    <cfRule type="top10" dxfId="3" priority="4" rank="1"/>
  </conditionalFormatting>
  <conditionalFormatting sqref="EH1:EH1048576">
    <cfRule type="top10" dxfId="2" priority="3" rank="1"/>
  </conditionalFormatting>
  <conditionalFormatting sqref="EL1:EL1048576">
    <cfRule type="top10" dxfId="1" priority="2" rank="1"/>
  </conditionalFormatting>
  <conditionalFormatting sqref="EV1:EV1048576">
    <cfRule type="top10" dxfId="0" priority="1" rank="1"/>
  </conditionalFormatting>
  <dataValidations count="4">
    <dataValidation type="list" allowBlank="1" showInputMessage="1" showErrorMessage="1" sqref="T16" xr:uid="{A62B5363-9F30-4799-8226-D7CB0009279F}">
      <formula1>"A,B"</formula1>
    </dataValidation>
    <dataValidation type="list" allowBlank="1" showInputMessage="1" showErrorMessage="1" sqref="S46" xr:uid="{35D5CC6D-5FAC-4CFA-BA55-E564F8A31787}">
      <formula1>"2,4,6,8"</formula1>
    </dataValidation>
    <dataValidation type="list" allowBlank="1" showInputMessage="1" showErrorMessage="1" sqref="S47" xr:uid="{0A80ADC0-6F3B-43E9-B952-B15CA7CD9DD2}">
      <formula1>"0,2"</formula1>
    </dataValidation>
    <dataValidation type="list" allowBlank="1" showInputMessage="1" showErrorMessage="1" sqref="S48" xr:uid="{8898D8D7-E196-460B-97F6-7EB5601D03A7}">
      <formula1>"2,4,6"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S78 S80 I80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8FD0C9-3064-4C01-BE0D-BF7AC6584D18}">
          <x14:formula1>
            <xm:f>Data!$G$4:$G$8</xm:f>
          </x14:formula1>
          <xm:sqref>S16</xm:sqref>
        </x14:dataValidation>
        <x14:dataValidation type="list" allowBlank="1" showInputMessage="1" showErrorMessage="1" xr:uid="{8BF0BE00-DFA4-4910-8E77-E4DF2BD4D291}">
          <x14:formula1>
            <xm:f>Data!$H$31:$Q$31</xm:f>
          </x14:formula1>
          <xm:sqref>S20</xm:sqref>
        </x14:dataValidation>
        <x14:dataValidation type="list" allowBlank="1" showInputMessage="1" showErrorMessage="1" xr:uid="{0F84600D-F1C5-475F-8EC1-94C34E1A4A47}">
          <x14:formula1>
            <xm:f>Data!$A$3:$A$99</xm:f>
          </x14:formula1>
          <xm:sqref>S26</xm:sqref>
        </x14:dataValidation>
        <x14:dataValidation type="list" allowBlank="1" showInputMessage="1" showErrorMessage="1" xr:uid="{9EA4955E-EBA1-4B75-84B0-A21FD53146E3}">
          <x14:formula1>
            <xm:f>Data!$L$39:$L$43</xm:f>
          </x14:formula1>
          <xm:sqref>S33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2026-05-04T04:11:10Z</dcterms:modified>
</cp:coreProperties>
</file>