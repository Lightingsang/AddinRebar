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4369B110-D501-4ABC-9755-CE2871D92EDC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Data" sheetId="9" state="hidden" r:id="rId1"/>
    <sheet name="User3" sheetId="6" r:id="rId2"/>
    <sheet name="LT" sheetId="10" r:id="rId3"/>
  </sheets>
  <functionGroups builtInGroupCount="19"/>
  <externalReferences>
    <externalReference r:id="rId4"/>
  </externalReferences>
  <definedNames>
    <definedName name="_xleta.CONCATENATE" hidden="1" xlm="1">#NAME?</definedName>
    <definedName name="nn">'[1]DESIGN SHEET OF BMB'!$Q$4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94" i="6" l="1"/>
  <c r="H413" i="6"/>
  <c r="G413" i="6"/>
  <c r="F413" i="6"/>
  <c r="E413" i="6"/>
  <c r="D413" i="6"/>
  <c r="C413" i="6"/>
  <c r="H412" i="6"/>
  <c r="G412" i="6"/>
  <c r="F412" i="6"/>
  <c r="E412" i="6"/>
  <c r="D412" i="6"/>
  <c r="C412" i="6"/>
  <c r="H411" i="6"/>
  <c r="G411" i="6"/>
  <c r="F411" i="6"/>
  <c r="E411" i="6"/>
  <c r="D411" i="6"/>
  <c r="C411" i="6"/>
  <c r="H410" i="6"/>
  <c r="G410" i="6"/>
  <c r="F410" i="6"/>
  <c r="E410" i="6"/>
  <c r="D410" i="6"/>
  <c r="C410" i="6"/>
  <c r="H409" i="6"/>
  <c r="G409" i="6"/>
  <c r="F409" i="6"/>
  <c r="E409" i="6"/>
  <c r="D409" i="6"/>
  <c r="C409" i="6"/>
  <c r="H408" i="6"/>
  <c r="G408" i="6"/>
  <c r="F408" i="6"/>
  <c r="E408" i="6"/>
  <c r="D408" i="6"/>
  <c r="C408" i="6"/>
  <c r="H407" i="6"/>
  <c r="G407" i="6"/>
  <c r="F407" i="6"/>
  <c r="E407" i="6"/>
  <c r="D407" i="6"/>
  <c r="C407" i="6"/>
  <c r="H406" i="6"/>
  <c r="G406" i="6"/>
  <c r="F406" i="6"/>
  <c r="E406" i="6"/>
  <c r="D406" i="6"/>
  <c r="C406" i="6"/>
  <c r="H405" i="6"/>
  <c r="G405" i="6"/>
  <c r="F405" i="6"/>
  <c r="E405" i="6"/>
  <c r="D405" i="6"/>
  <c r="C405" i="6"/>
  <c r="H404" i="6"/>
  <c r="G404" i="6"/>
  <c r="F404" i="6"/>
  <c r="E404" i="6"/>
  <c r="D404" i="6"/>
  <c r="C404" i="6"/>
  <c r="H403" i="6"/>
  <c r="G403" i="6"/>
  <c r="F403" i="6"/>
  <c r="E403" i="6"/>
  <c r="D403" i="6"/>
  <c r="C403" i="6"/>
  <c r="H402" i="6"/>
  <c r="G402" i="6"/>
  <c r="F402" i="6"/>
  <c r="E402" i="6"/>
  <c r="D402" i="6"/>
  <c r="C402" i="6"/>
  <c r="H401" i="6"/>
  <c r="G401" i="6"/>
  <c r="F401" i="6"/>
  <c r="E401" i="6"/>
  <c r="D401" i="6"/>
  <c r="C401" i="6"/>
  <c r="H400" i="6"/>
  <c r="G400" i="6"/>
  <c r="F400" i="6"/>
  <c r="E400" i="6"/>
  <c r="D400" i="6"/>
  <c r="C400" i="6"/>
  <c r="H399" i="6"/>
  <c r="G399" i="6"/>
  <c r="F399" i="6"/>
  <c r="E399" i="6"/>
  <c r="D399" i="6"/>
  <c r="C399" i="6"/>
  <c r="H398" i="6"/>
  <c r="G398" i="6"/>
  <c r="F398" i="6"/>
  <c r="E398" i="6"/>
  <c r="D398" i="6"/>
  <c r="C398" i="6"/>
  <c r="H397" i="6"/>
  <c r="G397" i="6"/>
  <c r="F397" i="6"/>
  <c r="E397" i="6"/>
  <c r="D397" i="6"/>
  <c r="C397" i="6"/>
  <c r="H396" i="6"/>
  <c r="G396" i="6"/>
  <c r="F396" i="6"/>
  <c r="E396" i="6"/>
  <c r="D396" i="6"/>
  <c r="C396" i="6"/>
  <c r="H395" i="6"/>
  <c r="G395" i="6"/>
  <c r="F395" i="6"/>
  <c r="E395" i="6"/>
  <c r="D395" i="6"/>
  <c r="C395" i="6"/>
  <c r="H394" i="6"/>
  <c r="G394" i="6"/>
  <c r="F394" i="6"/>
  <c r="E394" i="6"/>
  <c r="D394" i="6"/>
  <c r="C394" i="6"/>
  <c r="H393" i="6"/>
  <c r="G393" i="6"/>
  <c r="F393" i="6"/>
  <c r="E393" i="6"/>
  <c r="D393" i="6"/>
  <c r="C393" i="6"/>
  <c r="H392" i="6"/>
  <c r="G392" i="6"/>
  <c r="F392" i="6"/>
  <c r="E392" i="6"/>
  <c r="D392" i="6"/>
  <c r="C392" i="6"/>
  <c r="H391" i="6"/>
  <c r="G391" i="6"/>
  <c r="F391" i="6"/>
  <c r="E391" i="6"/>
  <c r="D391" i="6"/>
  <c r="C391" i="6"/>
  <c r="H390" i="6"/>
  <c r="G390" i="6"/>
  <c r="F390" i="6"/>
  <c r="E390" i="6"/>
  <c r="D390" i="6"/>
  <c r="C390" i="6"/>
  <c r="H389" i="6"/>
  <c r="G389" i="6"/>
  <c r="F389" i="6"/>
  <c r="E389" i="6"/>
  <c r="D389" i="6"/>
  <c r="C389" i="6"/>
  <c r="H388" i="6"/>
  <c r="G388" i="6"/>
  <c r="F388" i="6"/>
  <c r="E388" i="6"/>
  <c r="D388" i="6"/>
  <c r="C388" i="6"/>
  <c r="H387" i="6"/>
  <c r="G387" i="6"/>
  <c r="F387" i="6"/>
  <c r="E387" i="6"/>
  <c r="D387" i="6"/>
  <c r="C387" i="6"/>
  <c r="H386" i="6"/>
  <c r="G386" i="6"/>
  <c r="F386" i="6"/>
  <c r="E386" i="6"/>
  <c r="D386" i="6"/>
  <c r="C386" i="6"/>
  <c r="H385" i="6"/>
  <c r="G385" i="6"/>
  <c r="F385" i="6"/>
  <c r="E385" i="6"/>
  <c r="D385" i="6"/>
  <c r="C385" i="6"/>
  <c r="H384" i="6"/>
  <c r="G384" i="6"/>
  <c r="F384" i="6"/>
  <c r="E384" i="6"/>
  <c r="D384" i="6"/>
  <c r="C384" i="6"/>
  <c r="H383" i="6"/>
  <c r="G383" i="6"/>
  <c r="F383" i="6"/>
  <c r="E383" i="6"/>
  <c r="D383" i="6"/>
  <c r="C383" i="6"/>
  <c r="H382" i="6"/>
  <c r="G382" i="6"/>
  <c r="F382" i="6"/>
  <c r="E382" i="6"/>
  <c r="D382" i="6"/>
  <c r="C382" i="6"/>
  <c r="H381" i="6"/>
  <c r="G381" i="6"/>
  <c r="F381" i="6"/>
  <c r="E381" i="6"/>
  <c r="D381" i="6"/>
  <c r="C381" i="6"/>
  <c r="H380" i="6"/>
  <c r="G380" i="6"/>
  <c r="F380" i="6"/>
  <c r="E380" i="6"/>
  <c r="D380" i="6"/>
  <c r="C380" i="6"/>
  <c r="H379" i="6"/>
  <c r="G379" i="6"/>
  <c r="F379" i="6"/>
  <c r="E379" i="6"/>
  <c r="D379" i="6"/>
  <c r="C379" i="6"/>
  <c r="H378" i="6"/>
  <c r="G378" i="6"/>
  <c r="F378" i="6"/>
  <c r="E378" i="6"/>
  <c r="D378" i="6"/>
  <c r="C378" i="6"/>
  <c r="H377" i="6"/>
  <c r="G377" i="6"/>
  <c r="F377" i="6"/>
  <c r="E377" i="6"/>
  <c r="D377" i="6"/>
  <c r="C377" i="6"/>
  <c r="H376" i="6"/>
  <c r="G376" i="6"/>
  <c r="F376" i="6"/>
  <c r="E376" i="6"/>
  <c r="D376" i="6"/>
  <c r="C376" i="6"/>
  <c r="H375" i="6"/>
  <c r="G375" i="6"/>
  <c r="F375" i="6"/>
  <c r="E375" i="6"/>
  <c r="D375" i="6"/>
  <c r="C375" i="6"/>
  <c r="H374" i="6"/>
  <c r="G374" i="6"/>
  <c r="F374" i="6"/>
  <c r="E374" i="6"/>
  <c r="D374" i="6"/>
  <c r="C374" i="6"/>
  <c r="H373" i="6"/>
  <c r="G373" i="6"/>
  <c r="F373" i="6"/>
  <c r="E373" i="6"/>
  <c r="D373" i="6"/>
  <c r="C373" i="6"/>
  <c r="H372" i="6"/>
  <c r="G372" i="6"/>
  <c r="F372" i="6"/>
  <c r="E372" i="6"/>
  <c r="D372" i="6"/>
  <c r="C372" i="6"/>
  <c r="H371" i="6"/>
  <c r="G371" i="6"/>
  <c r="F371" i="6"/>
  <c r="E371" i="6"/>
  <c r="D371" i="6"/>
  <c r="C371" i="6"/>
  <c r="H370" i="6"/>
  <c r="G370" i="6"/>
  <c r="F370" i="6"/>
  <c r="E370" i="6"/>
  <c r="D370" i="6"/>
  <c r="C370" i="6"/>
  <c r="H369" i="6"/>
  <c r="G369" i="6"/>
  <c r="F369" i="6"/>
  <c r="E369" i="6"/>
  <c r="D369" i="6"/>
  <c r="C369" i="6"/>
  <c r="H368" i="6"/>
  <c r="G368" i="6"/>
  <c r="F368" i="6"/>
  <c r="E368" i="6"/>
  <c r="D368" i="6"/>
  <c r="C368" i="6"/>
  <c r="H367" i="6"/>
  <c r="G367" i="6"/>
  <c r="F367" i="6"/>
  <c r="E367" i="6"/>
  <c r="D367" i="6"/>
  <c r="C367" i="6"/>
  <c r="H366" i="6"/>
  <c r="G366" i="6"/>
  <c r="F366" i="6"/>
  <c r="E366" i="6"/>
  <c r="D366" i="6"/>
  <c r="C366" i="6"/>
  <c r="H365" i="6"/>
  <c r="G365" i="6"/>
  <c r="F365" i="6"/>
  <c r="E365" i="6"/>
  <c r="D365" i="6"/>
  <c r="C365" i="6"/>
  <c r="H364" i="6"/>
  <c r="G364" i="6"/>
  <c r="F364" i="6"/>
  <c r="E364" i="6"/>
  <c r="D364" i="6"/>
  <c r="C364" i="6"/>
  <c r="H363" i="6"/>
  <c r="G363" i="6"/>
  <c r="F363" i="6"/>
  <c r="E363" i="6"/>
  <c r="D363" i="6"/>
  <c r="C363" i="6"/>
  <c r="H362" i="6"/>
  <c r="G362" i="6"/>
  <c r="F362" i="6"/>
  <c r="E362" i="6"/>
  <c r="D362" i="6"/>
  <c r="C362" i="6"/>
  <c r="H361" i="6"/>
  <c r="G361" i="6"/>
  <c r="F361" i="6"/>
  <c r="E361" i="6"/>
  <c r="D361" i="6"/>
  <c r="C361" i="6"/>
  <c r="H360" i="6"/>
  <c r="G360" i="6"/>
  <c r="F360" i="6"/>
  <c r="E360" i="6"/>
  <c r="D360" i="6"/>
  <c r="C360" i="6"/>
  <c r="H359" i="6"/>
  <c r="G359" i="6"/>
  <c r="F359" i="6"/>
  <c r="E359" i="6"/>
  <c r="D359" i="6"/>
  <c r="C359" i="6"/>
  <c r="H358" i="6"/>
  <c r="G358" i="6"/>
  <c r="F358" i="6"/>
  <c r="E358" i="6"/>
  <c r="D358" i="6"/>
  <c r="C358" i="6"/>
  <c r="H357" i="6"/>
  <c r="G357" i="6"/>
  <c r="F357" i="6"/>
  <c r="E357" i="6"/>
  <c r="D357" i="6"/>
  <c r="C357" i="6"/>
  <c r="H356" i="6"/>
  <c r="G356" i="6"/>
  <c r="F356" i="6"/>
  <c r="E356" i="6"/>
  <c r="D356" i="6"/>
  <c r="C356" i="6"/>
  <c r="H355" i="6"/>
  <c r="G355" i="6"/>
  <c r="F355" i="6"/>
  <c r="E355" i="6"/>
  <c r="D355" i="6"/>
  <c r="C355" i="6"/>
  <c r="H354" i="6"/>
  <c r="G354" i="6"/>
  <c r="F354" i="6"/>
  <c r="E354" i="6"/>
  <c r="D354" i="6"/>
  <c r="C354" i="6"/>
  <c r="H353" i="6"/>
  <c r="G353" i="6"/>
  <c r="F353" i="6"/>
  <c r="E353" i="6"/>
  <c r="D353" i="6"/>
  <c r="C353" i="6"/>
  <c r="H352" i="6"/>
  <c r="G352" i="6"/>
  <c r="F352" i="6"/>
  <c r="E352" i="6"/>
  <c r="D352" i="6"/>
  <c r="C352" i="6"/>
  <c r="H351" i="6"/>
  <c r="G351" i="6"/>
  <c r="F351" i="6"/>
  <c r="E351" i="6"/>
  <c r="D351" i="6"/>
  <c r="C351" i="6"/>
  <c r="H350" i="6"/>
  <c r="G350" i="6"/>
  <c r="F350" i="6"/>
  <c r="E350" i="6"/>
  <c r="D350" i="6"/>
  <c r="C350" i="6"/>
  <c r="H349" i="6"/>
  <c r="G349" i="6"/>
  <c r="F349" i="6"/>
  <c r="E349" i="6"/>
  <c r="D349" i="6"/>
  <c r="C349" i="6"/>
  <c r="H348" i="6"/>
  <c r="G348" i="6"/>
  <c r="F348" i="6"/>
  <c r="E348" i="6"/>
  <c r="D348" i="6"/>
  <c r="C348" i="6"/>
  <c r="H347" i="6"/>
  <c r="G347" i="6"/>
  <c r="F347" i="6"/>
  <c r="E347" i="6"/>
  <c r="D347" i="6"/>
  <c r="C347" i="6"/>
  <c r="H346" i="6"/>
  <c r="G346" i="6"/>
  <c r="F346" i="6"/>
  <c r="E346" i="6"/>
  <c r="D346" i="6"/>
  <c r="C346" i="6"/>
  <c r="H345" i="6"/>
  <c r="G345" i="6"/>
  <c r="F345" i="6"/>
  <c r="E345" i="6"/>
  <c r="D345" i="6"/>
  <c r="C345" i="6"/>
  <c r="H344" i="6"/>
  <c r="G344" i="6"/>
  <c r="F344" i="6"/>
  <c r="E344" i="6"/>
  <c r="D344" i="6"/>
  <c r="C344" i="6"/>
  <c r="H343" i="6"/>
  <c r="G343" i="6"/>
  <c r="F343" i="6"/>
  <c r="E343" i="6"/>
  <c r="D343" i="6"/>
  <c r="C343" i="6"/>
  <c r="H342" i="6"/>
  <c r="G342" i="6"/>
  <c r="F342" i="6"/>
  <c r="E342" i="6"/>
  <c r="D342" i="6"/>
  <c r="C342" i="6"/>
  <c r="H341" i="6"/>
  <c r="G341" i="6"/>
  <c r="F341" i="6"/>
  <c r="E341" i="6"/>
  <c r="D341" i="6"/>
  <c r="C341" i="6"/>
  <c r="H340" i="6"/>
  <c r="G340" i="6"/>
  <c r="F340" i="6"/>
  <c r="E340" i="6"/>
  <c r="D340" i="6"/>
  <c r="C340" i="6"/>
  <c r="H339" i="6"/>
  <c r="G339" i="6"/>
  <c r="F339" i="6"/>
  <c r="E339" i="6"/>
  <c r="D339" i="6"/>
  <c r="C339" i="6"/>
  <c r="H338" i="6"/>
  <c r="G338" i="6"/>
  <c r="F338" i="6"/>
  <c r="E338" i="6"/>
  <c r="D338" i="6"/>
  <c r="C338" i="6"/>
  <c r="H337" i="6"/>
  <c r="G337" i="6"/>
  <c r="F337" i="6"/>
  <c r="E337" i="6"/>
  <c r="D337" i="6"/>
  <c r="C337" i="6"/>
  <c r="H336" i="6"/>
  <c r="G336" i="6"/>
  <c r="F336" i="6"/>
  <c r="E336" i="6"/>
  <c r="D336" i="6"/>
  <c r="C336" i="6"/>
  <c r="H335" i="6"/>
  <c r="G335" i="6"/>
  <c r="F335" i="6"/>
  <c r="E335" i="6"/>
  <c r="D335" i="6"/>
  <c r="C335" i="6"/>
  <c r="H334" i="6"/>
  <c r="G334" i="6"/>
  <c r="F334" i="6"/>
  <c r="E334" i="6"/>
  <c r="D334" i="6"/>
  <c r="C334" i="6"/>
  <c r="H333" i="6"/>
  <c r="G333" i="6"/>
  <c r="F333" i="6"/>
  <c r="E333" i="6"/>
  <c r="D333" i="6"/>
  <c r="C333" i="6"/>
  <c r="H332" i="6"/>
  <c r="G332" i="6"/>
  <c r="F332" i="6"/>
  <c r="E332" i="6"/>
  <c r="D332" i="6"/>
  <c r="C332" i="6"/>
  <c r="H331" i="6"/>
  <c r="G331" i="6"/>
  <c r="F331" i="6"/>
  <c r="E331" i="6"/>
  <c r="D331" i="6"/>
  <c r="C331" i="6"/>
  <c r="H330" i="6"/>
  <c r="G330" i="6"/>
  <c r="F330" i="6"/>
  <c r="E330" i="6"/>
  <c r="D330" i="6"/>
  <c r="C330" i="6"/>
  <c r="H329" i="6"/>
  <c r="G329" i="6"/>
  <c r="F329" i="6"/>
  <c r="E329" i="6"/>
  <c r="D329" i="6"/>
  <c r="C329" i="6"/>
  <c r="H328" i="6"/>
  <c r="G328" i="6"/>
  <c r="F328" i="6"/>
  <c r="E328" i="6"/>
  <c r="D328" i="6"/>
  <c r="C328" i="6"/>
  <c r="H327" i="6"/>
  <c r="G327" i="6"/>
  <c r="F327" i="6"/>
  <c r="E327" i="6"/>
  <c r="D327" i="6"/>
  <c r="C327" i="6"/>
  <c r="H326" i="6"/>
  <c r="G326" i="6"/>
  <c r="F326" i="6"/>
  <c r="E326" i="6"/>
  <c r="D326" i="6"/>
  <c r="C326" i="6"/>
  <c r="H325" i="6"/>
  <c r="G325" i="6"/>
  <c r="F325" i="6"/>
  <c r="E325" i="6"/>
  <c r="D325" i="6"/>
  <c r="C325" i="6"/>
  <c r="H324" i="6"/>
  <c r="G324" i="6"/>
  <c r="F324" i="6"/>
  <c r="E324" i="6"/>
  <c r="D324" i="6"/>
  <c r="C324" i="6"/>
  <c r="H323" i="6"/>
  <c r="G323" i="6"/>
  <c r="F323" i="6"/>
  <c r="E323" i="6"/>
  <c r="D323" i="6"/>
  <c r="C323" i="6"/>
  <c r="H322" i="6"/>
  <c r="G322" i="6"/>
  <c r="F322" i="6"/>
  <c r="E322" i="6"/>
  <c r="D322" i="6"/>
  <c r="C322" i="6"/>
  <c r="H321" i="6"/>
  <c r="G321" i="6"/>
  <c r="F321" i="6"/>
  <c r="E321" i="6"/>
  <c r="D321" i="6"/>
  <c r="C321" i="6"/>
  <c r="H320" i="6"/>
  <c r="G320" i="6"/>
  <c r="F320" i="6"/>
  <c r="E320" i="6"/>
  <c r="D320" i="6"/>
  <c r="C320" i="6"/>
  <c r="H319" i="6"/>
  <c r="G319" i="6"/>
  <c r="F319" i="6"/>
  <c r="E319" i="6"/>
  <c r="D319" i="6"/>
  <c r="C319" i="6"/>
  <c r="H318" i="6"/>
  <c r="G318" i="6"/>
  <c r="F318" i="6"/>
  <c r="E318" i="6"/>
  <c r="D318" i="6"/>
  <c r="C318" i="6"/>
  <c r="H317" i="6"/>
  <c r="G317" i="6"/>
  <c r="F317" i="6"/>
  <c r="E317" i="6"/>
  <c r="D317" i="6"/>
  <c r="C317" i="6"/>
  <c r="H316" i="6"/>
  <c r="G316" i="6"/>
  <c r="F316" i="6"/>
  <c r="E316" i="6"/>
  <c r="D316" i="6"/>
  <c r="C316" i="6"/>
  <c r="H315" i="6"/>
  <c r="G315" i="6"/>
  <c r="F315" i="6"/>
  <c r="E315" i="6"/>
  <c r="D315" i="6"/>
  <c r="C315" i="6"/>
  <c r="H314" i="6"/>
  <c r="G314" i="6"/>
  <c r="F314" i="6"/>
  <c r="E314" i="6"/>
  <c r="D314" i="6"/>
  <c r="C314" i="6"/>
  <c r="H313" i="6"/>
  <c r="G313" i="6"/>
  <c r="F313" i="6"/>
  <c r="E313" i="6"/>
  <c r="D313" i="6"/>
  <c r="C313" i="6"/>
  <c r="H312" i="6"/>
  <c r="G312" i="6"/>
  <c r="F312" i="6"/>
  <c r="E312" i="6"/>
  <c r="D312" i="6"/>
  <c r="C312" i="6"/>
  <c r="H311" i="6"/>
  <c r="G311" i="6"/>
  <c r="F311" i="6"/>
  <c r="E311" i="6"/>
  <c r="D311" i="6"/>
  <c r="C311" i="6"/>
  <c r="H310" i="6"/>
  <c r="G310" i="6"/>
  <c r="F310" i="6"/>
  <c r="E310" i="6"/>
  <c r="D310" i="6"/>
  <c r="C310" i="6"/>
  <c r="H309" i="6"/>
  <c r="G309" i="6"/>
  <c r="F309" i="6"/>
  <c r="E309" i="6"/>
  <c r="D309" i="6"/>
  <c r="C309" i="6"/>
  <c r="H308" i="6"/>
  <c r="G308" i="6"/>
  <c r="F308" i="6"/>
  <c r="E308" i="6"/>
  <c r="D308" i="6"/>
  <c r="C308" i="6"/>
  <c r="H307" i="6"/>
  <c r="G307" i="6"/>
  <c r="F307" i="6"/>
  <c r="E307" i="6"/>
  <c r="D307" i="6"/>
  <c r="C307" i="6"/>
  <c r="H306" i="6"/>
  <c r="G306" i="6"/>
  <c r="F306" i="6"/>
  <c r="E306" i="6"/>
  <c r="D306" i="6"/>
  <c r="C306" i="6"/>
  <c r="H305" i="6"/>
  <c r="G305" i="6"/>
  <c r="F305" i="6"/>
  <c r="E305" i="6"/>
  <c r="D305" i="6"/>
  <c r="C305" i="6"/>
  <c r="H304" i="6"/>
  <c r="G304" i="6"/>
  <c r="F304" i="6"/>
  <c r="E304" i="6"/>
  <c r="D304" i="6"/>
  <c r="C304" i="6"/>
  <c r="H303" i="6"/>
  <c r="G303" i="6"/>
  <c r="F303" i="6"/>
  <c r="E303" i="6"/>
  <c r="D303" i="6"/>
  <c r="C303" i="6"/>
  <c r="H302" i="6"/>
  <c r="G302" i="6"/>
  <c r="F302" i="6"/>
  <c r="E302" i="6"/>
  <c r="D302" i="6"/>
  <c r="C302" i="6"/>
  <c r="H301" i="6"/>
  <c r="G301" i="6"/>
  <c r="F301" i="6"/>
  <c r="E301" i="6"/>
  <c r="D301" i="6"/>
  <c r="C301" i="6"/>
  <c r="H300" i="6"/>
  <c r="G300" i="6"/>
  <c r="F300" i="6"/>
  <c r="E300" i="6"/>
  <c r="D300" i="6"/>
  <c r="C300" i="6"/>
  <c r="H299" i="6"/>
  <c r="G299" i="6"/>
  <c r="F299" i="6"/>
  <c r="E299" i="6"/>
  <c r="D299" i="6"/>
  <c r="C299" i="6"/>
  <c r="H298" i="6"/>
  <c r="G298" i="6"/>
  <c r="F298" i="6"/>
  <c r="E298" i="6"/>
  <c r="D298" i="6"/>
  <c r="C298" i="6"/>
  <c r="H297" i="6"/>
  <c r="G297" i="6"/>
  <c r="F297" i="6"/>
  <c r="E297" i="6"/>
  <c r="D297" i="6"/>
  <c r="C297" i="6"/>
  <c r="H296" i="6"/>
  <c r="G296" i="6"/>
  <c r="F296" i="6"/>
  <c r="E296" i="6"/>
  <c r="D296" i="6"/>
  <c r="C296" i="6"/>
  <c r="H295" i="6"/>
  <c r="G295" i="6"/>
  <c r="F295" i="6"/>
  <c r="E295" i="6"/>
  <c r="D295" i="6"/>
  <c r="C295" i="6"/>
  <c r="H294" i="6"/>
  <c r="G294" i="6"/>
  <c r="F294" i="6"/>
  <c r="E294" i="6"/>
  <c r="D294" i="6"/>
  <c r="C294" i="6"/>
  <c r="H293" i="6"/>
  <c r="G293" i="6"/>
  <c r="F293" i="6"/>
  <c r="E293" i="6"/>
  <c r="D293" i="6"/>
  <c r="C293" i="6"/>
  <c r="H292" i="6"/>
  <c r="G292" i="6"/>
  <c r="F292" i="6"/>
  <c r="E292" i="6"/>
  <c r="D292" i="6"/>
  <c r="C292" i="6"/>
  <c r="H291" i="6"/>
  <c r="G291" i="6"/>
  <c r="F291" i="6"/>
  <c r="E291" i="6"/>
  <c r="D291" i="6"/>
  <c r="C291" i="6"/>
  <c r="H290" i="6"/>
  <c r="G290" i="6"/>
  <c r="F290" i="6"/>
  <c r="E290" i="6"/>
  <c r="D290" i="6"/>
  <c r="C290" i="6"/>
  <c r="H289" i="6"/>
  <c r="G289" i="6"/>
  <c r="F289" i="6"/>
  <c r="E289" i="6"/>
  <c r="D289" i="6"/>
  <c r="C289" i="6"/>
  <c r="H288" i="6"/>
  <c r="G288" i="6"/>
  <c r="F288" i="6"/>
  <c r="E288" i="6"/>
  <c r="D288" i="6"/>
  <c r="C288" i="6"/>
  <c r="H287" i="6"/>
  <c r="G287" i="6"/>
  <c r="F287" i="6"/>
  <c r="E287" i="6"/>
  <c r="D287" i="6"/>
  <c r="C287" i="6"/>
  <c r="H286" i="6"/>
  <c r="G286" i="6"/>
  <c r="F286" i="6"/>
  <c r="E286" i="6"/>
  <c r="D286" i="6"/>
  <c r="C286" i="6"/>
  <c r="H285" i="6"/>
  <c r="G285" i="6"/>
  <c r="F285" i="6"/>
  <c r="E285" i="6"/>
  <c r="D285" i="6"/>
  <c r="C285" i="6"/>
  <c r="H284" i="6"/>
  <c r="G284" i="6"/>
  <c r="F284" i="6"/>
  <c r="E284" i="6"/>
  <c r="D284" i="6"/>
  <c r="C284" i="6"/>
  <c r="H283" i="6"/>
  <c r="G283" i="6"/>
  <c r="F283" i="6"/>
  <c r="E283" i="6"/>
  <c r="D283" i="6"/>
  <c r="C283" i="6"/>
  <c r="H282" i="6"/>
  <c r="G282" i="6"/>
  <c r="F282" i="6"/>
  <c r="E282" i="6"/>
  <c r="D282" i="6"/>
  <c r="C282" i="6"/>
  <c r="H281" i="6"/>
  <c r="G281" i="6"/>
  <c r="F281" i="6"/>
  <c r="E281" i="6"/>
  <c r="D281" i="6"/>
  <c r="C281" i="6"/>
  <c r="H280" i="6"/>
  <c r="G280" i="6"/>
  <c r="F280" i="6"/>
  <c r="E280" i="6"/>
  <c r="D280" i="6"/>
  <c r="C280" i="6"/>
  <c r="H279" i="6"/>
  <c r="G279" i="6"/>
  <c r="F279" i="6"/>
  <c r="E279" i="6"/>
  <c r="D279" i="6"/>
  <c r="C279" i="6"/>
  <c r="H278" i="6"/>
  <c r="G278" i="6"/>
  <c r="F278" i="6"/>
  <c r="E278" i="6"/>
  <c r="D278" i="6"/>
  <c r="C278" i="6"/>
  <c r="H277" i="6"/>
  <c r="G277" i="6"/>
  <c r="F277" i="6"/>
  <c r="E277" i="6"/>
  <c r="D277" i="6"/>
  <c r="C277" i="6"/>
  <c r="H276" i="6"/>
  <c r="G276" i="6"/>
  <c r="F276" i="6"/>
  <c r="E276" i="6"/>
  <c r="D276" i="6"/>
  <c r="C276" i="6"/>
  <c r="H275" i="6"/>
  <c r="G275" i="6"/>
  <c r="F275" i="6"/>
  <c r="E275" i="6"/>
  <c r="D275" i="6"/>
  <c r="C275" i="6"/>
  <c r="H274" i="6"/>
  <c r="G274" i="6"/>
  <c r="F274" i="6"/>
  <c r="E274" i="6"/>
  <c r="D274" i="6"/>
  <c r="C274" i="6"/>
  <c r="H273" i="6"/>
  <c r="G273" i="6"/>
  <c r="F273" i="6"/>
  <c r="E273" i="6"/>
  <c r="D273" i="6"/>
  <c r="C273" i="6"/>
  <c r="H272" i="6"/>
  <c r="G272" i="6"/>
  <c r="F272" i="6"/>
  <c r="E272" i="6"/>
  <c r="D272" i="6"/>
  <c r="C272" i="6"/>
  <c r="H271" i="6"/>
  <c r="G271" i="6"/>
  <c r="F271" i="6"/>
  <c r="E271" i="6"/>
  <c r="D271" i="6"/>
  <c r="C271" i="6"/>
  <c r="H270" i="6"/>
  <c r="G270" i="6"/>
  <c r="F270" i="6"/>
  <c r="E270" i="6"/>
  <c r="D270" i="6"/>
  <c r="C270" i="6"/>
  <c r="H269" i="6"/>
  <c r="G269" i="6"/>
  <c r="F269" i="6"/>
  <c r="E269" i="6"/>
  <c r="D269" i="6"/>
  <c r="C269" i="6"/>
  <c r="H268" i="6"/>
  <c r="G268" i="6"/>
  <c r="F268" i="6"/>
  <c r="E268" i="6"/>
  <c r="D268" i="6"/>
  <c r="C268" i="6"/>
  <c r="H267" i="6"/>
  <c r="G267" i="6"/>
  <c r="F267" i="6"/>
  <c r="E267" i="6"/>
  <c r="D267" i="6"/>
  <c r="C267" i="6"/>
  <c r="H266" i="6"/>
  <c r="G266" i="6"/>
  <c r="F266" i="6"/>
  <c r="E266" i="6"/>
  <c r="D266" i="6"/>
  <c r="C266" i="6"/>
  <c r="H265" i="6"/>
  <c r="G265" i="6"/>
  <c r="F265" i="6"/>
  <c r="E265" i="6"/>
  <c r="D265" i="6"/>
  <c r="C265" i="6"/>
  <c r="H264" i="6"/>
  <c r="G264" i="6"/>
  <c r="F264" i="6"/>
  <c r="E264" i="6"/>
  <c r="D264" i="6"/>
  <c r="C264" i="6"/>
  <c r="H263" i="6"/>
  <c r="G263" i="6"/>
  <c r="F263" i="6"/>
  <c r="E263" i="6"/>
  <c r="D263" i="6"/>
  <c r="C263" i="6"/>
  <c r="H262" i="6"/>
  <c r="G262" i="6"/>
  <c r="F262" i="6"/>
  <c r="E262" i="6"/>
  <c r="D262" i="6"/>
  <c r="C262" i="6"/>
  <c r="H261" i="6"/>
  <c r="G261" i="6"/>
  <c r="F261" i="6"/>
  <c r="E261" i="6"/>
  <c r="D261" i="6"/>
  <c r="C261" i="6"/>
  <c r="H260" i="6"/>
  <c r="G260" i="6"/>
  <c r="F260" i="6"/>
  <c r="E260" i="6"/>
  <c r="D260" i="6"/>
  <c r="C260" i="6"/>
  <c r="H259" i="6"/>
  <c r="G259" i="6"/>
  <c r="F259" i="6"/>
  <c r="E259" i="6"/>
  <c r="D259" i="6"/>
  <c r="C259" i="6"/>
  <c r="H258" i="6"/>
  <c r="G258" i="6"/>
  <c r="F258" i="6"/>
  <c r="E258" i="6"/>
  <c r="D258" i="6"/>
  <c r="C258" i="6"/>
  <c r="H257" i="6"/>
  <c r="G257" i="6"/>
  <c r="F257" i="6"/>
  <c r="E257" i="6"/>
  <c r="D257" i="6"/>
  <c r="C257" i="6"/>
  <c r="H256" i="6"/>
  <c r="G256" i="6"/>
  <c r="F256" i="6"/>
  <c r="E256" i="6"/>
  <c r="D256" i="6"/>
  <c r="C256" i="6"/>
  <c r="H255" i="6"/>
  <c r="G255" i="6"/>
  <c r="F255" i="6"/>
  <c r="E255" i="6"/>
  <c r="D255" i="6"/>
  <c r="C255" i="6"/>
  <c r="H254" i="6"/>
  <c r="G254" i="6"/>
  <c r="F254" i="6"/>
  <c r="E254" i="6"/>
  <c r="D254" i="6"/>
  <c r="C254" i="6"/>
  <c r="H253" i="6"/>
  <c r="G253" i="6"/>
  <c r="F253" i="6"/>
  <c r="E253" i="6"/>
  <c r="D253" i="6"/>
  <c r="C253" i="6"/>
  <c r="H252" i="6"/>
  <c r="G252" i="6"/>
  <c r="F252" i="6"/>
  <c r="E252" i="6"/>
  <c r="D252" i="6"/>
  <c r="C252" i="6"/>
  <c r="H251" i="6"/>
  <c r="G251" i="6"/>
  <c r="F251" i="6"/>
  <c r="E251" i="6"/>
  <c r="D251" i="6"/>
  <c r="C251" i="6"/>
  <c r="H250" i="6"/>
  <c r="G250" i="6"/>
  <c r="F250" i="6"/>
  <c r="E250" i="6"/>
  <c r="D250" i="6"/>
  <c r="C250" i="6"/>
  <c r="H249" i="6"/>
  <c r="G249" i="6"/>
  <c r="F249" i="6"/>
  <c r="E249" i="6"/>
  <c r="D249" i="6"/>
  <c r="C249" i="6"/>
  <c r="H248" i="6"/>
  <c r="G248" i="6"/>
  <c r="F248" i="6"/>
  <c r="E248" i="6"/>
  <c r="D248" i="6"/>
  <c r="C248" i="6"/>
  <c r="H247" i="6"/>
  <c r="G247" i="6"/>
  <c r="F247" i="6"/>
  <c r="E247" i="6"/>
  <c r="D247" i="6"/>
  <c r="C247" i="6"/>
  <c r="H246" i="6"/>
  <c r="G246" i="6"/>
  <c r="F246" i="6"/>
  <c r="E246" i="6"/>
  <c r="D246" i="6"/>
  <c r="C246" i="6"/>
  <c r="H245" i="6"/>
  <c r="G245" i="6"/>
  <c r="F245" i="6"/>
  <c r="E245" i="6"/>
  <c r="D245" i="6"/>
  <c r="C245" i="6"/>
  <c r="H244" i="6"/>
  <c r="G244" i="6"/>
  <c r="F244" i="6"/>
  <c r="E244" i="6"/>
  <c r="D244" i="6"/>
  <c r="C244" i="6"/>
  <c r="H243" i="6"/>
  <c r="G243" i="6"/>
  <c r="F243" i="6"/>
  <c r="E243" i="6"/>
  <c r="D243" i="6"/>
  <c r="C243" i="6"/>
  <c r="H242" i="6"/>
  <c r="G242" i="6"/>
  <c r="F242" i="6"/>
  <c r="E242" i="6"/>
  <c r="D242" i="6"/>
  <c r="C242" i="6"/>
  <c r="H241" i="6"/>
  <c r="G241" i="6"/>
  <c r="F241" i="6"/>
  <c r="E241" i="6"/>
  <c r="D241" i="6"/>
  <c r="C241" i="6"/>
  <c r="H240" i="6"/>
  <c r="G240" i="6"/>
  <c r="F240" i="6"/>
  <c r="E240" i="6"/>
  <c r="D240" i="6"/>
  <c r="C240" i="6"/>
  <c r="H239" i="6"/>
  <c r="G239" i="6"/>
  <c r="F239" i="6"/>
  <c r="E239" i="6"/>
  <c r="D239" i="6"/>
  <c r="C239" i="6"/>
  <c r="H238" i="6"/>
  <c r="G238" i="6"/>
  <c r="F238" i="6"/>
  <c r="E238" i="6"/>
  <c r="D238" i="6"/>
  <c r="C238" i="6"/>
  <c r="H237" i="6"/>
  <c r="G237" i="6"/>
  <c r="F237" i="6"/>
  <c r="E237" i="6"/>
  <c r="D237" i="6"/>
  <c r="C237" i="6"/>
  <c r="H236" i="6"/>
  <c r="G236" i="6"/>
  <c r="F236" i="6"/>
  <c r="E236" i="6"/>
  <c r="D236" i="6"/>
  <c r="C236" i="6"/>
  <c r="H235" i="6"/>
  <c r="G235" i="6"/>
  <c r="F235" i="6"/>
  <c r="E235" i="6"/>
  <c r="D235" i="6"/>
  <c r="C235" i="6"/>
  <c r="H234" i="6"/>
  <c r="G234" i="6"/>
  <c r="F234" i="6"/>
  <c r="E234" i="6"/>
  <c r="D234" i="6"/>
  <c r="C234" i="6"/>
  <c r="H233" i="6"/>
  <c r="G233" i="6"/>
  <c r="F233" i="6"/>
  <c r="E233" i="6"/>
  <c r="D233" i="6"/>
  <c r="C233" i="6"/>
  <c r="H232" i="6"/>
  <c r="G232" i="6"/>
  <c r="F232" i="6"/>
  <c r="E232" i="6"/>
  <c r="D232" i="6"/>
  <c r="C232" i="6"/>
  <c r="H231" i="6"/>
  <c r="G231" i="6"/>
  <c r="F231" i="6"/>
  <c r="E231" i="6"/>
  <c r="D231" i="6"/>
  <c r="C231" i="6"/>
  <c r="H230" i="6"/>
  <c r="G230" i="6"/>
  <c r="F230" i="6"/>
  <c r="E230" i="6"/>
  <c r="D230" i="6"/>
  <c r="C230" i="6"/>
  <c r="H229" i="6"/>
  <c r="G229" i="6"/>
  <c r="F229" i="6"/>
  <c r="E229" i="6"/>
  <c r="D229" i="6"/>
  <c r="C229" i="6"/>
  <c r="H228" i="6"/>
  <c r="G228" i="6"/>
  <c r="F228" i="6"/>
  <c r="E228" i="6"/>
  <c r="D228" i="6"/>
  <c r="C228" i="6"/>
  <c r="H227" i="6"/>
  <c r="G227" i="6"/>
  <c r="F227" i="6"/>
  <c r="E227" i="6"/>
  <c r="D227" i="6"/>
  <c r="C227" i="6"/>
  <c r="H226" i="6"/>
  <c r="G226" i="6"/>
  <c r="F226" i="6"/>
  <c r="E226" i="6"/>
  <c r="D226" i="6"/>
  <c r="C226" i="6"/>
  <c r="H225" i="6"/>
  <c r="G225" i="6"/>
  <c r="F225" i="6"/>
  <c r="E225" i="6"/>
  <c r="D225" i="6"/>
  <c r="C225" i="6"/>
  <c r="H224" i="6"/>
  <c r="G224" i="6"/>
  <c r="F224" i="6"/>
  <c r="E224" i="6"/>
  <c r="D224" i="6"/>
  <c r="C224" i="6"/>
  <c r="H223" i="6"/>
  <c r="G223" i="6"/>
  <c r="F223" i="6"/>
  <c r="E223" i="6"/>
  <c r="D223" i="6"/>
  <c r="C223" i="6"/>
  <c r="H222" i="6"/>
  <c r="G222" i="6"/>
  <c r="F222" i="6"/>
  <c r="E222" i="6"/>
  <c r="D222" i="6"/>
  <c r="C222" i="6"/>
  <c r="H221" i="6"/>
  <c r="G221" i="6"/>
  <c r="F221" i="6"/>
  <c r="E221" i="6"/>
  <c r="D221" i="6"/>
  <c r="C221" i="6"/>
  <c r="H220" i="6"/>
  <c r="G220" i="6"/>
  <c r="F220" i="6"/>
  <c r="E220" i="6"/>
  <c r="D220" i="6"/>
  <c r="C220" i="6"/>
  <c r="H219" i="6"/>
  <c r="G219" i="6"/>
  <c r="F219" i="6"/>
  <c r="E219" i="6"/>
  <c r="D219" i="6"/>
  <c r="C219" i="6"/>
  <c r="H218" i="6"/>
  <c r="G218" i="6"/>
  <c r="F218" i="6"/>
  <c r="E218" i="6"/>
  <c r="D218" i="6"/>
  <c r="C218" i="6"/>
  <c r="H217" i="6"/>
  <c r="G217" i="6"/>
  <c r="F217" i="6"/>
  <c r="E217" i="6"/>
  <c r="D217" i="6"/>
  <c r="C217" i="6"/>
  <c r="H216" i="6"/>
  <c r="G216" i="6"/>
  <c r="F216" i="6"/>
  <c r="E216" i="6"/>
  <c r="D216" i="6"/>
  <c r="C216" i="6"/>
  <c r="H215" i="6"/>
  <c r="G215" i="6"/>
  <c r="F215" i="6"/>
  <c r="E215" i="6"/>
  <c r="D215" i="6"/>
  <c r="C215" i="6"/>
  <c r="H214" i="6"/>
  <c r="G214" i="6"/>
  <c r="F214" i="6"/>
  <c r="E214" i="6"/>
  <c r="D214" i="6"/>
  <c r="C214" i="6"/>
  <c r="H213" i="6"/>
  <c r="G213" i="6"/>
  <c r="F213" i="6"/>
  <c r="E213" i="6"/>
  <c r="D213" i="6"/>
  <c r="C213" i="6"/>
  <c r="H212" i="6"/>
  <c r="G212" i="6"/>
  <c r="F212" i="6"/>
  <c r="E212" i="6"/>
  <c r="D212" i="6"/>
  <c r="C212" i="6"/>
  <c r="H211" i="6"/>
  <c r="G211" i="6"/>
  <c r="F211" i="6"/>
  <c r="E211" i="6"/>
  <c r="D211" i="6"/>
  <c r="C211" i="6"/>
  <c r="H210" i="6"/>
  <c r="G210" i="6"/>
  <c r="F210" i="6"/>
  <c r="E210" i="6"/>
  <c r="D210" i="6"/>
  <c r="C210" i="6"/>
  <c r="H209" i="6"/>
  <c r="G209" i="6"/>
  <c r="F209" i="6"/>
  <c r="E209" i="6"/>
  <c r="D209" i="6"/>
  <c r="C209" i="6"/>
  <c r="H208" i="6"/>
  <c r="G208" i="6"/>
  <c r="F208" i="6"/>
  <c r="E208" i="6"/>
  <c r="D208" i="6"/>
  <c r="C208" i="6"/>
  <c r="H207" i="6"/>
  <c r="G207" i="6"/>
  <c r="F207" i="6"/>
  <c r="E207" i="6"/>
  <c r="D207" i="6"/>
  <c r="C207" i="6"/>
  <c r="H206" i="6"/>
  <c r="G206" i="6"/>
  <c r="F206" i="6"/>
  <c r="E206" i="6"/>
  <c r="D206" i="6"/>
  <c r="C206" i="6"/>
  <c r="H205" i="6"/>
  <c r="G205" i="6"/>
  <c r="F205" i="6"/>
  <c r="E205" i="6"/>
  <c r="D205" i="6"/>
  <c r="C205" i="6"/>
  <c r="H204" i="6"/>
  <c r="G204" i="6"/>
  <c r="F204" i="6"/>
  <c r="E204" i="6"/>
  <c r="D204" i="6"/>
  <c r="C204" i="6"/>
  <c r="H203" i="6"/>
  <c r="G203" i="6"/>
  <c r="F203" i="6"/>
  <c r="E203" i="6"/>
  <c r="D203" i="6"/>
  <c r="C203" i="6"/>
  <c r="H202" i="6"/>
  <c r="G202" i="6"/>
  <c r="F202" i="6"/>
  <c r="E202" i="6"/>
  <c r="D202" i="6"/>
  <c r="C202" i="6"/>
  <c r="H201" i="6"/>
  <c r="G201" i="6"/>
  <c r="F201" i="6"/>
  <c r="E201" i="6"/>
  <c r="D201" i="6"/>
  <c r="C201" i="6"/>
  <c r="H200" i="6"/>
  <c r="G200" i="6"/>
  <c r="F200" i="6"/>
  <c r="E200" i="6"/>
  <c r="D200" i="6"/>
  <c r="C200" i="6"/>
  <c r="H199" i="6"/>
  <c r="G199" i="6"/>
  <c r="F199" i="6"/>
  <c r="E199" i="6"/>
  <c r="D199" i="6"/>
  <c r="C199" i="6"/>
  <c r="H198" i="6"/>
  <c r="G198" i="6"/>
  <c r="F198" i="6"/>
  <c r="E198" i="6"/>
  <c r="D198" i="6"/>
  <c r="C198" i="6"/>
  <c r="H197" i="6"/>
  <c r="G197" i="6"/>
  <c r="F197" i="6"/>
  <c r="E197" i="6"/>
  <c r="D197" i="6"/>
  <c r="C197" i="6"/>
  <c r="H196" i="6"/>
  <c r="G196" i="6"/>
  <c r="F196" i="6"/>
  <c r="E196" i="6"/>
  <c r="D196" i="6"/>
  <c r="C196" i="6"/>
  <c r="H195" i="6"/>
  <c r="G195" i="6"/>
  <c r="F195" i="6"/>
  <c r="E195" i="6"/>
  <c r="D195" i="6"/>
  <c r="C195" i="6"/>
  <c r="H194" i="6"/>
  <c r="G194" i="6"/>
  <c r="F194" i="6"/>
  <c r="E194" i="6"/>
  <c r="D194" i="6"/>
  <c r="C194" i="6"/>
  <c r="H193" i="6"/>
  <c r="G193" i="6"/>
  <c r="F193" i="6"/>
  <c r="E193" i="6"/>
  <c r="D193" i="6"/>
  <c r="C193" i="6"/>
  <c r="H192" i="6"/>
  <c r="G192" i="6"/>
  <c r="F192" i="6"/>
  <c r="E192" i="6"/>
  <c r="D192" i="6"/>
  <c r="C192" i="6"/>
  <c r="H191" i="6"/>
  <c r="G191" i="6"/>
  <c r="F191" i="6"/>
  <c r="E191" i="6"/>
  <c r="D191" i="6"/>
  <c r="C191" i="6"/>
  <c r="H190" i="6"/>
  <c r="G190" i="6"/>
  <c r="F190" i="6"/>
  <c r="E190" i="6"/>
  <c r="D190" i="6"/>
  <c r="C190" i="6"/>
  <c r="H189" i="6"/>
  <c r="G189" i="6"/>
  <c r="F189" i="6"/>
  <c r="E189" i="6"/>
  <c r="D189" i="6"/>
  <c r="C189" i="6"/>
  <c r="H188" i="6"/>
  <c r="G188" i="6"/>
  <c r="F188" i="6"/>
  <c r="E188" i="6"/>
  <c r="D188" i="6"/>
  <c r="C188" i="6"/>
  <c r="H187" i="6"/>
  <c r="G187" i="6"/>
  <c r="F187" i="6"/>
  <c r="E187" i="6"/>
  <c r="D187" i="6"/>
  <c r="C187" i="6"/>
  <c r="H186" i="6"/>
  <c r="G186" i="6"/>
  <c r="F186" i="6"/>
  <c r="E186" i="6"/>
  <c r="D186" i="6"/>
  <c r="C186" i="6"/>
  <c r="H185" i="6"/>
  <c r="G185" i="6"/>
  <c r="F185" i="6"/>
  <c r="E185" i="6"/>
  <c r="D185" i="6"/>
  <c r="C185" i="6"/>
  <c r="H184" i="6"/>
  <c r="G184" i="6"/>
  <c r="F184" i="6"/>
  <c r="E184" i="6"/>
  <c r="D184" i="6"/>
  <c r="C184" i="6"/>
  <c r="H183" i="6"/>
  <c r="G183" i="6"/>
  <c r="F183" i="6"/>
  <c r="E183" i="6"/>
  <c r="D183" i="6"/>
  <c r="C183" i="6"/>
  <c r="H182" i="6"/>
  <c r="G182" i="6"/>
  <c r="F182" i="6"/>
  <c r="E182" i="6"/>
  <c r="D182" i="6"/>
  <c r="C182" i="6"/>
  <c r="H181" i="6"/>
  <c r="G181" i="6"/>
  <c r="F181" i="6"/>
  <c r="E181" i="6"/>
  <c r="D181" i="6"/>
  <c r="C181" i="6"/>
  <c r="H180" i="6"/>
  <c r="G180" i="6"/>
  <c r="F180" i="6"/>
  <c r="E180" i="6"/>
  <c r="D180" i="6"/>
  <c r="C180" i="6"/>
  <c r="H179" i="6"/>
  <c r="G179" i="6"/>
  <c r="F179" i="6"/>
  <c r="E179" i="6"/>
  <c r="D179" i="6"/>
  <c r="C179" i="6"/>
  <c r="H178" i="6"/>
  <c r="G178" i="6"/>
  <c r="F178" i="6"/>
  <c r="E178" i="6"/>
  <c r="D178" i="6"/>
  <c r="C178" i="6"/>
  <c r="H177" i="6"/>
  <c r="G177" i="6"/>
  <c r="F177" i="6"/>
  <c r="E177" i="6"/>
  <c r="D177" i="6"/>
  <c r="C177" i="6"/>
  <c r="H176" i="6"/>
  <c r="G176" i="6"/>
  <c r="F176" i="6"/>
  <c r="E176" i="6"/>
  <c r="D176" i="6"/>
  <c r="C176" i="6"/>
  <c r="H175" i="6"/>
  <c r="G175" i="6"/>
  <c r="F175" i="6"/>
  <c r="E175" i="6"/>
  <c r="D175" i="6"/>
  <c r="C175" i="6"/>
  <c r="H174" i="6"/>
  <c r="G174" i="6"/>
  <c r="F174" i="6"/>
  <c r="E174" i="6"/>
  <c r="D174" i="6"/>
  <c r="C174" i="6"/>
  <c r="H173" i="6"/>
  <c r="G173" i="6"/>
  <c r="F173" i="6"/>
  <c r="E173" i="6"/>
  <c r="D173" i="6"/>
  <c r="C173" i="6"/>
  <c r="H172" i="6"/>
  <c r="G172" i="6"/>
  <c r="F172" i="6"/>
  <c r="E172" i="6"/>
  <c r="D172" i="6"/>
  <c r="C172" i="6"/>
  <c r="H171" i="6"/>
  <c r="G171" i="6"/>
  <c r="F171" i="6"/>
  <c r="E171" i="6"/>
  <c r="D171" i="6"/>
  <c r="C171" i="6"/>
  <c r="H170" i="6"/>
  <c r="G170" i="6"/>
  <c r="F170" i="6"/>
  <c r="E170" i="6"/>
  <c r="D170" i="6"/>
  <c r="C170" i="6"/>
  <c r="H169" i="6"/>
  <c r="G169" i="6"/>
  <c r="F169" i="6"/>
  <c r="E169" i="6"/>
  <c r="D169" i="6"/>
  <c r="C169" i="6"/>
  <c r="H168" i="6"/>
  <c r="G168" i="6"/>
  <c r="F168" i="6"/>
  <c r="E168" i="6"/>
  <c r="D168" i="6"/>
  <c r="C168" i="6"/>
  <c r="H167" i="6"/>
  <c r="G167" i="6"/>
  <c r="F167" i="6"/>
  <c r="E167" i="6"/>
  <c r="D167" i="6"/>
  <c r="C167" i="6"/>
  <c r="H166" i="6"/>
  <c r="G166" i="6"/>
  <c r="F166" i="6"/>
  <c r="E166" i="6"/>
  <c r="D166" i="6"/>
  <c r="C166" i="6"/>
  <c r="H165" i="6"/>
  <c r="G165" i="6"/>
  <c r="F165" i="6"/>
  <c r="E165" i="6"/>
  <c r="D165" i="6"/>
  <c r="C165" i="6"/>
  <c r="H164" i="6"/>
  <c r="G164" i="6"/>
  <c r="F164" i="6"/>
  <c r="E164" i="6"/>
  <c r="D164" i="6"/>
  <c r="C164" i="6"/>
  <c r="H163" i="6"/>
  <c r="G163" i="6"/>
  <c r="F163" i="6"/>
  <c r="E163" i="6"/>
  <c r="D163" i="6"/>
  <c r="C163" i="6"/>
  <c r="H162" i="6"/>
  <c r="G162" i="6"/>
  <c r="F162" i="6"/>
  <c r="E162" i="6"/>
  <c r="D162" i="6"/>
  <c r="C162" i="6"/>
  <c r="H161" i="6"/>
  <c r="G161" i="6"/>
  <c r="F161" i="6"/>
  <c r="E161" i="6"/>
  <c r="D161" i="6"/>
  <c r="C161" i="6"/>
  <c r="H160" i="6"/>
  <c r="G160" i="6"/>
  <c r="F160" i="6"/>
  <c r="E160" i="6"/>
  <c r="D160" i="6"/>
  <c r="C160" i="6"/>
  <c r="H159" i="6"/>
  <c r="G159" i="6"/>
  <c r="F159" i="6"/>
  <c r="E159" i="6"/>
  <c r="D159" i="6"/>
  <c r="C159" i="6"/>
  <c r="H158" i="6"/>
  <c r="G158" i="6"/>
  <c r="F158" i="6"/>
  <c r="E158" i="6"/>
  <c r="D158" i="6"/>
  <c r="C158" i="6"/>
  <c r="H157" i="6"/>
  <c r="G157" i="6"/>
  <c r="F157" i="6"/>
  <c r="E157" i="6"/>
  <c r="D157" i="6"/>
  <c r="C157" i="6"/>
  <c r="H156" i="6"/>
  <c r="G156" i="6"/>
  <c r="F156" i="6"/>
  <c r="E156" i="6"/>
  <c r="D156" i="6"/>
  <c r="C156" i="6"/>
  <c r="H155" i="6"/>
  <c r="G155" i="6"/>
  <c r="F155" i="6"/>
  <c r="E155" i="6"/>
  <c r="D155" i="6"/>
  <c r="C155" i="6"/>
  <c r="H154" i="6"/>
  <c r="G154" i="6"/>
  <c r="F154" i="6"/>
  <c r="E154" i="6"/>
  <c r="D154" i="6"/>
  <c r="C154" i="6"/>
  <c r="H153" i="6"/>
  <c r="G153" i="6"/>
  <c r="F153" i="6"/>
  <c r="E153" i="6"/>
  <c r="D153" i="6"/>
  <c r="C153" i="6"/>
  <c r="H152" i="6"/>
  <c r="G152" i="6"/>
  <c r="F152" i="6"/>
  <c r="E152" i="6"/>
  <c r="D152" i="6"/>
  <c r="C152" i="6"/>
  <c r="H151" i="6"/>
  <c r="G151" i="6"/>
  <c r="F151" i="6"/>
  <c r="E151" i="6"/>
  <c r="D151" i="6"/>
  <c r="C151" i="6"/>
  <c r="H150" i="6"/>
  <c r="G150" i="6"/>
  <c r="F150" i="6"/>
  <c r="E150" i="6"/>
  <c r="D150" i="6"/>
  <c r="C150" i="6"/>
  <c r="H149" i="6"/>
  <c r="G149" i="6"/>
  <c r="F149" i="6"/>
  <c r="E149" i="6"/>
  <c r="D149" i="6"/>
  <c r="C149" i="6"/>
  <c r="H148" i="6"/>
  <c r="G148" i="6"/>
  <c r="F148" i="6"/>
  <c r="E148" i="6"/>
  <c r="D148" i="6"/>
  <c r="C148" i="6"/>
  <c r="H147" i="6"/>
  <c r="G147" i="6"/>
  <c r="F147" i="6"/>
  <c r="E147" i="6"/>
  <c r="D147" i="6"/>
  <c r="C147" i="6"/>
  <c r="H146" i="6"/>
  <c r="G146" i="6"/>
  <c r="F146" i="6"/>
  <c r="E146" i="6"/>
  <c r="D146" i="6"/>
  <c r="C146" i="6"/>
  <c r="H145" i="6"/>
  <c r="G145" i="6"/>
  <c r="F145" i="6"/>
  <c r="E145" i="6"/>
  <c r="D145" i="6"/>
  <c r="C145" i="6"/>
  <c r="H144" i="6"/>
  <c r="G144" i="6"/>
  <c r="F144" i="6"/>
  <c r="E144" i="6"/>
  <c r="D144" i="6"/>
  <c r="C144" i="6"/>
  <c r="H143" i="6"/>
  <c r="G143" i="6"/>
  <c r="F143" i="6"/>
  <c r="E143" i="6"/>
  <c r="D143" i="6"/>
  <c r="C143" i="6"/>
  <c r="H142" i="6"/>
  <c r="G142" i="6"/>
  <c r="F142" i="6"/>
  <c r="E142" i="6"/>
  <c r="D142" i="6"/>
  <c r="C142" i="6"/>
  <c r="H141" i="6"/>
  <c r="G141" i="6"/>
  <c r="F141" i="6"/>
  <c r="E141" i="6"/>
  <c r="D141" i="6"/>
  <c r="C141" i="6"/>
  <c r="H140" i="6"/>
  <c r="G140" i="6"/>
  <c r="F140" i="6"/>
  <c r="E140" i="6"/>
  <c r="D140" i="6"/>
  <c r="C140" i="6"/>
  <c r="H139" i="6"/>
  <c r="G139" i="6"/>
  <c r="F139" i="6"/>
  <c r="E139" i="6"/>
  <c r="D139" i="6"/>
  <c r="C139" i="6"/>
  <c r="H138" i="6"/>
  <c r="G138" i="6"/>
  <c r="F138" i="6"/>
  <c r="E138" i="6"/>
  <c r="D138" i="6"/>
  <c r="C138" i="6"/>
  <c r="H137" i="6"/>
  <c r="G137" i="6"/>
  <c r="F137" i="6"/>
  <c r="E137" i="6"/>
  <c r="D137" i="6"/>
  <c r="C137" i="6"/>
  <c r="H136" i="6"/>
  <c r="G136" i="6"/>
  <c r="F136" i="6"/>
  <c r="E136" i="6"/>
  <c r="D136" i="6"/>
  <c r="C136" i="6"/>
  <c r="H135" i="6"/>
  <c r="G135" i="6"/>
  <c r="F135" i="6"/>
  <c r="E135" i="6"/>
  <c r="D135" i="6"/>
  <c r="C135" i="6"/>
  <c r="H134" i="6"/>
  <c r="G134" i="6"/>
  <c r="F134" i="6"/>
  <c r="E134" i="6"/>
  <c r="D134" i="6"/>
  <c r="C134" i="6"/>
  <c r="H133" i="6"/>
  <c r="G133" i="6"/>
  <c r="F133" i="6"/>
  <c r="E133" i="6"/>
  <c r="D133" i="6"/>
  <c r="C133" i="6"/>
  <c r="H132" i="6"/>
  <c r="G132" i="6"/>
  <c r="F132" i="6"/>
  <c r="E132" i="6"/>
  <c r="D132" i="6"/>
  <c r="C132" i="6"/>
  <c r="H131" i="6"/>
  <c r="G131" i="6"/>
  <c r="F131" i="6"/>
  <c r="E131" i="6"/>
  <c r="D131" i="6"/>
  <c r="C131" i="6"/>
  <c r="H130" i="6"/>
  <c r="G130" i="6"/>
  <c r="F130" i="6"/>
  <c r="E130" i="6"/>
  <c r="D130" i="6"/>
  <c r="C130" i="6"/>
  <c r="H129" i="6"/>
  <c r="G129" i="6"/>
  <c r="F129" i="6"/>
  <c r="E129" i="6"/>
  <c r="D129" i="6"/>
  <c r="C129" i="6"/>
  <c r="H128" i="6"/>
  <c r="G128" i="6"/>
  <c r="F128" i="6"/>
  <c r="E128" i="6"/>
  <c r="D128" i="6"/>
  <c r="C128" i="6"/>
  <c r="H127" i="6"/>
  <c r="G127" i="6"/>
  <c r="F127" i="6"/>
  <c r="E127" i="6"/>
  <c r="D127" i="6"/>
  <c r="C127" i="6"/>
  <c r="H126" i="6"/>
  <c r="G126" i="6"/>
  <c r="F126" i="6"/>
  <c r="E126" i="6"/>
  <c r="D126" i="6"/>
  <c r="C126" i="6"/>
  <c r="H125" i="6"/>
  <c r="G125" i="6"/>
  <c r="F125" i="6"/>
  <c r="E125" i="6"/>
  <c r="D125" i="6"/>
  <c r="C125" i="6"/>
  <c r="H124" i="6"/>
  <c r="G124" i="6"/>
  <c r="F124" i="6"/>
  <c r="E124" i="6"/>
  <c r="D124" i="6"/>
  <c r="C124" i="6"/>
  <c r="H123" i="6"/>
  <c r="G123" i="6"/>
  <c r="F123" i="6"/>
  <c r="E123" i="6"/>
  <c r="D123" i="6"/>
  <c r="C123" i="6"/>
  <c r="H122" i="6"/>
  <c r="G122" i="6"/>
  <c r="F122" i="6"/>
  <c r="E122" i="6"/>
  <c r="D122" i="6"/>
  <c r="C122" i="6"/>
  <c r="H121" i="6"/>
  <c r="G121" i="6"/>
  <c r="F121" i="6"/>
  <c r="E121" i="6"/>
  <c r="D121" i="6"/>
  <c r="C121" i="6"/>
  <c r="H120" i="6"/>
  <c r="G120" i="6"/>
  <c r="F120" i="6"/>
  <c r="E120" i="6"/>
  <c r="D120" i="6"/>
  <c r="C120" i="6"/>
  <c r="H119" i="6"/>
  <c r="G119" i="6"/>
  <c r="F119" i="6"/>
  <c r="E119" i="6"/>
  <c r="D119" i="6"/>
  <c r="C119" i="6"/>
  <c r="H118" i="6"/>
  <c r="G118" i="6"/>
  <c r="F118" i="6"/>
  <c r="E118" i="6"/>
  <c r="D118" i="6"/>
  <c r="C118" i="6"/>
  <c r="H117" i="6"/>
  <c r="G117" i="6"/>
  <c r="F117" i="6"/>
  <c r="E117" i="6"/>
  <c r="D117" i="6"/>
  <c r="C117" i="6"/>
  <c r="H116" i="6"/>
  <c r="G116" i="6"/>
  <c r="F116" i="6"/>
  <c r="E116" i="6"/>
  <c r="D116" i="6"/>
  <c r="C116" i="6"/>
  <c r="H115" i="6"/>
  <c r="G115" i="6"/>
  <c r="F115" i="6"/>
  <c r="E115" i="6"/>
  <c r="D115" i="6"/>
  <c r="C115" i="6"/>
  <c r="H114" i="6"/>
  <c r="G114" i="6"/>
  <c r="F114" i="6"/>
  <c r="E114" i="6"/>
  <c r="D114" i="6"/>
  <c r="C114" i="6"/>
  <c r="H113" i="6"/>
  <c r="G113" i="6"/>
  <c r="F113" i="6"/>
  <c r="E113" i="6"/>
  <c r="D113" i="6"/>
  <c r="C113" i="6"/>
  <c r="H112" i="6"/>
  <c r="G112" i="6"/>
  <c r="F112" i="6"/>
  <c r="E112" i="6"/>
  <c r="D112" i="6"/>
  <c r="C112" i="6"/>
  <c r="H111" i="6"/>
  <c r="G111" i="6"/>
  <c r="F111" i="6"/>
  <c r="E111" i="6"/>
  <c r="D111" i="6"/>
  <c r="C111" i="6"/>
  <c r="H110" i="6"/>
  <c r="G110" i="6"/>
  <c r="F110" i="6"/>
  <c r="E110" i="6"/>
  <c r="D110" i="6"/>
  <c r="C110" i="6"/>
  <c r="H109" i="6"/>
  <c r="G109" i="6"/>
  <c r="F109" i="6"/>
  <c r="E109" i="6"/>
  <c r="D109" i="6"/>
  <c r="C109" i="6"/>
  <c r="H108" i="6"/>
  <c r="G108" i="6"/>
  <c r="F108" i="6"/>
  <c r="E108" i="6"/>
  <c r="D108" i="6"/>
  <c r="C108" i="6"/>
  <c r="H107" i="6"/>
  <c r="G107" i="6"/>
  <c r="F107" i="6"/>
  <c r="E107" i="6"/>
  <c r="D107" i="6"/>
  <c r="C107" i="6"/>
  <c r="H106" i="6"/>
  <c r="G106" i="6"/>
  <c r="F106" i="6"/>
  <c r="E106" i="6"/>
  <c r="D106" i="6"/>
  <c r="C106" i="6"/>
  <c r="H105" i="6"/>
  <c r="G105" i="6"/>
  <c r="F105" i="6"/>
  <c r="E105" i="6"/>
  <c r="D105" i="6"/>
  <c r="C105" i="6"/>
  <c r="H104" i="6"/>
  <c r="G104" i="6"/>
  <c r="F104" i="6"/>
  <c r="E104" i="6"/>
  <c r="D104" i="6"/>
  <c r="C104" i="6"/>
  <c r="H103" i="6"/>
  <c r="G103" i="6"/>
  <c r="F103" i="6"/>
  <c r="E103" i="6"/>
  <c r="D103" i="6"/>
  <c r="C103" i="6"/>
  <c r="H102" i="6"/>
  <c r="G102" i="6"/>
  <c r="F102" i="6"/>
  <c r="E102" i="6"/>
  <c r="D102" i="6"/>
  <c r="C102" i="6"/>
  <c r="H101" i="6"/>
  <c r="G101" i="6"/>
  <c r="F101" i="6"/>
  <c r="E101" i="6"/>
  <c r="D101" i="6"/>
  <c r="C101" i="6"/>
  <c r="H100" i="6"/>
  <c r="G100" i="6"/>
  <c r="F100" i="6"/>
  <c r="E100" i="6"/>
  <c r="D100" i="6"/>
  <c r="C100" i="6"/>
  <c r="H99" i="6"/>
  <c r="G99" i="6"/>
  <c r="F99" i="6"/>
  <c r="E99" i="6"/>
  <c r="D99" i="6"/>
  <c r="C99" i="6"/>
  <c r="H98" i="6"/>
  <c r="G98" i="6"/>
  <c r="F98" i="6"/>
  <c r="E98" i="6"/>
  <c r="D98" i="6"/>
  <c r="C98" i="6"/>
  <c r="H97" i="6"/>
  <c r="G97" i="6"/>
  <c r="F97" i="6"/>
  <c r="E97" i="6"/>
  <c r="D97" i="6"/>
  <c r="C97" i="6"/>
  <c r="H96" i="6"/>
  <c r="G96" i="6"/>
  <c r="F96" i="6"/>
  <c r="E96" i="6"/>
  <c r="D96" i="6"/>
  <c r="C96" i="6"/>
  <c r="H95" i="6"/>
  <c r="G95" i="6"/>
  <c r="F95" i="6"/>
  <c r="E95" i="6"/>
  <c r="D95" i="6"/>
  <c r="C95" i="6"/>
  <c r="H94" i="6"/>
  <c r="G94" i="6"/>
  <c r="F94" i="6"/>
  <c r="E94" i="6"/>
  <c r="D94" i="6"/>
  <c r="C94" i="6"/>
  <c r="H93" i="6"/>
  <c r="G93" i="6"/>
  <c r="F93" i="6"/>
  <c r="E93" i="6"/>
  <c r="D93" i="6"/>
  <c r="C93" i="6"/>
  <c r="H92" i="6"/>
  <c r="G92" i="6"/>
  <c r="F92" i="6"/>
  <c r="E92" i="6"/>
  <c r="D92" i="6"/>
  <c r="C92" i="6"/>
  <c r="H91" i="6"/>
  <c r="G91" i="6"/>
  <c r="F91" i="6"/>
  <c r="E91" i="6"/>
  <c r="D91" i="6"/>
  <c r="C91" i="6"/>
  <c r="H90" i="6"/>
  <c r="G90" i="6"/>
  <c r="F90" i="6"/>
  <c r="E90" i="6"/>
  <c r="D90" i="6"/>
  <c r="C90" i="6"/>
  <c r="H89" i="6"/>
  <c r="G89" i="6"/>
  <c r="F89" i="6"/>
  <c r="E89" i="6"/>
  <c r="D89" i="6"/>
  <c r="C89" i="6"/>
  <c r="H88" i="6"/>
  <c r="G88" i="6"/>
  <c r="F88" i="6"/>
  <c r="E88" i="6"/>
  <c r="D88" i="6"/>
  <c r="C88" i="6"/>
  <c r="H87" i="6"/>
  <c r="G87" i="6"/>
  <c r="F87" i="6"/>
  <c r="E87" i="6"/>
  <c r="D87" i="6"/>
  <c r="C87" i="6"/>
  <c r="H86" i="6"/>
  <c r="G86" i="6"/>
  <c r="F86" i="6"/>
  <c r="E86" i="6"/>
  <c r="D86" i="6"/>
  <c r="C86" i="6"/>
  <c r="H85" i="6"/>
  <c r="G85" i="6"/>
  <c r="F85" i="6"/>
  <c r="E85" i="6"/>
  <c r="D85" i="6"/>
  <c r="C85" i="6"/>
  <c r="H84" i="6"/>
  <c r="G84" i="6"/>
  <c r="F84" i="6"/>
  <c r="E84" i="6"/>
  <c r="D84" i="6"/>
  <c r="C84" i="6"/>
  <c r="H83" i="6"/>
  <c r="G83" i="6"/>
  <c r="F83" i="6"/>
  <c r="E83" i="6"/>
  <c r="D83" i="6"/>
  <c r="C83" i="6"/>
  <c r="H82" i="6"/>
  <c r="G82" i="6"/>
  <c r="F82" i="6"/>
  <c r="E82" i="6"/>
  <c r="D82" i="6"/>
  <c r="C82" i="6"/>
  <c r="H81" i="6"/>
  <c r="G81" i="6"/>
  <c r="F81" i="6"/>
  <c r="E81" i="6"/>
  <c r="D81" i="6"/>
  <c r="C81" i="6"/>
  <c r="H80" i="6"/>
  <c r="G80" i="6"/>
  <c r="F80" i="6"/>
  <c r="E80" i="6"/>
  <c r="D80" i="6"/>
  <c r="C80" i="6"/>
  <c r="H79" i="6"/>
  <c r="G79" i="6"/>
  <c r="F79" i="6"/>
  <c r="E79" i="6"/>
  <c r="D79" i="6"/>
  <c r="C79" i="6"/>
  <c r="H78" i="6"/>
  <c r="G78" i="6"/>
  <c r="F78" i="6"/>
  <c r="E78" i="6"/>
  <c r="D78" i="6"/>
  <c r="C78" i="6"/>
  <c r="H77" i="6"/>
  <c r="G77" i="6"/>
  <c r="F77" i="6"/>
  <c r="E77" i="6"/>
  <c r="D77" i="6"/>
  <c r="C77" i="6"/>
  <c r="H76" i="6"/>
  <c r="G76" i="6"/>
  <c r="F76" i="6"/>
  <c r="E76" i="6"/>
  <c r="D76" i="6"/>
  <c r="C76" i="6"/>
  <c r="H75" i="6"/>
  <c r="G75" i="6"/>
  <c r="F75" i="6"/>
  <c r="E75" i="6"/>
  <c r="D75" i="6"/>
  <c r="C75" i="6"/>
  <c r="H74" i="6"/>
  <c r="G74" i="6"/>
  <c r="F74" i="6"/>
  <c r="E74" i="6"/>
  <c r="D74" i="6"/>
  <c r="C74" i="6"/>
  <c r="H73" i="6"/>
  <c r="G73" i="6"/>
  <c r="F73" i="6"/>
  <c r="E73" i="6"/>
  <c r="D73" i="6"/>
  <c r="C73" i="6"/>
  <c r="H72" i="6"/>
  <c r="G72" i="6"/>
  <c r="F72" i="6"/>
  <c r="E72" i="6"/>
  <c r="D72" i="6"/>
  <c r="C72" i="6"/>
  <c r="H71" i="6"/>
  <c r="G71" i="6"/>
  <c r="F71" i="6"/>
  <c r="E71" i="6"/>
  <c r="D71" i="6"/>
  <c r="C71" i="6"/>
  <c r="H70" i="6"/>
  <c r="G70" i="6"/>
  <c r="F70" i="6"/>
  <c r="E70" i="6"/>
  <c r="D70" i="6"/>
  <c r="C70" i="6"/>
  <c r="H69" i="6"/>
  <c r="G69" i="6"/>
  <c r="F69" i="6"/>
  <c r="E69" i="6"/>
  <c r="D69" i="6"/>
  <c r="C69" i="6"/>
  <c r="H68" i="6"/>
  <c r="G68" i="6"/>
  <c r="F68" i="6"/>
  <c r="E68" i="6"/>
  <c r="D68" i="6"/>
  <c r="C68" i="6"/>
  <c r="H67" i="6"/>
  <c r="G67" i="6"/>
  <c r="F67" i="6"/>
  <c r="E67" i="6"/>
  <c r="D67" i="6"/>
  <c r="C67" i="6"/>
  <c r="H66" i="6"/>
  <c r="G66" i="6"/>
  <c r="F66" i="6"/>
  <c r="E66" i="6"/>
  <c r="D66" i="6"/>
  <c r="C66" i="6"/>
  <c r="H65" i="6"/>
  <c r="G65" i="6"/>
  <c r="F65" i="6"/>
  <c r="E65" i="6"/>
  <c r="D65" i="6"/>
  <c r="C65" i="6"/>
  <c r="H64" i="6"/>
  <c r="G64" i="6"/>
  <c r="F64" i="6"/>
  <c r="E64" i="6"/>
  <c r="D64" i="6"/>
  <c r="C64" i="6"/>
  <c r="H63" i="6"/>
  <c r="G63" i="6"/>
  <c r="F63" i="6"/>
  <c r="E63" i="6"/>
  <c r="D63" i="6"/>
  <c r="C63" i="6"/>
  <c r="H62" i="6"/>
  <c r="G62" i="6"/>
  <c r="F62" i="6"/>
  <c r="E62" i="6"/>
  <c r="D62" i="6"/>
  <c r="C62" i="6"/>
  <c r="H61" i="6"/>
  <c r="G61" i="6"/>
  <c r="F61" i="6"/>
  <c r="E61" i="6"/>
  <c r="D61" i="6"/>
  <c r="C61" i="6"/>
  <c r="H60" i="6"/>
  <c r="G60" i="6"/>
  <c r="F60" i="6"/>
  <c r="E60" i="6"/>
  <c r="D60" i="6"/>
  <c r="C60" i="6"/>
  <c r="H59" i="6"/>
  <c r="G59" i="6"/>
  <c r="F59" i="6"/>
  <c r="E59" i="6"/>
  <c r="D59" i="6"/>
  <c r="C59" i="6"/>
  <c r="H58" i="6"/>
  <c r="G58" i="6"/>
  <c r="F58" i="6"/>
  <c r="E58" i="6"/>
  <c r="D58" i="6"/>
  <c r="C58" i="6"/>
  <c r="H57" i="6"/>
  <c r="G57" i="6"/>
  <c r="F57" i="6"/>
  <c r="E57" i="6"/>
  <c r="D57" i="6"/>
  <c r="C57" i="6"/>
  <c r="H56" i="6"/>
  <c r="G56" i="6"/>
  <c r="F56" i="6"/>
  <c r="E56" i="6"/>
  <c r="D56" i="6"/>
  <c r="C56" i="6"/>
  <c r="H55" i="6"/>
  <c r="G55" i="6"/>
  <c r="F55" i="6"/>
  <c r="E55" i="6"/>
  <c r="D55" i="6"/>
  <c r="C55" i="6"/>
  <c r="H54" i="6"/>
  <c r="G54" i="6"/>
  <c r="F54" i="6"/>
  <c r="E54" i="6"/>
  <c r="D54" i="6"/>
  <c r="C54" i="6"/>
  <c r="H53" i="6"/>
  <c r="G53" i="6"/>
  <c r="F53" i="6"/>
  <c r="E53" i="6"/>
  <c r="D53" i="6"/>
  <c r="C53" i="6"/>
  <c r="H52" i="6"/>
  <c r="G52" i="6"/>
  <c r="F52" i="6"/>
  <c r="E52" i="6"/>
  <c r="D52" i="6"/>
  <c r="C52" i="6"/>
  <c r="H51" i="6"/>
  <c r="G51" i="6"/>
  <c r="F51" i="6"/>
  <c r="E51" i="6"/>
  <c r="D51" i="6"/>
  <c r="C51" i="6"/>
  <c r="H50" i="6"/>
  <c r="G50" i="6"/>
  <c r="F50" i="6"/>
  <c r="E50" i="6"/>
  <c r="D50" i="6"/>
  <c r="C50" i="6"/>
  <c r="H49" i="6"/>
  <c r="G49" i="6"/>
  <c r="F49" i="6"/>
  <c r="E49" i="6"/>
  <c r="D49" i="6"/>
  <c r="C49" i="6"/>
  <c r="H48" i="6"/>
  <c r="G48" i="6"/>
  <c r="F48" i="6"/>
  <c r="E48" i="6"/>
  <c r="D48" i="6"/>
  <c r="C48" i="6"/>
  <c r="H47" i="6"/>
  <c r="G47" i="6"/>
  <c r="F47" i="6"/>
  <c r="E47" i="6"/>
  <c r="D47" i="6"/>
  <c r="C47" i="6"/>
  <c r="H46" i="6"/>
  <c r="G46" i="6"/>
  <c r="F46" i="6"/>
  <c r="E46" i="6"/>
  <c r="D46" i="6"/>
  <c r="C46" i="6"/>
  <c r="H45" i="6"/>
  <c r="G45" i="6"/>
  <c r="F45" i="6"/>
  <c r="E45" i="6"/>
  <c r="D45" i="6"/>
  <c r="C45" i="6"/>
  <c r="H44" i="6"/>
  <c r="G44" i="6"/>
  <c r="F44" i="6"/>
  <c r="E44" i="6"/>
  <c r="D44" i="6"/>
  <c r="C44" i="6"/>
  <c r="H43" i="6"/>
  <c r="G43" i="6"/>
  <c r="F43" i="6"/>
  <c r="E43" i="6"/>
  <c r="D43" i="6"/>
  <c r="C43" i="6"/>
  <c r="H42" i="6"/>
  <c r="G42" i="6"/>
  <c r="F42" i="6"/>
  <c r="E42" i="6"/>
  <c r="D42" i="6"/>
  <c r="C42" i="6"/>
  <c r="H41" i="6"/>
  <c r="G41" i="6"/>
  <c r="F41" i="6"/>
  <c r="E41" i="6"/>
  <c r="D41" i="6"/>
  <c r="C41" i="6"/>
  <c r="H40" i="6"/>
  <c r="G40" i="6"/>
  <c r="F40" i="6"/>
  <c r="E40" i="6"/>
  <c r="D40" i="6"/>
  <c r="C40" i="6"/>
  <c r="H39" i="6"/>
  <c r="G39" i="6"/>
  <c r="F39" i="6"/>
  <c r="E39" i="6"/>
  <c r="D39" i="6"/>
  <c r="C39" i="6"/>
  <c r="H38" i="6"/>
  <c r="G38" i="6"/>
  <c r="F38" i="6"/>
  <c r="E38" i="6"/>
  <c r="D38" i="6"/>
  <c r="C38" i="6"/>
  <c r="H37" i="6"/>
  <c r="G37" i="6"/>
  <c r="F37" i="6"/>
  <c r="E37" i="6"/>
  <c r="D37" i="6"/>
  <c r="C37" i="6"/>
  <c r="H36" i="6"/>
  <c r="G36" i="6"/>
  <c r="F36" i="6"/>
  <c r="E36" i="6"/>
  <c r="D36" i="6"/>
  <c r="C36" i="6"/>
  <c r="H35" i="6"/>
  <c r="G35" i="6"/>
  <c r="F35" i="6"/>
  <c r="E35" i="6"/>
  <c r="D35" i="6"/>
  <c r="C35" i="6"/>
  <c r="H34" i="6"/>
  <c r="G34" i="6"/>
  <c r="F34" i="6"/>
  <c r="E34" i="6"/>
  <c r="D34" i="6"/>
  <c r="C34" i="6"/>
  <c r="H33" i="6"/>
  <c r="G33" i="6"/>
  <c r="F33" i="6"/>
  <c r="E33" i="6"/>
  <c r="D33" i="6"/>
  <c r="C33" i="6"/>
  <c r="H32" i="6"/>
  <c r="G32" i="6"/>
  <c r="F32" i="6"/>
  <c r="E32" i="6"/>
  <c r="D32" i="6"/>
  <c r="C32" i="6"/>
  <c r="H31" i="6"/>
  <c r="G31" i="6"/>
  <c r="F31" i="6"/>
  <c r="E31" i="6"/>
  <c r="D31" i="6"/>
  <c r="C31" i="6"/>
  <c r="H30" i="6"/>
  <c r="G30" i="6"/>
  <c r="F30" i="6"/>
  <c r="E30" i="6"/>
  <c r="D30" i="6"/>
  <c r="C30" i="6"/>
  <c r="H29" i="6"/>
  <c r="G29" i="6"/>
  <c r="F29" i="6"/>
  <c r="E29" i="6"/>
  <c r="D29" i="6"/>
  <c r="C29" i="6"/>
  <c r="H28" i="6"/>
  <c r="G28" i="6"/>
  <c r="F28" i="6"/>
  <c r="E28" i="6"/>
  <c r="D28" i="6"/>
  <c r="C28" i="6"/>
  <c r="H27" i="6"/>
  <c r="G27" i="6"/>
  <c r="F27" i="6"/>
  <c r="E27" i="6"/>
  <c r="D27" i="6"/>
  <c r="C27" i="6"/>
  <c r="H26" i="6"/>
  <c r="G26" i="6"/>
  <c r="F26" i="6"/>
  <c r="E26" i="6"/>
  <c r="D26" i="6"/>
  <c r="C26" i="6"/>
  <c r="H25" i="6"/>
  <c r="G25" i="6"/>
  <c r="F25" i="6"/>
  <c r="E25" i="6"/>
  <c r="D25" i="6"/>
  <c r="C25" i="6"/>
  <c r="H24" i="6"/>
  <c r="G24" i="6"/>
  <c r="F24" i="6"/>
  <c r="E24" i="6"/>
  <c r="D24" i="6"/>
  <c r="C24" i="6"/>
  <c r="H23" i="6"/>
  <c r="G23" i="6"/>
  <c r="F23" i="6"/>
  <c r="E23" i="6"/>
  <c r="D23" i="6"/>
  <c r="C23" i="6"/>
  <c r="H22" i="6"/>
  <c r="G22" i="6"/>
  <c r="F22" i="6"/>
  <c r="E22" i="6"/>
  <c r="D22" i="6"/>
  <c r="C22" i="6"/>
  <c r="H21" i="6"/>
  <c r="G21" i="6"/>
  <c r="F21" i="6"/>
  <c r="E21" i="6"/>
  <c r="D21" i="6"/>
  <c r="C21" i="6"/>
  <c r="H20" i="6"/>
  <c r="G20" i="6"/>
  <c r="F20" i="6"/>
  <c r="E20" i="6"/>
  <c r="D20" i="6"/>
  <c r="C20" i="6"/>
  <c r="H19" i="6"/>
  <c r="G19" i="6"/>
  <c r="F19" i="6"/>
  <c r="E19" i="6"/>
  <c r="D19" i="6"/>
  <c r="C19" i="6"/>
  <c r="H18" i="6"/>
  <c r="G18" i="6"/>
  <c r="F18" i="6"/>
  <c r="E18" i="6"/>
  <c r="D18" i="6"/>
  <c r="C18" i="6"/>
  <c r="H17" i="6"/>
  <c r="G17" i="6"/>
  <c r="F17" i="6"/>
  <c r="E17" i="6"/>
  <c r="D17" i="6"/>
  <c r="C17" i="6"/>
  <c r="H16" i="6"/>
  <c r="G16" i="6"/>
  <c r="F16" i="6"/>
  <c r="E16" i="6"/>
  <c r="D16" i="6"/>
  <c r="C16" i="6"/>
  <c r="H15" i="6"/>
  <c r="G15" i="6"/>
  <c r="F15" i="6"/>
  <c r="E15" i="6"/>
  <c r="D15" i="6"/>
  <c r="C15" i="6"/>
  <c r="H14" i="6"/>
  <c r="G14" i="6"/>
  <c r="F14" i="6"/>
  <c r="E14" i="6"/>
  <c r="D14" i="6"/>
  <c r="C14" i="6"/>
  <c r="H13" i="6"/>
  <c r="G13" i="6"/>
  <c r="F13" i="6"/>
  <c r="E13" i="6"/>
  <c r="D13" i="6"/>
  <c r="C13" i="6"/>
  <c r="U98" i="6"/>
  <c r="U99" i="6" s="1"/>
  <c r="U100" i="6" s="1"/>
  <c r="U101" i="6" s="1"/>
  <c r="V102" i="6" s="1"/>
  <c r="V103" i="6" s="1"/>
  <c r="V104" i="6" s="1"/>
  <c r="V105" i="6" s="1"/>
  <c r="W106" i="6" s="1"/>
  <c r="W107" i="6" s="1"/>
  <c r="W108" i="6" s="1"/>
  <c r="W109" i="6" s="1"/>
  <c r="B238" i="6" a="1"/>
  <c r="B246" i="6" a="1"/>
  <c r="B254" i="6" a="1"/>
  <c r="B262" i="6" a="1"/>
  <c r="B270" i="6" a="1"/>
  <c r="B278" i="6" a="1"/>
  <c r="B283" i="6" a="1"/>
  <c r="B244" i="6" a="1"/>
  <c r="B255" i="6" a="1"/>
  <c r="B280" i="6" a="1"/>
  <c r="B258" i="6" a="1"/>
  <c r="B251" i="6" a="1"/>
  <c r="B284" i="6" a="1"/>
  <c r="B269" i="6" a="1"/>
  <c r="B239" i="6" a="1"/>
  <c r="B247" i="6" a="1"/>
  <c r="B263" i="6" a="1"/>
  <c r="B271" i="6" a="1"/>
  <c r="B279" i="6" a="1"/>
  <c r="B265" i="6" a="1"/>
  <c r="B281" i="6" a="1"/>
  <c r="B274" i="6" a="1"/>
  <c r="B275" i="6" a="1"/>
  <c r="B261" i="6" a="1"/>
  <c r="B248" i="6" a="1"/>
  <c r="B264" i="6" a="1"/>
  <c r="B257" i="6" a="1"/>
  <c r="B273" i="6" a="1"/>
  <c r="B266" i="6" a="1"/>
  <c r="B282" i="6" a="1"/>
  <c r="B243" i="6" a="1"/>
  <c r="B276" i="6" a="1"/>
  <c r="B245" i="6" a="1"/>
  <c r="B240" i="6" a="1"/>
  <c r="B256" i="6" a="1"/>
  <c r="B272" i="6" a="1"/>
  <c r="B250" i="6" a="1"/>
  <c r="B267" i="6" a="1"/>
  <c r="B268" i="6" a="1"/>
  <c r="B253" i="6" a="1"/>
  <c r="B249" i="6" a="1"/>
  <c r="B259" i="6" a="1"/>
  <c r="B260" i="6" a="1"/>
  <c r="B277" i="6" a="1"/>
  <c r="B241" i="6" a="1"/>
  <c r="B285" i="6" a="1"/>
  <c r="B242" i="6" a="1"/>
  <c r="B252" i="6" a="1"/>
  <c r="B230" i="6" a="1"/>
  <c r="B234" i="6" a="1"/>
  <c r="B236" i="6" a="1"/>
  <c r="B231" i="6" a="1"/>
  <c r="B232" i="6" a="1"/>
  <c r="B237" i="6" a="1"/>
  <c r="B235" i="6" a="1"/>
  <c r="B233" i="6" a="1"/>
  <c r="B222" i="6" a="1"/>
  <c r="B224" i="6" a="1"/>
  <c r="B225" i="6" a="1"/>
  <c r="B227" i="6" a="1"/>
  <c r="B228" i="6" a="1"/>
  <c r="B223" i="6" a="1"/>
  <c r="B226" i="6" a="1"/>
  <c r="B229" i="6" a="1"/>
  <c r="B92" i="6" a="1"/>
  <c r="B90" i="6" a="1"/>
  <c r="B88" i="6" a="1"/>
  <c r="B86" i="6" a="1"/>
  <c r="B93" i="6" a="1"/>
  <c r="B91" i="6" a="1"/>
  <c r="B89" i="6" a="1"/>
  <c r="B87" i="6" a="1"/>
  <c r="B84" i="6" a="1"/>
  <c r="B80" i="6" a="1"/>
  <c r="B85" i="6" a="1"/>
  <c r="B82" i="6" a="1"/>
  <c r="B79" i="6" a="1"/>
  <c r="B83" i="6" a="1"/>
  <c r="B81" i="6" a="1"/>
  <c r="B78" i="6" a="1"/>
  <c r="B76" i="6" a="1"/>
  <c r="B74" i="6" a="1"/>
  <c r="B72" i="6" a="1"/>
  <c r="B77" i="6" a="1"/>
  <c r="B73" i="6" a="1"/>
  <c r="B71" i="6" a="1"/>
  <c r="B75" i="6" a="1"/>
  <c r="B70" i="6" a="1"/>
  <c r="B68" i="6" a="1"/>
  <c r="B66" i="6" a="1"/>
  <c r="B62" i="6" a="1"/>
  <c r="B69" i="6" a="1"/>
  <c r="B65" i="6" a="1"/>
  <c r="B64" i="6" a="1"/>
  <c r="B63" i="6" a="1"/>
  <c r="B67" i="6" a="1"/>
  <c r="B53" i="6" a="1"/>
  <c r="B60" i="6" a="1"/>
  <c r="B50" i="6" a="1"/>
  <c r="B57" i="6" a="1"/>
  <c r="B48" i="6" a="1"/>
  <c r="B61" i="6" a="1"/>
  <c r="B52" i="6" a="1"/>
  <c r="B49" i="6" a="1"/>
  <c r="B55" i="6" a="1"/>
  <c r="B54" i="6" a="1"/>
  <c r="B51" i="6" a="1"/>
  <c r="B59" i="6" a="1"/>
  <c r="B58" i="6" a="1"/>
  <c r="B56" i="6" a="1"/>
  <c r="B47" i="6" a="1"/>
  <c r="B46" i="6" a="1"/>
  <c r="B30" i="6" a="1"/>
  <c r="B28" i="6" a="1"/>
  <c r="B29" i="6" a="1"/>
  <c r="B26" i="6" a="1"/>
  <c r="B27" i="6" a="1"/>
  <c r="B22" i="6" a="1"/>
  <c r="B21" i="6" a="1"/>
  <c r="B25" i="6" a="1"/>
  <c r="B20" i="6" a="1"/>
  <c r="B17" i="6" a="1"/>
  <c r="B15" i="6" a="1"/>
  <c r="B23" i="6" a="1"/>
  <c r="B16" i="6" a="1"/>
  <c r="B14" i="6" a="1"/>
  <c r="B18" i="6" a="1"/>
  <c r="B12" i="6" a="1"/>
  <c r="B13" i="6" a="1"/>
  <c r="B19" i="6" a="1"/>
  <c r="B24" i="6" a="1"/>
  <c r="B252" i="6" l="1"/>
  <c r="B242" i="6"/>
  <c r="B285" i="6"/>
  <c r="B241" i="6"/>
  <c r="B277" i="6"/>
  <c r="B260" i="6"/>
  <c r="B259" i="6"/>
  <c r="B249" i="6"/>
  <c r="B253" i="6"/>
  <c r="B268" i="6"/>
  <c r="B267" i="6"/>
  <c r="B250" i="6"/>
  <c r="B272" i="6"/>
  <c r="B256" i="6"/>
  <c r="B240" i="6"/>
  <c r="B245" i="6"/>
  <c r="B276" i="6"/>
  <c r="B243" i="6"/>
  <c r="B282" i="6"/>
  <c r="B266" i="6"/>
  <c r="B273" i="6"/>
  <c r="B257" i="6"/>
  <c r="B264" i="6"/>
  <c r="B248" i="6"/>
  <c r="B261" i="6"/>
  <c r="B275" i="6"/>
  <c r="B274" i="6"/>
  <c r="B281" i="6"/>
  <c r="B265" i="6"/>
  <c r="B279" i="6"/>
  <c r="B271" i="6"/>
  <c r="B263" i="6"/>
  <c r="B247" i="6"/>
  <c r="B239" i="6"/>
  <c r="B269" i="6"/>
  <c r="B284" i="6"/>
  <c r="B251" i="6"/>
  <c r="B258" i="6"/>
  <c r="B280" i="6"/>
  <c r="B255" i="6"/>
  <c r="B244" i="6"/>
  <c r="B283" i="6"/>
  <c r="B278" i="6"/>
  <c r="B270" i="6"/>
  <c r="B262" i="6"/>
  <c r="B254" i="6"/>
  <c r="B246" i="6"/>
  <c r="B238" i="6"/>
  <c r="B233" i="6"/>
  <c r="B235" i="6"/>
  <c r="B237" i="6"/>
  <c r="B232" i="6"/>
  <c r="B231" i="6"/>
  <c r="B236" i="6"/>
  <c r="B234" i="6"/>
  <c r="B230" i="6"/>
  <c r="B229" i="6"/>
  <c r="B226" i="6"/>
  <c r="B223" i="6"/>
  <c r="B228" i="6"/>
  <c r="B227" i="6"/>
  <c r="B225" i="6"/>
  <c r="B224" i="6"/>
  <c r="B222" i="6"/>
  <c r="B87" i="6"/>
  <c r="B89" i="6"/>
  <c r="B91" i="6"/>
  <c r="B93" i="6"/>
  <c r="B86" i="6"/>
  <c r="B88" i="6"/>
  <c r="B90" i="6"/>
  <c r="B92" i="6"/>
  <c r="B78" i="6"/>
  <c r="B81" i="6"/>
  <c r="B83" i="6"/>
  <c r="B79" i="6"/>
  <c r="B82" i="6"/>
  <c r="B85" i="6"/>
  <c r="B80" i="6"/>
  <c r="B84" i="6"/>
  <c r="B70" i="6"/>
  <c r="B75" i="6"/>
  <c r="B71" i="6"/>
  <c r="B73" i="6"/>
  <c r="B77" i="6"/>
  <c r="B72" i="6"/>
  <c r="B74" i="6"/>
  <c r="B76" i="6"/>
  <c r="B67" i="6"/>
  <c r="B63" i="6"/>
  <c r="B64" i="6"/>
  <c r="B65" i="6"/>
  <c r="B69" i="6"/>
  <c r="B62" i="6"/>
  <c r="B66" i="6"/>
  <c r="B68" i="6"/>
  <c r="B46" i="6"/>
  <c r="B47" i="6"/>
  <c r="B56" i="6"/>
  <c r="B58" i="6"/>
  <c r="B59" i="6"/>
  <c r="B51" i="6"/>
  <c r="B54" i="6"/>
  <c r="B55" i="6"/>
  <c r="B49" i="6"/>
  <c r="B52" i="6"/>
  <c r="B61" i="6"/>
  <c r="B48" i="6"/>
  <c r="B57" i="6"/>
  <c r="B50" i="6"/>
  <c r="B60" i="6"/>
  <c r="B53" i="6"/>
  <c r="B30" i="6"/>
  <c r="T110" i="6"/>
  <c r="T111" i="6" s="1"/>
  <c r="T112" i="6" s="1"/>
  <c r="T113" i="6" s="1"/>
  <c r="T95" i="6"/>
  <c r="T96" i="6" s="1"/>
  <c r="T97" i="6" s="1"/>
  <c r="X94" i="6"/>
  <c r="Y95" i="6" s="1"/>
  <c r="X110" i="6"/>
  <c r="B27" i="6"/>
  <c r="B26" i="6"/>
  <c r="B29" i="6"/>
  <c r="B28" i="6"/>
  <c r="B23" i="6"/>
  <c r="B24" i="6"/>
  <c r="B12" i="6"/>
  <c r="B18" i="6"/>
  <c r="B19" i="6"/>
  <c r="B17" i="6"/>
  <c r="B16" i="6"/>
  <c r="B22" i="6"/>
  <c r="B14" i="6"/>
  <c r="B15" i="6"/>
  <c r="B13" i="6"/>
  <c r="B25" i="6"/>
  <c r="B21" i="6"/>
  <c r="B20" i="6"/>
  <c r="B34" i="6" a="1"/>
  <c r="B31" i="6" a="1"/>
  <c r="B95" i="6" a="1"/>
  <c r="B94" i="6" a="1"/>
  <c r="B110" i="6" a="1"/>
  <c r="B31" i="6" l="1"/>
  <c r="B34" i="6"/>
  <c r="B94" i="6"/>
  <c r="X98" i="6"/>
  <c r="U114" i="6"/>
  <c r="U115" i="6" s="1"/>
  <c r="U116" i="6" s="1"/>
  <c r="U117" i="6" s="1"/>
  <c r="V118" i="6" s="1"/>
  <c r="V119" i="6" s="1"/>
  <c r="V120" i="6" s="1"/>
  <c r="V121" i="6" s="1"/>
  <c r="W122" i="6" s="1"/>
  <c r="W123" i="6" s="1"/>
  <c r="W124" i="6" s="1"/>
  <c r="W125" i="6" s="1"/>
  <c r="T126" i="6"/>
  <c r="B95" i="6"/>
  <c r="Y99" i="6"/>
  <c r="Z96" i="6"/>
  <c r="B110" i="6"/>
  <c r="X114" i="6"/>
  <c r="Y111" i="6"/>
  <c r="B32" i="6" a="1"/>
  <c r="B38" i="6" a="1"/>
  <c r="B35" i="6" a="1"/>
  <c r="B96" i="6" a="1"/>
  <c r="B98" i="6" a="1"/>
  <c r="B99" i="6" a="1"/>
  <c r="B111" i="6" a="1"/>
  <c r="B114" i="6" a="1"/>
  <c r="B35" i="6" l="1"/>
  <c r="B38" i="6"/>
  <c r="B32" i="6"/>
  <c r="B98" i="6"/>
  <c r="U130" i="6"/>
  <c r="U131" i="6" s="1"/>
  <c r="U132" i="6" s="1"/>
  <c r="U133" i="6" s="1"/>
  <c r="V134" i="6" s="1"/>
  <c r="V135" i="6" s="1"/>
  <c r="V136" i="6" s="1"/>
  <c r="V137" i="6" s="1"/>
  <c r="W138" i="6" s="1"/>
  <c r="W139" i="6" s="1"/>
  <c r="W140" i="6" s="1"/>
  <c r="W141" i="6" s="1"/>
  <c r="T142" i="6"/>
  <c r="X126" i="6"/>
  <c r="T127" i="6"/>
  <c r="T128" i="6" s="1"/>
  <c r="T129" i="6" s="1"/>
  <c r="X102" i="6"/>
  <c r="B99" i="6"/>
  <c r="B96" i="6"/>
  <c r="AA97" i="6"/>
  <c r="Z100" i="6"/>
  <c r="B114" i="6"/>
  <c r="B111" i="6"/>
  <c r="X118" i="6"/>
  <c r="Y115" i="6"/>
  <c r="Z112" i="6"/>
  <c r="B39" i="6" a="1"/>
  <c r="B42" i="6" a="1"/>
  <c r="B33" i="6" a="1"/>
  <c r="B36" i="6" a="1"/>
  <c r="B102" i="6" a="1"/>
  <c r="B115" i="6" a="1"/>
  <c r="B100" i="6" a="1"/>
  <c r="B118" i="6" a="1"/>
  <c r="B97" i="6" a="1"/>
  <c r="B112" i="6" a="1"/>
  <c r="B126" i="6" a="1"/>
  <c r="B36" i="6" l="1"/>
  <c r="B33" i="6"/>
  <c r="B42" i="6"/>
  <c r="B39" i="6"/>
  <c r="B102" i="6"/>
  <c r="B126" i="6"/>
  <c r="X106" i="6"/>
  <c r="Y103" i="6"/>
  <c r="Y127" i="6"/>
  <c r="X130" i="6"/>
  <c r="X142" i="6"/>
  <c r="T158" i="6"/>
  <c r="T143" i="6"/>
  <c r="T144" i="6" s="1"/>
  <c r="T145" i="6" s="1"/>
  <c r="U146" i="6"/>
  <c r="U147" i="6" s="1"/>
  <c r="U148" i="6" s="1"/>
  <c r="U149" i="6" s="1"/>
  <c r="V150" i="6" s="1"/>
  <c r="V151" i="6" s="1"/>
  <c r="V152" i="6" s="1"/>
  <c r="V153" i="6" s="1"/>
  <c r="W154" i="6" s="1"/>
  <c r="W155" i="6" s="1"/>
  <c r="W156" i="6" s="1"/>
  <c r="W157" i="6" s="1"/>
  <c r="B100" i="6"/>
  <c r="B97" i="6"/>
  <c r="AA101" i="6"/>
  <c r="B112" i="6"/>
  <c r="B118" i="6"/>
  <c r="B115" i="6"/>
  <c r="Z116" i="6"/>
  <c r="AA113" i="6"/>
  <c r="X122" i="6"/>
  <c r="Y119" i="6"/>
  <c r="B37" i="6" a="1"/>
  <c r="B40" i="6" a="1"/>
  <c r="B43" i="6" a="1"/>
  <c r="B101" i="6" a="1"/>
  <c r="B122" i="6" a="1"/>
  <c r="B116" i="6" a="1"/>
  <c r="B113" i="6" a="1"/>
  <c r="B130" i="6" a="1"/>
  <c r="B119" i="6" a="1"/>
  <c r="B106" i="6" a="1"/>
  <c r="B142" i="6" a="1"/>
  <c r="B127" i="6" a="1"/>
  <c r="B103" i="6" a="1"/>
  <c r="B43" i="6" l="1"/>
  <c r="B40" i="6"/>
  <c r="B37" i="6"/>
  <c r="B142" i="6"/>
  <c r="B130" i="6"/>
  <c r="B127" i="6"/>
  <c r="B103" i="6"/>
  <c r="B106" i="6"/>
  <c r="U162" i="6"/>
  <c r="U163" i="6" s="1"/>
  <c r="U164" i="6" s="1"/>
  <c r="U165" i="6" s="1"/>
  <c r="V166" i="6" s="1"/>
  <c r="V167" i="6" s="1"/>
  <c r="V168" i="6" s="1"/>
  <c r="V169" i="6" s="1"/>
  <c r="W170" i="6" s="1"/>
  <c r="W171" i="6" s="1"/>
  <c r="W172" i="6" s="1"/>
  <c r="W173" i="6" s="1"/>
  <c r="T174" i="6"/>
  <c r="X158" i="6"/>
  <c r="T159" i="6"/>
  <c r="T160" i="6" s="1"/>
  <c r="T161" i="6" s="1"/>
  <c r="X146" i="6"/>
  <c r="Y143" i="6"/>
  <c r="X134" i="6"/>
  <c r="Y131" i="6"/>
  <c r="Z128" i="6"/>
  <c r="Z104" i="6"/>
  <c r="Y107" i="6"/>
  <c r="B101" i="6"/>
  <c r="B122" i="6"/>
  <c r="B119" i="6"/>
  <c r="B113" i="6"/>
  <c r="B116" i="6"/>
  <c r="Y123" i="6"/>
  <c r="Z120" i="6"/>
  <c r="AA117" i="6"/>
  <c r="B44" i="6" a="1"/>
  <c r="B41" i="6" a="1"/>
  <c r="B104" i="6" a="1"/>
  <c r="B123" i="6" a="1"/>
  <c r="B143" i="6" a="1"/>
  <c r="B107" i="6" a="1"/>
  <c r="B131" i="6" a="1"/>
  <c r="B117" i="6" a="1"/>
  <c r="B120" i="6" a="1"/>
  <c r="B158" i="6" a="1"/>
  <c r="B146" i="6" a="1"/>
  <c r="B134" i="6" a="1"/>
  <c r="B128" i="6" a="1"/>
  <c r="B41" i="6" l="1"/>
  <c r="B44" i="6"/>
  <c r="B107" i="6"/>
  <c r="B104" i="6"/>
  <c r="B128" i="6"/>
  <c r="B134" i="6"/>
  <c r="B143" i="6"/>
  <c r="B146" i="6"/>
  <c r="B158" i="6"/>
  <c r="B131" i="6"/>
  <c r="Z108" i="6"/>
  <c r="AA105" i="6"/>
  <c r="Z132" i="6"/>
  <c r="AA129" i="6"/>
  <c r="X138" i="6"/>
  <c r="Y135" i="6"/>
  <c r="Y147" i="6"/>
  <c r="Z144" i="6"/>
  <c r="X150" i="6"/>
  <c r="Y159" i="6"/>
  <c r="X162" i="6"/>
  <c r="U178" i="6"/>
  <c r="U179" i="6" s="1"/>
  <c r="U180" i="6" s="1"/>
  <c r="U181" i="6" s="1"/>
  <c r="V182" i="6" s="1"/>
  <c r="V183" i="6" s="1"/>
  <c r="V184" i="6" s="1"/>
  <c r="V185" i="6" s="1"/>
  <c r="W186" i="6" s="1"/>
  <c r="W187" i="6" s="1"/>
  <c r="W188" i="6" s="1"/>
  <c r="W189" i="6" s="1"/>
  <c r="T190" i="6"/>
  <c r="T175" i="6"/>
  <c r="T176" i="6" s="1"/>
  <c r="T177" i="6" s="1"/>
  <c r="X174" i="6"/>
  <c r="B120" i="6"/>
  <c r="B117" i="6"/>
  <c r="B123" i="6"/>
  <c r="AA121" i="6"/>
  <c r="Z124" i="6"/>
  <c r="B45" i="6" a="1"/>
  <c r="B132" i="6" a="1"/>
  <c r="B105" i="6" a="1"/>
  <c r="B147" i="6" a="1"/>
  <c r="B121" i="6" a="1"/>
  <c r="B124" i="6" a="1"/>
  <c r="B108" i="6" a="1"/>
  <c r="B144" i="6" a="1"/>
  <c r="B162" i="6" a="1"/>
  <c r="B174" i="6" a="1"/>
  <c r="B138" i="6" a="1"/>
  <c r="B135" i="6" a="1"/>
  <c r="B150" i="6" a="1"/>
  <c r="B159" i="6" a="1"/>
  <c r="B129" i="6" a="1"/>
  <c r="B45" i="6" l="1"/>
  <c r="B174" i="6"/>
  <c r="B162" i="6"/>
  <c r="B159" i="6"/>
  <c r="B150" i="6"/>
  <c r="B144" i="6"/>
  <c r="B108" i="6"/>
  <c r="B147" i="6"/>
  <c r="B135" i="6"/>
  <c r="B105" i="6"/>
  <c r="B138" i="6"/>
  <c r="B132" i="6"/>
  <c r="B129" i="6"/>
  <c r="Z136" i="6"/>
  <c r="Y139" i="6"/>
  <c r="AA133" i="6"/>
  <c r="Y175" i="6"/>
  <c r="X178" i="6"/>
  <c r="U194" i="6"/>
  <c r="U195" i="6" s="1"/>
  <c r="U196" i="6" s="1"/>
  <c r="U197" i="6" s="1"/>
  <c r="V198" i="6" s="1"/>
  <c r="V199" i="6" s="1"/>
  <c r="V200" i="6" s="1"/>
  <c r="V201" i="6" s="1"/>
  <c r="W202" i="6" s="1"/>
  <c r="W203" i="6" s="1"/>
  <c r="W204" i="6" s="1"/>
  <c r="W205" i="6" s="1"/>
  <c r="T206" i="6"/>
  <c r="X190" i="6"/>
  <c r="T191" i="6"/>
  <c r="T192" i="6" s="1"/>
  <c r="T193" i="6" s="1"/>
  <c r="X166" i="6"/>
  <c r="Y163" i="6"/>
  <c r="Z160" i="6"/>
  <c r="Y151" i="6"/>
  <c r="X154" i="6"/>
  <c r="Z148" i="6"/>
  <c r="AA145" i="6"/>
  <c r="AA109" i="6"/>
  <c r="B124" i="6"/>
  <c r="B121" i="6"/>
  <c r="AA125" i="6"/>
  <c r="B163" i="6" a="1"/>
  <c r="B148" i="6" a="1"/>
  <c r="B136" i="6" a="1"/>
  <c r="B139" i="6" a="1"/>
  <c r="B133" i="6" a="1"/>
  <c r="B109" i="6" a="1"/>
  <c r="B151" i="6" a="1"/>
  <c r="B125" i="6" a="1"/>
  <c r="B175" i="6" a="1"/>
  <c r="B178" i="6" a="1"/>
  <c r="B166" i="6" a="1"/>
  <c r="B160" i="6" a="1"/>
  <c r="B154" i="6" a="1"/>
  <c r="B190" i="6" a="1"/>
  <c r="B145" i="6" a="1"/>
  <c r="B145" i="6" l="1"/>
  <c r="B154" i="6"/>
  <c r="B151" i="6"/>
  <c r="B160" i="6"/>
  <c r="B166" i="6"/>
  <c r="B190" i="6"/>
  <c r="B178" i="6"/>
  <c r="B175" i="6"/>
  <c r="B139" i="6"/>
  <c r="B109" i="6"/>
  <c r="B133" i="6"/>
  <c r="B136" i="6"/>
  <c r="B148" i="6"/>
  <c r="B163" i="6"/>
  <c r="Z140" i="6"/>
  <c r="AA137" i="6"/>
  <c r="AA149" i="6"/>
  <c r="Y155" i="6"/>
  <c r="Z152" i="6"/>
  <c r="Z164" i="6"/>
  <c r="AA161" i="6"/>
  <c r="Y167" i="6"/>
  <c r="X170" i="6"/>
  <c r="Y191" i="6"/>
  <c r="X194" i="6"/>
  <c r="T207" i="6"/>
  <c r="T208" i="6" s="1"/>
  <c r="T209" i="6" s="1"/>
  <c r="T286" i="6"/>
  <c r="U210" i="6"/>
  <c r="U211" i="6" s="1"/>
  <c r="U212" i="6" s="1"/>
  <c r="U213" i="6" s="1"/>
  <c r="V214" i="6" s="1"/>
  <c r="V215" i="6" s="1"/>
  <c r="V216" i="6" s="1"/>
  <c r="V217" i="6" s="1"/>
  <c r="W218" i="6" s="1"/>
  <c r="W219" i="6" s="1"/>
  <c r="W220" i="6" s="1"/>
  <c r="W221" i="6" s="1"/>
  <c r="X206" i="6"/>
  <c r="X182" i="6"/>
  <c r="Y179" i="6"/>
  <c r="Z176" i="6"/>
  <c r="B125" i="6"/>
  <c r="B149" i="6" a="1"/>
  <c r="B155" i="6" a="1"/>
  <c r="B152" i="6" a="1"/>
  <c r="B176" i="6" a="1"/>
  <c r="B161" i="6" a="1"/>
  <c r="B170" i="6" a="1"/>
  <c r="B167" i="6" a="1"/>
  <c r="B164" i="6" a="1"/>
  <c r="B191" i="6" a="1"/>
  <c r="B182" i="6" a="1"/>
  <c r="B140" i="6" a="1"/>
  <c r="B179" i="6" a="1"/>
  <c r="B137" i="6" a="1"/>
  <c r="B194" i="6" a="1"/>
  <c r="B206" i="6" a="1"/>
  <c r="B176" i="6" l="1"/>
  <c r="B182" i="6"/>
  <c r="B206" i="6"/>
  <c r="B194" i="6"/>
  <c r="B191" i="6"/>
  <c r="B179" i="6"/>
  <c r="B164" i="6"/>
  <c r="B137" i="6"/>
  <c r="B140" i="6"/>
  <c r="B170" i="6"/>
  <c r="B167" i="6"/>
  <c r="B161" i="6"/>
  <c r="B152" i="6"/>
  <c r="B155" i="6"/>
  <c r="B149" i="6"/>
  <c r="AA141" i="6"/>
  <c r="Y171" i="6"/>
  <c r="Z168" i="6"/>
  <c r="AA165" i="6"/>
  <c r="AA153" i="6"/>
  <c r="Z156" i="6"/>
  <c r="AA177" i="6"/>
  <c r="Z180" i="6"/>
  <c r="Y183" i="6"/>
  <c r="X186" i="6"/>
  <c r="X210" i="6"/>
  <c r="Y207" i="6"/>
  <c r="U290" i="6"/>
  <c r="U291" i="6" s="1"/>
  <c r="U292" i="6" s="1"/>
  <c r="U293" i="6" s="1"/>
  <c r="V294" i="6" s="1"/>
  <c r="V295" i="6" s="1"/>
  <c r="V296" i="6" s="1"/>
  <c r="V297" i="6" s="1"/>
  <c r="W298" i="6" s="1"/>
  <c r="W299" i="6" s="1"/>
  <c r="W300" i="6" s="1"/>
  <c r="W301" i="6" s="1"/>
  <c r="T302" i="6"/>
  <c r="T287" i="6"/>
  <c r="T288" i="6" s="1"/>
  <c r="T289" i="6" s="1"/>
  <c r="X286" i="6"/>
  <c r="X198" i="6"/>
  <c r="Y195" i="6"/>
  <c r="Z192" i="6"/>
  <c r="B171" i="6" a="1"/>
  <c r="B168" i="6" a="1"/>
  <c r="B165" i="6" a="1"/>
  <c r="B153" i="6" a="1"/>
  <c r="B156" i="6" a="1"/>
  <c r="B180" i="6" a="1"/>
  <c r="B183" i="6" a="1"/>
  <c r="B177" i="6" a="1"/>
  <c r="B141" i="6" a="1"/>
  <c r="B195" i="6" a="1"/>
  <c r="B207" i="6" a="1"/>
  <c r="B286" i="6" a="1"/>
  <c r="B186" i="6" a="1"/>
  <c r="B210" i="6" a="1"/>
  <c r="B198" i="6" a="1"/>
  <c r="B192" i="6" a="1"/>
  <c r="B192" i="6" l="1"/>
  <c r="B198" i="6"/>
  <c r="B286" i="6"/>
  <c r="B207" i="6"/>
  <c r="B210" i="6"/>
  <c r="B195" i="6"/>
  <c r="B186" i="6"/>
  <c r="B141" i="6"/>
  <c r="B183" i="6"/>
  <c r="B180" i="6"/>
  <c r="B177" i="6"/>
  <c r="B156" i="6"/>
  <c r="B153" i="6"/>
  <c r="B165" i="6"/>
  <c r="B168" i="6"/>
  <c r="B171" i="6"/>
  <c r="Y187" i="6"/>
  <c r="Z184" i="6"/>
  <c r="AA181" i="6"/>
  <c r="AA157" i="6"/>
  <c r="AA169" i="6"/>
  <c r="Z172" i="6"/>
  <c r="Z196" i="6"/>
  <c r="AA193" i="6"/>
  <c r="Y199" i="6"/>
  <c r="X202" i="6"/>
  <c r="X290" i="6"/>
  <c r="Y287" i="6"/>
  <c r="X302" i="6"/>
  <c r="T318" i="6"/>
  <c r="T303" i="6"/>
  <c r="T304" i="6" s="1"/>
  <c r="T305" i="6" s="1"/>
  <c r="U306" i="6"/>
  <c r="U307" i="6" s="1"/>
  <c r="U308" i="6" s="1"/>
  <c r="U309" i="6" s="1"/>
  <c r="V310" i="6" s="1"/>
  <c r="V311" i="6" s="1"/>
  <c r="V312" i="6" s="1"/>
  <c r="V313" i="6" s="1"/>
  <c r="W314" i="6" s="1"/>
  <c r="W315" i="6" s="1"/>
  <c r="W316" i="6" s="1"/>
  <c r="W317" i="6" s="1"/>
  <c r="Z208" i="6"/>
  <c r="Y211" i="6"/>
  <c r="X214" i="6"/>
  <c r="B302" i="6" a="1"/>
  <c r="B208" i="6" a="1"/>
  <c r="B214" i="6" a="1"/>
  <c r="B187" i="6" a="1"/>
  <c r="B184" i="6" a="1"/>
  <c r="B211" i="6" a="1"/>
  <c r="B193" i="6" a="1"/>
  <c r="B290" i="6" a="1"/>
  <c r="B287" i="6" a="1"/>
  <c r="B181" i="6" a="1"/>
  <c r="B157" i="6" a="1"/>
  <c r="B169" i="6" a="1"/>
  <c r="B172" i="6" a="1"/>
  <c r="B199" i="6" a="1"/>
  <c r="B196" i="6" a="1"/>
  <c r="B202" i="6" a="1"/>
  <c r="B214" i="6" l="1"/>
  <c r="B208" i="6"/>
  <c r="B302" i="6"/>
  <c r="B287" i="6"/>
  <c r="B290" i="6"/>
  <c r="B193" i="6"/>
  <c r="B202" i="6"/>
  <c r="B199" i="6"/>
  <c r="B196" i="6"/>
  <c r="B172" i="6"/>
  <c r="B169" i="6"/>
  <c r="B157" i="6"/>
  <c r="B181" i="6"/>
  <c r="B211" i="6"/>
  <c r="B184" i="6"/>
  <c r="B187" i="6"/>
  <c r="AA197" i="6"/>
  <c r="Y203" i="6"/>
  <c r="Z200" i="6"/>
  <c r="AA173" i="6"/>
  <c r="AA185" i="6"/>
  <c r="Z188" i="6"/>
  <c r="X218" i="6"/>
  <c r="Y215" i="6"/>
  <c r="Z212" i="6"/>
  <c r="AA209" i="6"/>
  <c r="T334" i="6"/>
  <c r="T319" i="6"/>
  <c r="T320" i="6" s="1"/>
  <c r="T321" i="6" s="1"/>
  <c r="X318" i="6"/>
  <c r="U322" i="6"/>
  <c r="U323" i="6" s="1"/>
  <c r="U324" i="6" s="1"/>
  <c r="U325" i="6" s="1"/>
  <c r="V326" i="6" s="1"/>
  <c r="V327" i="6" s="1"/>
  <c r="V328" i="6" s="1"/>
  <c r="V329" i="6" s="1"/>
  <c r="W330" i="6" s="1"/>
  <c r="W331" i="6" s="1"/>
  <c r="W332" i="6" s="1"/>
  <c r="W333" i="6" s="1"/>
  <c r="Y303" i="6"/>
  <c r="X306" i="6"/>
  <c r="Y291" i="6"/>
  <c r="Z288" i="6"/>
  <c r="X294" i="6"/>
  <c r="B306" i="6" a="1"/>
  <c r="B197" i="6" a="1"/>
  <c r="B288" i="6" a="1"/>
  <c r="B294" i="6" a="1"/>
  <c r="B203" i="6" a="1"/>
  <c r="B291" i="6" a="1"/>
  <c r="B200" i="6" a="1"/>
  <c r="B173" i="6" a="1"/>
  <c r="B185" i="6" a="1"/>
  <c r="B215" i="6" a="1"/>
  <c r="B209" i="6" a="1"/>
  <c r="B218" i="6" a="1"/>
  <c r="B188" i="6" a="1"/>
  <c r="B318" i="6" a="1"/>
  <c r="B212" i="6" a="1"/>
  <c r="B303" i="6" a="1"/>
  <c r="B294" i="6" l="1"/>
  <c r="B288" i="6"/>
  <c r="B306" i="6"/>
  <c r="B303" i="6"/>
  <c r="B318" i="6"/>
  <c r="B291" i="6"/>
  <c r="B197" i="6"/>
  <c r="B188" i="6"/>
  <c r="B209" i="6"/>
  <c r="B212" i="6"/>
  <c r="B215" i="6"/>
  <c r="B218" i="6"/>
  <c r="B185" i="6"/>
  <c r="B173" i="6"/>
  <c r="B200" i="6"/>
  <c r="B203" i="6"/>
  <c r="AA189" i="6"/>
  <c r="AA213" i="6"/>
  <c r="Z216" i="6"/>
  <c r="Y219" i="6"/>
  <c r="AA201" i="6"/>
  <c r="Z204" i="6"/>
  <c r="Y295" i="6"/>
  <c r="X298" i="6"/>
  <c r="Z292" i="6"/>
  <c r="AA289" i="6"/>
  <c r="X310" i="6"/>
  <c r="Z304" i="6"/>
  <c r="Y307" i="6"/>
  <c r="X322" i="6"/>
  <c r="Y319" i="6"/>
  <c r="T350" i="6"/>
  <c r="U338" i="6"/>
  <c r="U339" i="6" s="1"/>
  <c r="U340" i="6" s="1"/>
  <c r="U341" i="6" s="1"/>
  <c r="V342" i="6" s="1"/>
  <c r="V343" i="6" s="1"/>
  <c r="V344" i="6" s="1"/>
  <c r="V345" i="6" s="1"/>
  <c r="W346" i="6" s="1"/>
  <c r="W347" i="6" s="1"/>
  <c r="W348" i="6" s="1"/>
  <c r="W349" i="6" s="1"/>
  <c r="T335" i="6"/>
  <c r="T336" i="6" s="1"/>
  <c r="T337" i="6" s="1"/>
  <c r="X334" i="6"/>
  <c r="B334" i="6" a="1"/>
  <c r="B213" i="6" a="1"/>
  <c r="B216" i="6" a="1"/>
  <c r="B201" i="6" a="1"/>
  <c r="B295" i="6" a="1"/>
  <c r="B189" i="6" a="1"/>
  <c r="B204" i="6" a="1"/>
  <c r="B304" i="6" a="1"/>
  <c r="B322" i="6" a="1"/>
  <c r="B319" i="6" a="1"/>
  <c r="B289" i="6" a="1"/>
  <c r="B307" i="6" a="1"/>
  <c r="B219" i="6" a="1"/>
  <c r="B298" i="6" a="1"/>
  <c r="B292" i="6" a="1"/>
  <c r="B310" i="6" a="1"/>
  <c r="B334" i="6" l="1"/>
  <c r="B319" i="6"/>
  <c r="B322" i="6"/>
  <c r="B304" i="6"/>
  <c r="B310" i="6"/>
  <c r="B292" i="6"/>
  <c r="B298" i="6"/>
  <c r="B204" i="6"/>
  <c r="B219" i="6"/>
  <c r="B189" i="6"/>
  <c r="B307" i="6"/>
  <c r="B289" i="6"/>
  <c r="B295" i="6"/>
  <c r="B201" i="6"/>
  <c r="B216" i="6"/>
  <c r="B213" i="6"/>
  <c r="Y299" i="6"/>
  <c r="AA205" i="6"/>
  <c r="Z220" i="6"/>
  <c r="AA293" i="6"/>
  <c r="Z296" i="6"/>
  <c r="AA217" i="6"/>
  <c r="Y335" i="6"/>
  <c r="X338" i="6"/>
  <c r="T351" i="6"/>
  <c r="T352" i="6" s="1"/>
  <c r="T353" i="6" s="1"/>
  <c r="T366" i="6"/>
  <c r="X350" i="6"/>
  <c r="U354" i="6"/>
  <c r="U355" i="6" s="1"/>
  <c r="U356" i="6" s="1"/>
  <c r="U357" i="6" s="1"/>
  <c r="V358" i="6" s="1"/>
  <c r="V359" i="6" s="1"/>
  <c r="V360" i="6" s="1"/>
  <c r="V361" i="6" s="1"/>
  <c r="W362" i="6" s="1"/>
  <c r="W363" i="6" s="1"/>
  <c r="W364" i="6" s="1"/>
  <c r="W365" i="6" s="1"/>
  <c r="Z320" i="6"/>
  <c r="Y323" i="6"/>
  <c r="X326" i="6"/>
  <c r="Z308" i="6"/>
  <c r="AA305" i="6"/>
  <c r="X314" i="6"/>
  <c r="Y311" i="6"/>
  <c r="B296" i="6" a="1"/>
  <c r="B323" i="6" a="1"/>
  <c r="B308" i="6" a="1"/>
  <c r="B326" i="6" a="1"/>
  <c r="B305" i="6" a="1"/>
  <c r="B314" i="6" a="1"/>
  <c r="B311" i="6" a="1"/>
  <c r="B205" i="6" a="1"/>
  <c r="B293" i="6" a="1"/>
  <c r="B217" i="6" a="1"/>
  <c r="B299" i="6" a="1"/>
  <c r="B335" i="6" a="1"/>
  <c r="B338" i="6" a="1"/>
  <c r="B350" i="6" a="1"/>
  <c r="B320" i="6" a="1"/>
  <c r="B220" i="6" a="1"/>
  <c r="B311" i="6" l="1"/>
  <c r="B314" i="6"/>
  <c r="B305" i="6"/>
  <c r="B326" i="6"/>
  <c r="B320" i="6"/>
  <c r="B350" i="6"/>
  <c r="B338" i="6"/>
  <c r="B335" i="6"/>
  <c r="B299" i="6"/>
  <c r="B308" i="6"/>
  <c r="B323" i="6"/>
  <c r="B217" i="6"/>
  <c r="B296" i="6"/>
  <c r="B293" i="6"/>
  <c r="B220" i="6"/>
  <c r="B205" i="6"/>
  <c r="Z300" i="6"/>
  <c r="AA297" i="6"/>
  <c r="AA221" i="6"/>
  <c r="Z312" i="6"/>
  <c r="Y315" i="6"/>
  <c r="AA309" i="6"/>
  <c r="X330" i="6"/>
  <c r="Y327" i="6"/>
  <c r="Z324" i="6"/>
  <c r="AA321" i="6"/>
  <c r="Y351" i="6"/>
  <c r="X354" i="6"/>
  <c r="T382" i="6"/>
  <c r="X366" i="6"/>
  <c r="T367" i="6"/>
  <c r="T368" i="6" s="1"/>
  <c r="T369" i="6" s="1"/>
  <c r="U370" i="6"/>
  <c r="U371" i="6" s="1"/>
  <c r="U372" i="6" s="1"/>
  <c r="U373" i="6" s="1"/>
  <c r="V374" i="6" s="1"/>
  <c r="V375" i="6" s="1"/>
  <c r="V376" i="6" s="1"/>
  <c r="V377" i="6" s="1"/>
  <c r="W378" i="6" s="1"/>
  <c r="W379" i="6" s="1"/>
  <c r="W380" i="6" s="1"/>
  <c r="W381" i="6" s="1"/>
  <c r="X342" i="6"/>
  <c r="Z336" i="6"/>
  <c r="Y339" i="6"/>
  <c r="B336" i="6" a="1"/>
  <c r="B297" i="6" a="1"/>
  <c r="B339" i="6" a="1"/>
  <c r="B309" i="6" a="1"/>
  <c r="B324" i="6" a="1"/>
  <c r="B321" i="6" a="1"/>
  <c r="B300" i="6" a="1"/>
  <c r="B221" i="6" a="1"/>
  <c r="B315" i="6" a="1"/>
  <c r="B330" i="6" a="1"/>
  <c r="B312" i="6" a="1"/>
  <c r="B351" i="6" a="1"/>
  <c r="B342" i="6" a="1"/>
  <c r="B327" i="6" a="1"/>
  <c r="B354" i="6" a="1"/>
  <c r="B366" i="6" a="1"/>
  <c r="B336" i="6" l="1"/>
  <c r="B342" i="6"/>
  <c r="B366" i="6"/>
  <c r="B354" i="6"/>
  <c r="B351" i="6"/>
  <c r="B327" i="6"/>
  <c r="B330" i="6"/>
  <c r="B315" i="6"/>
  <c r="B312" i="6"/>
  <c r="B221" i="6"/>
  <c r="B300" i="6"/>
  <c r="B321" i="6"/>
  <c r="B324" i="6"/>
  <c r="B309" i="6"/>
  <c r="B339" i="6"/>
  <c r="B297" i="6"/>
  <c r="AA301" i="6"/>
  <c r="AA325" i="6"/>
  <c r="Z340" i="6"/>
  <c r="AA337" i="6"/>
  <c r="Y343" i="6"/>
  <c r="X346" i="6"/>
  <c r="Y367" i="6"/>
  <c r="X370" i="6"/>
  <c r="T398" i="6"/>
  <c r="T383" i="6"/>
  <c r="T384" i="6" s="1"/>
  <c r="T385" i="6" s="1"/>
  <c r="X382" i="6"/>
  <c r="U386" i="6"/>
  <c r="U387" i="6" s="1"/>
  <c r="U388" i="6" s="1"/>
  <c r="U389" i="6" s="1"/>
  <c r="V390" i="6" s="1"/>
  <c r="V391" i="6" s="1"/>
  <c r="V392" i="6" s="1"/>
  <c r="V393" i="6" s="1"/>
  <c r="W394" i="6" s="1"/>
  <c r="W395" i="6" s="1"/>
  <c r="W396" i="6" s="1"/>
  <c r="W397" i="6" s="1"/>
  <c r="X358" i="6"/>
  <c r="Y355" i="6"/>
  <c r="Z352" i="6"/>
  <c r="Z328" i="6"/>
  <c r="Y331" i="6"/>
  <c r="Z316" i="6"/>
  <c r="AA313" i="6"/>
  <c r="B352" i="6" a="1"/>
  <c r="B301" i="6" a="1"/>
  <c r="B325" i="6" a="1"/>
  <c r="B316" i="6" a="1"/>
  <c r="B382" i="6" a="1"/>
  <c r="B358" i="6" a="1"/>
  <c r="B340" i="6" a="1"/>
  <c r="B337" i="6" a="1"/>
  <c r="B328" i="6" a="1"/>
  <c r="B367" i="6" a="1"/>
  <c r="B370" i="6" a="1"/>
  <c r="B313" i="6" a="1"/>
  <c r="B355" i="6" a="1"/>
  <c r="B331" i="6" a="1"/>
  <c r="B343" i="6" a="1"/>
  <c r="B346" i="6" a="1"/>
  <c r="B352" i="6" l="1"/>
  <c r="B358" i="6"/>
  <c r="B382" i="6"/>
  <c r="B370" i="6"/>
  <c r="B367" i="6"/>
  <c r="B346" i="6"/>
  <c r="B343" i="6"/>
  <c r="B328" i="6"/>
  <c r="B331" i="6"/>
  <c r="B355" i="6"/>
  <c r="B337" i="6"/>
  <c r="B313" i="6"/>
  <c r="B340" i="6"/>
  <c r="B316" i="6"/>
  <c r="B325" i="6"/>
  <c r="B301" i="6"/>
  <c r="AA329" i="6"/>
  <c r="Z332" i="6"/>
  <c r="AA341" i="6"/>
  <c r="AA317" i="6"/>
  <c r="Z356" i="6"/>
  <c r="AA353" i="6"/>
  <c r="X362" i="6"/>
  <c r="Y359" i="6"/>
  <c r="X386" i="6"/>
  <c r="Y383" i="6"/>
  <c r="X398" i="6"/>
  <c r="U402" i="6"/>
  <c r="U403" i="6" s="1"/>
  <c r="U404" i="6" s="1"/>
  <c r="U405" i="6" s="1"/>
  <c r="V406" i="6" s="1"/>
  <c r="V407" i="6" s="1"/>
  <c r="V408" i="6" s="1"/>
  <c r="V409" i="6" s="1"/>
  <c r="W410" i="6" s="1"/>
  <c r="W411" i="6" s="1"/>
  <c r="W412" i="6" s="1"/>
  <c r="W413" i="6" s="1"/>
  <c r="T399" i="6"/>
  <c r="T400" i="6" s="1"/>
  <c r="T401" i="6" s="1"/>
  <c r="X374" i="6"/>
  <c r="Z368" i="6"/>
  <c r="Y371" i="6"/>
  <c r="Y347" i="6"/>
  <c r="Z344" i="6"/>
  <c r="B371" i="6" a="1"/>
  <c r="B356" i="6" a="1"/>
  <c r="B362" i="6" a="1"/>
  <c r="B329" i="6" a="1"/>
  <c r="B341" i="6" a="1"/>
  <c r="B353" i="6" a="1"/>
  <c r="B359" i="6" a="1"/>
  <c r="B347" i="6" a="1"/>
  <c r="B386" i="6" a="1"/>
  <c r="B374" i="6" a="1"/>
  <c r="B368" i="6" a="1"/>
  <c r="B332" i="6" a="1"/>
  <c r="B344" i="6" a="1"/>
  <c r="B383" i="6" a="1"/>
  <c r="B317" i="6" a="1"/>
  <c r="B398" i="6" a="1"/>
  <c r="B368" i="6" l="1"/>
  <c r="B374" i="6"/>
  <c r="B398" i="6"/>
  <c r="B383" i="6"/>
  <c r="B386" i="6"/>
  <c r="B347" i="6"/>
  <c r="B359" i="6"/>
  <c r="B353" i="6"/>
  <c r="B356" i="6"/>
  <c r="B341" i="6"/>
  <c r="B329" i="6"/>
  <c r="B371" i="6"/>
  <c r="B362" i="6"/>
  <c r="B317" i="6"/>
  <c r="B344" i="6"/>
  <c r="B332" i="6"/>
  <c r="Z348" i="6"/>
  <c r="Z360" i="6"/>
  <c r="AA357" i="6"/>
  <c r="Y363" i="6"/>
  <c r="AA345" i="6"/>
  <c r="AA333" i="6"/>
  <c r="Z372" i="6"/>
  <c r="AA369" i="6"/>
  <c r="Y375" i="6"/>
  <c r="X378" i="6"/>
  <c r="X402" i="6"/>
  <c r="Y399" i="6"/>
  <c r="Y387" i="6"/>
  <c r="Z384" i="6"/>
  <c r="X390" i="6"/>
  <c r="B363" i="6" a="1"/>
  <c r="B348" i="6" a="1"/>
  <c r="B357" i="6" a="1"/>
  <c r="B378" i="6" a="1"/>
  <c r="B333" i="6" a="1"/>
  <c r="B369" i="6" a="1"/>
  <c r="B402" i="6" a="1"/>
  <c r="B390" i="6" a="1"/>
  <c r="B345" i="6" a="1"/>
  <c r="B372" i="6" a="1"/>
  <c r="B387" i="6" a="1"/>
  <c r="B399" i="6" a="1"/>
  <c r="B375" i="6" a="1"/>
  <c r="B384" i="6" a="1"/>
  <c r="B360" i="6" a="1"/>
  <c r="B390" i="6" l="1"/>
  <c r="B384" i="6"/>
  <c r="B399" i="6"/>
  <c r="B402" i="6"/>
  <c r="B378" i="6"/>
  <c r="B375" i="6"/>
  <c r="B369" i="6"/>
  <c r="B387" i="6"/>
  <c r="B372" i="6"/>
  <c r="B345" i="6"/>
  <c r="B357" i="6"/>
  <c r="B348" i="6"/>
  <c r="B333" i="6"/>
  <c r="B363" i="6"/>
  <c r="B360" i="6"/>
  <c r="AA349" i="6"/>
  <c r="Z364" i="6"/>
  <c r="AA361" i="6"/>
  <c r="X394" i="6"/>
  <c r="Y391" i="6"/>
  <c r="AA385" i="6"/>
  <c r="Z388" i="6"/>
  <c r="Y403" i="6"/>
  <c r="Z400" i="6"/>
  <c r="X406" i="6"/>
  <c r="Y379" i="6"/>
  <c r="Z376" i="6"/>
  <c r="AA373" i="6"/>
  <c r="B361" i="6" a="1"/>
  <c r="B394" i="6" a="1"/>
  <c r="B391" i="6" a="1"/>
  <c r="B400" i="6" a="1"/>
  <c r="B406" i="6" a="1"/>
  <c r="B379" i="6" a="1"/>
  <c r="B385" i="6" a="1"/>
  <c r="B403" i="6" a="1"/>
  <c r="B373" i="6" a="1"/>
  <c r="B364" i="6" a="1"/>
  <c r="B376" i="6" a="1"/>
  <c r="B349" i="6" a="1"/>
  <c r="B388" i="6" a="1"/>
  <c r="B376" i="6" l="1"/>
  <c r="B379" i="6"/>
  <c r="B406" i="6"/>
  <c r="B400" i="6"/>
  <c r="B391" i="6"/>
  <c r="B394" i="6"/>
  <c r="B361" i="6"/>
  <c r="B364" i="6"/>
  <c r="B349" i="6"/>
  <c r="B373" i="6"/>
  <c r="B403" i="6"/>
  <c r="B388" i="6"/>
  <c r="B385" i="6"/>
  <c r="AA365" i="6"/>
  <c r="AA389" i="6"/>
  <c r="AA377" i="6"/>
  <c r="Z380" i="6"/>
  <c r="X410" i="6"/>
  <c r="Y407" i="6"/>
  <c r="AA401" i="6"/>
  <c r="Z404" i="6"/>
  <c r="Z392" i="6"/>
  <c r="Y395" i="6"/>
  <c r="B401" i="6" a="1"/>
  <c r="B389" i="6" a="1"/>
  <c r="B377" i="6" a="1"/>
  <c r="B404" i="6" a="1"/>
  <c r="B392" i="6" a="1"/>
  <c r="B395" i="6" a="1"/>
  <c r="B380" i="6" a="1"/>
  <c r="B365" i="6" a="1"/>
  <c r="B410" i="6" a="1"/>
  <c r="B407" i="6" a="1"/>
  <c r="B401" i="6" l="1"/>
  <c r="B407" i="6"/>
  <c r="B410" i="6"/>
  <c r="B365" i="6"/>
  <c r="B380" i="6"/>
  <c r="B377" i="6"/>
  <c r="B395" i="6"/>
  <c r="B389" i="6"/>
  <c r="B392" i="6"/>
  <c r="B404" i="6"/>
  <c r="AA381" i="6"/>
  <c r="Z396" i="6"/>
  <c r="AA393" i="6"/>
  <c r="AA405" i="6"/>
  <c r="Z408" i="6"/>
  <c r="Y411" i="6"/>
  <c r="B381" i="6" a="1"/>
  <c r="B393" i="6" a="1"/>
  <c r="B411" i="6" a="1"/>
  <c r="B408" i="6" a="1"/>
  <c r="B405" i="6" a="1"/>
  <c r="B396" i="6" a="1"/>
  <c r="B411" i="6" l="1"/>
  <c r="B408" i="6"/>
  <c r="B396" i="6"/>
  <c r="B405" i="6"/>
  <c r="B393" i="6"/>
  <c r="B381" i="6"/>
  <c r="AA397" i="6"/>
  <c r="Z412" i="6"/>
  <c r="AA409" i="6"/>
  <c r="B412" i="6" a="1"/>
  <c r="B409" i="6" a="1"/>
  <c r="B397" i="6" a="1"/>
  <c r="B397" i="6" l="1"/>
  <c r="B409" i="6"/>
  <c r="B412" i="6"/>
  <c r="AA413" i="6"/>
  <c r="B413" i="6" a="1"/>
  <c r="B413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<sst xmlns="http://schemas.openxmlformats.org/spreadsheetml/2006/main" count="545" uniqueCount="444">
  <si>
    <t>Live</t>
  </si>
  <si>
    <t>Wind</t>
  </si>
  <si>
    <t>Dead</t>
  </si>
  <si>
    <t>Load type</t>
  </si>
  <si>
    <t>Giải thích</t>
  </si>
  <si>
    <t>Name</t>
  </si>
  <si>
    <t>SuperDead</t>
  </si>
  <si>
    <t>ReduceLive</t>
  </si>
  <si>
    <t>Quake</t>
  </si>
  <si>
    <t>Snow</t>
  </si>
  <si>
    <t>Other</t>
  </si>
  <si>
    <t>Temperature</t>
  </si>
  <si>
    <t>Rooflive</t>
  </si>
  <si>
    <t>Notional</t>
  </si>
  <si>
    <t>PatternLive</t>
  </si>
  <si>
    <t>Combination</t>
  </si>
  <si>
    <t>D</t>
  </si>
  <si>
    <t>SDL</t>
  </si>
  <si>
    <t>BW</t>
  </si>
  <si>
    <t>COL</t>
  </si>
  <si>
    <t>SOIL</t>
  </si>
  <si>
    <t>WATER</t>
  </si>
  <si>
    <t>LLB</t>
  </si>
  <si>
    <t>Lr</t>
  </si>
  <si>
    <t>LLE</t>
  </si>
  <si>
    <t>Wx+1</t>
  </si>
  <si>
    <t>Wx+2</t>
  </si>
  <si>
    <t>Wx-1</t>
  </si>
  <si>
    <t>Wx-2</t>
  </si>
  <si>
    <t>Wy+1</t>
  </si>
  <si>
    <t>Wy+2</t>
  </si>
  <si>
    <t>Wy-1</t>
  </si>
  <si>
    <t>Wy-2</t>
  </si>
  <si>
    <t>TT1</t>
  </si>
  <si>
    <t>TT2</t>
  </si>
  <si>
    <t>TT3</t>
  </si>
  <si>
    <t>TT4</t>
  </si>
  <si>
    <t>TT5</t>
  </si>
  <si>
    <t>TT6</t>
  </si>
  <si>
    <t>TT7</t>
  </si>
  <si>
    <t>TT8</t>
  </si>
  <si>
    <t>TT9</t>
  </si>
  <si>
    <t>TT10</t>
  </si>
  <si>
    <t>TT11</t>
  </si>
  <si>
    <t>TT12</t>
  </si>
  <si>
    <t>TT13</t>
  </si>
  <si>
    <t>TT14</t>
  </si>
  <si>
    <t>TT15</t>
  </si>
  <si>
    <t>TT16</t>
  </si>
  <si>
    <t>TT17</t>
  </si>
  <si>
    <t>TT18</t>
  </si>
  <si>
    <t>TT19</t>
  </si>
  <si>
    <t>TT20</t>
  </si>
  <si>
    <t>TT21</t>
  </si>
  <si>
    <t>TT22</t>
  </si>
  <si>
    <t>TT23</t>
  </si>
  <si>
    <t>TT24</t>
  </si>
  <si>
    <t>TT25</t>
  </si>
  <si>
    <t>TT26</t>
  </si>
  <si>
    <t>TT27</t>
  </si>
  <si>
    <t>TT28</t>
  </si>
  <si>
    <t>TT29</t>
  </si>
  <si>
    <t>TT30</t>
  </si>
  <si>
    <t>TT31</t>
  </si>
  <si>
    <t>TT32</t>
  </si>
  <si>
    <t>TT33</t>
  </si>
  <si>
    <t>TT34</t>
  </si>
  <si>
    <t>TT35</t>
  </si>
  <si>
    <t>TT36</t>
  </si>
  <si>
    <t>TT37</t>
  </si>
  <si>
    <t>TT38</t>
  </si>
  <si>
    <t>TT39</t>
  </si>
  <si>
    <t>TT40</t>
  </si>
  <si>
    <t>TT41</t>
  </si>
  <si>
    <t>TT42</t>
  </si>
  <si>
    <t>TT43</t>
  </si>
  <si>
    <t>TT44</t>
  </si>
  <si>
    <t>TT45</t>
  </si>
  <si>
    <t>TT46</t>
  </si>
  <si>
    <t>TT47</t>
  </si>
  <si>
    <t>TT48</t>
  </si>
  <si>
    <t>TT49</t>
  </si>
  <si>
    <t>TT50</t>
  </si>
  <si>
    <t>TT51</t>
  </si>
  <si>
    <t>TT52</t>
  </si>
  <si>
    <t>TT53</t>
  </si>
  <si>
    <t>TT54</t>
  </si>
  <si>
    <t>TT55</t>
  </si>
  <si>
    <t>TT56</t>
  </si>
  <si>
    <t>TT57</t>
  </si>
  <si>
    <t>TT58</t>
  </si>
  <si>
    <t>TT59</t>
  </si>
  <si>
    <t>TT60</t>
  </si>
  <si>
    <t>TT61</t>
  </si>
  <si>
    <t>TT62</t>
  </si>
  <si>
    <t>TT63</t>
  </si>
  <si>
    <t>TT64</t>
  </si>
  <si>
    <t>TT65</t>
  </si>
  <si>
    <t>TT66</t>
  </si>
  <si>
    <t>TT67</t>
  </si>
  <si>
    <t>TT68</t>
  </si>
  <si>
    <t>TT69</t>
  </si>
  <si>
    <t>TT70</t>
  </si>
  <si>
    <t>TT71</t>
  </si>
  <si>
    <t>TT72</t>
  </si>
  <si>
    <t>TT73</t>
  </si>
  <si>
    <t>TT74</t>
  </si>
  <si>
    <t>TT75</t>
  </si>
  <si>
    <t>TT76</t>
  </si>
  <si>
    <t>TT77</t>
  </si>
  <si>
    <t>TT78</t>
  </si>
  <si>
    <t>CR11</t>
  </si>
  <si>
    <t>CR12</t>
  </si>
  <si>
    <t>CR13</t>
  </si>
  <si>
    <t>CR14</t>
  </si>
  <si>
    <t>CR21</t>
  </si>
  <si>
    <t>CR22</t>
  </si>
  <si>
    <t>CR23</t>
  </si>
  <si>
    <t>CR24</t>
  </si>
  <si>
    <t>TT79</t>
  </si>
  <si>
    <t>TT80</t>
  </si>
  <si>
    <t>TT81</t>
  </si>
  <si>
    <t>TT82</t>
  </si>
  <si>
    <t>TT83</t>
  </si>
  <si>
    <t>TT84</t>
  </si>
  <si>
    <t>TT85</t>
  </si>
  <si>
    <t>TT86</t>
  </si>
  <si>
    <t>TT87</t>
  </si>
  <si>
    <t>TT88</t>
  </si>
  <si>
    <t>TT89</t>
  </si>
  <si>
    <t>TT90</t>
  </si>
  <si>
    <t>TT91</t>
  </si>
  <si>
    <t>TT92</t>
  </si>
  <si>
    <t>TT93</t>
  </si>
  <si>
    <t>TT94</t>
  </si>
  <si>
    <t>TT95</t>
  </si>
  <si>
    <t>TT96</t>
  </si>
  <si>
    <t>TT97</t>
  </si>
  <si>
    <t>TT98</t>
  </si>
  <si>
    <t>TT99</t>
  </si>
  <si>
    <t>TT100</t>
  </si>
  <si>
    <t>TT101</t>
  </si>
  <si>
    <t>TT102</t>
  </si>
  <si>
    <t>TT103</t>
  </si>
  <si>
    <t>TT104</t>
  </si>
  <si>
    <t>TT105</t>
  </si>
  <si>
    <t>TT106</t>
  </si>
  <si>
    <t>TT107</t>
  </si>
  <si>
    <t>TT108</t>
  </si>
  <si>
    <t>TT109</t>
  </si>
  <si>
    <t>TT110</t>
  </si>
  <si>
    <t>TT111</t>
  </si>
  <si>
    <t>TT112</t>
  </si>
  <si>
    <t>TT113</t>
  </si>
  <si>
    <t>TT114</t>
  </si>
  <si>
    <t>TT115</t>
  </si>
  <si>
    <t>TT116</t>
  </si>
  <si>
    <t>TT117</t>
  </si>
  <si>
    <t>TT118</t>
  </si>
  <si>
    <t>TT119</t>
  </si>
  <si>
    <t>TT120</t>
  </si>
  <si>
    <t>TT121</t>
  </si>
  <si>
    <t>TT122</t>
  </si>
  <si>
    <t>TT123</t>
  </si>
  <si>
    <t>TT124</t>
  </si>
  <si>
    <t>TT125</t>
  </si>
  <si>
    <t>TT126</t>
  </si>
  <si>
    <t>TT127</t>
  </si>
  <si>
    <t>TT128</t>
  </si>
  <si>
    <t>TT129</t>
  </si>
  <si>
    <t>TT130</t>
  </si>
  <si>
    <t>TT131</t>
  </si>
  <si>
    <t>TT132</t>
  </si>
  <si>
    <t>TT133</t>
  </si>
  <si>
    <t>TT134</t>
  </si>
  <si>
    <t>TT135</t>
  </si>
  <si>
    <t>TT136</t>
  </si>
  <si>
    <t>TT137</t>
  </si>
  <si>
    <t>TT138</t>
  </si>
  <si>
    <t>TT139</t>
  </si>
  <si>
    <t>TT140</t>
  </si>
  <si>
    <t>TT141</t>
  </si>
  <si>
    <t>TT142</t>
  </si>
  <si>
    <t>TT143</t>
  </si>
  <si>
    <t>TT144</t>
  </si>
  <si>
    <t>TT145</t>
  </si>
  <si>
    <t>TT146</t>
  </si>
  <si>
    <t>TT147</t>
  </si>
  <si>
    <t>TT148</t>
  </si>
  <si>
    <t>TT149</t>
  </si>
  <si>
    <t>TT150</t>
  </si>
  <si>
    <t>TT151</t>
  </si>
  <si>
    <t>TT152</t>
  </si>
  <si>
    <t>TT153</t>
  </si>
  <si>
    <t>TT154</t>
  </si>
  <si>
    <t>TT155</t>
  </si>
  <si>
    <t>TT156</t>
  </si>
  <si>
    <t>TT157</t>
  </si>
  <si>
    <t>TT158</t>
  </si>
  <si>
    <t>TT159</t>
  </si>
  <si>
    <t>TT160</t>
  </si>
  <si>
    <t>TT161</t>
  </si>
  <si>
    <t>TT162</t>
  </si>
  <si>
    <t>TT163</t>
  </si>
  <si>
    <t>TT164</t>
  </si>
  <si>
    <t>TT165</t>
  </si>
  <si>
    <t>TT166</t>
  </si>
  <si>
    <t>TT167</t>
  </si>
  <si>
    <t>TT168</t>
  </si>
  <si>
    <t>TT169</t>
  </si>
  <si>
    <t>TT170</t>
  </si>
  <si>
    <t>TT171</t>
  </si>
  <si>
    <t>TT172</t>
  </si>
  <si>
    <t>TT173</t>
  </si>
  <si>
    <t>TT174</t>
  </si>
  <si>
    <t>TT175</t>
  </si>
  <si>
    <t>TT176</t>
  </si>
  <si>
    <t>TT177</t>
  </si>
  <si>
    <t>TT178</t>
  </si>
  <si>
    <t>TT179</t>
  </si>
  <si>
    <t>TT180</t>
  </si>
  <si>
    <t>TT181</t>
  </si>
  <si>
    <t>TT182</t>
  </si>
  <si>
    <t>TT183</t>
  </si>
  <si>
    <t>TT184</t>
  </si>
  <si>
    <t>TT185</t>
  </si>
  <si>
    <t>TT186</t>
  </si>
  <si>
    <t>TT187</t>
  </si>
  <si>
    <t>TT188</t>
  </si>
  <si>
    <t>TT189</t>
  </si>
  <si>
    <t>TT190</t>
  </si>
  <si>
    <t>TT191</t>
  </si>
  <si>
    <t>TT192</t>
  </si>
  <si>
    <t>TT193</t>
  </si>
  <si>
    <t>TT194</t>
  </si>
  <si>
    <t>TT195</t>
  </si>
  <si>
    <t>TT196</t>
  </si>
  <si>
    <t>TT197</t>
  </si>
  <si>
    <t>TT198</t>
  </si>
  <si>
    <t>TT199</t>
  </si>
  <si>
    <t>TT200</t>
  </si>
  <si>
    <t>TT201</t>
  </si>
  <si>
    <t>TT202</t>
  </si>
  <si>
    <t>TT203</t>
  </si>
  <si>
    <t>TT204</t>
  </si>
  <si>
    <t>TT205</t>
  </si>
  <si>
    <t>TT206</t>
  </si>
  <si>
    <t>TT207</t>
  </si>
  <si>
    <t>TT208</t>
  </si>
  <si>
    <t>TT209</t>
  </si>
  <si>
    <t>TT210</t>
  </si>
  <si>
    <t>TT211</t>
  </si>
  <si>
    <t>TT212</t>
  </si>
  <si>
    <t>TT213</t>
  </si>
  <si>
    <t>TT214</t>
  </si>
  <si>
    <t>TT215</t>
  </si>
  <si>
    <t>TT216</t>
  </si>
  <si>
    <t>TT217</t>
  </si>
  <si>
    <t>TT218</t>
  </si>
  <si>
    <t>TT219</t>
  </si>
  <si>
    <t>TT220</t>
  </si>
  <si>
    <t>TT221</t>
  </si>
  <si>
    <t>TT222</t>
  </si>
  <si>
    <t>TT223</t>
  </si>
  <si>
    <t>TT224</t>
  </si>
  <si>
    <t>TT225</t>
  </si>
  <si>
    <t>TT226</t>
  </si>
  <si>
    <t>TT227</t>
  </si>
  <si>
    <t>TT228</t>
  </si>
  <si>
    <t>TT229</t>
  </si>
  <si>
    <t>TT230</t>
  </si>
  <si>
    <t>TT231</t>
  </si>
  <si>
    <t>TT232</t>
  </si>
  <si>
    <t>TT233</t>
  </si>
  <si>
    <t>TT234</t>
  </si>
  <si>
    <t>TT235</t>
  </si>
  <si>
    <t>TT236</t>
  </si>
  <si>
    <t>TT237</t>
  </si>
  <si>
    <t>TT238</t>
  </si>
  <si>
    <t>TT239</t>
  </si>
  <si>
    <t>TT240</t>
  </si>
  <si>
    <t>TT241</t>
  </si>
  <si>
    <t>TT242</t>
  </si>
  <si>
    <t>TT243</t>
  </si>
  <si>
    <t>TT244</t>
  </si>
  <si>
    <t>TT245</t>
  </si>
  <si>
    <t>TT246</t>
  </si>
  <si>
    <t>TT247</t>
  </si>
  <si>
    <t>TT248</t>
  </si>
  <si>
    <t>TT249</t>
  </si>
  <si>
    <t>TT250</t>
  </si>
  <si>
    <t>TT251</t>
  </si>
  <si>
    <t>TT252</t>
  </si>
  <si>
    <t>TT253</t>
  </si>
  <si>
    <t>TT254</t>
  </si>
  <si>
    <t>TT255</t>
  </si>
  <si>
    <t>TT256</t>
  </si>
  <si>
    <t>TT257</t>
  </si>
  <si>
    <t>TT258</t>
  </si>
  <si>
    <t>TT259</t>
  </si>
  <si>
    <t>TT260</t>
  </si>
  <si>
    <t>TT261</t>
  </si>
  <si>
    <t>TT262</t>
  </si>
  <si>
    <t>TT263</t>
  </si>
  <si>
    <t>TT264</t>
  </si>
  <si>
    <t>TT265</t>
  </si>
  <si>
    <t>TT266</t>
  </si>
  <si>
    <t>TT267</t>
  </si>
  <si>
    <t>TT268</t>
  </si>
  <si>
    <t>TT269</t>
  </si>
  <si>
    <t>TT270</t>
  </si>
  <si>
    <t>TT271</t>
  </si>
  <si>
    <t>TT272</t>
  </si>
  <si>
    <t>TT273</t>
  </si>
  <si>
    <t>TT274</t>
  </si>
  <si>
    <t>TT275</t>
  </si>
  <si>
    <t>TT276</t>
  </si>
  <si>
    <t>TT277</t>
  </si>
  <si>
    <t>TT278</t>
  </si>
  <si>
    <t>TT279</t>
  </si>
  <si>
    <t>TT280</t>
  </si>
  <si>
    <t>TT281</t>
  </si>
  <si>
    <t>TT282</t>
  </si>
  <si>
    <t>TT283</t>
  </si>
  <si>
    <t>TT284</t>
  </si>
  <si>
    <t>TT285</t>
  </si>
  <si>
    <t>TT286</t>
  </si>
  <si>
    <t>TT287</t>
  </si>
  <si>
    <t>TT288</t>
  </si>
  <si>
    <t>TT289</t>
  </si>
  <si>
    <t>TT290</t>
  </si>
  <si>
    <t>TT291</t>
  </si>
  <si>
    <t>TT292</t>
  </si>
  <si>
    <t>TT293</t>
  </si>
  <si>
    <t>TT294</t>
  </si>
  <si>
    <t>TT295</t>
  </si>
  <si>
    <t>TT296</t>
  </si>
  <si>
    <t>TT297</t>
  </si>
  <si>
    <t>TT298</t>
  </si>
  <si>
    <t>TT299</t>
  </si>
  <si>
    <t>TT300</t>
  </si>
  <si>
    <t>TT301</t>
  </si>
  <si>
    <t>TT302</t>
  </si>
  <si>
    <t>TT303</t>
  </si>
  <si>
    <t>TT304</t>
  </si>
  <si>
    <t>TT305</t>
  </si>
  <si>
    <t>TT306</t>
  </si>
  <si>
    <t>TT307</t>
  </si>
  <si>
    <t>TT308</t>
  </si>
  <si>
    <t>TT309</t>
  </si>
  <si>
    <t>TT310</t>
  </si>
  <si>
    <t>TT311</t>
  </si>
  <si>
    <t>TT312</t>
  </si>
  <si>
    <t>TT313</t>
  </si>
  <si>
    <t>TT314</t>
  </si>
  <si>
    <t>TT315</t>
  </si>
  <si>
    <t>TT316</t>
  </si>
  <si>
    <t>TT317</t>
  </si>
  <si>
    <t>TT318</t>
  </si>
  <si>
    <t>TT319</t>
  </si>
  <si>
    <t>TT320</t>
  </si>
  <si>
    <t>TT321</t>
  </si>
  <si>
    <t>TT322</t>
  </si>
  <si>
    <t>TT323</t>
  </si>
  <si>
    <t>TT324</t>
  </si>
  <si>
    <t>TT325</t>
  </si>
  <si>
    <t>TT326</t>
  </si>
  <si>
    <t>TT327</t>
  </si>
  <si>
    <t>TT328</t>
  </si>
  <si>
    <t>TT329</t>
  </si>
  <si>
    <t>TT330</t>
  </si>
  <si>
    <t>TT331</t>
  </si>
  <si>
    <t>TT332</t>
  </si>
  <si>
    <t>TT333</t>
  </si>
  <si>
    <t>TT334</t>
  </si>
  <si>
    <t>TT335</t>
  </si>
  <si>
    <t>TT336</t>
  </si>
  <si>
    <t>TT337</t>
  </si>
  <si>
    <t>TT338</t>
  </si>
  <si>
    <t>TT339</t>
  </si>
  <si>
    <t>TT340</t>
  </si>
  <si>
    <t>TT341</t>
  </si>
  <si>
    <t>TT342</t>
  </si>
  <si>
    <t>TT343</t>
  </si>
  <si>
    <t>TT344</t>
  </si>
  <si>
    <t>TT345</t>
  </si>
  <si>
    <t>TT346</t>
  </si>
  <si>
    <t>TT347</t>
  </si>
  <si>
    <t>TT348</t>
  </si>
  <si>
    <t>TT349</t>
  </si>
  <si>
    <t>TT350</t>
  </si>
  <si>
    <t>TT351</t>
  </si>
  <si>
    <t>TT352</t>
  </si>
  <si>
    <t>TT353</t>
  </si>
  <si>
    <t>TT354</t>
  </si>
  <si>
    <t>TT355</t>
  </si>
  <si>
    <t>TT356</t>
  </si>
  <si>
    <t>TT357</t>
  </si>
  <si>
    <t>TT358</t>
  </si>
  <si>
    <t>TT359</t>
  </si>
  <si>
    <t>TT360</t>
  </si>
  <si>
    <t>TT361</t>
  </si>
  <si>
    <t>TT362</t>
  </si>
  <si>
    <t>TT363</t>
  </si>
  <si>
    <t>TT364</t>
  </si>
  <si>
    <t>TT365</t>
  </si>
  <si>
    <t>TT366</t>
  </si>
  <si>
    <t>TT367</t>
  </si>
  <si>
    <t>TT368</t>
  </si>
  <si>
    <t>TT369</t>
  </si>
  <si>
    <t>TT370</t>
  </si>
  <si>
    <t>TT371</t>
  </si>
  <si>
    <t>TT372</t>
  </si>
  <si>
    <t>TT373</t>
  </si>
  <si>
    <t>TT374</t>
  </si>
  <si>
    <t>TT375</t>
  </si>
  <si>
    <t>TT376</t>
  </si>
  <si>
    <t>TT377</t>
  </si>
  <si>
    <t>TT378</t>
  </si>
  <si>
    <t>TT379</t>
  </si>
  <si>
    <t>TT380</t>
  </si>
  <si>
    <t>TT381</t>
  </si>
  <si>
    <t>TT382</t>
  </si>
  <si>
    <t>TT383</t>
  </si>
  <si>
    <t>TT384</t>
  </si>
  <si>
    <t>TT385</t>
  </si>
  <si>
    <t>TT386</t>
  </si>
  <si>
    <t>TT387</t>
  </si>
  <si>
    <t>TT388</t>
  </si>
  <si>
    <t>TT389</t>
  </si>
  <si>
    <t>TT390</t>
  </si>
  <si>
    <t>TT391</t>
  </si>
  <si>
    <t>TT392</t>
  </si>
  <si>
    <t>TT393</t>
  </si>
  <si>
    <t>TT394</t>
  </si>
  <si>
    <t>TT395</t>
  </si>
  <si>
    <t>TT396</t>
  </si>
  <si>
    <t>TT397</t>
  </si>
  <si>
    <t>TT398</t>
  </si>
  <si>
    <t>TT399</t>
  </si>
  <si>
    <t>TT400</t>
  </si>
  <si>
    <t>TT401</t>
  </si>
  <si>
    <t>TT402</t>
  </si>
  <si>
    <t>Hệ số tổ hợp (xem lý thuyết sheet LT)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</si>
</sst>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  <font>
      <sz val="8"/>
      <name val="Calibri"/>
      <family val="2"/>
      <scheme val="minor"/>
    </font>
    <font>
      <sz val="10"/>
      <color rgb="FF13499C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6"/>
      <color rgb="FF0000CC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3" fillId="3" borderId="2" applyNumberFormat="0" applyAlignment="0" applyProtection="0"/>
    <xf numFmtId="0" fontId="5" fillId="4" borderId="0" applyNumberFormat="0" applyBorder="0" applyAlignment="0" applyProtection="0"/>
    <xf numFmtId="0" fontId="6" fillId="5" borderId="2" applyNumberFormat="0" applyAlignment="0" applyProtection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1" fillId="0" borderId="1" xfId="0" applyFont="1" applyBorder="1"/>
    <xf numFmtId="0" fontId="4" fillId="4" borderId="1" xfId="2" applyFont="1" applyBorder="1" applyAlignment="1">
      <alignment horizontal="center" vertical="center"/>
    </xf>
    <xf numFmtId="0" fontId="1" fillId="0" borderId="0" xfId="0" applyFont="1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/>
    <xf numFmtId="0" fontId="0" fillId="0" borderId="4" xfId="0" applyBorder="1"/>
    <xf numFmtId="0" fontId="0" fillId="0" borderId="4" xfId="0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6" xfId="0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6" fillId="5" borderId="2" xfId="3" applyAlignment="1">
      <alignment horizontal="center" vertical="center"/>
    </xf>
    <xf numFmtId="0" fontId="4" fillId="4" borderId="3" xfId="2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4">
    <cellStyle name="Accent1" xfId="2" builtinId="29"/>
    <cellStyle name="Calculation" xfId="3" builtinId="22"/>
    <cellStyle name="Input 2" xfId="1" xr:uid="{AB773100-D783-4B38-B649-AC0D668A1330}"/>
    <cellStyle name="Normal" xfId="0" builtinId="0"/>
  </cellStyles>
  <dxfs count="12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13473</xdr:colOff>
      <xdr:row>17</xdr:row>
      <xdr:rowOff>87069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F5BCE79-357A-F14F-C2DC-A08826BBA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767073" cy="332556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\Downloads\1A%20-%20LOAD%20APPLICATION%20AND%20PURLIN%20-%20Under%2018m%20-%20R22.2.xlsm" TargetMode="External"/><Relationship Id="rId1" Type="http://schemas.openxmlformats.org/officeDocument/2006/relationships/externalLinkPath" Target="https://d.docs.live.net/Users/DELL/Downloads/1A%20-%20LOAD%20APPLICATION%20AND%20PURLIN%20-%20Under%2018m%20-%20R22.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SIGN SHEET OF BMB"/>
      <sheetName val="1-TM"/>
      <sheetName val="1"/>
      <sheetName val="1-Parapet"/>
      <sheetName val="1-Autoload"/>
      <sheetName val="1-Canopy"/>
      <sheetName val="2"/>
      <sheetName val="3-TM"/>
      <sheetName val="3"/>
      <sheetName val="3-1A"/>
      <sheetName val="3-1B"/>
      <sheetName val="3-2A"/>
      <sheetName val="3-2B"/>
      <sheetName val="3-3A"/>
      <sheetName val="3-3B"/>
      <sheetName val="3-4A"/>
      <sheetName val="3-4B"/>
      <sheetName val="3-5"/>
      <sheetName val="4-TM"/>
      <sheetName val="4"/>
      <sheetName val="4-1A"/>
      <sheetName val="4-1B"/>
      <sheetName val="4-2A"/>
      <sheetName val="4-2B"/>
      <sheetName val="4-3A"/>
      <sheetName val="4-3B"/>
      <sheetName val="4-4A"/>
      <sheetName val="4-4B"/>
      <sheetName val="4-5"/>
      <sheetName val="5"/>
      <sheetName val="6A"/>
      <sheetName val="6-A"/>
      <sheetName val="6-B"/>
      <sheetName val="6B"/>
      <sheetName val="6-A (2)"/>
      <sheetName val="6-B (2)"/>
      <sheetName val="7"/>
      <sheetName val="7-1A"/>
      <sheetName val="7-1B"/>
      <sheetName val="7-2A"/>
      <sheetName val="7-2B"/>
      <sheetName val="7-3"/>
      <sheetName val="8"/>
      <sheetName val="8-1A"/>
      <sheetName val="8-1B"/>
      <sheetName val="8-2A"/>
      <sheetName val="8-2B"/>
      <sheetName val="8-3"/>
      <sheetName val="9"/>
      <sheetName val="Autoload"/>
      <sheetName val="ControlPanel"/>
      <sheetName val="BT"/>
      <sheetName val="10"/>
      <sheetName val="GEN-TUBE."/>
      <sheetName val="DETAIL-TUBE"/>
      <sheetName val="DTHH-XG"/>
      <sheetName val="NL-C1"/>
      <sheetName val="NL-RL"/>
      <sheetName val="NL-C2"/>
      <sheetName val="NL-CV2"/>
      <sheetName val="NL-C3"/>
      <sheetName val="NL-CV3"/>
      <sheetName val="NL-C4"/>
      <sheetName val="NL-C5"/>
      <sheetName val="NL-CV5"/>
    </sheetNames>
    <sheetDataSet>
      <sheetData sheetId="0">
        <row r="4">
          <cell r="Q4">
            <v>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00AB1-11B8-404F-A93E-7956969056FB}">
  <sheetPr codeName="Sheet6"/>
  <dimension ref="A1:A13"/>
  <sheetViews>
    <sheetView workbookViewId="0">
      <selection activeCell="D12" sqref="D12"/>
    </sheetView>
  </sheetViews>
  <sheetFormatPr defaultRowHeight="15" x14ac:dyDescent="0.25"/>
  <cols>
    <col min="1" max="1" width="12.5703125" bestFit="1" customWidth="1"/>
  </cols>
  <sheetData>
    <row r="1" spans="1:1" x14ac:dyDescent="0.25">
      <c r="A1" t="s">
        <v>2</v>
      </c>
    </row>
    <row r="2" spans="1:1" x14ac:dyDescent="0.25">
      <c r="A2" t="s">
        <v>6</v>
      </c>
    </row>
    <row r="3" spans="1:1" x14ac:dyDescent="0.25">
      <c r="A3" t="s">
        <v>0</v>
      </c>
    </row>
    <row r="4" spans="1:1" x14ac:dyDescent="0.25">
      <c r="A4" t="s">
        <v>7</v>
      </c>
    </row>
    <row r="5" spans="1:1" x14ac:dyDescent="0.25">
      <c r="A5" t="s">
        <v>8</v>
      </c>
    </row>
    <row r="6" spans="1:1" x14ac:dyDescent="0.25">
      <c r="A6" t="s">
        <v>1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957B3-6F83-43BA-95F4-67102B47140B}">
  <sheetPr codeName="Sheet1">
    <tabColor theme="8"/>
  </sheetPr>
  <dimension ref="A1:CY413"/>
  <sheetViews>
    <sheetView showGridLines="0" tabSelected="1" zoomScaleNormal="100" workbookViewId="0">
      <pane xSplit="2" ySplit="12" topLeftCell="Q13" activePane="bottomRight" state="frozen"/>
      <selection pane="topRight" activeCell="D1" sqref="D1"/>
      <selection pane="bottomLeft" activeCell="A4" sqref="A4"/>
      <selection pane="bottomRight" activeCell="W21" sqref="W21"/>
    </sheetView>
  </sheetViews>
  <sheetFormatPr defaultRowHeight="15" x14ac:dyDescent="0.25"/>
  <cols>
    <col min="1" max="1" width="9.140625" style="4"/>
    <col min="2" max="2" width="89.5703125" style="2" bestFit="1" customWidth="1"/>
    <col min="3" max="27" width="9.140625" style="3"/>
    <col min="28" max="103" width="9.140625" style="2"/>
  </cols>
  <sheetData>
    <row r="1" spans="1:103" ht="22.5" customHeight="1" x14ac:dyDescent="0.25">
      <c r="A1" s="6"/>
      <c r="B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3" t="s">
        <v>443</v>
      </c>
      <c r="U1" s="23"/>
      <c r="V1" s="23"/>
      <c r="W1" s="23"/>
      <c r="X1" s="24">
        <v>0.85</v>
      </c>
      <c r="Y1" s="24"/>
      <c r="Z1" s="24"/>
      <c r="AA1" s="24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</row>
    <row r="2" spans="1:103" hidden="1" x14ac:dyDescent="0.25">
      <c r="A2" s="6"/>
      <c r="B2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</row>
    <row r="3" spans="1:103" hidden="1" x14ac:dyDescent="0.25">
      <c r="A3" s="6"/>
      <c r="B3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</row>
    <row r="4" spans="1:103" hidden="1" x14ac:dyDescent="0.25">
      <c r="A4" s="6"/>
      <c r="B4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</row>
    <row r="5" spans="1:103" hidden="1" x14ac:dyDescent="0.25">
      <c r="A5" s="6"/>
      <c r="B5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</row>
    <row r="6" spans="1:103" hidden="1" x14ac:dyDescent="0.25">
      <c r="A6" s="6"/>
      <c r="B6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</row>
    <row r="7" spans="1:103" hidden="1" x14ac:dyDescent="0.25">
      <c r="A7" s="6"/>
      <c r="B7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</row>
    <row r="8" spans="1:103" hidden="1" x14ac:dyDescent="0.25">
      <c r="A8" s="6"/>
      <c r="B8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</row>
    <row r="9" spans="1:103" hidden="1" x14ac:dyDescent="0.25">
      <c r="A9" s="6"/>
      <c r="B9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</row>
    <row r="10" spans="1:103" x14ac:dyDescent="0.25">
      <c r="A10" s="22" t="s">
        <v>3</v>
      </c>
      <c r="B10" s="22"/>
      <c r="C10" s="7" t="s">
        <v>2</v>
      </c>
      <c r="D10" s="7" t="s">
        <v>6</v>
      </c>
      <c r="E10" s="7" t="s">
        <v>6</v>
      </c>
      <c r="F10" s="7" t="s">
        <v>6</v>
      </c>
      <c r="G10" s="7" t="s">
        <v>6</v>
      </c>
      <c r="H10" s="7" t="s">
        <v>6</v>
      </c>
      <c r="I10" s="7" t="s">
        <v>12</v>
      </c>
      <c r="J10" s="7" t="s">
        <v>0</v>
      </c>
      <c r="K10" s="7" t="s">
        <v>0</v>
      </c>
      <c r="L10" s="7" t="s">
        <v>1</v>
      </c>
      <c r="M10" s="7" t="s">
        <v>1</v>
      </c>
      <c r="N10" s="7" t="s">
        <v>1</v>
      </c>
      <c r="O10" s="7" t="s">
        <v>1</v>
      </c>
      <c r="P10" s="7" t="s">
        <v>1</v>
      </c>
      <c r="Q10" s="7" t="s">
        <v>1</v>
      </c>
      <c r="R10" s="7" t="s">
        <v>1</v>
      </c>
      <c r="S10" s="7" t="s">
        <v>1</v>
      </c>
      <c r="T10" s="7" t="s">
        <v>0</v>
      </c>
      <c r="U10" s="7" t="s">
        <v>0</v>
      </c>
      <c r="V10" s="7" t="s">
        <v>0</v>
      </c>
      <c r="W10" s="7" t="s">
        <v>0</v>
      </c>
      <c r="X10" s="7" t="s">
        <v>0</v>
      </c>
      <c r="Y10" s="7" t="s">
        <v>0</v>
      </c>
      <c r="Z10" s="7" t="s">
        <v>0</v>
      </c>
      <c r="AA10" s="7" t="s">
        <v>0</v>
      </c>
      <c r="AB10" s="7" t="s">
        <v>0</v>
      </c>
      <c r="AC10" s="7" t="s">
        <v>0</v>
      </c>
      <c r="AD10" s="7" t="s">
        <v>0</v>
      </c>
      <c r="AE10" s="7" t="s">
        <v>0</v>
      </c>
      <c r="AF10" s="7" t="s">
        <v>0</v>
      </c>
      <c r="AG10" s="7" t="s">
        <v>0</v>
      </c>
      <c r="AH10" s="7" t="s">
        <v>0</v>
      </c>
      <c r="AI10" s="7" t="s">
        <v>0</v>
      </c>
      <c r="AJ10" s="7" t="s">
        <v>0</v>
      </c>
      <c r="AK10" s="7" t="s">
        <v>0</v>
      </c>
      <c r="AL10" s="7" t="s">
        <v>0</v>
      </c>
      <c r="AM10" s="7" t="s">
        <v>0</v>
      </c>
      <c r="AN10" s="7" t="s">
        <v>0</v>
      </c>
      <c r="AO10" s="7" t="s">
        <v>0</v>
      </c>
      <c r="AP10" s="7" t="s">
        <v>0</v>
      </c>
      <c r="AQ10" s="7" t="s">
        <v>0</v>
      </c>
      <c r="AR10" s="7" t="s">
        <v>0</v>
      </c>
      <c r="AS10" s="7" t="s">
        <v>0</v>
      </c>
      <c r="AT10" s="7" t="s">
        <v>0</v>
      </c>
      <c r="AU10" s="7" t="s">
        <v>0</v>
      </c>
      <c r="AV10" s="7" t="s">
        <v>0</v>
      </c>
      <c r="AW10" s="7" t="s">
        <v>0</v>
      </c>
      <c r="AX10" s="7" t="s">
        <v>0</v>
      </c>
      <c r="AY10" s="7" t="s">
        <v>0</v>
      </c>
      <c r="AZ10" s="7" t="s">
        <v>0</v>
      </c>
      <c r="BA10" s="7" t="s">
        <v>0</v>
      </c>
      <c r="BB10" s="7" t="s">
        <v>0</v>
      </c>
      <c r="BC10" s="7" t="s">
        <v>0</v>
      </c>
      <c r="BD10" s="7" t="s">
        <v>0</v>
      </c>
      <c r="BE10" s="7" t="s">
        <v>0</v>
      </c>
      <c r="BF10" s="7" t="s">
        <v>0</v>
      </c>
      <c r="BG10" s="7" t="s">
        <v>0</v>
      </c>
      <c r="BH10" s="7" t="s">
        <v>0</v>
      </c>
      <c r="BI10" s="7" t="s">
        <v>0</v>
      </c>
      <c r="BJ10" s="7" t="s">
        <v>0</v>
      </c>
      <c r="BK10" s="7" t="s">
        <v>0</v>
      </c>
      <c r="BL10" s="7" t="s">
        <v>0</v>
      </c>
      <c r="BM10" s="7" t="s">
        <v>0</v>
      </c>
      <c r="BN10" s="7" t="s">
        <v>0</v>
      </c>
      <c r="BO10" s="7" t="s">
        <v>0</v>
      </c>
      <c r="BP10" s="7" t="s">
        <v>0</v>
      </c>
      <c r="BQ10" s="7" t="s">
        <v>0</v>
      </c>
      <c r="BR10" s="7" t="s">
        <v>0</v>
      </c>
      <c r="BS10" s="7" t="s">
        <v>0</v>
      </c>
      <c r="BT10" s="7" t="s">
        <v>0</v>
      </c>
      <c r="BU10" s="7" t="s">
        <v>0</v>
      </c>
      <c r="BV10" s="7" t="s">
        <v>0</v>
      </c>
      <c r="BW10" s="7" t="s">
        <v>0</v>
      </c>
      <c r="BX10" s="7" t="s">
        <v>0</v>
      </c>
      <c r="BY10" s="7" t="s">
        <v>0</v>
      </c>
      <c r="BZ10" s="7" t="s">
        <v>0</v>
      </c>
      <c r="CA10" s="7" t="s">
        <v>0</v>
      </c>
      <c r="CB10" s="7" t="s">
        <v>0</v>
      </c>
      <c r="CC10" s="7" t="s">
        <v>0</v>
      </c>
      <c r="CD10" s="7" t="s">
        <v>0</v>
      </c>
      <c r="CE10" s="7" t="s">
        <v>0</v>
      </c>
      <c r="CF10" s="7" t="s">
        <v>0</v>
      </c>
      <c r="CG10" s="7" t="s">
        <v>0</v>
      </c>
      <c r="CH10" s="7" t="s">
        <v>0</v>
      </c>
      <c r="CI10" s="7" t="s">
        <v>0</v>
      </c>
      <c r="CJ10" s="7" t="s">
        <v>0</v>
      </c>
      <c r="CK10" s="7" t="s">
        <v>0</v>
      </c>
      <c r="CL10" s="7" t="s">
        <v>0</v>
      </c>
      <c r="CM10" s="7" t="s">
        <v>0</v>
      </c>
      <c r="CN10" s="7" t="s">
        <v>0</v>
      </c>
      <c r="CO10" s="7" t="s">
        <v>0</v>
      </c>
      <c r="CP10" s="7" t="s">
        <v>0</v>
      </c>
      <c r="CQ10" s="7" t="s">
        <v>0</v>
      </c>
      <c r="CR10" s="7" t="s">
        <v>0</v>
      </c>
      <c r="CS10" s="7" t="s">
        <v>0</v>
      </c>
      <c r="CT10" s="7" t="s">
        <v>0</v>
      </c>
      <c r="CU10" s="7" t="s">
        <v>0</v>
      </c>
      <c r="CV10" s="7" t="s">
        <v>0</v>
      </c>
      <c r="CW10" s="7" t="s">
        <v>0</v>
      </c>
      <c r="CX10" s="7" t="s">
        <v>0</v>
      </c>
      <c r="CY10" s="7" t="s">
        <v>0</v>
      </c>
    </row>
    <row r="11" spans="1:103" x14ac:dyDescent="0.25">
      <c r="A11" s="5" t="s">
        <v>5</v>
      </c>
      <c r="B11" s="5" t="s">
        <v>4</v>
      </c>
      <c r="C11" s="7" t="s">
        <v>16</v>
      </c>
      <c r="D11" s="7" t="s">
        <v>17</v>
      </c>
      <c r="E11" s="7" t="s">
        <v>18</v>
      </c>
      <c r="F11" s="7" t="s">
        <v>19</v>
      </c>
      <c r="G11" s="7" t="s">
        <v>20</v>
      </c>
      <c r="H11" s="7" t="s">
        <v>21</v>
      </c>
      <c r="I11" s="7" t="s">
        <v>23</v>
      </c>
      <c r="J11" s="7" t="s">
        <v>22</v>
      </c>
      <c r="K11" s="7" t="s">
        <v>24</v>
      </c>
      <c r="L11" s="7" t="s">
        <v>25</v>
      </c>
      <c r="M11" s="7" t="s">
        <v>26</v>
      </c>
      <c r="N11" s="7" t="s">
        <v>27</v>
      </c>
      <c r="O11" s="7" t="s">
        <v>28</v>
      </c>
      <c r="P11" s="7" t="s">
        <v>29</v>
      </c>
      <c r="Q11" s="7" t="s">
        <v>30</v>
      </c>
      <c r="R11" s="7" t="s">
        <v>31</v>
      </c>
      <c r="S11" s="7" t="s">
        <v>32</v>
      </c>
      <c r="T11" s="19" t="s">
        <v>111</v>
      </c>
      <c r="U11" s="19" t="s">
        <v>112</v>
      </c>
      <c r="V11" s="19" t="s">
        <v>113</v>
      </c>
      <c r="W11" s="19" t="s">
        <v>114</v>
      </c>
      <c r="X11" s="20" t="s">
        <v>115</v>
      </c>
      <c r="Y11" s="20" t="s">
        <v>116</v>
      </c>
      <c r="Z11" s="20" t="s">
        <v>117</v>
      </c>
      <c r="AA11" s="20" t="s">
        <v>118</v>
      </c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</row>
    <row r="12" spans="1:103" x14ac:dyDescent="0.25">
      <c r="A12" s="4" t="s">
        <v>33</v>
      </c>
      <c r="B12" s="2" t="str" cm="1">
        <f t="array" ref="B12">User3($C$11:$ZX$11,C12:ZX12)</f>
        <v>1.05D+1.2SDL+1.2BW+1.1COL+1.1SOIL+1WATER</v>
      </c>
      <c r="C12" s="3">
        <v>1.05</v>
      </c>
      <c r="D12" s="3">
        <v>1.2</v>
      </c>
      <c r="E12" s="3">
        <v>1.2</v>
      </c>
      <c r="F12" s="3">
        <v>1.1000000000000001</v>
      </c>
      <c r="G12" s="3">
        <v>1.1000000000000001</v>
      </c>
      <c r="H12" s="3">
        <v>1</v>
      </c>
    </row>
    <row r="13" spans="1:103" x14ac:dyDescent="0.25">
      <c r="A13" s="4" t="s">
        <v>34</v>
      </c>
      <c r="B13" s="2" t="str" cm="1">
        <f t="array" ref="B13">User3($C$11:$ZX$11,C13:ZX13)</f>
        <v>1.05D+1.2SDL+1.2BW+1.1COL+1.1SOIL+1WATER+1.3Lr+1.3LLB+1.2LLE</v>
      </c>
      <c r="C13" s="3">
        <f>$C$12</f>
        <v>1.05</v>
      </c>
      <c r="D13" s="3">
        <f>$D$12</f>
        <v>1.2</v>
      </c>
      <c r="E13" s="3">
        <f>$E$12</f>
        <v>1.2</v>
      </c>
      <c r="F13" s="3">
        <f>$F$12</f>
        <v>1.1000000000000001</v>
      </c>
      <c r="G13" s="3">
        <f>$G$12</f>
        <v>1.1000000000000001</v>
      </c>
      <c r="H13" s="3">
        <f>$H$12</f>
        <v>1</v>
      </c>
      <c r="I13" s="3">
        <v>1.3</v>
      </c>
      <c r="J13" s="3">
        <v>1.3</v>
      </c>
      <c r="K13" s="3">
        <v>1.2</v>
      </c>
    </row>
    <row r="14" spans="1:103" s="11" customFormat="1" x14ac:dyDescent="0.25">
      <c r="A14" s="4" t="s">
        <v>35</v>
      </c>
      <c r="B14" s="9" t="str" cm="1">
        <f t="array" ref="B14">User3($C$11:$ZX$11,C14:ZX14)</f>
        <v>1.05D+1.2SDL+1.2BW+1.1COL+1.1SOIL+1WATER+2.1Wx+1</v>
      </c>
      <c r="C14" s="10">
        <f t="shared" ref="C14:C77" si="0">$C$12</f>
        <v>1.05</v>
      </c>
      <c r="D14" s="10">
        <f t="shared" ref="D14:D77" si="1">$D$12</f>
        <v>1.2</v>
      </c>
      <c r="E14" s="10">
        <f t="shared" ref="E14:E77" si="2">$E$12</f>
        <v>1.2</v>
      </c>
      <c r="F14" s="10">
        <f t="shared" ref="F14:F77" si="3">$F$12</f>
        <v>1.1000000000000001</v>
      </c>
      <c r="G14" s="10">
        <f t="shared" ref="G14:G77" si="4">$G$12</f>
        <v>1.1000000000000001</v>
      </c>
      <c r="H14" s="10">
        <f t="shared" ref="H14:H77" si="5">$H$12</f>
        <v>1</v>
      </c>
      <c r="I14" s="10"/>
      <c r="J14" s="10"/>
      <c r="K14" s="10"/>
      <c r="L14" s="10">
        <v>2.1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</row>
    <row r="15" spans="1:103" s="14" customFormat="1" x14ac:dyDescent="0.25">
      <c r="A15" s="4" t="s">
        <v>36</v>
      </c>
      <c r="B15" s="12" t="str" cm="1">
        <f t="array" ref="B15">User3($C$11:$ZX$11,C15:ZX15)</f>
        <v>1.05D+1.2SDL+1.2BW+1.1COL+1.1SOIL+1WATER+2.1Wx+2</v>
      </c>
      <c r="C15" s="13">
        <f t="shared" si="0"/>
        <v>1.05</v>
      </c>
      <c r="D15" s="13">
        <f t="shared" si="1"/>
        <v>1.2</v>
      </c>
      <c r="E15" s="13">
        <f t="shared" si="2"/>
        <v>1.2</v>
      </c>
      <c r="F15" s="13">
        <f t="shared" si="3"/>
        <v>1.1000000000000001</v>
      </c>
      <c r="G15" s="13">
        <f t="shared" si="4"/>
        <v>1.1000000000000001</v>
      </c>
      <c r="H15" s="13">
        <f t="shared" si="5"/>
        <v>1</v>
      </c>
      <c r="I15" s="13"/>
      <c r="J15" s="13"/>
      <c r="K15" s="13"/>
      <c r="L15" s="13"/>
      <c r="M15" s="13">
        <v>2.1</v>
      </c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12"/>
    </row>
    <row r="16" spans="1:103" s="14" customFormat="1" x14ac:dyDescent="0.25">
      <c r="A16" s="4" t="s">
        <v>37</v>
      </c>
      <c r="B16" s="12" t="str" cm="1">
        <f t="array" ref="B16">User3($C$11:$ZX$11,C16:ZX16)</f>
        <v>1.05D+1.2SDL+1.2BW+1.1COL+1.1SOIL+1WATER+2.1Wx-1</v>
      </c>
      <c r="C16" s="13">
        <f t="shared" si="0"/>
        <v>1.05</v>
      </c>
      <c r="D16" s="13">
        <f t="shared" si="1"/>
        <v>1.2</v>
      </c>
      <c r="E16" s="13">
        <f t="shared" si="2"/>
        <v>1.2</v>
      </c>
      <c r="F16" s="13">
        <f t="shared" si="3"/>
        <v>1.1000000000000001</v>
      </c>
      <c r="G16" s="13">
        <f t="shared" si="4"/>
        <v>1.1000000000000001</v>
      </c>
      <c r="H16" s="13">
        <f t="shared" si="5"/>
        <v>1</v>
      </c>
      <c r="I16" s="13"/>
      <c r="J16" s="13"/>
      <c r="K16" s="13"/>
      <c r="L16" s="13"/>
      <c r="M16" s="13"/>
      <c r="N16" s="13">
        <v>2.1</v>
      </c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12"/>
    </row>
    <row r="17" spans="1:103" s="14" customFormat="1" x14ac:dyDescent="0.25">
      <c r="A17" s="4" t="s">
        <v>38</v>
      </c>
      <c r="B17" s="12" t="str" cm="1">
        <f t="array" ref="B17">User3($C$11:$ZX$11,C17:ZX17)</f>
        <v>1.05D+1.2SDL+1.2BW+1.1COL+1.1SOIL+1WATER+2.1Wx-2</v>
      </c>
      <c r="C17" s="13">
        <f t="shared" si="0"/>
        <v>1.05</v>
      </c>
      <c r="D17" s="13">
        <f t="shared" si="1"/>
        <v>1.2</v>
      </c>
      <c r="E17" s="13">
        <f t="shared" si="2"/>
        <v>1.2</v>
      </c>
      <c r="F17" s="13">
        <f t="shared" si="3"/>
        <v>1.1000000000000001</v>
      </c>
      <c r="G17" s="13">
        <f t="shared" si="4"/>
        <v>1.1000000000000001</v>
      </c>
      <c r="H17" s="13">
        <f t="shared" si="5"/>
        <v>1</v>
      </c>
      <c r="I17" s="13"/>
      <c r="J17" s="13"/>
      <c r="K17" s="13"/>
      <c r="L17" s="13"/>
      <c r="M17" s="13"/>
      <c r="N17" s="13"/>
      <c r="O17" s="13">
        <v>2.1</v>
      </c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</row>
    <row r="18" spans="1:103" s="14" customFormat="1" x14ac:dyDescent="0.25">
      <c r="A18" s="4" t="s">
        <v>39</v>
      </c>
      <c r="B18" s="12" t="str" cm="1">
        <f t="array" ref="B18">User3($C$11:$ZX$11,C18:ZX18)</f>
        <v>1.05D+1.2SDL+1.2BW+1.1COL+1.1SOIL+1WATER+2.1Wy+1</v>
      </c>
      <c r="C18" s="13">
        <f t="shared" si="0"/>
        <v>1.05</v>
      </c>
      <c r="D18" s="13">
        <f t="shared" si="1"/>
        <v>1.2</v>
      </c>
      <c r="E18" s="13">
        <f t="shared" si="2"/>
        <v>1.2</v>
      </c>
      <c r="F18" s="13">
        <f t="shared" si="3"/>
        <v>1.1000000000000001</v>
      </c>
      <c r="G18" s="13">
        <f t="shared" si="4"/>
        <v>1.1000000000000001</v>
      </c>
      <c r="H18" s="13">
        <f t="shared" si="5"/>
        <v>1</v>
      </c>
      <c r="I18" s="13"/>
      <c r="J18" s="13"/>
      <c r="K18" s="13"/>
      <c r="L18" s="13"/>
      <c r="M18" s="13"/>
      <c r="N18" s="13"/>
      <c r="O18" s="13"/>
      <c r="P18" s="13">
        <v>2.1</v>
      </c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</row>
    <row r="19" spans="1:103" s="14" customFormat="1" x14ac:dyDescent="0.25">
      <c r="A19" s="4" t="s">
        <v>40</v>
      </c>
      <c r="B19" s="12" t="str" cm="1">
        <f t="array" ref="B19">User3($C$11:$ZX$11,C19:ZX19)</f>
        <v>1.05D+1.2SDL+1.2BW+1.1COL+1.1SOIL+1WATER+2.1Wy+2</v>
      </c>
      <c r="C19" s="13">
        <f t="shared" si="0"/>
        <v>1.05</v>
      </c>
      <c r="D19" s="13">
        <f t="shared" si="1"/>
        <v>1.2</v>
      </c>
      <c r="E19" s="13">
        <f t="shared" si="2"/>
        <v>1.2</v>
      </c>
      <c r="F19" s="13">
        <f t="shared" si="3"/>
        <v>1.1000000000000001</v>
      </c>
      <c r="G19" s="13">
        <f t="shared" si="4"/>
        <v>1.1000000000000001</v>
      </c>
      <c r="H19" s="13">
        <f t="shared" si="5"/>
        <v>1</v>
      </c>
      <c r="I19" s="13"/>
      <c r="J19" s="13"/>
      <c r="K19" s="13"/>
      <c r="L19" s="13"/>
      <c r="M19" s="13"/>
      <c r="N19" s="13"/>
      <c r="O19" s="13"/>
      <c r="P19" s="13"/>
      <c r="Q19" s="13">
        <v>2.1</v>
      </c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12"/>
    </row>
    <row r="20" spans="1:103" s="14" customFormat="1" x14ac:dyDescent="0.25">
      <c r="A20" s="4" t="s">
        <v>41</v>
      </c>
      <c r="B20" s="12" t="str" cm="1">
        <f t="array" ref="B20">User3($C$11:$ZX$11,C20:ZX20)</f>
        <v>1.05D+1.2SDL+1.2BW+1.1COL+1.1SOIL+1WATER+2.1Wy-1</v>
      </c>
      <c r="C20" s="13">
        <f t="shared" si="0"/>
        <v>1.05</v>
      </c>
      <c r="D20" s="13">
        <f t="shared" si="1"/>
        <v>1.2</v>
      </c>
      <c r="E20" s="13">
        <f t="shared" si="2"/>
        <v>1.2</v>
      </c>
      <c r="F20" s="13">
        <f t="shared" si="3"/>
        <v>1.1000000000000001</v>
      </c>
      <c r="G20" s="13">
        <f t="shared" si="4"/>
        <v>1.1000000000000001</v>
      </c>
      <c r="H20" s="13">
        <f t="shared" si="5"/>
        <v>1</v>
      </c>
      <c r="I20" s="13"/>
      <c r="J20" s="13"/>
      <c r="K20" s="13"/>
      <c r="L20" s="13"/>
      <c r="M20" s="13"/>
      <c r="N20" s="13"/>
      <c r="O20" s="13"/>
      <c r="P20" s="13"/>
      <c r="Q20" s="13"/>
      <c r="R20" s="13">
        <v>2.1</v>
      </c>
      <c r="S20" s="13"/>
      <c r="T20" s="13"/>
      <c r="U20" s="13"/>
      <c r="V20" s="13"/>
      <c r="W20" s="13"/>
      <c r="X20" s="13"/>
      <c r="Y20" s="13"/>
      <c r="Z20" s="13"/>
      <c r="AA20" s="13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</row>
    <row r="21" spans="1:103" s="17" customFormat="1" x14ac:dyDescent="0.25">
      <c r="A21" s="4" t="s">
        <v>42</v>
      </c>
      <c r="B21" s="15" t="str" cm="1">
        <f t="array" ref="B21">User3($C$11:$ZX$11,C21:ZX21)</f>
        <v>1.05D+1.2SDL+1.2BW+1.1COL+1.1SOIL+1WATER+2.1Wy-2</v>
      </c>
      <c r="C21" s="16">
        <f t="shared" si="0"/>
        <v>1.05</v>
      </c>
      <c r="D21" s="16">
        <f t="shared" si="1"/>
        <v>1.2</v>
      </c>
      <c r="E21" s="16">
        <f t="shared" si="2"/>
        <v>1.2</v>
      </c>
      <c r="F21" s="16">
        <f t="shared" si="3"/>
        <v>1.1000000000000001</v>
      </c>
      <c r="G21" s="16">
        <f t="shared" si="4"/>
        <v>1.1000000000000001</v>
      </c>
      <c r="H21" s="16">
        <f t="shared" si="5"/>
        <v>1</v>
      </c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>
        <v>2.1</v>
      </c>
      <c r="T21" s="16"/>
      <c r="U21" s="16"/>
      <c r="V21" s="16"/>
      <c r="W21" s="16"/>
      <c r="X21" s="16"/>
      <c r="Y21" s="16"/>
      <c r="Z21" s="16"/>
      <c r="AA21" s="16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</row>
    <row r="22" spans="1:103" s="11" customFormat="1" x14ac:dyDescent="0.25">
      <c r="A22" s="4" t="s">
        <v>43</v>
      </c>
      <c r="B22" s="9" t="str" cm="1">
        <f t="array" ref="B22">User3($C$11:$ZX$11,C22:ZX22)</f>
        <v>1.05D+1.2SDL+1.2BW+1.1COL+1.1SOIL+1WATER+1.2CR11</v>
      </c>
      <c r="C22" s="10">
        <f t="shared" si="0"/>
        <v>1.05</v>
      </c>
      <c r="D22" s="10">
        <f t="shared" si="1"/>
        <v>1.2</v>
      </c>
      <c r="E22" s="10">
        <f t="shared" si="2"/>
        <v>1.2</v>
      </c>
      <c r="F22" s="10">
        <f t="shared" si="3"/>
        <v>1.1000000000000001</v>
      </c>
      <c r="G22" s="10">
        <f t="shared" si="4"/>
        <v>1.1000000000000001</v>
      </c>
      <c r="H22" s="10">
        <f t="shared" si="5"/>
        <v>1</v>
      </c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>
        <v>1.2</v>
      </c>
      <c r="U22" s="10"/>
      <c r="V22" s="10"/>
      <c r="W22" s="10"/>
      <c r="X22" s="10"/>
      <c r="Y22" s="10"/>
      <c r="Z22" s="10"/>
      <c r="AA22" s="10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</row>
    <row r="23" spans="1:103" s="14" customFormat="1" x14ac:dyDescent="0.25">
      <c r="A23" s="4" t="s">
        <v>44</v>
      </c>
      <c r="B23" s="12" t="str" cm="1">
        <f t="array" ref="B23">User3($C$11:$ZX$11,C23:ZX23)</f>
        <v>1.05D+1.2SDL+1.2BW+1.1COL+1.1SOIL+1WATER+1.2CR12</v>
      </c>
      <c r="C23" s="13">
        <f t="shared" si="0"/>
        <v>1.05</v>
      </c>
      <c r="D23" s="13">
        <f t="shared" si="1"/>
        <v>1.2</v>
      </c>
      <c r="E23" s="13">
        <f t="shared" si="2"/>
        <v>1.2</v>
      </c>
      <c r="F23" s="13">
        <f t="shared" si="3"/>
        <v>1.1000000000000001</v>
      </c>
      <c r="G23" s="13">
        <f t="shared" si="4"/>
        <v>1.1000000000000001</v>
      </c>
      <c r="H23" s="13">
        <f t="shared" si="5"/>
        <v>1</v>
      </c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>
        <v>1.2</v>
      </c>
      <c r="V23" s="13"/>
      <c r="W23" s="13"/>
      <c r="X23" s="13"/>
      <c r="Y23" s="13"/>
      <c r="Z23" s="13"/>
      <c r="AA23" s="13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12"/>
    </row>
    <row r="24" spans="1:103" s="14" customFormat="1" x14ac:dyDescent="0.25">
      <c r="A24" s="4" t="s">
        <v>45</v>
      </c>
      <c r="B24" s="12" t="str" cm="1">
        <f t="array" ref="B24">User3($C$11:$ZX$11,C24:ZX24)</f>
        <v>1.05D+1.2SDL+1.2BW+1.1COL+1.1SOIL+1WATER+1.2CR13</v>
      </c>
      <c r="C24" s="13">
        <f t="shared" si="0"/>
        <v>1.05</v>
      </c>
      <c r="D24" s="13">
        <f t="shared" si="1"/>
        <v>1.2</v>
      </c>
      <c r="E24" s="13">
        <f t="shared" si="2"/>
        <v>1.2</v>
      </c>
      <c r="F24" s="13">
        <f t="shared" si="3"/>
        <v>1.1000000000000001</v>
      </c>
      <c r="G24" s="13">
        <f t="shared" si="4"/>
        <v>1.1000000000000001</v>
      </c>
      <c r="H24" s="13">
        <f t="shared" si="5"/>
        <v>1</v>
      </c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>
        <v>1.2</v>
      </c>
      <c r="W24" s="13"/>
      <c r="X24" s="13"/>
      <c r="Y24" s="13"/>
      <c r="Z24" s="13"/>
      <c r="AA24" s="13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12"/>
    </row>
    <row r="25" spans="1:103" s="14" customFormat="1" x14ac:dyDescent="0.25">
      <c r="A25" s="4" t="s">
        <v>46</v>
      </c>
      <c r="B25" s="12" t="str" cm="1">
        <f t="array" ref="B25">User3($C$11:$ZX$11,C25:ZX25)</f>
        <v>1.05D+1.2SDL+1.2BW+1.1COL+1.1SOIL+1WATER+1.2CR14</v>
      </c>
      <c r="C25" s="13">
        <f t="shared" si="0"/>
        <v>1.05</v>
      </c>
      <c r="D25" s="13">
        <f t="shared" si="1"/>
        <v>1.2</v>
      </c>
      <c r="E25" s="13">
        <f t="shared" si="2"/>
        <v>1.2</v>
      </c>
      <c r="F25" s="13">
        <f t="shared" si="3"/>
        <v>1.1000000000000001</v>
      </c>
      <c r="G25" s="13">
        <f t="shared" si="4"/>
        <v>1.1000000000000001</v>
      </c>
      <c r="H25" s="13">
        <f t="shared" si="5"/>
        <v>1</v>
      </c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>
        <v>1.2</v>
      </c>
      <c r="X25" s="13"/>
      <c r="Y25" s="13"/>
      <c r="Z25" s="13"/>
      <c r="AA25" s="13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12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12"/>
    </row>
    <row r="26" spans="1:103" s="14" customFormat="1" x14ac:dyDescent="0.25">
      <c r="A26" s="4" t="s">
        <v>47</v>
      </c>
      <c r="B26" s="12" t="str" cm="1">
        <f t="array" ref="B26">User3($C$11:$ZX$11,C26:ZX26)</f>
        <v>1.05D+1.2SDL+1.2BW+1.1COL+1.1SOIL+1WATER+1.2CR21</v>
      </c>
      <c r="C26" s="13">
        <f t="shared" si="0"/>
        <v>1.05</v>
      </c>
      <c r="D26" s="13">
        <f t="shared" si="1"/>
        <v>1.2</v>
      </c>
      <c r="E26" s="13">
        <f t="shared" si="2"/>
        <v>1.2</v>
      </c>
      <c r="F26" s="13">
        <f t="shared" si="3"/>
        <v>1.1000000000000001</v>
      </c>
      <c r="G26" s="13">
        <f t="shared" si="4"/>
        <v>1.1000000000000001</v>
      </c>
      <c r="H26" s="13">
        <f t="shared" si="5"/>
        <v>1</v>
      </c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>
        <v>1.2</v>
      </c>
      <c r="Y26" s="13"/>
      <c r="Z26" s="13"/>
      <c r="AA26" s="13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12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12"/>
    </row>
    <row r="27" spans="1:103" s="14" customFormat="1" x14ac:dyDescent="0.25">
      <c r="A27" s="4" t="s">
        <v>48</v>
      </c>
      <c r="B27" s="12" t="str" cm="1">
        <f t="array" ref="B27">User3($C$11:$ZX$11,C27:ZX27)</f>
        <v>1.05D+1.2SDL+1.2BW+1.1COL+1.1SOIL+1WATER+1.2CR22</v>
      </c>
      <c r="C27" s="13">
        <f t="shared" si="0"/>
        <v>1.05</v>
      </c>
      <c r="D27" s="13">
        <f t="shared" si="1"/>
        <v>1.2</v>
      </c>
      <c r="E27" s="13">
        <f t="shared" si="2"/>
        <v>1.2</v>
      </c>
      <c r="F27" s="13">
        <f t="shared" si="3"/>
        <v>1.1000000000000001</v>
      </c>
      <c r="G27" s="13">
        <f t="shared" si="4"/>
        <v>1.1000000000000001</v>
      </c>
      <c r="H27" s="13">
        <f t="shared" si="5"/>
        <v>1</v>
      </c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>
        <v>1.2</v>
      </c>
      <c r="Z27" s="13"/>
      <c r="AA27" s="13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</row>
    <row r="28" spans="1:103" s="14" customFormat="1" x14ac:dyDescent="0.25">
      <c r="A28" s="4" t="s">
        <v>49</v>
      </c>
      <c r="B28" s="12" t="str" cm="1">
        <f t="array" ref="B28">User3($C$11:$ZX$11,C28:ZX28)</f>
        <v>1.05D+1.2SDL+1.2BW+1.1COL+1.1SOIL+1WATER+1.2CR23</v>
      </c>
      <c r="C28" s="13">
        <f t="shared" si="0"/>
        <v>1.05</v>
      </c>
      <c r="D28" s="13">
        <f t="shared" si="1"/>
        <v>1.2</v>
      </c>
      <c r="E28" s="13">
        <f t="shared" si="2"/>
        <v>1.2</v>
      </c>
      <c r="F28" s="13">
        <f t="shared" si="3"/>
        <v>1.1000000000000001</v>
      </c>
      <c r="G28" s="13">
        <f t="shared" si="4"/>
        <v>1.1000000000000001</v>
      </c>
      <c r="H28" s="13">
        <f t="shared" si="5"/>
        <v>1</v>
      </c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>
        <v>1.2</v>
      </c>
      <c r="AA28" s="13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</row>
    <row r="29" spans="1:103" s="17" customFormat="1" x14ac:dyDescent="0.25">
      <c r="A29" s="4" t="s">
        <v>50</v>
      </c>
      <c r="B29" s="15" t="str" cm="1">
        <f t="array" ref="B29">User3($C$11:$ZX$11,C29:ZX29)</f>
        <v>1.05D+1.2SDL+1.2BW+1.1COL+1.1SOIL+1WATER+1.2CR24</v>
      </c>
      <c r="C29" s="16">
        <f t="shared" si="0"/>
        <v>1.05</v>
      </c>
      <c r="D29" s="16">
        <f t="shared" si="1"/>
        <v>1.2</v>
      </c>
      <c r="E29" s="16">
        <f t="shared" si="2"/>
        <v>1.2</v>
      </c>
      <c r="F29" s="16">
        <f t="shared" si="3"/>
        <v>1.1000000000000001</v>
      </c>
      <c r="G29" s="16">
        <f t="shared" si="4"/>
        <v>1.1000000000000001</v>
      </c>
      <c r="H29" s="16">
        <f t="shared" si="5"/>
        <v>1</v>
      </c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>
        <v>1.2</v>
      </c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</row>
    <row r="30" spans="1:103" s="11" customFormat="1" x14ac:dyDescent="0.25">
      <c r="A30" s="4" t="s">
        <v>51</v>
      </c>
      <c r="B30" s="9" t="str" cm="1">
        <f t="array" ref="B30">User3($C$11:$ZX$11,C30:ZX30)</f>
        <v>1.05D+1.2SDL+1.2BW+1.1COL+1.1SOIL+1WATER+1.3Lr+1.3LLB+1.2LLE+1.89Wx+1+1.2CR11</v>
      </c>
      <c r="C30" s="13">
        <f t="shared" si="0"/>
        <v>1.05</v>
      </c>
      <c r="D30" s="13">
        <f t="shared" si="1"/>
        <v>1.2</v>
      </c>
      <c r="E30" s="13">
        <f t="shared" si="2"/>
        <v>1.2</v>
      </c>
      <c r="F30" s="13">
        <f t="shared" si="3"/>
        <v>1.1000000000000001</v>
      </c>
      <c r="G30" s="13">
        <f t="shared" si="4"/>
        <v>1.1000000000000001</v>
      </c>
      <c r="H30" s="13">
        <f t="shared" si="5"/>
        <v>1</v>
      </c>
      <c r="I30" s="10">
        <v>1.3</v>
      </c>
      <c r="J30" s="10">
        <v>1.3</v>
      </c>
      <c r="K30" s="10">
        <v>1.2</v>
      </c>
      <c r="L30" s="10">
        <v>1.89</v>
      </c>
      <c r="M30" s="10"/>
      <c r="N30" s="10"/>
      <c r="O30" s="10"/>
      <c r="P30" s="10"/>
      <c r="Q30" s="10"/>
      <c r="R30" s="10"/>
      <c r="S30" s="10"/>
      <c r="T30" s="21">
        <v>1.2</v>
      </c>
      <c r="U30" s="10"/>
      <c r="V30" s="10"/>
      <c r="W30" s="10"/>
      <c r="X30" s="10"/>
      <c r="Y30" s="10"/>
      <c r="Z30" s="10"/>
      <c r="AA30" s="10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</row>
    <row r="31" spans="1:103" s="14" customFormat="1" x14ac:dyDescent="0.25">
      <c r="A31" s="4" t="s">
        <v>52</v>
      </c>
      <c r="B31" s="12" t="str" cm="1">
        <f t="array" ref="B31">User3($C$11:$ZX$11,C31:ZX31)</f>
        <v>1.05D+1.2SDL+1.2BW+1.1COL+1.1SOIL+1WATER+1.3Lr+1.3LLB+1.2LLE+1.89Wx+1+1.2CR12</v>
      </c>
      <c r="C31" s="13">
        <f t="shared" si="0"/>
        <v>1.05</v>
      </c>
      <c r="D31" s="13">
        <f t="shared" si="1"/>
        <v>1.2</v>
      </c>
      <c r="E31" s="13">
        <f t="shared" si="2"/>
        <v>1.2</v>
      </c>
      <c r="F31" s="13">
        <f t="shared" si="3"/>
        <v>1.1000000000000001</v>
      </c>
      <c r="G31" s="13">
        <f t="shared" si="4"/>
        <v>1.1000000000000001</v>
      </c>
      <c r="H31" s="13">
        <f t="shared" si="5"/>
        <v>1</v>
      </c>
      <c r="I31" s="13">
        <v>1.3</v>
      </c>
      <c r="J31" s="13">
        <v>1.3</v>
      </c>
      <c r="K31" s="13">
        <v>1.2</v>
      </c>
      <c r="L31" s="13">
        <v>1.89</v>
      </c>
      <c r="M31" s="13"/>
      <c r="N31" s="13"/>
      <c r="O31" s="13"/>
      <c r="P31" s="13"/>
      <c r="Q31" s="13"/>
      <c r="R31" s="13"/>
      <c r="S31" s="13"/>
      <c r="T31" s="13"/>
      <c r="U31" s="13">
        <v>1.2</v>
      </c>
      <c r="V31" s="13"/>
      <c r="W31" s="13"/>
      <c r="X31" s="13"/>
      <c r="Y31" s="13"/>
      <c r="Z31" s="13"/>
      <c r="AA31" s="13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12"/>
    </row>
    <row r="32" spans="1:103" s="14" customFormat="1" x14ac:dyDescent="0.25">
      <c r="A32" s="4" t="s">
        <v>53</v>
      </c>
      <c r="B32" s="12" t="str" cm="1">
        <f t="array" ref="B32">User3($C$11:$ZX$11,C32:ZX32)</f>
        <v>1.05D+1.2SDL+1.2BW+1.1COL+1.1SOIL+1WATER+1.3Lr+1.3LLB+1.2LLE+1.89Wx+1+1.2CR13</v>
      </c>
      <c r="C32" s="13">
        <f t="shared" si="0"/>
        <v>1.05</v>
      </c>
      <c r="D32" s="13">
        <f t="shared" si="1"/>
        <v>1.2</v>
      </c>
      <c r="E32" s="13">
        <f t="shared" si="2"/>
        <v>1.2</v>
      </c>
      <c r="F32" s="13">
        <f t="shared" si="3"/>
        <v>1.1000000000000001</v>
      </c>
      <c r="G32" s="13">
        <f t="shared" si="4"/>
        <v>1.1000000000000001</v>
      </c>
      <c r="H32" s="13">
        <f t="shared" si="5"/>
        <v>1</v>
      </c>
      <c r="I32" s="13">
        <v>1.3</v>
      </c>
      <c r="J32" s="13">
        <v>1.3</v>
      </c>
      <c r="K32" s="13">
        <v>1.2</v>
      </c>
      <c r="L32" s="13">
        <v>1.89</v>
      </c>
      <c r="M32" s="13"/>
      <c r="N32" s="13"/>
      <c r="O32" s="13"/>
      <c r="P32" s="13"/>
      <c r="Q32" s="13"/>
      <c r="R32" s="13"/>
      <c r="S32" s="13"/>
      <c r="T32" s="13"/>
      <c r="U32" s="13"/>
      <c r="V32" s="13">
        <v>1.2</v>
      </c>
      <c r="W32" s="13"/>
      <c r="X32" s="13"/>
      <c r="Y32" s="13"/>
      <c r="Z32" s="13"/>
      <c r="AA32" s="13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12"/>
    </row>
    <row r="33" spans="1:103" s="14" customFormat="1" x14ac:dyDescent="0.25">
      <c r="A33" s="4" t="s">
        <v>54</v>
      </c>
      <c r="B33" s="12" t="str" cm="1">
        <f t="array" ref="B33">User3($C$11:$ZX$11,C33:ZX33)</f>
        <v>1.05D+1.2SDL+1.2BW+1.1COL+1.1SOIL+1WATER+1.3Lr+1.3LLB+1.2LLE+1.89Wx+1+1.2CR14</v>
      </c>
      <c r="C33" s="13">
        <f t="shared" si="0"/>
        <v>1.05</v>
      </c>
      <c r="D33" s="13">
        <f t="shared" si="1"/>
        <v>1.2</v>
      </c>
      <c r="E33" s="13">
        <f t="shared" si="2"/>
        <v>1.2</v>
      </c>
      <c r="F33" s="13">
        <f t="shared" si="3"/>
        <v>1.1000000000000001</v>
      </c>
      <c r="G33" s="13">
        <f t="shared" si="4"/>
        <v>1.1000000000000001</v>
      </c>
      <c r="H33" s="13">
        <f t="shared" si="5"/>
        <v>1</v>
      </c>
      <c r="I33" s="13">
        <v>1.3</v>
      </c>
      <c r="J33" s="13">
        <v>1.3</v>
      </c>
      <c r="K33" s="13">
        <v>1.2</v>
      </c>
      <c r="L33" s="13">
        <v>1.89</v>
      </c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>
        <v>1.2</v>
      </c>
      <c r="X33" s="13"/>
      <c r="Y33" s="13"/>
      <c r="Z33" s="13"/>
      <c r="AA33" s="13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  <c r="CH33" s="12"/>
      <c r="CI33" s="12"/>
      <c r="CJ33" s="12"/>
      <c r="CK33" s="12"/>
      <c r="CL33" s="12"/>
      <c r="CM33" s="12"/>
      <c r="CN33" s="12"/>
      <c r="CO33" s="12"/>
      <c r="CP33" s="12"/>
      <c r="CQ33" s="12"/>
      <c r="CR33" s="12"/>
      <c r="CS33" s="12"/>
      <c r="CT33" s="12"/>
      <c r="CU33" s="12"/>
      <c r="CV33" s="12"/>
      <c r="CW33" s="12"/>
      <c r="CX33" s="12"/>
      <c r="CY33" s="12"/>
    </row>
    <row r="34" spans="1:103" s="14" customFormat="1" x14ac:dyDescent="0.25">
      <c r="A34" s="4" t="s">
        <v>55</v>
      </c>
      <c r="B34" s="12" t="str" cm="1">
        <f t="array" ref="B34">User3($C$11:$ZX$11,C34:ZX34)</f>
        <v>1.05D+1.2SDL+1.2BW+1.1COL+1.1SOIL+1WATER+1.3Lr+1.3LLB+1.2LLE+1.89Wx+1+1.2CR21</v>
      </c>
      <c r="C34" s="13">
        <f t="shared" si="0"/>
        <v>1.05</v>
      </c>
      <c r="D34" s="13">
        <f t="shared" si="1"/>
        <v>1.2</v>
      </c>
      <c r="E34" s="13">
        <f t="shared" si="2"/>
        <v>1.2</v>
      </c>
      <c r="F34" s="13">
        <f t="shared" si="3"/>
        <v>1.1000000000000001</v>
      </c>
      <c r="G34" s="13">
        <f t="shared" si="4"/>
        <v>1.1000000000000001</v>
      </c>
      <c r="H34" s="13">
        <f t="shared" si="5"/>
        <v>1</v>
      </c>
      <c r="I34" s="13">
        <v>1.3</v>
      </c>
      <c r="J34" s="13">
        <v>1.3</v>
      </c>
      <c r="K34" s="13">
        <v>1.2</v>
      </c>
      <c r="L34" s="13">
        <v>1.89</v>
      </c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>
        <v>1.2</v>
      </c>
      <c r="Y34" s="13"/>
      <c r="Z34" s="13"/>
      <c r="AA34" s="13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12"/>
    </row>
    <row r="35" spans="1:103" s="14" customFormat="1" x14ac:dyDescent="0.25">
      <c r="A35" s="4" t="s">
        <v>56</v>
      </c>
      <c r="B35" s="12" t="str" cm="1">
        <f t="array" ref="B35">User3($C$11:$ZX$11,C35:ZX35)</f>
        <v>1.05D+1.2SDL+1.2BW+1.1COL+1.1SOIL+1WATER+1.3Lr+1.3LLB+1.2LLE+1.89Wx+1+1.2CR22</v>
      </c>
      <c r="C35" s="13">
        <f t="shared" si="0"/>
        <v>1.05</v>
      </c>
      <c r="D35" s="13">
        <f t="shared" si="1"/>
        <v>1.2</v>
      </c>
      <c r="E35" s="13">
        <f t="shared" si="2"/>
        <v>1.2</v>
      </c>
      <c r="F35" s="13">
        <f t="shared" si="3"/>
        <v>1.1000000000000001</v>
      </c>
      <c r="G35" s="13">
        <f t="shared" si="4"/>
        <v>1.1000000000000001</v>
      </c>
      <c r="H35" s="13">
        <f t="shared" si="5"/>
        <v>1</v>
      </c>
      <c r="I35" s="13">
        <v>1.3</v>
      </c>
      <c r="J35" s="13">
        <v>1.3</v>
      </c>
      <c r="K35" s="13">
        <v>1.2</v>
      </c>
      <c r="L35" s="13">
        <v>1.89</v>
      </c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>
        <v>1.2</v>
      </c>
      <c r="Z35" s="13"/>
      <c r="AA35" s="13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  <c r="CO35" s="12"/>
      <c r="CP35" s="12"/>
      <c r="CQ35" s="12"/>
      <c r="CR35" s="12"/>
      <c r="CS35" s="12"/>
      <c r="CT35" s="12"/>
      <c r="CU35" s="12"/>
      <c r="CV35" s="12"/>
      <c r="CW35" s="12"/>
      <c r="CX35" s="12"/>
      <c r="CY35" s="12"/>
    </row>
    <row r="36" spans="1:103" s="14" customFormat="1" x14ac:dyDescent="0.25">
      <c r="A36" s="4" t="s">
        <v>57</v>
      </c>
      <c r="B36" s="12" t="str" cm="1">
        <f t="array" ref="B36">User3($C$11:$ZX$11,C36:ZX36)</f>
        <v>1.05D+1.2SDL+1.2BW+1.1COL+1.1SOIL+1WATER+1.3Lr+1.3LLB+1.2LLE+1.89Wx+1+1.2CR23</v>
      </c>
      <c r="C36" s="13">
        <f t="shared" si="0"/>
        <v>1.05</v>
      </c>
      <c r="D36" s="13">
        <f t="shared" si="1"/>
        <v>1.2</v>
      </c>
      <c r="E36" s="13">
        <f t="shared" si="2"/>
        <v>1.2</v>
      </c>
      <c r="F36" s="13">
        <f t="shared" si="3"/>
        <v>1.1000000000000001</v>
      </c>
      <c r="G36" s="13">
        <f t="shared" si="4"/>
        <v>1.1000000000000001</v>
      </c>
      <c r="H36" s="13">
        <f t="shared" si="5"/>
        <v>1</v>
      </c>
      <c r="I36" s="13">
        <v>1.3</v>
      </c>
      <c r="J36" s="13">
        <v>1.3</v>
      </c>
      <c r="K36" s="13">
        <v>1.2</v>
      </c>
      <c r="L36" s="13">
        <v>1.89</v>
      </c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>
        <v>1.2</v>
      </c>
      <c r="AA36" s="13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12"/>
    </row>
    <row r="37" spans="1:103" s="17" customFormat="1" x14ac:dyDescent="0.25">
      <c r="A37" s="4" t="s">
        <v>58</v>
      </c>
      <c r="B37" s="15" t="str" cm="1">
        <f t="array" ref="B37">User3($C$11:$ZX$11,C37:ZX37)</f>
        <v>1.05D+1.2SDL+1.2BW+1.1COL+1.1SOIL+1WATER+1.3Lr+1.3LLB+1.2LLE+1.89Wx+1+1.2CR24</v>
      </c>
      <c r="C37" s="16">
        <f t="shared" si="0"/>
        <v>1.05</v>
      </c>
      <c r="D37" s="16">
        <f t="shared" si="1"/>
        <v>1.2</v>
      </c>
      <c r="E37" s="16">
        <f t="shared" si="2"/>
        <v>1.2</v>
      </c>
      <c r="F37" s="16">
        <f t="shared" si="3"/>
        <v>1.1000000000000001</v>
      </c>
      <c r="G37" s="16">
        <f t="shared" si="4"/>
        <v>1.1000000000000001</v>
      </c>
      <c r="H37" s="16">
        <f t="shared" si="5"/>
        <v>1</v>
      </c>
      <c r="I37" s="16">
        <v>1.3</v>
      </c>
      <c r="J37" s="16">
        <v>1.3</v>
      </c>
      <c r="K37" s="16">
        <v>1.2</v>
      </c>
      <c r="L37" s="16">
        <v>1.89</v>
      </c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>
        <v>1.2</v>
      </c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15"/>
      <c r="BU37" s="15"/>
      <c r="BV37" s="15"/>
      <c r="BW37" s="15"/>
      <c r="BX37" s="15"/>
      <c r="BY37" s="15"/>
      <c r="BZ37" s="15"/>
      <c r="CA37" s="15"/>
      <c r="CB37" s="15"/>
      <c r="CC37" s="15"/>
      <c r="CD37" s="15"/>
      <c r="CE37" s="15"/>
      <c r="CF37" s="15"/>
      <c r="CG37" s="15"/>
      <c r="CH37" s="15"/>
      <c r="CI37" s="15"/>
      <c r="CJ37" s="15"/>
      <c r="CK37" s="15"/>
      <c r="CL37" s="15"/>
      <c r="CM37" s="15"/>
      <c r="CN37" s="15"/>
      <c r="CO37" s="15"/>
      <c r="CP37" s="15"/>
      <c r="CQ37" s="15"/>
      <c r="CR37" s="15"/>
      <c r="CS37" s="15"/>
      <c r="CT37" s="15"/>
      <c r="CU37" s="15"/>
      <c r="CV37" s="15"/>
      <c r="CW37" s="15"/>
      <c r="CX37" s="15"/>
      <c r="CY37" s="15"/>
    </row>
    <row r="38" spans="1:103" s="11" customFormat="1" x14ac:dyDescent="0.25">
      <c r="A38" s="4" t="s">
        <v>59</v>
      </c>
      <c r="B38" s="9" t="str" cm="1">
        <f t="array" ref="B38">User3($C$11:$ZX$11,C38:ZX38)</f>
        <v>1.05D+1.2SDL+1.2BW+1.1COL+1.1SOIL+1WATER+1.3Lr+1.3LLB+1.2LLE+1.89Wx+2+1.2CR11</v>
      </c>
      <c r="C38" s="13">
        <f t="shared" si="0"/>
        <v>1.05</v>
      </c>
      <c r="D38" s="13">
        <f t="shared" si="1"/>
        <v>1.2</v>
      </c>
      <c r="E38" s="13">
        <f t="shared" si="2"/>
        <v>1.2</v>
      </c>
      <c r="F38" s="13">
        <f t="shared" si="3"/>
        <v>1.1000000000000001</v>
      </c>
      <c r="G38" s="13">
        <f t="shared" si="4"/>
        <v>1.1000000000000001</v>
      </c>
      <c r="H38" s="13">
        <f t="shared" si="5"/>
        <v>1</v>
      </c>
      <c r="I38" s="10">
        <v>1.3</v>
      </c>
      <c r="J38" s="10">
        <v>1.3</v>
      </c>
      <c r="K38" s="10">
        <v>1.2</v>
      </c>
      <c r="L38" s="10"/>
      <c r="M38" s="10">
        <v>1.89</v>
      </c>
      <c r="N38" s="10"/>
      <c r="O38" s="10"/>
      <c r="P38" s="10"/>
      <c r="Q38" s="10"/>
      <c r="R38" s="10"/>
      <c r="S38" s="10"/>
      <c r="T38" s="21">
        <v>1.2</v>
      </c>
      <c r="U38" s="10"/>
      <c r="V38" s="10"/>
      <c r="W38" s="10"/>
      <c r="X38" s="10"/>
      <c r="Y38" s="10"/>
      <c r="Z38" s="10"/>
      <c r="AA38" s="10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</row>
    <row r="39" spans="1:103" s="14" customFormat="1" x14ac:dyDescent="0.25">
      <c r="A39" s="4" t="s">
        <v>60</v>
      </c>
      <c r="B39" s="12" t="str" cm="1">
        <f t="array" ref="B39">User3($C$11:$ZX$11,C39:ZX39)</f>
        <v>1.05D+1.2SDL+1.2BW+1.1COL+1.1SOIL+1WATER+1.3Lr+1.3LLB+1.2LLE+1.89Wx+2+1.2CR12</v>
      </c>
      <c r="C39" s="13">
        <f t="shared" si="0"/>
        <v>1.05</v>
      </c>
      <c r="D39" s="13">
        <f t="shared" si="1"/>
        <v>1.2</v>
      </c>
      <c r="E39" s="13">
        <f t="shared" si="2"/>
        <v>1.2</v>
      </c>
      <c r="F39" s="13">
        <f t="shared" si="3"/>
        <v>1.1000000000000001</v>
      </c>
      <c r="G39" s="13">
        <f t="shared" si="4"/>
        <v>1.1000000000000001</v>
      </c>
      <c r="H39" s="13">
        <f t="shared" si="5"/>
        <v>1</v>
      </c>
      <c r="I39" s="13">
        <v>1.3</v>
      </c>
      <c r="J39" s="13">
        <v>1.3</v>
      </c>
      <c r="K39" s="13">
        <v>1.2</v>
      </c>
      <c r="L39" s="13"/>
      <c r="M39" s="13">
        <v>1.89</v>
      </c>
      <c r="N39" s="13"/>
      <c r="O39" s="13"/>
      <c r="P39" s="13"/>
      <c r="Q39" s="13"/>
      <c r="R39" s="13"/>
      <c r="S39" s="13"/>
      <c r="T39" s="13"/>
      <c r="U39" s="13">
        <v>1.2</v>
      </c>
      <c r="V39" s="13"/>
      <c r="W39" s="13"/>
      <c r="X39" s="13"/>
      <c r="Y39" s="13"/>
      <c r="Z39" s="13"/>
      <c r="AA39" s="13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12"/>
    </row>
    <row r="40" spans="1:103" s="14" customFormat="1" x14ac:dyDescent="0.25">
      <c r="A40" s="4" t="s">
        <v>61</v>
      </c>
      <c r="B40" s="12" t="str" cm="1">
        <f t="array" ref="B40">User3($C$11:$ZX$11,C40:ZX40)</f>
        <v>1.05D+1.2SDL+1.2BW+1.1COL+1.1SOIL+1WATER+1.3Lr+1.3LLB+1.2LLE+1.89Wx+2+1.2CR13</v>
      </c>
      <c r="C40" s="13">
        <f t="shared" si="0"/>
        <v>1.05</v>
      </c>
      <c r="D40" s="13">
        <f t="shared" si="1"/>
        <v>1.2</v>
      </c>
      <c r="E40" s="13">
        <f t="shared" si="2"/>
        <v>1.2</v>
      </c>
      <c r="F40" s="13">
        <f t="shared" si="3"/>
        <v>1.1000000000000001</v>
      </c>
      <c r="G40" s="13">
        <f t="shared" si="4"/>
        <v>1.1000000000000001</v>
      </c>
      <c r="H40" s="13">
        <f t="shared" si="5"/>
        <v>1</v>
      </c>
      <c r="I40" s="13">
        <v>1.3</v>
      </c>
      <c r="J40" s="13">
        <v>1.3</v>
      </c>
      <c r="K40" s="13">
        <v>1.2</v>
      </c>
      <c r="L40" s="13"/>
      <c r="M40" s="13">
        <v>1.89</v>
      </c>
      <c r="N40" s="13"/>
      <c r="O40" s="13"/>
      <c r="P40" s="13"/>
      <c r="Q40" s="13"/>
      <c r="R40" s="13"/>
      <c r="S40" s="13"/>
      <c r="T40" s="13"/>
      <c r="U40" s="13"/>
      <c r="V40" s="13">
        <v>1.2</v>
      </c>
      <c r="W40" s="13"/>
      <c r="X40" s="13"/>
      <c r="Y40" s="13"/>
      <c r="Z40" s="13"/>
      <c r="AA40" s="13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12"/>
    </row>
    <row r="41" spans="1:103" s="14" customFormat="1" x14ac:dyDescent="0.25">
      <c r="A41" s="4" t="s">
        <v>62</v>
      </c>
      <c r="B41" s="12" t="str" cm="1">
        <f t="array" ref="B41">User3($C$11:$ZX$11,C41:ZX41)</f>
        <v>1.05D+1.2SDL+1.2BW+1.1COL+1.1SOIL+1WATER+1.3Lr+1.3LLB+1.2LLE+1.89Wx+2+1.2CR14</v>
      </c>
      <c r="C41" s="13">
        <f t="shared" si="0"/>
        <v>1.05</v>
      </c>
      <c r="D41" s="13">
        <f t="shared" si="1"/>
        <v>1.2</v>
      </c>
      <c r="E41" s="13">
        <f t="shared" si="2"/>
        <v>1.2</v>
      </c>
      <c r="F41" s="13">
        <f t="shared" si="3"/>
        <v>1.1000000000000001</v>
      </c>
      <c r="G41" s="13">
        <f t="shared" si="4"/>
        <v>1.1000000000000001</v>
      </c>
      <c r="H41" s="13">
        <f t="shared" si="5"/>
        <v>1</v>
      </c>
      <c r="I41" s="13">
        <v>1.3</v>
      </c>
      <c r="J41" s="13">
        <v>1.3</v>
      </c>
      <c r="K41" s="13">
        <v>1.2</v>
      </c>
      <c r="L41" s="13"/>
      <c r="M41" s="13">
        <v>1.89</v>
      </c>
      <c r="N41" s="13"/>
      <c r="O41" s="13"/>
      <c r="P41" s="13"/>
      <c r="Q41" s="13"/>
      <c r="R41" s="13"/>
      <c r="S41" s="13"/>
      <c r="T41" s="13"/>
      <c r="U41" s="13"/>
      <c r="V41" s="13"/>
      <c r="W41" s="13">
        <v>1.2</v>
      </c>
      <c r="X41" s="13"/>
      <c r="Y41" s="13"/>
      <c r="Z41" s="13"/>
      <c r="AA41" s="13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</row>
    <row r="42" spans="1:103" s="14" customFormat="1" x14ac:dyDescent="0.25">
      <c r="A42" s="4" t="s">
        <v>63</v>
      </c>
      <c r="B42" s="12" t="str" cm="1">
        <f t="array" ref="B42">User3($C$11:$ZX$11,C42:ZX42)</f>
        <v>1.05D+1.2SDL+1.2BW+1.1COL+1.1SOIL+1WATER+1.3Lr+1.3LLB+1.2LLE+1.89Wx+2+1.2CR21</v>
      </c>
      <c r="C42" s="13">
        <f t="shared" si="0"/>
        <v>1.05</v>
      </c>
      <c r="D42" s="13">
        <f t="shared" si="1"/>
        <v>1.2</v>
      </c>
      <c r="E42" s="13">
        <f t="shared" si="2"/>
        <v>1.2</v>
      </c>
      <c r="F42" s="13">
        <f t="shared" si="3"/>
        <v>1.1000000000000001</v>
      </c>
      <c r="G42" s="13">
        <f t="shared" si="4"/>
        <v>1.1000000000000001</v>
      </c>
      <c r="H42" s="13">
        <f t="shared" si="5"/>
        <v>1</v>
      </c>
      <c r="I42" s="13">
        <v>1.3</v>
      </c>
      <c r="J42" s="13">
        <v>1.3</v>
      </c>
      <c r="K42" s="13">
        <v>1.2</v>
      </c>
      <c r="L42" s="13"/>
      <c r="M42" s="13">
        <v>1.89</v>
      </c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>
        <v>1.2</v>
      </c>
      <c r="Y42" s="13"/>
      <c r="Z42" s="13"/>
      <c r="AA42" s="13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  <c r="CO42" s="12"/>
      <c r="CP42" s="12"/>
      <c r="CQ42" s="12"/>
      <c r="CR42" s="12"/>
      <c r="CS42" s="12"/>
      <c r="CT42" s="12"/>
      <c r="CU42" s="12"/>
      <c r="CV42" s="12"/>
      <c r="CW42" s="12"/>
      <c r="CX42" s="12"/>
      <c r="CY42" s="12"/>
    </row>
    <row r="43" spans="1:103" s="14" customFormat="1" x14ac:dyDescent="0.25">
      <c r="A43" s="4" t="s">
        <v>64</v>
      </c>
      <c r="B43" s="12" t="str" cm="1">
        <f t="array" ref="B43">User3($C$11:$ZX$11,C43:ZX43)</f>
        <v>1.05D+1.2SDL+1.2BW+1.1COL+1.1SOIL+1WATER+1.3Lr+1.3LLB+1.2LLE+1.89Wx+2+1.2CR22</v>
      </c>
      <c r="C43" s="13">
        <f t="shared" si="0"/>
        <v>1.05</v>
      </c>
      <c r="D43" s="13">
        <f t="shared" si="1"/>
        <v>1.2</v>
      </c>
      <c r="E43" s="13">
        <f t="shared" si="2"/>
        <v>1.2</v>
      </c>
      <c r="F43" s="13">
        <f t="shared" si="3"/>
        <v>1.1000000000000001</v>
      </c>
      <c r="G43" s="13">
        <f t="shared" si="4"/>
        <v>1.1000000000000001</v>
      </c>
      <c r="H43" s="13">
        <f t="shared" si="5"/>
        <v>1</v>
      </c>
      <c r="I43" s="13">
        <v>1.3</v>
      </c>
      <c r="J43" s="13">
        <v>1.3</v>
      </c>
      <c r="K43" s="13">
        <v>1.2</v>
      </c>
      <c r="L43" s="13"/>
      <c r="M43" s="13">
        <v>1.89</v>
      </c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>
        <v>1.2</v>
      </c>
      <c r="Z43" s="13"/>
      <c r="AA43" s="13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12"/>
    </row>
    <row r="44" spans="1:103" s="14" customFormat="1" x14ac:dyDescent="0.25">
      <c r="A44" s="4" t="s">
        <v>65</v>
      </c>
      <c r="B44" s="12" t="str" cm="1">
        <f t="array" ref="B44">User3($C$11:$ZX$11,C44:ZX44)</f>
        <v>1.05D+1.2SDL+1.2BW+1.1COL+1.1SOIL+1WATER+1.3Lr+1.3LLB+1.2LLE+1.89Wx+2+1.2CR23</v>
      </c>
      <c r="C44" s="13">
        <f t="shared" si="0"/>
        <v>1.05</v>
      </c>
      <c r="D44" s="13">
        <f t="shared" si="1"/>
        <v>1.2</v>
      </c>
      <c r="E44" s="13">
        <f t="shared" si="2"/>
        <v>1.2</v>
      </c>
      <c r="F44" s="13">
        <f t="shared" si="3"/>
        <v>1.1000000000000001</v>
      </c>
      <c r="G44" s="13">
        <f t="shared" si="4"/>
        <v>1.1000000000000001</v>
      </c>
      <c r="H44" s="13">
        <f t="shared" si="5"/>
        <v>1</v>
      </c>
      <c r="I44" s="13">
        <v>1.3</v>
      </c>
      <c r="J44" s="13">
        <v>1.3</v>
      </c>
      <c r="K44" s="13">
        <v>1.2</v>
      </c>
      <c r="L44" s="13"/>
      <c r="M44" s="13">
        <v>1.89</v>
      </c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>
        <v>1.2</v>
      </c>
      <c r="AA44" s="13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12"/>
    </row>
    <row r="45" spans="1:103" s="17" customFormat="1" x14ac:dyDescent="0.25">
      <c r="A45" s="4" t="s">
        <v>66</v>
      </c>
      <c r="B45" s="15" t="str" cm="1">
        <f t="array" ref="B45">User3($C$11:$ZX$11,C45:ZX45)</f>
        <v>1.05D+1.2SDL+1.2BW+1.1COL+1.1SOIL+1WATER+1.3Lr+1.3LLB+1.2LLE+1.89Wx+2+1.2CR24</v>
      </c>
      <c r="C45" s="16">
        <f t="shared" si="0"/>
        <v>1.05</v>
      </c>
      <c r="D45" s="16">
        <f t="shared" si="1"/>
        <v>1.2</v>
      </c>
      <c r="E45" s="16">
        <f t="shared" si="2"/>
        <v>1.2</v>
      </c>
      <c r="F45" s="16">
        <f t="shared" si="3"/>
        <v>1.1000000000000001</v>
      </c>
      <c r="G45" s="16">
        <f t="shared" si="4"/>
        <v>1.1000000000000001</v>
      </c>
      <c r="H45" s="16">
        <f t="shared" si="5"/>
        <v>1</v>
      </c>
      <c r="I45" s="16">
        <v>1.3</v>
      </c>
      <c r="J45" s="16">
        <v>1.3</v>
      </c>
      <c r="K45" s="16">
        <v>1.2</v>
      </c>
      <c r="L45" s="16"/>
      <c r="M45" s="16">
        <v>1.89</v>
      </c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>
        <v>1.2</v>
      </c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5"/>
      <c r="CC45" s="15"/>
      <c r="CD45" s="15"/>
      <c r="CE45" s="15"/>
      <c r="CF45" s="15"/>
      <c r="CG45" s="15"/>
      <c r="CH45" s="15"/>
      <c r="CI45" s="15"/>
      <c r="CJ45" s="15"/>
      <c r="CK45" s="15"/>
      <c r="CL45" s="15"/>
      <c r="CM45" s="15"/>
      <c r="CN45" s="15"/>
      <c r="CO45" s="15"/>
      <c r="CP45" s="15"/>
      <c r="CQ45" s="15"/>
      <c r="CR45" s="15"/>
      <c r="CS45" s="15"/>
      <c r="CT45" s="15"/>
      <c r="CU45" s="15"/>
      <c r="CV45" s="15"/>
      <c r="CW45" s="15"/>
      <c r="CX45" s="15"/>
      <c r="CY45" s="15"/>
    </row>
    <row r="46" spans="1:103" x14ac:dyDescent="0.25">
      <c r="A46" s="4" t="s">
        <v>67</v>
      </c>
      <c r="B46" s="9" t="str" cm="1">
        <f t="array" ref="B46">User3($C$11:$ZX$11,C46:ZX46)</f>
        <v>1.05D+1.2SDL+1.2BW+1.1COL+1.1SOIL+1WATER+1.3Lr+1.3LLB+1.2LLE+1.89Wx-1+1.2CR11</v>
      </c>
      <c r="C46" s="13">
        <f t="shared" si="0"/>
        <v>1.05</v>
      </c>
      <c r="D46" s="13">
        <f t="shared" si="1"/>
        <v>1.2</v>
      </c>
      <c r="E46" s="13">
        <f t="shared" si="2"/>
        <v>1.2</v>
      </c>
      <c r="F46" s="13">
        <f t="shared" si="3"/>
        <v>1.1000000000000001</v>
      </c>
      <c r="G46" s="13">
        <f t="shared" si="4"/>
        <v>1.1000000000000001</v>
      </c>
      <c r="H46" s="13">
        <f t="shared" si="5"/>
        <v>1</v>
      </c>
      <c r="I46" s="10">
        <v>1.3</v>
      </c>
      <c r="J46" s="10">
        <v>1.3</v>
      </c>
      <c r="K46" s="10">
        <v>1.2</v>
      </c>
      <c r="L46" s="10"/>
      <c r="M46" s="10"/>
      <c r="N46" s="10">
        <v>1.89</v>
      </c>
      <c r="O46" s="10"/>
      <c r="P46" s="10"/>
      <c r="Q46" s="10"/>
      <c r="R46" s="10"/>
      <c r="S46" s="10"/>
      <c r="T46" s="21">
        <v>1.2</v>
      </c>
      <c r="U46" s="10"/>
      <c r="V46" s="10"/>
      <c r="W46" s="10"/>
      <c r="X46" s="10"/>
      <c r="Y46" s="10"/>
      <c r="Z46" s="10"/>
      <c r="AA46" s="10"/>
      <c r="AB46" s="9"/>
      <c r="AC46" s="9"/>
      <c r="AD46" s="9"/>
      <c r="AE46" s="9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</row>
    <row r="47" spans="1:103" x14ac:dyDescent="0.25">
      <c r="A47" s="4" t="s">
        <v>68</v>
      </c>
      <c r="B47" s="12" t="str" cm="1">
        <f t="array" ref="B47">User3($C$11:$ZX$11,C47:ZX47)</f>
        <v>1.05D+1.2SDL+1.2BW+1.1COL+1.1SOIL+1WATER+1.3Lr+1.3LLB+1.2LLE+1.89Wx-1+1.2CR12</v>
      </c>
      <c r="C47" s="13">
        <f t="shared" si="0"/>
        <v>1.05</v>
      </c>
      <c r="D47" s="13">
        <f t="shared" si="1"/>
        <v>1.2</v>
      </c>
      <c r="E47" s="13">
        <f t="shared" si="2"/>
        <v>1.2</v>
      </c>
      <c r="F47" s="13">
        <f t="shared" si="3"/>
        <v>1.1000000000000001</v>
      </c>
      <c r="G47" s="13">
        <f t="shared" si="4"/>
        <v>1.1000000000000001</v>
      </c>
      <c r="H47" s="13">
        <f t="shared" si="5"/>
        <v>1</v>
      </c>
      <c r="I47" s="13">
        <v>1.3</v>
      </c>
      <c r="J47" s="13">
        <v>1.3</v>
      </c>
      <c r="K47" s="13">
        <v>1.2</v>
      </c>
      <c r="L47" s="13"/>
      <c r="M47" s="13"/>
      <c r="N47" s="13">
        <v>1.89</v>
      </c>
      <c r="O47" s="13"/>
      <c r="P47" s="13"/>
      <c r="Q47" s="13"/>
      <c r="R47" s="13"/>
      <c r="S47" s="13"/>
      <c r="T47" s="13"/>
      <c r="U47" s="13">
        <v>1.2</v>
      </c>
      <c r="V47" s="13"/>
      <c r="W47" s="13"/>
      <c r="X47" s="13"/>
      <c r="Y47" s="13"/>
      <c r="Z47" s="13"/>
      <c r="AA47" s="13"/>
      <c r="AB47" s="12"/>
      <c r="AC47" s="12"/>
      <c r="AD47" s="12"/>
      <c r="AE47" s="12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  <c r="AT47" s="18"/>
      <c r="AU47" s="18"/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/>
      <c r="BN47" s="18"/>
      <c r="BO47" s="18"/>
      <c r="BP47" s="18"/>
      <c r="BQ47" s="18"/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</row>
    <row r="48" spans="1:103" x14ac:dyDescent="0.25">
      <c r="A48" s="4" t="s">
        <v>69</v>
      </c>
      <c r="B48" s="12" t="str" cm="1">
        <f t="array" ref="B48">User3($C$11:$ZX$11,C48:ZX48)</f>
        <v>1.05D+1.2SDL+1.2BW+1.1COL+1.1SOIL+1WATER+1.3Lr+1.3LLB+1.2LLE+1.89Wx-1+1.2CR13</v>
      </c>
      <c r="C48" s="13">
        <f t="shared" si="0"/>
        <v>1.05</v>
      </c>
      <c r="D48" s="13">
        <f t="shared" si="1"/>
        <v>1.2</v>
      </c>
      <c r="E48" s="13">
        <f t="shared" si="2"/>
        <v>1.2</v>
      </c>
      <c r="F48" s="13">
        <f t="shared" si="3"/>
        <v>1.1000000000000001</v>
      </c>
      <c r="G48" s="13">
        <f t="shared" si="4"/>
        <v>1.1000000000000001</v>
      </c>
      <c r="H48" s="13">
        <f t="shared" si="5"/>
        <v>1</v>
      </c>
      <c r="I48" s="13">
        <v>1.3</v>
      </c>
      <c r="J48" s="13">
        <v>1.3</v>
      </c>
      <c r="K48" s="13">
        <v>1.2</v>
      </c>
      <c r="L48" s="13"/>
      <c r="M48" s="13"/>
      <c r="N48" s="13">
        <v>1.89</v>
      </c>
      <c r="O48" s="13"/>
      <c r="P48" s="13"/>
      <c r="Q48" s="13"/>
      <c r="R48" s="13"/>
      <c r="S48" s="13"/>
      <c r="T48" s="13"/>
      <c r="U48" s="13"/>
      <c r="V48" s="13">
        <v>1.2</v>
      </c>
      <c r="W48" s="13"/>
      <c r="X48" s="13"/>
      <c r="Y48" s="13"/>
      <c r="Z48" s="13"/>
      <c r="AA48" s="13"/>
      <c r="AB48" s="12"/>
      <c r="AC48" s="12"/>
      <c r="AD48" s="12"/>
      <c r="AE48" s="12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8"/>
      <c r="BC48" s="18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/>
      <c r="BP48" s="18"/>
      <c r="BQ48" s="18"/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</row>
    <row r="49" spans="1:103" x14ac:dyDescent="0.25">
      <c r="A49" s="4" t="s">
        <v>70</v>
      </c>
      <c r="B49" s="12" t="str" cm="1">
        <f t="array" ref="B49">User3($C$11:$ZX$11,C49:ZX49)</f>
        <v>1.05D+1.2SDL+1.2BW+1.1COL+1.1SOIL+1WATER+1.3Lr+1.3LLB+1.2LLE+1.89Wx-1+1.2CR14</v>
      </c>
      <c r="C49" s="13">
        <f t="shared" si="0"/>
        <v>1.05</v>
      </c>
      <c r="D49" s="13">
        <f t="shared" si="1"/>
        <v>1.2</v>
      </c>
      <c r="E49" s="13">
        <f t="shared" si="2"/>
        <v>1.2</v>
      </c>
      <c r="F49" s="13">
        <f t="shared" si="3"/>
        <v>1.1000000000000001</v>
      </c>
      <c r="G49" s="13">
        <f t="shared" si="4"/>
        <v>1.1000000000000001</v>
      </c>
      <c r="H49" s="13">
        <f t="shared" si="5"/>
        <v>1</v>
      </c>
      <c r="I49" s="13">
        <v>1.3</v>
      </c>
      <c r="J49" s="13">
        <v>1.3</v>
      </c>
      <c r="K49" s="13">
        <v>1.2</v>
      </c>
      <c r="L49" s="13"/>
      <c r="M49" s="13"/>
      <c r="N49" s="13">
        <v>1.89</v>
      </c>
      <c r="O49" s="13"/>
      <c r="P49" s="13"/>
      <c r="Q49" s="13"/>
      <c r="R49" s="13"/>
      <c r="S49" s="13"/>
      <c r="T49" s="13"/>
      <c r="U49" s="13"/>
      <c r="V49" s="13"/>
      <c r="W49" s="13">
        <v>1.2</v>
      </c>
      <c r="X49" s="13"/>
      <c r="Y49" s="13"/>
      <c r="Z49" s="13"/>
      <c r="AA49" s="13"/>
      <c r="AB49" s="12"/>
      <c r="AC49" s="12"/>
      <c r="AD49" s="12"/>
      <c r="AE49" s="12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</row>
    <row r="50" spans="1:103" x14ac:dyDescent="0.25">
      <c r="A50" s="4" t="s">
        <v>71</v>
      </c>
      <c r="B50" s="12" t="str" cm="1">
        <f t="array" ref="B50">User3($C$11:$ZX$11,C50:ZX50)</f>
        <v>1.05D+1.2SDL+1.2BW+1.1COL+1.1SOIL+1WATER+1.3Lr+1.3LLB+1.2LLE+1.89Wx-1+1.2CR21</v>
      </c>
      <c r="C50" s="13">
        <f t="shared" si="0"/>
        <v>1.05</v>
      </c>
      <c r="D50" s="13">
        <f t="shared" si="1"/>
        <v>1.2</v>
      </c>
      <c r="E50" s="13">
        <f t="shared" si="2"/>
        <v>1.2</v>
      </c>
      <c r="F50" s="13">
        <f t="shared" si="3"/>
        <v>1.1000000000000001</v>
      </c>
      <c r="G50" s="13">
        <f t="shared" si="4"/>
        <v>1.1000000000000001</v>
      </c>
      <c r="H50" s="13">
        <f t="shared" si="5"/>
        <v>1</v>
      </c>
      <c r="I50" s="13">
        <v>1.3</v>
      </c>
      <c r="J50" s="13">
        <v>1.3</v>
      </c>
      <c r="K50" s="13">
        <v>1.2</v>
      </c>
      <c r="L50" s="13"/>
      <c r="M50" s="13"/>
      <c r="N50" s="13">
        <v>1.89</v>
      </c>
      <c r="O50" s="13"/>
      <c r="P50" s="13"/>
      <c r="Q50" s="13"/>
      <c r="R50" s="13"/>
      <c r="S50" s="13"/>
      <c r="T50" s="13"/>
      <c r="U50" s="13"/>
      <c r="V50" s="13"/>
      <c r="W50" s="13"/>
      <c r="X50" s="13">
        <v>1.2</v>
      </c>
      <c r="Y50" s="13"/>
      <c r="Z50" s="13"/>
      <c r="AA50" s="13"/>
      <c r="AB50" s="12"/>
      <c r="AC50" s="12"/>
      <c r="AD50" s="12"/>
      <c r="AE50" s="12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</row>
    <row r="51" spans="1:103" x14ac:dyDescent="0.25">
      <c r="A51" s="4" t="s">
        <v>72</v>
      </c>
      <c r="B51" s="12" t="str" cm="1">
        <f t="array" ref="B51">User3($C$11:$ZX$11,C51:ZX51)</f>
        <v>1.05D+1.2SDL+1.2BW+1.1COL+1.1SOIL+1WATER+1.3Lr+1.3LLB+1.2LLE+1.89Wx-1+1.2CR22</v>
      </c>
      <c r="C51" s="13">
        <f t="shared" si="0"/>
        <v>1.05</v>
      </c>
      <c r="D51" s="13">
        <f t="shared" si="1"/>
        <v>1.2</v>
      </c>
      <c r="E51" s="13">
        <f t="shared" si="2"/>
        <v>1.2</v>
      </c>
      <c r="F51" s="13">
        <f t="shared" si="3"/>
        <v>1.1000000000000001</v>
      </c>
      <c r="G51" s="13">
        <f t="shared" si="4"/>
        <v>1.1000000000000001</v>
      </c>
      <c r="H51" s="13">
        <f t="shared" si="5"/>
        <v>1</v>
      </c>
      <c r="I51" s="13">
        <v>1.3</v>
      </c>
      <c r="J51" s="13">
        <v>1.3</v>
      </c>
      <c r="K51" s="13">
        <v>1.2</v>
      </c>
      <c r="L51" s="13"/>
      <c r="M51" s="13"/>
      <c r="N51" s="13">
        <v>1.89</v>
      </c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>
        <v>1.2</v>
      </c>
      <c r="Z51" s="13"/>
      <c r="AA51" s="13"/>
      <c r="AB51" s="12"/>
      <c r="AC51" s="12"/>
      <c r="AD51" s="12"/>
      <c r="AE51" s="12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</row>
    <row r="52" spans="1:103" x14ac:dyDescent="0.25">
      <c r="A52" s="4" t="s">
        <v>73</v>
      </c>
      <c r="B52" s="12" t="str" cm="1">
        <f t="array" ref="B52">User3($C$11:$ZX$11,C52:ZX52)</f>
        <v>1.05D+1.2SDL+1.2BW+1.1COL+1.1SOIL+1WATER+1.3Lr+1.3LLB+1.2LLE+1.89Wx-1+1.2CR23</v>
      </c>
      <c r="C52" s="13">
        <f t="shared" si="0"/>
        <v>1.05</v>
      </c>
      <c r="D52" s="13">
        <f t="shared" si="1"/>
        <v>1.2</v>
      </c>
      <c r="E52" s="13">
        <f t="shared" si="2"/>
        <v>1.2</v>
      </c>
      <c r="F52" s="13">
        <f t="shared" si="3"/>
        <v>1.1000000000000001</v>
      </c>
      <c r="G52" s="13">
        <f t="shared" si="4"/>
        <v>1.1000000000000001</v>
      </c>
      <c r="H52" s="13">
        <f t="shared" si="5"/>
        <v>1</v>
      </c>
      <c r="I52" s="13">
        <v>1.3</v>
      </c>
      <c r="J52" s="13">
        <v>1.3</v>
      </c>
      <c r="K52" s="13">
        <v>1.2</v>
      </c>
      <c r="L52" s="13"/>
      <c r="M52" s="13"/>
      <c r="N52" s="13">
        <v>1.89</v>
      </c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>
        <v>1.2</v>
      </c>
      <c r="AA52" s="13"/>
      <c r="AB52" s="12"/>
      <c r="AC52" s="12"/>
      <c r="AD52" s="12"/>
      <c r="AE52" s="12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</row>
    <row r="53" spans="1:103" x14ac:dyDescent="0.25">
      <c r="A53" s="4" t="s">
        <v>74</v>
      </c>
      <c r="B53" s="15" t="str" cm="1">
        <f t="array" ref="B53">User3($C$11:$ZX$11,C53:ZX53)</f>
        <v>1.05D+1.2SDL+1.2BW+1.1COL+1.1SOIL+1WATER+1.3Lr+1.3LLB+1.2LLE+1.89Wx-1+1.2CR24</v>
      </c>
      <c r="C53" s="16">
        <f t="shared" si="0"/>
        <v>1.05</v>
      </c>
      <c r="D53" s="16">
        <f t="shared" si="1"/>
        <v>1.2</v>
      </c>
      <c r="E53" s="16">
        <f t="shared" si="2"/>
        <v>1.2</v>
      </c>
      <c r="F53" s="16">
        <f t="shared" si="3"/>
        <v>1.1000000000000001</v>
      </c>
      <c r="G53" s="16">
        <f t="shared" si="4"/>
        <v>1.1000000000000001</v>
      </c>
      <c r="H53" s="16">
        <f t="shared" si="5"/>
        <v>1</v>
      </c>
      <c r="I53" s="16">
        <v>1.3</v>
      </c>
      <c r="J53" s="16">
        <v>1.3</v>
      </c>
      <c r="K53" s="16">
        <v>1.2</v>
      </c>
      <c r="L53" s="16"/>
      <c r="M53" s="16"/>
      <c r="N53" s="16">
        <v>1.89</v>
      </c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>
        <v>1.2</v>
      </c>
      <c r="AB53" s="15"/>
      <c r="AC53" s="15"/>
      <c r="AD53" s="15"/>
      <c r="AE53" s="15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</row>
    <row r="54" spans="1:103" x14ac:dyDescent="0.25">
      <c r="A54" s="4" t="s">
        <v>75</v>
      </c>
      <c r="B54" s="9" t="str" cm="1">
        <f t="array" ref="B54">User3($C$11:$ZX$11,C54:ZX54)</f>
        <v>1.05D+1.2SDL+1.2BW+1.1COL+1.1SOIL+1WATER+1.3Lr+1.3LLB+1.2LLE+1.89Wx-2+1.2CR11</v>
      </c>
      <c r="C54" s="13">
        <f t="shared" si="0"/>
        <v>1.05</v>
      </c>
      <c r="D54" s="13">
        <f t="shared" si="1"/>
        <v>1.2</v>
      </c>
      <c r="E54" s="13">
        <f t="shared" si="2"/>
        <v>1.2</v>
      </c>
      <c r="F54" s="13">
        <f t="shared" si="3"/>
        <v>1.1000000000000001</v>
      </c>
      <c r="G54" s="13">
        <f t="shared" si="4"/>
        <v>1.1000000000000001</v>
      </c>
      <c r="H54" s="13">
        <f t="shared" si="5"/>
        <v>1</v>
      </c>
      <c r="I54" s="10">
        <v>1.3</v>
      </c>
      <c r="J54" s="10">
        <v>1.3</v>
      </c>
      <c r="K54" s="10">
        <v>1.2</v>
      </c>
      <c r="L54" s="10"/>
      <c r="M54" s="10"/>
      <c r="N54" s="10"/>
      <c r="O54" s="10">
        <v>1.89</v>
      </c>
      <c r="P54" s="10"/>
      <c r="Q54" s="10"/>
      <c r="R54" s="10"/>
      <c r="S54" s="10"/>
      <c r="T54" s="21">
        <v>1.2</v>
      </c>
      <c r="U54" s="10"/>
      <c r="V54" s="10"/>
      <c r="W54" s="10"/>
      <c r="X54" s="10"/>
      <c r="Y54" s="10"/>
      <c r="Z54" s="10"/>
      <c r="AA54" s="10"/>
      <c r="AB54" s="9"/>
      <c r="AC54" s="9"/>
      <c r="AD54" s="9"/>
      <c r="AE54" s="9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</row>
    <row r="55" spans="1:103" x14ac:dyDescent="0.25">
      <c r="A55" s="4" t="s">
        <v>76</v>
      </c>
      <c r="B55" s="12" t="str" cm="1">
        <f t="array" ref="B55">User3($C$11:$ZX$11,C55:ZX55)</f>
        <v>1.05D+1.2SDL+1.2BW+1.1COL+1.1SOIL+1WATER+1.3Lr+1.3LLB+1.2LLE+1.89Wx-2+1.2CR12</v>
      </c>
      <c r="C55" s="13">
        <f t="shared" si="0"/>
        <v>1.05</v>
      </c>
      <c r="D55" s="13">
        <f t="shared" si="1"/>
        <v>1.2</v>
      </c>
      <c r="E55" s="13">
        <f t="shared" si="2"/>
        <v>1.2</v>
      </c>
      <c r="F55" s="13">
        <f t="shared" si="3"/>
        <v>1.1000000000000001</v>
      </c>
      <c r="G55" s="13">
        <f t="shared" si="4"/>
        <v>1.1000000000000001</v>
      </c>
      <c r="H55" s="13">
        <f t="shared" si="5"/>
        <v>1</v>
      </c>
      <c r="I55" s="13">
        <v>1.3</v>
      </c>
      <c r="J55" s="13">
        <v>1.3</v>
      </c>
      <c r="K55" s="13">
        <v>1.2</v>
      </c>
      <c r="L55" s="13"/>
      <c r="M55" s="13"/>
      <c r="N55" s="13"/>
      <c r="O55" s="13">
        <v>1.89</v>
      </c>
      <c r="P55" s="13"/>
      <c r="Q55" s="13"/>
      <c r="R55" s="13"/>
      <c r="S55" s="13"/>
      <c r="T55" s="13"/>
      <c r="U55" s="13">
        <v>1.2</v>
      </c>
      <c r="V55" s="13"/>
      <c r="W55" s="13"/>
      <c r="X55" s="13"/>
      <c r="Y55" s="13"/>
      <c r="Z55" s="13"/>
      <c r="AA55" s="13"/>
      <c r="AB55" s="12"/>
      <c r="AC55" s="12"/>
      <c r="AD55" s="12"/>
      <c r="AE55" s="12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</row>
    <row r="56" spans="1:103" x14ac:dyDescent="0.25">
      <c r="A56" s="4" t="s">
        <v>77</v>
      </c>
      <c r="B56" s="12" t="str" cm="1">
        <f t="array" ref="B56">User3($C$11:$ZX$11,C56:ZX56)</f>
        <v>1.05D+1.2SDL+1.2BW+1.1COL+1.1SOIL+1WATER+1.3Lr+1.3LLB+1.2LLE+1.89Wx-2+1.2CR13</v>
      </c>
      <c r="C56" s="13">
        <f t="shared" si="0"/>
        <v>1.05</v>
      </c>
      <c r="D56" s="13">
        <f t="shared" si="1"/>
        <v>1.2</v>
      </c>
      <c r="E56" s="13">
        <f t="shared" si="2"/>
        <v>1.2</v>
      </c>
      <c r="F56" s="13">
        <f t="shared" si="3"/>
        <v>1.1000000000000001</v>
      </c>
      <c r="G56" s="13">
        <f t="shared" si="4"/>
        <v>1.1000000000000001</v>
      </c>
      <c r="H56" s="13">
        <f t="shared" si="5"/>
        <v>1</v>
      </c>
      <c r="I56" s="13">
        <v>1.3</v>
      </c>
      <c r="J56" s="13">
        <v>1.3</v>
      </c>
      <c r="K56" s="13">
        <v>1.2</v>
      </c>
      <c r="L56" s="13"/>
      <c r="M56" s="13"/>
      <c r="N56" s="13"/>
      <c r="O56" s="13">
        <v>1.89</v>
      </c>
      <c r="P56" s="13"/>
      <c r="Q56" s="13"/>
      <c r="R56" s="13"/>
      <c r="S56" s="13"/>
      <c r="T56" s="13"/>
      <c r="U56" s="13"/>
      <c r="V56" s="13">
        <v>1.2</v>
      </c>
      <c r="W56" s="13"/>
      <c r="X56" s="13"/>
      <c r="Y56" s="13"/>
      <c r="Z56" s="13"/>
      <c r="AA56" s="13"/>
      <c r="AB56" s="12"/>
      <c r="AC56" s="12"/>
      <c r="AD56" s="12"/>
      <c r="AE56" s="12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</row>
    <row r="57" spans="1:103" x14ac:dyDescent="0.25">
      <c r="A57" s="4" t="s">
        <v>78</v>
      </c>
      <c r="B57" s="12" t="str" cm="1">
        <f t="array" ref="B57">User3($C$11:$ZX$11,C57:ZX57)</f>
        <v>1.05D+1.2SDL+1.2BW+1.1COL+1.1SOIL+1WATER+1.3Lr+1.3LLB+1.2LLE+1.89Wx-2+1.2CR14</v>
      </c>
      <c r="C57" s="13">
        <f t="shared" si="0"/>
        <v>1.05</v>
      </c>
      <c r="D57" s="13">
        <f t="shared" si="1"/>
        <v>1.2</v>
      </c>
      <c r="E57" s="13">
        <f t="shared" si="2"/>
        <v>1.2</v>
      </c>
      <c r="F57" s="13">
        <f t="shared" si="3"/>
        <v>1.1000000000000001</v>
      </c>
      <c r="G57" s="13">
        <f t="shared" si="4"/>
        <v>1.1000000000000001</v>
      </c>
      <c r="H57" s="13">
        <f t="shared" si="5"/>
        <v>1</v>
      </c>
      <c r="I57" s="13">
        <v>1.3</v>
      </c>
      <c r="J57" s="13">
        <v>1.3</v>
      </c>
      <c r="K57" s="13">
        <v>1.2</v>
      </c>
      <c r="L57" s="13"/>
      <c r="M57" s="13"/>
      <c r="N57" s="13"/>
      <c r="O57" s="13">
        <v>1.89</v>
      </c>
      <c r="P57" s="13"/>
      <c r="Q57" s="13"/>
      <c r="R57" s="13"/>
      <c r="S57" s="13"/>
      <c r="T57" s="13"/>
      <c r="U57" s="13"/>
      <c r="V57" s="13"/>
      <c r="W57" s="13">
        <v>1.2</v>
      </c>
      <c r="X57" s="13"/>
      <c r="Y57" s="13"/>
      <c r="Z57" s="13"/>
      <c r="AA57" s="13"/>
      <c r="AB57" s="12"/>
      <c r="AC57" s="12"/>
      <c r="AD57" s="12"/>
      <c r="AE57" s="12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</row>
    <row r="58" spans="1:103" x14ac:dyDescent="0.25">
      <c r="A58" s="4" t="s">
        <v>79</v>
      </c>
      <c r="B58" s="12" t="str" cm="1">
        <f t="array" ref="B58">User3($C$11:$ZX$11,C58:ZX58)</f>
        <v>1.05D+1.2SDL+1.2BW+1.1COL+1.1SOIL+1WATER+1.3Lr+1.3LLB+1.2LLE+1.89Wx-2+1.2CR21</v>
      </c>
      <c r="C58" s="13">
        <f t="shared" si="0"/>
        <v>1.05</v>
      </c>
      <c r="D58" s="13">
        <f t="shared" si="1"/>
        <v>1.2</v>
      </c>
      <c r="E58" s="13">
        <f t="shared" si="2"/>
        <v>1.2</v>
      </c>
      <c r="F58" s="13">
        <f t="shared" si="3"/>
        <v>1.1000000000000001</v>
      </c>
      <c r="G58" s="13">
        <f t="shared" si="4"/>
        <v>1.1000000000000001</v>
      </c>
      <c r="H58" s="13">
        <f t="shared" si="5"/>
        <v>1</v>
      </c>
      <c r="I58" s="13">
        <v>1.3</v>
      </c>
      <c r="J58" s="13">
        <v>1.3</v>
      </c>
      <c r="K58" s="13">
        <v>1.2</v>
      </c>
      <c r="L58" s="13"/>
      <c r="M58" s="13"/>
      <c r="N58" s="13"/>
      <c r="O58" s="13">
        <v>1.89</v>
      </c>
      <c r="P58" s="13"/>
      <c r="Q58" s="13"/>
      <c r="R58" s="13"/>
      <c r="S58" s="13"/>
      <c r="T58" s="13"/>
      <c r="U58" s="13"/>
      <c r="V58" s="13"/>
      <c r="W58" s="13"/>
      <c r="X58" s="13">
        <v>1.2</v>
      </c>
      <c r="Y58" s="13"/>
      <c r="Z58" s="13"/>
      <c r="AA58" s="13"/>
      <c r="AB58" s="12"/>
      <c r="AC58" s="12"/>
      <c r="AD58" s="12"/>
      <c r="AE58" s="12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</row>
    <row r="59" spans="1:103" x14ac:dyDescent="0.25">
      <c r="A59" s="4" t="s">
        <v>80</v>
      </c>
      <c r="B59" s="12" t="str" cm="1">
        <f t="array" ref="B59">User3($C$11:$ZX$11,C59:ZX59)</f>
        <v>1.05D+1.2SDL+1.2BW+1.1COL+1.1SOIL+1WATER+1.3Lr+1.3LLB+1.2LLE+1.89Wx-2+1.2CR22</v>
      </c>
      <c r="C59" s="13">
        <f t="shared" si="0"/>
        <v>1.05</v>
      </c>
      <c r="D59" s="13">
        <f t="shared" si="1"/>
        <v>1.2</v>
      </c>
      <c r="E59" s="13">
        <f t="shared" si="2"/>
        <v>1.2</v>
      </c>
      <c r="F59" s="13">
        <f t="shared" si="3"/>
        <v>1.1000000000000001</v>
      </c>
      <c r="G59" s="13">
        <f t="shared" si="4"/>
        <v>1.1000000000000001</v>
      </c>
      <c r="H59" s="13">
        <f t="shared" si="5"/>
        <v>1</v>
      </c>
      <c r="I59" s="13">
        <v>1.3</v>
      </c>
      <c r="J59" s="13">
        <v>1.3</v>
      </c>
      <c r="K59" s="13">
        <v>1.2</v>
      </c>
      <c r="L59" s="13"/>
      <c r="M59" s="13"/>
      <c r="N59" s="13"/>
      <c r="O59" s="13">
        <v>1.89</v>
      </c>
      <c r="P59" s="13"/>
      <c r="Q59" s="13"/>
      <c r="R59" s="13"/>
      <c r="S59" s="13"/>
      <c r="T59" s="13"/>
      <c r="U59" s="13"/>
      <c r="V59" s="13"/>
      <c r="W59" s="13"/>
      <c r="X59" s="13"/>
      <c r="Y59" s="13">
        <v>1.2</v>
      </c>
      <c r="Z59" s="13"/>
      <c r="AA59" s="13"/>
      <c r="AB59" s="12"/>
      <c r="AC59" s="12"/>
      <c r="AD59" s="12"/>
      <c r="AE59" s="12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</row>
    <row r="60" spans="1:103" x14ac:dyDescent="0.25">
      <c r="A60" s="4" t="s">
        <v>81</v>
      </c>
      <c r="B60" s="12" t="str" cm="1">
        <f t="array" ref="B60">User3($C$11:$ZX$11,C60:ZX60)</f>
        <v>1.05D+1.2SDL+1.2BW+1.1COL+1.1SOIL+1WATER+1.3Lr+1.3LLB+1.2LLE+1.89Wx-2+1.2CR23</v>
      </c>
      <c r="C60" s="13">
        <f t="shared" si="0"/>
        <v>1.05</v>
      </c>
      <c r="D60" s="13">
        <f t="shared" si="1"/>
        <v>1.2</v>
      </c>
      <c r="E60" s="13">
        <f t="shared" si="2"/>
        <v>1.2</v>
      </c>
      <c r="F60" s="13">
        <f t="shared" si="3"/>
        <v>1.1000000000000001</v>
      </c>
      <c r="G60" s="13">
        <f t="shared" si="4"/>
        <v>1.1000000000000001</v>
      </c>
      <c r="H60" s="13">
        <f t="shared" si="5"/>
        <v>1</v>
      </c>
      <c r="I60" s="13">
        <v>1.3</v>
      </c>
      <c r="J60" s="13">
        <v>1.3</v>
      </c>
      <c r="K60" s="13">
        <v>1.2</v>
      </c>
      <c r="L60" s="13"/>
      <c r="M60" s="13"/>
      <c r="N60" s="13"/>
      <c r="O60" s="13">
        <v>1.89</v>
      </c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>
        <v>1.2</v>
      </c>
      <c r="AA60" s="13"/>
      <c r="AB60" s="12"/>
      <c r="AC60" s="12"/>
      <c r="AD60" s="12"/>
      <c r="AE60" s="12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</row>
    <row r="61" spans="1:103" x14ac:dyDescent="0.25">
      <c r="A61" s="4" t="s">
        <v>82</v>
      </c>
      <c r="B61" s="15" t="str" cm="1">
        <f t="array" ref="B61">User3($C$11:$ZX$11,C61:ZX61)</f>
        <v>1.05D+1.2SDL+1.2BW+1.1COL+1.1SOIL+1WATER+1.3Lr+1.3LLB+1.2LLE+1.89Wx-2+1.2CR24</v>
      </c>
      <c r="C61" s="16">
        <f t="shared" si="0"/>
        <v>1.05</v>
      </c>
      <c r="D61" s="16">
        <f t="shared" si="1"/>
        <v>1.2</v>
      </c>
      <c r="E61" s="16">
        <f t="shared" si="2"/>
        <v>1.2</v>
      </c>
      <c r="F61" s="16">
        <f t="shared" si="3"/>
        <v>1.1000000000000001</v>
      </c>
      <c r="G61" s="16">
        <f t="shared" si="4"/>
        <v>1.1000000000000001</v>
      </c>
      <c r="H61" s="16">
        <f t="shared" si="5"/>
        <v>1</v>
      </c>
      <c r="I61" s="16">
        <v>1.3</v>
      </c>
      <c r="J61" s="16">
        <v>1.3</v>
      </c>
      <c r="K61" s="16">
        <v>1.2</v>
      </c>
      <c r="L61" s="16"/>
      <c r="M61" s="16"/>
      <c r="N61" s="16"/>
      <c r="O61" s="16">
        <v>1.89</v>
      </c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>
        <v>1.2</v>
      </c>
      <c r="AB61" s="15"/>
      <c r="AC61" s="15"/>
      <c r="AD61" s="15"/>
      <c r="AE61" s="15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</row>
    <row r="62" spans="1:103" x14ac:dyDescent="0.25">
      <c r="A62" s="4" t="s">
        <v>83</v>
      </c>
      <c r="B62" s="9" t="str" cm="1">
        <f t="array" ref="B62">User3($C$11:$ZX$11,C62:ZX62)</f>
        <v>1.05D+1.2SDL+1.2BW+1.1COL+1.1SOIL+1WATER+1.3Lr+1.3LLB+1.2LLE+1.89Wy+1+1.2CR11</v>
      </c>
      <c r="C62" s="13">
        <f t="shared" si="0"/>
        <v>1.05</v>
      </c>
      <c r="D62" s="13">
        <f t="shared" si="1"/>
        <v>1.2</v>
      </c>
      <c r="E62" s="13">
        <f t="shared" si="2"/>
        <v>1.2</v>
      </c>
      <c r="F62" s="13">
        <f t="shared" si="3"/>
        <v>1.1000000000000001</v>
      </c>
      <c r="G62" s="13">
        <f t="shared" si="4"/>
        <v>1.1000000000000001</v>
      </c>
      <c r="H62" s="13">
        <f t="shared" si="5"/>
        <v>1</v>
      </c>
      <c r="I62" s="10">
        <v>1.3</v>
      </c>
      <c r="J62" s="10">
        <v>1.3</v>
      </c>
      <c r="K62" s="10">
        <v>1.2</v>
      </c>
      <c r="L62" s="10"/>
      <c r="M62" s="10"/>
      <c r="N62" s="10"/>
      <c r="O62" s="10"/>
      <c r="P62" s="10">
        <v>1.89</v>
      </c>
      <c r="Q62" s="10"/>
      <c r="R62" s="10"/>
      <c r="S62" s="10"/>
      <c r="T62" s="21">
        <v>1.2</v>
      </c>
      <c r="U62" s="10"/>
      <c r="V62" s="10"/>
      <c r="W62" s="10"/>
      <c r="X62" s="10"/>
      <c r="Y62" s="10"/>
      <c r="Z62" s="10"/>
      <c r="AA62" s="10"/>
      <c r="AB62" s="9"/>
      <c r="AC62" s="9"/>
      <c r="AD62" s="9"/>
      <c r="AE62" s="9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</row>
    <row r="63" spans="1:103" x14ac:dyDescent="0.25">
      <c r="A63" s="4" t="s">
        <v>84</v>
      </c>
      <c r="B63" s="12" t="str" cm="1">
        <f t="array" ref="B63">User3($C$11:$ZX$11,C63:ZX63)</f>
        <v>1.05D+1.2SDL+1.2BW+1.1COL+1.1SOIL+1WATER+1.3Lr+1.3LLB+1.2LLE+1.89Wy+1+1.2CR12</v>
      </c>
      <c r="C63" s="13">
        <f t="shared" si="0"/>
        <v>1.05</v>
      </c>
      <c r="D63" s="13">
        <f t="shared" si="1"/>
        <v>1.2</v>
      </c>
      <c r="E63" s="13">
        <f t="shared" si="2"/>
        <v>1.2</v>
      </c>
      <c r="F63" s="13">
        <f t="shared" si="3"/>
        <v>1.1000000000000001</v>
      </c>
      <c r="G63" s="13">
        <f t="shared" si="4"/>
        <v>1.1000000000000001</v>
      </c>
      <c r="H63" s="13">
        <f t="shared" si="5"/>
        <v>1</v>
      </c>
      <c r="I63" s="13">
        <v>1.3</v>
      </c>
      <c r="J63" s="13">
        <v>1.3</v>
      </c>
      <c r="K63" s="13">
        <v>1.2</v>
      </c>
      <c r="L63" s="13"/>
      <c r="M63" s="13"/>
      <c r="N63" s="13"/>
      <c r="O63" s="13"/>
      <c r="P63" s="13">
        <v>1.89</v>
      </c>
      <c r="Q63" s="13"/>
      <c r="R63" s="13"/>
      <c r="S63" s="13"/>
      <c r="T63" s="13"/>
      <c r="U63" s="13">
        <v>1.2</v>
      </c>
      <c r="V63" s="13"/>
      <c r="W63" s="13"/>
      <c r="X63" s="13"/>
      <c r="Y63" s="13"/>
      <c r="Z63" s="13"/>
      <c r="AA63" s="13"/>
      <c r="AB63" s="12"/>
      <c r="AC63" s="12"/>
      <c r="AD63" s="12"/>
      <c r="AE63" s="12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</row>
    <row r="64" spans="1:103" x14ac:dyDescent="0.25">
      <c r="A64" s="4" t="s">
        <v>85</v>
      </c>
      <c r="B64" s="12" t="str" cm="1">
        <f t="array" ref="B64">User3($C$11:$ZX$11,C64:ZX64)</f>
        <v>1.05D+1.2SDL+1.2BW+1.1COL+1.1SOIL+1WATER+1.3Lr+1.3LLB+1.2LLE+1.89Wy+1+1.2CR13</v>
      </c>
      <c r="C64" s="13">
        <f t="shared" si="0"/>
        <v>1.05</v>
      </c>
      <c r="D64" s="13">
        <f t="shared" si="1"/>
        <v>1.2</v>
      </c>
      <c r="E64" s="13">
        <f t="shared" si="2"/>
        <v>1.2</v>
      </c>
      <c r="F64" s="13">
        <f t="shared" si="3"/>
        <v>1.1000000000000001</v>
      </c>
      <c r="G64" s="13">
        <f t="shared" si="4"/>
        <v>1.1000000000000001</v>
      </c>
      <c r="H64" s="13">
        <f t="shared" si="5"/>
        <v>1</v>
      </c>
      <c r="I64" s="13">
        <v>1.3</v>
      </c>
      <c r="J64" s="13">
        <v>1.3</v>
      </c>
      <c r="K64" s="13">
        <v>1.2</v>
      </c>
      <c r="L64" s="13"/>
      <c r="M64" s="13"/>
      <c r="N64" s="13"/>
      <c r="O64" s="13"/>
      <c r="P64" s="13">
        <v>1.89</v>
      </c>
      <c r="Q64" s="13"/>
      <c r="R64" s="13"/>
      <c r="S64" s="13"/>
      <c r="T64" s="13"/>
      <c r="U64" s="13"/>
      <c r="V64" s="13">
        <v>1.2</v>
      </c>
      <c r="W64" s="13"/>
      <c r="X64" s="13"/>
      <c r="Y64" s="13"/>
      <c r="Z64" s="13"/>
      <c r="AA64" s="13"/>
      <c r="AB64" s="12"/>
      <c r="AC64" s="12"/>
      <c r="AD64" s="12"/>
      <c r="AE64" s="12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</row>
    <row r="65" spans="1:103" x14ac:dyDescent="0.25">
      <c r="A65" s="4" t="s">
        <v>86</v>
      </c>
      <c r="B65" s="12" t="str" cm="1">
        <f t="array" ref="B65">User3($C$11:$ZX$11,C65:ZX65)</f>
        <v>1.05D+1.2SDL+1.2BW+1.1COL+1.1SOIL+1WATER+1.3Lr+1.3LLB+1.2LLE+1.89Wy+1+1.2CR14</v>
      </c>
      <c r="C65" s="13">
        <f t="shared" si="0"/>
        <v>1.05</v>
      </c>
      <c r="D65" s="13">
        <f t="shared" si="1"/>
        <v>1.2</v>
      </c>
      <c r="E65" s="13">
        <f t="shared" si="2"/>
        <v>1.2</v>
      </c>
      <c r="F65" s="13">
        <f t="shared" si="3"/>
        <v>1.1000000000000001</v>
      </c>
      <c r="G65" s="13">
        <f t="shared" si="4"/>
        <v>1.1000000000000001</v>
      </c>
      <c r="H65" s="13">
        <f t="shared" si="5"/>
        <v>1</v>
      </c>
      <c r="I65" s="13">
        <v>1.3</v>
      </c>
      <c r="J65" s="13">
        <v>1.3</v>
      </c>
      <c r="K65" s="13">
        <v>1.2</v>
      </c>
      <c r="L65" s="13"/>
      <c r="M65" s="13"/>
      <c r="N65" s="13"/>
      <c r="O65" s="13"/>
      <c r="P65" s="13">
        <v>1.89</v>
      </c>
      <c r="Q65" s="13"/>
      <c r="R65" s="13"/>
      <c r="S65" s="13"/>
      <c r="T65" s="13"/>
      <c r="U65" s="13"/>
      <c r="V65" s="13"/>
      <c r="W65" s="13">
        <v>1.2</v>
      </c>
      <c r="X65" s="13"/>
      <c r="Y65" s="13"/>
      <c r="Z65" s="13"/>
      <c r="AA65" s="13"/>
      <c r="AB65" s="12"/>
      <c r="AC65" s="12"/>
      <c r="AD65" s="12"/>
      <c r="AE65" s="12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</row>
    <row r="66" spans="1:103" x14ac:dyDescent="0.25">
      <c r="A66" s="4" t="s">
        <v>87</v>
      </c>
      <c r="B66" s="12" t="str" cm="1">
        <f t="array" ref="B66">User3($C$11:$ZX$11,C66:ZX66)</f>
        <v>1.05D+1.2SDL+1.2BW+1.1COL+1.1SOIL+1WATER+1.3Lr+1.3LLB+1.2LLE+1.89Wy+1+1.2CR21</v>
      </c>
      <c r="C66" s="13">
        <f t="shared" si="0"/>
        <v>1.05</v>
      </c>
      <c r="D66" s="13">
        <f t="shared" si="1"/>
        <v>1.2</v>
      </c>
      <c r="E66" s="13">
        <f t="shared" si="2"/>
        <v>1.2</v>
      </c>
      <c r="F66" s="13">
        <f t="shared" si="3"/>
        <v>1.1000000000000001</v>
      </c>
      <c r="G66" s="13">
        <f t="shared" si="4"/>
        <v>1.1000000000000001</v>
      </c>
      <c r="H66" s="13">
        <f t="shared" si="5"/>
        <v>1</v>
      </c>
      <c r="I66" s="13">
        <v>1.3</v>
      </c>
      <c r="J66" s="13">
        <v>1.3</v>
      </c>
      <c r="K66" s="13">
        <v>1.2</v>
      </c>
      <c r="L66" s="13"/>
      <c r="M66" s="13"/>
      <c r="N66" s="13"/>
      <c r="O66" s="13"/>
      <c r="P66" s="13">
        <v>1.89</v>
      </c>
      <c r="Q66" s="13"/>
      <c r="R66" s="13"/>
      <c r="S66" s="13"/>
      <c r="T66" s="13"/>
      <c r="U66" s="13"/>
      <c r="V66" s="13"/>
      <c r="W66" s="13"/>
      <c r="X66" s="13">
        <v>1.2</v>
      </c>
      <c r="Y66" s="13"/>
      <c r="Z66" s="13"/>
      <c r="AA66" s="13"/>
      <c r="AB66" s="12"/>
      <c r="AC66" s="12"/>
      <c r="AD66" s="12"/>
      <c r="AE66" s="12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</row>
    <row r="67" spans="1:103" x14ac:dyDescent="0.25">
      <c r="A67" s="4" t="s">
        <v>88</v>
      </c>
      <c r="B67" s="12" t="str" cm="1">
        <f t="array" ref="B67">User3($C$11:$ZX$11,C67:ZX67)</f>
        <v>1.05D+1.2SDL+1.2BW+1.1COL+1.1SOIL+1WATER+1.3Lr+1.3LLB+1.2LLE+1.89Wy+1+1.2CR22</v>
      </c>
      <c r="C67" s="13">
        <f t="shared" si="0"/>
        <v>1.05</v>
      </c>
      <c r="D67" s="13">
        <f t="shared" si="1"/>
        <v>1.2</v>
      </c>
      <c r="E67" s="13">
        <f t="shared" si="2"/>
        <v>1.2</v>
      </c>
      <c r="F67" s="13">
        <f t="shared" si="3"/>
        <v>1.1000000000000001</v>
      </c>
      <c r="G67" s="13">
        <f t="shared" si="4"/>
        <v>1.1000000000000001</v>
      </c>
      <c r="H67" s="13">
        <f t="shared" si="5"/>
        <v>1</v>
      </c>
      <c r="I67" s="13">
        <v>1.3</v>
      </c>
      <c r="J67" s="13">
        <v>1.3</v>
      </c>
      <c r="K67" s="13">
        <v>1.2</v>
      </c>
      <c r="L67" s="13"/>
      <c r="M67" s="13"/>
      <c r="N67" s="13"/>
      <c r="O67" s="13"/>
      <c r="P67" s="13">
        <v>1.89</v>
      </c>
      <c r="Q67" s="13"/>
      <c r="R67" s="13"/>
      <c r="S67" s="13"/>
      <c r="T67" s="13"/>
      <c r="U67" s="13"/>
      <c r="V67" s="13"/>
      <c r="W67" s="13"/>
      <c r="X67" s="13"/>
      <c r="Y67" s="13">
        <v>1.2</v>
      </c>
      <c r="Z67" s="13"/>
      <c r="AA67" s="13"/>
      <c r="AB67" s="12"/>
      <c r="AC67" s="12"/>
      <c r="AD67" s="12"/>
      <c r="AE67" s="12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</row>
    <row r="68" spans="1:103" x14ac:dyDescent="0.25">
      <c r="A68" s="4" t="s">
        <v>89</v>
      </c>
      <c r="B68" s="12" t="str" cm="1">
        <f t="array" ref="B68">User3($C$11:$ZX$11,C68:ZX68)</f>
        <v>1.05D+1.2SDL+1.2BW+1.1COL+1.1SOIL+1WATER+1.3Lr+1.3LLB+1.2LLE+1.89Wy+1+1.2CR23</v>
      </c>
      <c r="C68" s="13">
        <f t="shared" si="0"/>
        <v>1.05</v>
      </c>
      <c r="D68" s="13">
        <f t="shared" si="1"/>
        <v>1.2</v>
      </c>
      <c r="E68" s="13">
        <f t="shared" si="2"/>
        <v>1.2</v>
      </c>
      <c r="F68" s="13">
        <f t="shared" si="3"/>
        <v>1.1000000000000001</v>
      </c>
      <c r="G68" s="13">
        <f t="shared" si="4"/>
        <v>1.1000000000000001</v>
      </c>
      <c r="H68" s="13">
        <f t="shared" si="5"/>
        <v>1</v>
      </c>
      <c r="I68" s="13">
        <v>1.3</v>
      </c>
      <c r="J68" s="13">
        <v>1.3</v>
      </c>
      <c r="K68" s="13">
        <v>1.2</v>
      </c>
      <c r="L68" s="13"/>
      <c r="M68" s="13"/>
      <c r="N68" s="13"/>
      <c r="O68" s="13"/>
      <c r="P68" s="13">
        <v>1.89</v>
      </c>
      <c r="Q68" s="13"/>
      <c r="R68" s="13"/>
      <c r="S68" s="13"/>
      <c r="T68" s="13"/>
      <c r="U68" s="13"/>
      <c r="V68" s="13"/>
      <c r="W68" s="13"/>
      <c r="X68" s="13"/>
      <c r="Y68" s="13"/>
      <c r="Z68" s="13">
        <v>1.2</v>
      </c>
      <c r="AA68" s="13"/>
      <c r="AB68" s="12"/>
      <c r="AC68" s="12"/>
      <c r="AD68" s="12"/>
      <c r="AE68" s="12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</row>
    <row r="69" spans="1:103" x14ac:dyDescent="0.25">
      <c r="A69" s="4" t="s">
        <v>90</v>
      </c>
      <c r="B69" s="15" t="str" cm="1">
        <f t="array" ref="B69">User3($C$11:$ZX$11,C69:ZX69)</f>
        <v>1.05D+1.2SDL+1.2BW+1.1COL+1.1SOIL+1WATER+1.3Lr+1.3LLB+1.2LLE+1.89Wy+1+1.2CR24</v>
      </c>
      <c r="C69" s="16">
        <f t="shared" si="0"/>
        <v>1.05</v>
      </c>
      <c r="D69" s="16">
        <f t="shared" si="1"/>
        <v>1.2</v>
      </c>
      <c r="E69" s="16">
        <f t="shared" si="2"/>
        <v>1.2</v>
      </c>
      <c r="F69" s="16">
        <f t="shared" si="3"/>
        <v>1.1000000000000001</v>
      </c>
      <c r="G69" s="16">
        <f t="shared" si="4"/>
        <v>1.1000000000000001</v>
      </c>
      <c r="H69" s="16">
        <f t="shared" si="5"/>
        <v>1</v>
      </c>
      <c r="I69" s="16">
        <v>1.3</v>
      </c>
      <c r="J69" s="16">
        <v>1.3</v>
      </c>
      <c r="K69" s="16">
        <v>1.2</v>
      </c>
      <c r="L69" s="16"/>
      <c r="M69" s="16"/>
      <c r="N69" s="16"/>
      <c r="O69" s="16"/>
      <c r="P69" s="16">
        <v>1.89</v>
      </c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>
        <v>1.2</v>
      </c>
      <c r="AB69" s="15"/>
      <c r="AC69" s="15"/>
      <c r="AD69" s="15"/>
      <c r="AE69" s="15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</row>
    <row r="70" spans="1:103" x14ac:dyDescent="0.25">
      <c r="A70" s="4" t="s">
        <v>91</v>
      </c>
      <c r="B70" s="9" t="str" cm="1">
        <f t="array" ref="B70">User3($C$11:$ZX$11,C70:ZX70)</f>
        <v>1.05D+1.2SDL+1.2BW+1.1COL+1.1SOIL+1WATER+1.3Lr+1.3LLB+1.2LLE+1.89Wy+2+1.2CR11</v>
      </c>
      <c r="C70" s="13">
        <f t="shared" si="0"/>
        <v>1.05</v>
      </c>
      <c r="D70" s="13">
        <f t="shared" si="1"/>
        <v>1.2</v>
      </c>
      <c r="E70" s="13">
        <f t="shared" si="2"/>
        <v>1.2</v>
      </c>
      <c r="F70" s="13">
        <f t="shared" si="3"/>
        <v>1.1000000000000001</v>
      </c>
      <c r="G70" s="13">
        <f t="shared" si="4"/>
        <v>1.1000000000000001</v>
      </c>
      <c r="H70" s="13">
        <f t="shared" si="5"/>
        <v>1</v>
      </c>
      <c r="I70" s="10">
        <v>1.3</v>
      </c>
      <c r="J70" s="10">
        <v>1.3</v>
      </c>
      <c r="K70" s="10">
        <v>1.2</v>
      </c>
      <c r="L70" s="10"/>
      <c r="M70" s="10"/>
      <c r="N70" s="10"/>
      <c r="O70" s="10"/>
      <c r="P70" s="10"/>
      <c r="Q70" s="10">
        <v>1.89</v>
      </c>
      <c r="R70" s="10"/>
      <c r="S70" s="10"/>
      <c r="T70" s="21">
        <v>1.2</v>
      </c>
      <c r="U70" s="10"/>
      <c r="V70" s="10"/>
      <c r="W70" s="10"/>
      <c r="X70" s="10"/>
      <c r="Y70" s="10"/>
      <c r="Z70" s="10"/>
      <c r="AA70" s="10"/>
      <c r="AB70" s="9"/>
      <c r="AC70" s="9"/>
      <c r="AD70" s="9"/>
      <c r="AE70" s="9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  <c r="CY70" s="18"/>
    </row>
    <row r="71" spans="1:103" x14ac:dyDescent="0.25">
      <c r="A71" s="4" t="s">
        <v>92</v>
      </c>
      <c r="B71" s="12" t="str" cm="1">
        <f t="array" ref="B71">User3($C$11:$ZX$11,C71:ZX71)</f>
        <v>1.05D+1.2SDL+1.2BW+1.1COL+1.1SOIL+1WATER+1.3Lr+1.3LLB+1.2LLE+1.89Wy+2+1.2CR12</v>
      </c>
      <c r="C71" s="13">
        <f t="shared" si="0"/>
        <v>1.05</v>
      </c>
      <c r="D71" s="13">
        <f t="shared" si="1"/>
        <v>1.2</v>
      </c>
      <c r="E71" s="13">
        <f t="shared" si="2"/>
        <v>1.2</v>
      </c>
      <c r="F71" s="13">
        <f t="shared" si="3"/>
        <v>1.1000000000000001</v>
      </c>
      <c r="G71" s="13">
        <f t="shared" si="4"/>
        <v>1.1000000000000001</v>
      </c>
      <c r="H71" s="13">
        <f t="shared" si="5"/>
        <v>1</v>
      </c>
      <c r="I71" s="13">
        <v>1.3</v>
      </c>
      <c r="J71" s="13">
        <v>1.3</v>
      </c>
      <c r="K71" s="13">
        <v>1.2</v>
      </c>
      <c r="L71" s="13"/>
      <c r="M71" s="13"/>
      <c r="N71" s="13"/>
      <c r="O71" s="13"/>
      <c r="P71" s="13"/>
      <c r="Q71" s="13">
        <v>1.89</v>
      </c>
      <c r="R71" s="13"/>
      <c r="S71" s="13"/>
      <c r="T71" s="13"/>
      <c r="U71" s="13">
        <v>1.2</v>
      </c>
      <c r="V71" s="13"/>
      <c r="W71" s="13"/>
      <c r="X71" s="13"/>
      <c r="Y71" s="13"/>
      <c r="Z71" s="13"/>
      <c r="AA71" s="13"/>
      <c r="AB71" s="12"/>
      <c r="AC71" s="12"/>
      <c r="AD71" s="12"/>
      <c r="AE71" s="12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</row>
    <row r="72" spans="1:103" x14ac:dyDescent="0.25">
      <c r="A72" s="4" t="s">
        <v>93</v>
      </c>
      <c r="B72" s="12" t="str" cm="1">
        <f t="array" ref="B72">User3($C$11:$ZX$11,C72:ZX72)</f>
        <v>1.05D+1.2SDL+1.2BW+1.1COL+1.1SOIL+1WATER+1.3Lr+1.3LLB+1.2LLE+1.89Wy+2+1.2CR13</v>
      </c>
      <c r="C72" s="13">
        <f t="shared" si="0"/>
        <v>1.05</v>
      </c>
      <c r="D72" s="13">
        <f t="shared" si="1"/>
        <v>1.2</v>
      </c>
      <c r="E72" s="13">
        <f t="shared" si="2"/>
        <v>1.2</v>
      </c>
      <c r="F72" s="13">
        <f t="shared" si="3"/>
        <v>1.1000000000000001</v>
      </c>
      <c r="G72" s="13">
        <f t="shared" si="4"/>
        <v>1.1000000000000001</v>
      </c>
      <c r="H72" s="13">
        <f t="shared" si="5"/>
        <v>1</v>
      </c>
      <c r="I72" s="13">
        <v>1.3</v>
      </c>
      <c r="J72" s="13">
        <v>1.3</v>
      </c>
      <c r="K72" s="13">
        <v>1.2</v>
      </c>
      <c r="L72" s="13"/>
      <c r="M72" s="13"/>
      <c r="N72" s="13"/>
      <c r="O72" s="13"/>
      <c r="P72" s="13"/>
      <c r="Q72" s="13">
        <v>1.89</v>
      </c>
      <c r="R72" s="13"/>
      <c r="S72" s="13"/>
      <c r="T72" s="13"/>
      <c r="U72" s="13"/>
      <c r="V72" s="13">
        <v>1.2</v>
      </c>
      <c r="W72" s="13"/>
      <c r="X72" s="13"/>
      <c r="Y72" s="13"/>
      <c r="Z72" s="13"/>
      <c r="AA72" s="13"/>
      <c r="AB72" s="12"/>
      <c r="AC72" s="12"/>
      <c r="AD72" s="12"/>
      <c r="AE72" s="12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</row>
    <row r="73" spans="1:103" x14ac:dyDescent="0.25">
      <c r="A73" s="4" t="s">
        <v>94</v>
      </c>
      <c r="B73" s="12" t="str" cm="1">
        <f t="array" ref="B73">User3($C$11:$ZX$11,C73:ZX73)</f>
        <v>1.05D+1.2SDL+1.2BW+1.1COL+1.1SOIL+1WATER+1.3Lr+1.3LLB+1.2LLE+1.89Wy+2+1.2CR14</v>
      </c>
      <c r="C73" s="13">
        <f t="shared" si="0"/>
        <v>1.05</v>
      </c>
      <c r="D73" s="13">
        <f t="shared" si="1"/>
        <v>1.2</v>
      </c>
      <c r="E73" s="13">
        <f t="shared" si="2"/>
        <v>1.2</v>
      </c>
      <c r="F73" s="13">
        <f t="shared" si="3"/>
        <v>1.1000000000000001</v>
      </c>
      <c r="G73" s="13">
        <f t="shared" si="4"/>
        <v>1.1000000000000001</v>
      </c>
      <c r="H73" s="13">
        <f t="shared" si="5"/>
        <v>1</v>
      </c>
      <c r="I73" s="13">
        <v>1.3</v>
      </c>
      <c r="J73" s="13">
        <v>1.3</v>
      </c>
      <c r="K73" s="13">
        <v>1.2</v>
      </c>
      <c r="L73" s="13"/>
      <c r="M73" s="13"/>
      <c r="N73" s="13"/>
      <c r="O73" s="13"/>
      <c r="P73" s="13"/>
      <c r="Q73" s="13">
        <v>1.89</v>
      </c>
      <c r="R73" s="13"/>
      <c r="S73" s="13"/>
      <c r="T73" s="13"/>
      <c r="U73" s="13"/>
      <c r="V73" s="13"/>
      <c r="W73" s="13">
        <v>1.2</v>
      </c>
      <c r="X73" s="13"/>
      <c r="Y73" s="13"/>
      <c r="Z73" s="13"/>
      <c r="AA73" s="13"/>
      <c r="AB73" s="12"/>
      <c r="AC73" s="12"/>
      <c r="AD73" s="12"/>
      <c r="AE73" s="12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  <c r="CY73" s="18"/>
    </row>
    <row r="74" spans="1:103" x14ac:dyDescent="0.25">
      <c r="A74" s="4" t="s">
        <v>95</v>
      </c>
      <c r="B74" s="12" t="str" cm="1">
        <f t="array" ref="B74">User3($C$11:$ZX$11,C74:ZX74)</f>
        <v>1.05D+1.2SDL+1.2BW+1.1COL+1.1SOIL+1WATER+1.3Lr+1.3LLB+1.2LLE+1.89Wy+2+1.2CR21</v>
      </c>
      <c r="C74" s="13">
        <f t="shared" si="0"/>
        <v>1.05</v>
      </c>
      <c r="D74" s="13">
        <f t="shared" si="1"/>
        <v>1.2</v>
      </c>
      <c r="E74" s="13">
        <f t="shared" si="2"/>
        <v>1.2</v>
      </c>
      <c r="F74" s="13">
        <f t="shared" si="3"/>
        <v>1.1000000000000001</v>
      </c>
      <c r="G74" s="13">
        <f t="shared" si="4"/>
        <v>1.1000000000000001</v>
      </c>
      <c r="H74" s="13">
        <f t="shared" si="5"/>
        <v>1</v>
      </c>
      <c r="I74" s="13">
        <v>1.3</v>
      </c>
      <c r="J74" s="13">
        <v>1.3</v>
      </c>
      <c r="K74" s="13">
        <v>1.2</v>
      </c>
      <c r="L74" s="13"/>
      <c r="M74" s="13"/>
      <c r="N74" s="13"/>
      <c r="O74" s="13"/>
      <c r="P74" s="13"/>
      <c r="Q74" s="13">
        <v>1.89</v>
      </c>
      <c r="R74" s="13"/>
      <c r="S74" s="13"/>
      <c r="T74" s="13"/>
      <c r="U74" s="13"/>
      <c r="V74" s="13"/>
      <c r="W74" s="13"/>
      <c r="X74" s="13">
        <v>1.2</v>
      </c>
      <c r="Y74" s="13"/>
      <c r="Z74" s="13"/>
      <c r="AA74" s="13"/>
      <c r="AB74" s="12"/>
      <c r="AC74" s="12"/>
      <c r="AD74" s="12"/>
      <c r="AE74" s="12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</row>
    <row r="75" spans="1:103" x14ac:dyDescent="0.25">
      <c r="A75" s="4" t="s">
        <v>96</v>
      </c>
      <c r="B75" s="12" t="str" cm="1">
        <f t="array" ref="B75">User3($C$11:$ZX$11,C75:ZX75)</f>
        <v>1.05D+1.2SDL+1.2BW+1.1COL+1.1SOIL+1WATER+1.3Lr+1.3LLB+1.2LLE+1.89Wy+2+1.2CR22</v>
      </c>
      <c r="C75" s="13">
        <f t="shared" si="0"/>
        <v>1.05</v>
      </c>
      <c r="D75" s="13">
        <f t="shared" si="1"/>
        <v>1.2</v>
      </c>
      <c r="E75" s="13">
        <f t="shared" si="2"/>
        <v>1.2</v>
      </c>
      <c r="F75" s="13">
        <f t="shared" si="3"/>
        <v>1.1000000000000001</v>
      </c>
      <c r="G75" s="13">
        <f t="shared" si="4"/>
        <v>1.1000000000000001</v>
      </c>
      <c r="H75" s="13">
        <f t="shared" si="5"/>
        <v>1</v>
      </c>
      <c r="I75" s="13">
        <v>1.3</v>
      </c>
      <c r="J75" s="13">
        <v>1.3</v>
      </c>
      <c r="K75" s="13">
        <v>1.2</v>
      </c>
      <c r="L75" s="13"/>
      <c r="M75" s="13"/>
      <c r="N75" s="13"/>
      <c r="O75" s="13"/>
      <c r="P75" s="13"/>
      <c r="Q75" s="13">
        <v>1.89</v>
      </c>
      <c r="R75" s="13"/>
      <c r="S75" s="13"/>
      <c r="T75" s="13"/>
      <c r="U75" s="13"/>
      <c r="V75" s="13"/>
      <c r="W75" s="13"/>
      <c r="X75" s="13"/>
      <c r="Y75" s="13">
        <v>1.2</v>
      </c>
      <c r="Z75" s="13"/>
      <c r="AA75" s="13"/>
      <c r="AB75" s="12"/>
      <c r="AC75" s="12"/>
      <c r="AD75" s="12"/>
      <c r="AE75" s="12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</row>
    <row r="76" spans="1:103" x14ac:dyDescent="0.25">
      <c r="A76" s="4" t="s">
        <v>97</v>
      </c>
      <c r="B76" s="12" t="str" cm="1">
        <f t="array" ref="B76">User3($C$11:$ZX$11,C76:ZX76)</f>
        <v>1.05D+1.2SDL+1.2BW+1.1COL+1.1SOIL+1WATER+1.3Lr+1.3LLB+1.2LLE+1.89Wy+2+1.2CR23</v>
      </c>
      <c r="C76" s="13">
        <f t="shared" si="0"/>
        <v>1.05</v>
      </c>
      <c r="D76" s="13">
        <f t="shared" si="1"/>
        <v>1.2</v>
      </c>
      <c r="E76" s="13">
        <f t="shared" si="2"/>
        <v>1.2</v>
      </c>
      <c r="F76" s="13">
        <f t="shared" si="3"/>
        <v>1.1000000000000001</v>
      </c>
      <c r="G76" s="13">
        <f t="shared" si="4"/>
        <v>1.1000000000000001</v>
      </c>
      <c r="H76" s="13">
        <f t="shared" si="5"/>
        <v>1</v>
      </c>
      <c r="I76" s="13">
        <v>1.3</v>
      </c>
      <c r="J76" s="13">
        <v>1.3</v>
      </c>
      <c r="K76" s="13">
        <v>1.2</v>
      </c>
      <c r="L76" s="13"/>
      <c r="M76" s="13"/>
      <c r="N76" s="13"/>
      <c r="O76" s="13"/>
      <c r="P76" s="13"/>
      <c r="Q76" s="13">
        <v>1.89</v>
      </c>
      <c r="R76" s="13"/>
      <c r="S76" s="13"/>
      <c r="T76" s="13"/>
      <c r="U76" s="13"/>
      <c r="V76" s="13"/>
      <c r="W76" s="13"/>
      <c r="X76" s="13"/>
      <c r="Y76" s="13"/>
      <c r="Z76" s="13">
        <v>1.2</v>
      </c>
      <c r="AA76" s="13"/>
      <c r="AB76" s="12"/>
      <c r="AC76" s="12"/>
      <c r="AD76" s="12"/>
      <c r="AE76" s="12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</row>
    <row r="77" spans="1:103" x14ac:dyDescent="0.25">
      <c r="A77" s="4" t="s">
        <v>98</v>
      </c>
      <c r="B77" s="15" t="str" cm="1">
        <f t="array" ref="B77">User3($C$11:$ZX$11,C77:ZX77)</f>
        <v>1.05D+1.2SDL+1.2BW+1.1COL+1.1SOIL+1WATER+1.3Lr+1.3LLB+1.2LLE+1.89Wy+2+1.2CR24</v>
      </c>
      <c r="C77" s="16">
        <f t="shared" si="0"/>
        <v>1.05</v>
      </c>
      <c r="D77" s="16">
        <f t="shared" si="1"/>
        <v>1.2</v>
      </c>
      <c r="E77" s="16">
        <f t="shared" si="2"/>
        <v>1.2</v>
      </c>
      <c r="F77" s="16">
        <f t="shared" si="3"/>
        <v>1.1000000000000001</v>
      </c>
      <c r="G77" s="16">
        <f t="shared" si="4"/>
        <v>1.1000000000000001</v>
      </c>
      <c r="H77" s="16">
        <f t="shared" si="5"/>
        <v>1</v>
      </c>
      <c r="I77" s="16">
        <v>1.3</v>
      </c>
      <c r="J77" s="16">
        <v>1.3</v>
      </c>
      <c r="K77" s="16">
        <v>1.2</v>
      </c>
      <c r="L77" s="16"/>
      <c r="M77" s="16"/>
      <c r="N77" s="16"/>
      <c r="O77" s="16"/>
      <c r="P77" s="16"/>
      <c r="Q77" s="16">
        <v>1.89</v>
      </c>
      <c r="R77" s="16"/>
      <c r="S77" s="16"/>
      <c r="T77" s="16"/>
      <c r="U77" s="16"/>
      <c r="V77" s="16"/>
      <c r="W77" s="16"/>
      <c r="X77" s="16"/>
      <c r="Y77" s="16"/>
      <c r="Z77" s="16"/>
      <c r="AA77" s="16">
        <v>1.2</v>
      </c>
      <c r="AB77" s="15"/>
      <c r="AC77" s="15"/>
      <c r="AD77" s="15"/>
      <c r="AE77" s="15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</row>
    <row r="78" spans="1:103" x14ac:dyDescent="0.25">
      <c r="A78" s="4" t="s">
        <v>99</v>
      </c>
      <c r="B78" s="9" t="str" cm="1">
        <f t="array" ref="B78">User3($C$11:$ZX$11,C78:ZX78)</f>
        <v>1.05D+1.2SDL+1.2BW+1.1COL+1.1SOIL+1WATER+1.3Lr+1.3LLB+1.2LLE+1.89Wy-1+1.2CR11</v>
      </c>
      <c r="C78" s="13">
        <f t="shared" ref="C78:C141" si="6">$C$12</f>
        <v>1.05</v>
      </c>
      <c r="D78" s="13">
        <f t="shared" ref="D78:D141" si="7">$D$12</f>
        <v>1.2</v>
      </c>
      <c r="E78" s="13">
        <f t="shared" ref="E78:E141" si="8">$E$12</f>
        <v>1.2</v>
      </c>
      <c r="F78" s="13">
        <f t="shared" ref="F78:F141" si="9">$F$12</f>
        <v>1.1000000000000001</v>
      </c>
      <c r="G78" s="13">
        <f t="shared" ref="G78:G141" si="10">$G$12</f>
        <v>1.1000000000000001</v>
      </c>
      <c r="H78" s="13">
        <f t="shared" ref="H78:H141" si="11">$H$12</f>
        <v>1</v>
      </c>
      <c r="I78" s="10">
        <v>1.3</v>
      </c>
      <c r="J78" s="10">
        <v>1.3</v>
      </c>
      <c r="K78" s="10">
        <v>1.2</v>
      </c>
      <c r="L78" s="10"/>
      <c r="M78" s="10"/>
      <c r="N78" s="10"/>
      <c r="O78" s="10"/>
      <c r="P78" s="10"/>
      <c r="Q78" s="10"/>
      <c r="R78" s="10">
        <v>1.89</v>
      </c>
      <c r="S78" s="10"/>
      <c r="T78" s="21">
        <v>1.2</v>
      </c>
      <c r="U78" s="10"/>
      <c r="V78" s="10"/>
      <c r="W78" s="10"/>
      <c r="X78" s="10"/>
      <c r="Y78" s="10"/>
      <c r="Z78" s="10"/>
      <c r="AA78" s="10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</row>
    <row r="79" spans="1:103" x14ac:dyDescent="0.25">
      <c r="A79" s="4" t="s">
        <v>100</v>
      </c>
      <c r="B79" s="12" t="str" cm="1">
        <f t="array" ref="B79">User3($C$11:$ZX$11,C79:ZX79)</f>
        <v>1.05D+1.2SDL+1.2BW+1.1COL+1.1SOIL+1WATER+1.3Lr+1.3LLB+1.2LLE+1.89Wy-1+1.2CR12</v>
      </c>
      <c r="C79" s="13">
        <f t="shared" si="6"/>
        <v>1.05</v>
      </c>
      <c r="D79" s="13">
        <f t="shared" si="7"/>
        <v>1.2</v>
      </c>
      <c r="E79" s="13">
        <f t="shared" si="8"/>
        <v>1.2</v>
      </c>
      <c r="F79" s="13">
        <f t="shared" si="9"/>
        <v>1.1000000000000001</v>
      </c>
      <c r="G79" s="13">
        <f t="shared" si="10"/>
        <v>1.1000000000000001</v>
      </c>
      <c r="H79" s="13">
        <f t="shared" si="11"/>
        <v>1</v>
      </c>
      <c r="I79" s="13">
        <v>1.3</v>
      </c>
      <c r="J79" s="13">
        <v>1.3</v>
      </c>
      <c r="K79" s="13">
        <v>1.2</v>
      </c>
      <c r="L79" s="13"/>
      <c r="M79" s="13"/>
      <c r="N79" s="13"/>
      <c r="O79" s="13"/>
      <c r="P79" s="13"/>
      <c r="Q79" s="13"/>
      <c r="R79" s="13">
        <v>1.89</v>
      </c>
      <c r="S79" s="13"/>
      <c r="T79" s="13"/>
      <c r="U79" s="13">
        <v>1.2</v>
      </c>
      <c r="V79" s="13"/>
      <c r="W79" s="13"/>
      <c r="X79" s="13"/>
      <c r="Y79" s="13"/>
      <c r="Z79" s="13"/>
      <c r="AA79" s="13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</row>
    <row r="80" spans="1:103" x14ac:dyDescent="0.25">
      <c r="A80" s="4" t="s">
        <v>101</v>
      </c>
      <c r="B80" s="12" t="str" cm="1">
        <f t="array" ref="B80">User3($C$11:$ZX$11,C80:ZX80)</f>
        <v>1.05D+1.2SDL+1.2BW+1.1COL+1.1SOIL+1WATER+1.3Lr+1.3LLB+1.2LLE+1.89Wy-1+1.2CR13</v>
      </c>
      <c r="C80" s="13">
        <f t="shared" si="6"/>
        <v>1.05</v>
      </c>
      <c r="D80" s="13">
        <f t="shared" si="7"/>
        <v>1.2</v>
      </c>
      <c r="E80" s="13">
        <f t="shared" si="8"/>
        <v>1.2</v>
      </c>
      <c r="F80" s="13">
        <f t="shared" si="9"/>
        <v>1.1000000000000001</v>
      </c>
      <c r="G80" s="13">
        <f t="shared" si="10"/>
        <v>1.1000000000000001</v>
      </c>
      <c r="H80" s="13">
        <f t="shared" si="11"/>
        <v>1</v>
      </c>
      <c r="I80" s="13">
        <v>1.3</v>
      </c>
      <c r="J80" s="13">
        <v>1.3</v>
      </c>
      <c r="K80" s="13">
        <v>1.2</v>
      </c>
      <c r="L80" s="13"/>
      <c r="M80" s="13"/>
      <c r="N80" s="13"/>
      <c r="O80" s="13"/>
      <c r="P80" s="13"/>
      <c r="Q80" s="13"/>
      <c r="R80" s="13">
        <v>1.89</v>
      </c>
      <c r="S80" s="13"/>
      <c r="T80" s="13"/>
      <c r="U80" s="13"/>
      <c r="V80" s="13">
        <v>1.2</v>
      </c>
      <c r="W80" s="13"/>
      <c r="X80" s="13"/>
      <c r="Y80" s="13"/>
      <c r="Z80" s="13"/>
      <c r="AA80" s="13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</row>
    <row r="81" spans="1:103" x14ac:dyDescent="0.25">
      <c r="A81" s="4" t="s">
        <v>102</v>
      </c>
      <c r="B81" s="12" t="str" cm="1">
        <f t="array" ref="B81">User3($C$11:$ZX$11,C81:ZX81)</f>
        <v>1.05D+1.2SDL+1.2BW+1.1COL+1.1SOIL+1WATER+1.3Lr+1.3LLB+1.2LLE+1.89Wy-1+1.2CR14</v>
      </c>
      <c r="C81" s="13">
        <f t="shared" si="6"/>
        <v>1.05</v>
      </c>
      <c r="D81" s="13">
        <f t="shared" si="7"/>
        <v>1.2</v>
      </c>
      <c r="E81" s="13">
        <f t="shared" si="8"/>
        <v>1.2</v>
      </c>
      <c r="F81" s="13">
        <f t="shared" si="9"/>
        <v>1.1000000000000001</v>
      </c>
      <c r="G81" s="13">
        <f t="shared" si="10"/>
        <v>1.1000000000000001</v>
      </c>
      <c r="H81" s="13">
        <f t="shared" si="11"/>
        <v>1</v>
      </c>
      <c r="I81" s="13">
        <v>1.3</v>
      </c>
      <c r="J81" s="13">
        <v>1.3</v>
      </c>
      <c r="K81" s="13">
        <v>1.2</v>
      </c>
      <c r="L81" s="13"/>
      <c r="M81" s="13"/>
      <c r="N81" s="13"/>
      <c r="O81" s="13"/>
      <c r="P81" s="13"/>
      <c r="Q81" s="13"/>
      <c r="R81" s="13">
        <v>1.89</v>
      </c>
      <c r="S81" s="13"/>
      <c r="T81" s="13"/>
      <c r="U81" s="13"/>
      <c r="V81" s="13"/>
      <c r="W81" s="13">
        <v>1.2</v>
      </c>
      <c r="X81" s="13"/>
      <c r="Y81" s="13"/>
      <c r="Z81" s="13"/>
      <c r="AA81" s="13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</row>
    <row r="82" spans="1:103" x14ac:dyDescent="0.25">
      <c r="A82" s="4" t="s">
        <v>103</v>
      </c>
      <c r="B82" s="12" t="str" cm="1">
        <f t="array" ref="B82">User3($C$11:$ZX$11,C82:ZX82)</f>
        <v>1.05D+1.2SDL+1.2BW+1.1COL+1.1SOIL+1WATER+1.3Lr+1.3LLB+1.2LLE+1.89Wy-1+1.2CR21</v>
      </c>
      <c r="C82" s="13">
        <f t="shared" si="6"/>
        <v>1.05</v>
      </c>
      <c r="D82" s="13">
        <f t="shared" si="7"/>
        <v>1.2</v>
      </c>
      <c r="E82" s="13">
        <f t="shared" si="8"/>
        <v>1.2</v>
      </c>
      <c r="F82" s="13">
        <f t="shared" si="9"/>
        <v>1.1000000000000001</v>
      </c>
      <c r="G82" s="13">
        <f t="shared" si="10"/>
        <v>1.1000000000000001</v>
      </c>
      <c r="H82" s="13">
        <f t="shared" si="11"/>
        <v>1</v>
      </c>
      <c r="I82" s="13">
        <v>1.3</v>
      </c>
      <c r="J82" s="13">
        <v>1.3</v>
      </c>
      <c r="K82" s="13">
        <v>1.2</v>
      </c>
      <c r="L82" s="13"/>
      <c r="M82" s="13"/>
      <c r="N82" s="13"/>
      <c r="O82" s="13"/>
      <c r="P82" s="13"/>
      <c r="Q82" s="13"/>
      <c r="R82" s="13">
        <v>1.89</v>
      </c>
      <c r="S82" s="13"/>
      <c r="T82" s="13"/>
      <c r="U82" s="13"/>
      <c r="V82" s="13"/>
      <c r="W82" s="13"/>
      <c r="X82" s="13">
        <v>1.2</v>
      </c>
      <c r="Y82" s="13"/>
      <c r="Z82" s="13"/>
      <c r="AA82" s="13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</row>
    <row r="83" spans="1:103" x14ac:dyDescent="0.25">
      <c r="A83" s="4" t="s">
        <v>104</v>
      </c>
      <c r="B83" s="12" t="str" cm="1">
        <f t="array" ref="B83">User3($C$11:$ZX$11,C83:ZX83)</f>
        <v>1.05D+1.2SDL+1.2BW+1.1COL+1.1SOIL+1WATER+1.3Lr+1.3LLB+1.2LLE+1.89Wy-1+1.2CR22</v>
      </c>
      <c r="C83" s="13">
        <f t="shared" si="6"/>
        <v>1.05</v>
      </c>
      <c r="D83" s="13">
        <f t="shared" si="7"/>
        <v>1.2</v>
      </c>
      <c r="E83" s="13">
        <f t="shared" si="8"/>
        <v>1.2</v>
      </c>
      <c r="F83" s="13">
        <f t="shared" si="9"/>
        <v>1.1000000000000001</v>
      </c>
      <c r="G83" s="13">
        <f t="shared" si="10"/>
        <v>1.1000000000000001</v>
      </c>
      <c r="H83" s="13">
        <f t="shared" si="11"/>
        <v>1</v>
      </c>
      <c r="I83" s="13">
        <v>1.3</v>
      </c>
      <c r="J83" s="13">
        <v>1.3</v>
      </c>
      <c r="K83" s="13">
        <v>1.2</v>
      </c>
      <c r="L83" s="13"/>
      <c r="M83" s="13"/>
      <c r="N83" s="13"/>
      <c r="O83" s="13"/>
      <c r="P83" s="13"/>
      <c r="Q83" s="13"/>
      <c r="R83" s="13">
        <v>1.89</v>
      </c>
      <c r="S83" s="13"/>
      <c r="T83" s="13"/>
      <c r="U83" s="13"/>
      <c r="V83" s="13"/>
      <c r="W83" s="13"/>
      <c r="X83" s="13"/>
      <c r="Y83" s="13">
        <v>1.2</v>
      </c>
      <c r="Z83" s="13"/>
      <c r="AA83" s="13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</row>
    <row r="84" spans="1:103" x14ac:dyDescent="0.25">
      <c r="A84" s="4" t="s">
        <v>105</v>
      </c>
      <c r="B84" s="12" t="str" cm="1">
        <f t="array" ref="B84">User3($C$11:$ZX$11,C84:ZX84)</f>
        <v>1.05D+1.2SDL+1.2BW+1.1COL+1.1SOIL+1WATER+1.3Lr+1.3LLB+1.2LLE+1.89Wy-1+1.2CR23</v>
      </c>
      <c r="C84" s="13">
        <f t="shared" si="6"/>
        <v>1.05</v>
      </c>
      <c r="D84" s="13">
        <f t="shared" si="7"/>
        <v>1.2</v>
      </c>
      <c r="E84" s="13">
        <f t="shared" si="8"/>
        <v>1.2</v>
      </c>
      <c r="F84" s="13">
        <f t="shared" si="9"/>
        <v>1.1000000000000001</v>
      </c>
      <c r="G84" s="13">
        <f t="shared" si="10"/>
        <v>1.1000000000000001</v>
      </c>
      <c r="H84" s="13">
        <f t="shared" si="11"/>
        <v>1</v>
      </c>
      <c r="I84" s="13">
        <v>1.3</v>
      </c>
      <c r="J84" s="13">
        <v>1.3</v>
      </c>
      <c r="K84" s="13">
        <v>1.2</v>
      </c>
      <c r="L84" s="13"/>
      <c r="M84" s="13"/>
      <c r="N84" s="13"/>
      <c r="O84" s="13"/>
      <c r="P84" s="13"/>
      <c r="Q84" s="13"/>
      <c r="R84" s="13">
        <v>1.89</v>
      </c>
      <c r="S84" s="13"/>
      <c r="T84" s="13"/>
      <c r="U84" s="13"/>
      <c r="V84" s="13"/>
      <c r="W84" s="13"/>
      <c r="X84" s="13"/>
      <c r="Y84" s="13"/>
      <c r="Z84" s="13">
        <v>1.2</v>
      </c>
      <c r="AA84" s="13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18"/>
    </row>
    <row r="85" spans="1:103" x14ac:dyDescent="0.25">
      <c r="A85" s="4" t="s">
        <v>106</v>
      </c>
      <c r="B85" s="15" t="str" cm="1">
        <f t="array" ref="B85">User3($C$11:$ZX$11,C85:ZX85)</f>
        <v>1.05D+1.2SDL+1.2BW+1.1COL+1.1SOIL+1WATER+1.3Lr+1.3LLB+1.2LLE+1.89Wy-1+1.2CR24</v>
      </c>
      <c r="C85" s="16">
        <f t="shared" si="6"/>
        <v>1.05</v>
      </c>
      <c r="D85" s="16">
        <f t="shared" si="7"/>
        <v>1.2</v>
      </c>
      <c r="E85" s="16">
        <f t="shared" si="8"/>
        <v>1.2</v>
      </c>
      <c r="F85" s="16">
        <f t="shared" si="9"/>
        <v>1.1000000000000001</v>
      </c>
      <c r="G85" s="16">
        <f t="shared" si="10"/>
        <v>1.1000000000000001</v>
      </c>
      <c r="H85" s="16">
        <f t="shared" si="11"/>
        <v>1</v>
      </c>
      <c r="I85" s="16">
        <v>1.3</v>
      </c>
      <c r="J85" s="16">
        <v>1.3</v>
      </c>
      <c r="K85" s="16">
        <v>1.2</v>
      </c>
      <c r="L85" s="16"/>
      <c r="M85" s="16"/>
      <c r="N85" s="16"/>
      <c r="O85" s="16"/>
      <c r="P85" s="16"/>
      <c r="Q85" s="16"/>
      <c r="R85" s="16">
        <v>1.89</v>
      </c>
      <c r="S85" s="16"/>
      <c r="T85" s="16"/>
      <c r="U85" s="16"/>
      <c r="V85" s="16"/>
      <c r="W85" s="16"/>
      <c r="X85" s="16"/>
      <c r="Y85" s="16"/>
      <c r="Z85" s="16"/>
      <c r="AA85" s="16">
        <v>1.2</v>
      </c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18"/>
      <c r="BA85" s="18"/>
      <c r="BB85" s="18"/>
      <c r="BC85" s="18"/>
      <c r="BD85" s="18"/>
      <c r="BE85" s="18"/>
      <c r="BF85" s="18"/>
      <c r="BG85" s="18"/>
      <c r="BH85" s="18"/>
      <c r="BI85" s="18"/>
      <c r="BJ85" s="18"/>
      <c r="BK85" s="18"/>
      <c r="BL85" s="18"/>
      <c r="BM85" s="18"/>
      <c r="BN85" s="18"/>
      <c r="BO85" s="18"/>
      <c r="BP85" s="18"/>
      <c r="BQ85" s="18"/>
      <c r="BR85" s="18"/>
      <c r="BS85" s="18"/>
      <c r="BT85" s="18"/>
      <c r="BU85" s="18"/>
      <c r="BV85" s="18"/>
      <c r="BW85" s="18"/>
      <c r="BX85" s="18"/>
      <c r="BY85" s="18"/>
      <c r="BZ85" s="18"/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/>
      <c r="CQ85" s="18"/>
      <c r="CR85" s="18"/>
      <c r="CS85" s="18"/>
      <c r="CT85" s="18"/>
      <c r="CU85" s="18"/>
      <c r="CV85" s="18"/>
      <c r="CW85" s="18"/>
      <c r="CX85" s="18"/>
      <c r="CY85" s="18"/>
    </row>
    <row r="86" spans="1:103" x14ac:dyDescent="0.25">
      <c r="A86" s="4" t="s">
        <v>107</v>
      </c>
      <c r="B86" s="9" t="str" cm="1">
        <f t="array" ref="B86">User3($C$11:$ZX$11,C86:ZX86)</f>
        <v>1.05D+1.2SDL+1.2BW+1.1COL+1.1SOIL+1WATER+1.3Lr+1.3LLB+1.2LLE+1.89Wy-2+1.2CR11</v>
      </c>
      <c r="C86" s="13">
        <f t="shared" si="6"/>
        <v>1.05</v>
      </c>
      <c r="D86" s="13">
        <f t="shared" si="7"/>
        <v>1.2</v>
      </c>
      <c r="E86" s="13">
        <f t="shared" si="8"/>
        <v>1.2</v>
      </c>
      <c r="F86" s="13">
        <f t="shared" si="9"/>
        <v>1.1000000000000001</v>
      </c>
      <c r="G86" s="13">
        <f t="shared" si="10"/>
        <v>1.1000000000000001</v>
      </c>
      <c r="H86" s="13">
        <f t="shared" si="11"/>
        <v>1</v>
      </c>
      <c r="I86" s="10">
        <v>1.3</v>
      </c>
      <c r="J86" s="10">
        <v>1.3</v>
      </c>
      <c r="K86" s="10">
        <v>1.2</v>
      </c>
      <c r="L86" s="10"/>
      <c r="M86" s="10"/>
      <c r="N86" s="10"/>
      <c r="O86" s="10"/>
      <c r="P86" s="10"/>
      <c r="Q86" s="10"/>
      <c r="R86" s="10"/>
      <c r="S86" s="10">
        <v>1.89</v>
      </c>
      <c r="T86" s="21">
        <v>1.2</v>
      </c>
      <c r="U86" s="10"/>
      <c r="V86" s="10"/>
      <c r="W86" s="10"/>
      <c r="X86" s="10"/>
      <c r="Y86" s="10"/>
      <c r="Z86" s="10"/>
      <c r="AA86" s="10"/>
      <c r="AB86" s="18"/>
      <c r="AC86" s="18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18"/>
      <c r="BA86" s="18"/>
      <c r="BB86" s="18"/>
      <c r="BC86" s="18"/>
      <c r="BD86" s="18"/>
      <c r="BE86" s="18"/>
      <c r="BF86" s="18"/>
      <c r="BG86" s="18"/>
      <c r="BH86" s="18"/>
      <c r="BI86" s="18"/>
      <c r="BJ86" s="18"/>
      <c r="BK86" s="18"/>
      <c r="BL86" s="18"/>
      <c r="BM86" s="18"/>
      <c r="BN86" s="18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/>
      <c r="CO86" s="18"/>
      <c r="CP86" s="18"/>
      <c r="CQ86" s="18"/>
      <c r="CR86" s="18"/>
      <c r="CS86" s="18"/>
      <c r="CT86" s="18"/>
      <c r="CU86" s="18"/>
      <c r="CV86" s="18"/>
      <c r="CW86" s="18"/>
      <c r="CX86" s="18"/>
      <c r="CY86" s="18"/>
    </row>
    <row r="87" spans="1:103" x14ac:dyDescent="0.25">
      <c r="A87" s="4" t="s">
        <v>108</v>
      </c>
      <c r="B87" s="12" t="str" cm="1">
        <f t="array" ref="B87">User3($C$11:$ZX$11,C87:ZX87)</f>
        <v>1.05D+1.2SDL+1.2BW+1.1COL+1.1SOIL+1WATER+1.3Lr+1.3LLB+1.2LLE+1.89Wy-2+1.2CR12</v>
      </c>
      <c r="C87" s="13">
        <f t="shared" si="6"/>
        <v>1.05</v>
      </c>
      <c r="D87" s="13">
        <f t="shared" si="7"/>
        <v>1.2</v>
      </c>
      <c r="E87" s="13">
        <f t="shared" si="8"/>
        <v>1.2</v>
      </c>
      <c r="F87" s="13">
        <f t="shared" si="9"/>
        <v>1.1000000000000001</v>
      </c>
      <c r="G87" s="13">
        <f t="shared" si="10"/>
        <v>1.1000000000000001</v>
      </c>
      <c r="H87" s="13">
        <f t="shared" si="11"/>
        <v>1</v>
      </c>
      <c r="I87" s="13">
        <v>1.3</v>
      </c>
      <c r="J87" s="13">
        <v>1.3</v>
      </c>
      <c r="K87" s="13">
        <v>1.2</v>
      </c>
      <c r="L87" s="13"/>
      <c r="M87" s="13"/>
      <c r="N87" s="13"/>
      <c r="O87" s="13"/>
      <c r="P87" s="13"/>
      <c r="Q87" s="13"/>
      <c r="R87" s="13"/>
      <c r="S87" s="13">
        <v>1.89</v>
      </c>
      <c r="T87" s="13"/>
      <c r="U87" s="13">
        <v>1.2</v>
      </c>
      <c r="V87" s="13"/>
      <c r="W87" s="13"/>
      <c r="X87" s="13"/>
      <c r="Y87" s="13"/>
      <c r="Z87" s="13"/>
      <c r="AA87" s="13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</row>
    <row r="88" spans="1:103" x14ac:dyDescent="0.25">
      <c r="A88" s="4" t="s">
        <v>109</v>
      </c>
      <c r="B88" s="12" t="str" cm="1">
        <f t="array" ref="B88">User3($C$11:$ZX$11,C88:ZX88)</f>
        <v>1.05D+1.2SDL+1.2BW+1.1COL+1.1SOIL+1WATER+1.3Lr+1.3LLB+1.2LLE+1.89Wy-2+1.2CR13</v>
      </c>
      <c r="C88" s="13">
        <f t="shared" si="6"/>
        <v>1.05</v>
      </c>
      <c r="D88" s="13">
        <f t="shared" si="7"/>
        <v>1.2</v>
      </c>
      <c r="E88" s="13">
        <f t="shared" si="8"/>
        <v>1.2</v>
      </c>
      <c r="F88" s="13">
        <f t="shared" si="9"/>
        <v>1.1000000000000001</v>
      </c>
      <c r="G88" s="13">
        <f t="shared" si="10"/>
        <v>1.1000000000000001</v>
      </c>
      <c r="H88" s="13">
        <f t="shared" si="11"/>
        <v>1</v>
      </c>
      <c r="I88" s="13">
        <v>1.3</v>
      </c>
      <c r="J88" s="13">
        <v>1.3</v>
      </c>
      <c r="K88" s="13">
        <v>1.2</v>
      </c>
      <c r="L88" s="13"/>
      <c r="M88" s="13"/>
      <c r="N88" s="13"/>
      <c r="O88" s="13"/>
      <c r="P88" s="13"/>
      <c r="Q88" s="13"/>
      <c r="R88" s="13"/>
      <c r="S88" s="13">
        <v>1.89</v>
      </c>
      <c r="T88" s="13"/>
      <c r="U88" s="13"/>
      <c r="V88" s="13">
        <v>1.2</v>
      </c>
      <c r="W88" s="13"/>
      <c r="X88" s="13"/>
      <c r="Y88" s="13"/>
      <c r="Z88" s="13"/>
      <c r="AA88" s="13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</row>
    <row r="89" spans="1:103" x14ac:dyDescent="0.25">
      <c r="A89" s="4" t="s">
        <v>110</v>
      </c>
      <c r="B89" s="12" t="str" cm="1">
        <f t="array" ref="B89">User3($C$11:$ZX$11,C89:ZX89)</f>
        <v>1.05D+1.2SDL+1.2BW+1.1COL+1.1SOIL+1WATER+1.3Lr+1.3LLB+1.2LLE+1.89Wy-2+1.2CR14</v>
      </c>
      <c r="C89" s="13">
        <f t="shared" si="6"/>
        <v>1.05</v>
      </c>
      <c r="D89" s="13">
        <f t="shared" si="7"/>
        <v>1.2</v>
      </c>
      <c r="E89" s="13">
        <f t="shared" si="8"/>
        <v>1.2</v>
      </c>
      <c r="F89" s="13">
        <f t="shared" si="9"/>
        <v>1.1000000000000001</v>
      </c>
      <c r="G89" s="13">
        <f t="shared" si="10"/>
        <v>1.1000000000000001</v>
      </c>
      <c r="H89" s="13">
        <f t="shared" si="11"/>
        <v>1</v>
      </c>
      <c r="I89" s="13">
        <v>1.3</v>
      </c>
      <c r="J89" s="13">
        <v>1.3</v>
      </c>
      <c r="K89" s="13">
        <v>1.2</v>
      </c>
      <c r="L89" s="13"/>
      <c r="M89" s="13"/>
      <c r="N89" s="13"/>
      <c r="O89" s="13"/>
      <c r="P89" s="13"/>
      <c r="Q89" s="13"/>
      <c r="R89" s="13"/>
      <c r="S89" s="13">
        <v>1.89</v>
      </c>
      <c r="T89" s="13"/>
      <c r="U89" s="13"/>
      <c r="V89" s="13"/>
      <c r="W89" s="13">
        <v>1.2</v>
      </c>
      <c r="X89" s="13"/>
      <c r="Y89" s="13"/>
      <c r="Z89" s="13"/>
      <c r="AA89" s="13"/>
      <c r="AB89" s="18"/>
      <c r="AC89" s="18"/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  <c r="AO89" s="18"/>
      <c r="AP89" s="18"/>
      <c r="AQ89" s="18"/>
      <c r="AR89" s="18"/>
      <c r="AS89" s="18"/>
      <c r="AT89" s="18"/>
      <c r="AU89" s="18"/>
      <c r="AV89" s="18"/>
      <c r="AW89" s="18"/>
      <c r="AX89" s="18"/>
      <c r="AY89" s="18"/>
      <c r="AZ89" s="18"/>
      <c r="BA89" s="18"/>
      <c r="BB89" s="18"/>
      <c r="BC89" s="18"/>
      <c r="BD89" s="18"/>
      <c r="BE89" s="18"/>
      <c r="BF89" s="18"/>
      <c r="BG89" s="18"/>
      <c r="BH89" s="18"/>
      <c r="BI89" s="18"/>
      <c r="BJ89" s="18"/>
      <c r="BK89" s="18"/>
      <c r="BL89" s="18"/>
      <c r="BM89" s="18"/>
      <c r="BN89" s="18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/>
      <c r="CE89" s="18"/>
      <c r="CF89" s="18"/>
      <c r="CG89" s="18"/>
      <c r="CH89" s="18"/>
      <c r="CI89" s="18"/>
      <c r="CJ89" s="18"/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  <c r="CY89" s="18"/>
    </row>
    <row r="90" spans="1:103" x14ac:dyDescent="0.25">
      <c r="A90" s="4" t="s">
        <v>119</v>
      </c>
      <c r="B90" s="12" t="str" cm="1">
        <f t="array" ref="B90">User3($C$11:$ZX$11,C90:ZX90)</f>
        <v>1.05D+1.2SDL+1.2BW+1.1COL+1.1SOIL+1WATER+1.3Lr+1.3LLB+1.2LLE+1.89Wy-2+1.2CR21</v>
      </c>
      <c r="C90" s="13">
        <f t="shared" si="6"/>
        <v>1.05</v>
      </c>
      <c r="D90" s="13">
        <f t="shared" si="7"/>
        <v>1.2</v>
      </c>
      <c r="E90" s="13">
        <f t="shared" si="8"/>
        <v>1.2</v>
      </c>
      <c r="F90" s="13">
        <f t="shared" si="9"/>
        <v>1.1000000000000001</v>
      </c>
      <c r="G90" s="13">
        <f t="shared" si="10"/>
        <v>1.1000000000000001</v>
      </c>
      <c r="H90" s="13">
        <f t="shared" si="11"/>
        <v>1</v>
      </c>
      <c r="I90" s="13">
        <v>1.3</v>
      </c>
      <c r="J90" s="13">
        <v>1.3</v>
      </c>
      <c r="K90" s="13">
        <v>1.2</v>
      </c>
      <c r="L90" s="13"/>
      <c r="M90" s="13"/>
      <c r="N90" s="13"/>
      <c r="O90" s="13"/>
      <c r="P90" s="13"/>
      <c r="Q90" s="13"/>
      <c r="R90" s="13"/>
      <c r="S90" s="13">
        <v>1.89</v>
      </c>
      <c r="T90" s="13"/>
      <c r="U90" s="13"/>
      <c r="V90" s="13"/>
      <c r="W90" s="13"/>
      <c r="X90" s="13">
        <v>1.2</v>
      </c>
      <c r="Y90" s="13"/>
      <c r="Z90" s="13"/>
      <c r="AA90" s="13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</row>
    <row r="91" spans="1:103" x14ac:dyDescent="0.25">
      <c r="A91" s="4" t="s">
        <v>120</v>
      </c>
      <c r="B91" s="12" t="str" cm="1">
        <f t="array" ref="B91">User3($C$11:$ZX$11,C91:ZX91)</f>
        <v>1.05D+1.2SDL+1.2BW+1.1COL+1.1SOIL+1WATER+1.3Lr+1.3LLB+1.2LLE+1.89Wy-2+1.2CR22</v>
      </c>
      <c r="C91" s="13">
        <f t="shared" si="6"/>
        <v>1.05</v>
      </c>
      <c r="D91" s="13">
        <f t="shared" si="7"/>
        <v>1.2</v>
      </c>
      <c r="E91" s="13">
        <f t="shared" si="8"/>
        <v>1.2</v>
      </c>
      <c r="F91" s="13">
        <f t="shared" si="9"/>
        <v>1.1000000000000001</v>
      </c>
      <c r="G91" s="13">
        <f t="shared" si="10"/>
        <v>1.1000000000000001</v>
      </c>
      <c r="H91" s="13">
        <f t="shared" si="11"/>
        <v>1</v>
      </c>
      <c r="I91" s="13">
        <v>1.3</v>
      </c>
      <c r="J91" s="13">
        <v>1.3</v>
      </c>
      <c r="K91" s="13">
        <v>1.2</v>
      </c>
      <c r="L91" s="13"/>
      <c r="M91" s="13"/>
      <c r="N91" s="13"/>
      <c r="O91" s="13"/>
      <c r="P91" s="13"/>
      <c r="Q91" s="13"/>
      <c r="R91" s="13"/>
      <c r="S91" s="13">
        <v>1.89</v>
      </c>
      <c r="T91" s="13"/>
      <c r="U91" s="13"/>
      <c r="V91" s="13"/>
      <c r="W91" s="13"/>
      <c r="X91" s="13"/>
      <c r="Y91" s="13">
        <v>1.2</v>
      </c>
      <c r="Z91" s="13"/>
      <c r="AA91" s="13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8"/>
      <c r="BC91" s="18"/>
      <c r="BD91" s="18"/>
      <c r="BE91" s="18"/>
      <c r="BF91" s="18"/>
      <c r="BG91" s="18"/>
      <c r="BH91" s="18"/>
      <c r="BI91" s="18"/>
      <c r="BJ91" s="18"/>
      <c r="BK91" s="18"/>
      <c r="BL91" s="18"/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18"/>
    </row>
    <row r="92" spans="1:103" x14ac:dyDescent="0.25">
      <c r="A92" s="4" t="s">
        <v>121</v>
      </c>
      <c r="B92" s="12" t="str" cm="1">
        <f t="array" ref="B92">User3($C$11:$ZX$11,C92:ZX92)</f>
        <v>1.05D+1.2SDL+1.2BW+1.1COL+1.1SOIL+1WATER+1.3Lr+1.3LLB+1.2LLE+1.89Wy-2+1.2CR23</v>
      </c>
      <c r="C92" s="13">
        <f t="shared" si="6"/>
        <v>1.05</v>
      </c>
      <c r="D92" s="13">
        <f t="shared" si="7"/>
        <v>1.2</v>
      </c>
      <c r="E92" s="13">
        <f t="shared" si="8"/>
        <v>1.2</v>
      </c>
      <c r="F92" s="13">
        <f t="shared" si="9"/>
        <v>1.1000000000000001</v>
      </c>
      <c r="G92" s="13">
        <f t="shared" si="10"/>
        <v>1.1000000000000001</v>
      </c>
      <c r="H92" s="13">
        <f t="shared" si="11"/>
        <v>1</v>
      </c>
      <c r="I92" s="13">
        <v>1.3</v>
      </c>
      <c r="J92" s="13">
        <v>1.3</v>
      </c>
      <c r="K92" s="13">
        <v>1.2</v>
      </c>
      <c r="L92" s="13"/>
      <c r="M92" s="13"/>
      <c r="N92" s="13"/>
      <c r="O92" s="13"/>
      <c r="P92" s="13"/>
      <c r="Q92" s="13"/>
      <c r="R92" s="13"/>
      <c r="S92" s="13">
        <v>1.89</v>
      </c>
      <c r="T92" s="13"/>
      <c r="U92" s="13"/>
      <c r="V92" s="13"/>
      <c r="W92" s="13"/>
      <c r="X92" s="13"/>
      <c r="Y92" s="13"/>
      <c r="Z92" s="13">
        <v>1.2</v>
      </c>
      <c r="AA92" s="13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</row>
    <row r="93" spans="1:103" x14ac:dyDescent="0.25">
      <c r="A93" s="4" t="s">
        <v>122</v>
      </c>
      <c r="B93" s="15" t="str" cm="1">
        <f t="array" ref="B93">User3($C$11:$ZX$11,C93:ZX93)</f>
        <v>1.05D+1.2SDL+1.2BW+1.1COL+1.1SOIL+1WATER+1.3Lr+1.3LLB+1.2LLE+1.89Wy-2+1.2CR24</v>
      </c>
      <c r="C93" s="16">
        <f t="shared" si="6"/>
        <v>1.05</v>
      </c>
      <c r="D93" s="16">
        <f t="shared" si="7"/>
        <v>1.2</v>
      </c>
      <c r="E93" s="16">
        <f t="shared" si="8"/>
        <v>1.2</v>
      </c>
      <c r="F93" s="16">
        <f t="shared" si="9"/>
        <v>1.1000000000000001</v>
      </c>
      <c r="G93" s="16">
        <f t="shared" si="10"/>
        <v>1.1000000000000001</v>
      </c>
      <c r="H93" s="16">
        <f t="shared" si="11"/>
        <v>1</v>
      </c>
      <c r="I93" s="16">
        <v>1.3</v>
      </c>
      <c r="J93" s="16">
        <v>1.3</v>
      </c>
      <c r="K93" s="16">
        <v>1.2</v>
      </c>
      <c r="L93" s="16"/>
      <c r="M93" s="16"/>
      <c r="N93" s="16"/>
      <c r="O93" s="16"/>
      <c r="P93" s="16"/>
      <c r="Q93" s="16"/>
      <c r="R93" s="16"/>
      <c r="S93" s="16">
        <v>1.89</v>
      </c>
      <c r="T93" s="16"/>
      <c r="U93" s="16"/>
      <c r="V93" s="16"/>
      <c r="W93" s="16"/>
      <c r="X93" s="16"/>
      <c r="Y93" s="16"/>
      <c r="Z93" s="16"/>
      <c r="AA93" s="16">
        <v>1.2</v>
      </c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/>
      <c r="AS93" s="18"/>
      <c r="AT93" s="18"/>
      <c r="AU93" s="18"/>
      <c r="AV93" s="18"/>
      <c r="AW93" s="18"/>
      <c r="AX93" s="18"/>
      <c r="AY93" s="18"/>
      <c r="AZ93" s="18"/>
      <c r="BA93" s="18"/>
      <c r="BB93" s="18"/>
      <c r="BC93" s="18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</row>
    <row r="94" spans="1:103" s="11" customFormat="1" x14ac:dyDescent="0.25">
      <c r="A94" s="4" t="s">
        <v>123</v>
      </c>
      <c r="B94" s="9" t="str" cm="1">
        <f t="array" ref="B94">User3($C$11:$ZX$11,C94:ZX94)</f>
        <v>1.05D+1.2SDL+1.2BW+1.1COL+1.1SOIL+1WATER+1.3Lr+1.3LLB+1.2LLE+1.89Wx+1+1.02CR11+1.02CR21</v>
      </c>
      <c r="C94" s="13">
        <f t="shared" si="6"/>
        <v>1.05</v>
      </c>
      <c r="D94" s="13">
        <f t="shared" si="7"/>
        <v>1.2</v>
      </c>
      <c r="E94" s="13">
        <f t="shared" si="8"/>
        <v>1.2</v>
      </c>
      <c r="F94" s="13">
        <f t="shared" si="9"/>
        <v>1.1000000000000001</v>
      </c>
      <c r="G94" s="13">
        <f t="shared" si="10"/>
        <v>1.1000000000000001</v>
      </c>
      <c r="H94" s="13">
        <f t="shared" si="11"/>
        <v>1</v>
      </c>
      <c r="I94" s="10">
        <v>1.3</v>
      </c>
      <c r="J94" s="10">
        <v>1.3</v>
      </c>
      <c r="K94" s="10">
        <v>1.2</v>
      </c>
      <c r="L94" s="10">
        <v>1.89</v>
      </c>
      <c r="M94" s="10"/>
      <c r="N94" s="10"/>
      <c r="O94" s="10"/>
      <c r="P94" s="10"/>
      <c r="Q94" s="10"/>
      <c r="R94" s="10"/>
      <c r="S94" s="10"/>
      <c r="T94" s="21">
        <f>X1*1.2</f>
        <v>1.02</v>
      </c>
      <c r="U94" s="10"/>
      <c r="V94" s="10"/>
      <c r="W94" s="10"/>
      <c r="X94" s="10">
        <f>T94</f>
        <v>1.02</v>
      </c>
      <c r="Y94" s="10"/>
      <c r="Z94" s="10"/>
      <c r="AA94" s="10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</row>
    <row r="95" spans="1:103" s="14" customFormat="1" x14ac:dyDescent="0.25">
      <c r="A95" s="4" t="s">
        <v>124</v>
      </c>
      <c r="B95" s="12" t="str" cm="1">
        <f t="array" ref="B95">User3($C$11:$ZX$11,C95:ZX95)</f>
        <v>1.05D+1.2SDL+1.2BW+1.1COL+1.1SOIL+1WATER+1.3Lr+1.3LLB+1.2LLE+1.89Wx+1+1.02CR11+1.02CR22</v>
      </c>
      <c r="C95" s="13">
        <f t="shared" si="6"/>
        <v>1.05</v>
      </c>
      <c r="D95" s="13">
        <f t="shared" si="7"/>
        <v>1.2</v>
      </c>
      <c r="E95" s="13">
        <f t="shared" si="8"/>
        <v>1.2</v>
      </c>
      <c r="F95" s="13">
        <f t="shared" si="9"/>
        <v>1.1000000000000001</v>
      </c>
      <c r="G95" s="13">
        <f t="shared" si="10"/>
        <v>1.1000000000000001</v>
      </c>
      <c r="H95" s="13">
        <f t="shared" si="11"/>
        <v>1</v>
      </c>
      <c r="I95" s="13">
        <v>1.3</v>
      </c>
      <c r="J95" s="13">
        <v>1.3</v>
      </c>
      <c r="K95" s="13">
        <v>1.2</v>
      </c>
      <c r="L95" s="13">
        <v>1.89</v>
      </c>
      <c r="M95" s="13"/>
      <c r="N95" s="13"/>
      <c r="O95" s="13"/>
      <c r="P95" s="13"/>
      <c r="Q95" s="13"/>
      <c r="R95" s="13"/>
      <c r="S95" s="13"/>
      <c r="T95" s="13">
        <f>T94</f>
        <v>1.02</v>
      </c>
      <c r="U95" s="13"/>
      <c r="V95" s="13"/>
      <c r="W95" s="13"/>
      <c r="X95" s="13"/>
      <c r="Y95" s="13">
        <f>X94</f>
        <v>1.02</v>
      </c>
      <c r="Z95" s="13"/>
      <c r="AA95" s="13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12"/>
      <c r="BO95" s="12"/>
      <c r="BP95" s="12"/>
      <c r="BQ95" s="12"/>
      <c r="BR95" s="12"/>
      <c r="BS95" s="12"/>
      <c r="BT95" s="12"/>
      <c r="BU95" s="12"/>
      <c r="BV95" s="12"/>
      <c r="BW95" s="12"/>
      <c r="BX95" s="12"/>
      <c r="BY95" s="12"/>
      <c r="BZ95" s="12"/>
      <c r="CA95" s="12"/>
      <c r="CB95" s="12"/>
      <c r="CC95" s="12"/>
      <c r="CD95" s="12"/>
      <c r="CE95" s="12"/>
      <c r="CF95" s="12"/>
      <c r="CG95" s="12"/>
      <c r="CH95" s="12"/>
      <c r="CI95" s="12"/>
      <c r="CJ95" s="12"/>
      <c r="CK95" s="12"/>
      <c r="CL95" s="12"/>
      <c r="CM95" s="12"/>
      <c r="CN95" s="12"/>
      <c r="CO95" s="12"/>
      <c r="CP95" s="12"/>
      <c r="CQ95" s="12"/>
      <c r="CR95" s="12"/>
      <c r="CS95" s="12"/>
      <c r="CT95" s="12"/>
      <c r="CU95" s="12"/>
      <c r="CV95" s="12"/>
      <c r="CW95" s="12"/>
      <c r="CX95" s="12"/>
      <c r="CY95" s="12"/>
    </row>
    <row r="96" spans="1:103" s="14" customFormat="1" x14ac:dyDescent="0.25">
      <c r="A96" s="4" t="s">
        <v>125</v>
      </c>
      <c r="B96" s="12" t="str" cm="1">
        <f t="array" ref="B96">User3($C$11:$ZX$11,C96:ZX96)</f>
        <v>1.05D+1.2SDL+1.2BW+1.1COL+1.1SOIL+1WATER+1.3Lr+1.3LLB+1.2LLE+1.89Wx+1+1.02CR11+1.02CR23</v>
      </c>
      <c r="C96" s="13">
        <f t="shared" si="6"/>
        <v>1.05</v>
      </c>
      <c r="D96" s="13">
        <f t="shared" si="7"/>
        <v>1.2</v>
      </c>
      <c r="E96" s="13">
        <f t="shared" si="8"/>
        <v>1.2</v>
      </c>
      <c r="F96" s="13">
        <f t="shared" si="9"/>
        <v>1.1000000000000001</v>
      </c>
      <c r="G96" s="13">
        <f t="shared" si="10"/>
        <v>1.1000000000000001</v>
      </c>
      <c r="H96" s="13">
        <f t="shared" si="11"/>
        <v>1</v>
      </c>
      <c r="I96" s="13">
        <v>1.3</v>
      </c>
      <c r="J96" s="13">
        <v>1.3</v>
      </c>
      <c r="K96" s="13">
        <v>1.2</v>
      </c>
      <c r="L96" s="13">
        <v>1.89</v>
      </c>
      <c r="M96" s="13"/>
      <c r="N96" s="13"/>
      <c r="O96" s="13"/>
      <c r="P96" s="13"/>
      <c r="Q96" s="13"/>
      <c r="R96" s="13"/>
      <c r="S96" s="13"/>
      <c r="T96" s="13">
        <f>T95</f>
        <v>1.02</v>
      </c>
      <c r="U96" s="13"/>
      <c r="V96" s="13"/>
      <c r="W96" s="13"/>
      <c r="X96" s="13"/>
      <c r="Y96" s="13"/>
      <c r="Z96" s="13">
        <f>Y95</f>
        <v>1.02</v>
      </c>
      <c r="AA96" s="13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  <c r="BI96" s="12"/>
      <c r="BJ96" s="12"/>
      <c r="BK96" s="12"/>
      <c r="BL96" s="12"/>
      <c r="BM96" s="12"/>
      <c r="BN96" s="12"/>
      <c r="BO96" s="12"/>
      <c r="BP96" s="12"/>
      <c r="BQ96" s="12"/>
      <c r="BR96" s="12"/>
      <c r="BS96" s="12"/>
      <c r="BT96" s="12"/>
      <c r="BU96" s="12"/>
      <c r="BV96" s="12"/>
      <c r="BW96" s="12"/>
      <c r="BX96" s="12"/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  <c r="CO96" s="12"/>
      <c r="CP96" s="12"/>
      <c r="CQ96" s="12"/>
      <c r="CR96" s="12"/>
      <c r="CS96" s="12"/>
      <c r="CT96" s="12"/>
      <c r="CU96" s="12"/>
      <c r="CV96" s="12"/>
      <c r="CW96" s="12"/>
      <c r="CX96" s="12"/>
      <c r="CY96" s="12"/>
    </row>
    <row r="97" spans="1:103" s="14" customFormat="1" x14ac:dyDescent="0.25">
      <c r="A97" s="4" t="s">
        <v>126</v>
      </c>
      <c r="B97" s="12" t="str" cm="1">
        <f t="array" ref="B97">User3($C$11:$ZX$11,C97:ZX97)</f>
        <v>1.05D+1.2SDL+1.2BW+1.1COL+1.1SOIL+1WATER+1.3Lr+1.3LLB+1.2LLE+1.89Wx+1+1.02CR11+1.02CR24</v>
      </c>
      <c r="C97" s="13">
        <f t="shared" si="6"/>
        <v>1.05</v>
      </c>
      <c r="D97" s="13">
        <f t="shared" si="7"/>
        <v>1.2</v>
      </c>
      <c r="E97" s="13">
        <f t="shared" si="8"/>
        <v>1.2</v>
      </c>
      <c r="F97" s="13">
        <f t="shared" si="9"/>
        <v>1.1000000000000001</v>
      </c>
      <c r="G97" s="13">
        <f t="shared" si="10"/>
        <v>1.1000000000000001</v>
      </c>
      <c r="H97" s="13">
        <f t="shared" si="11"/>
        <v>1</v>
      </c>
      <c r="I97" s="13">
        <v>1.3</v>
      </c>
      <c r="J97" s="13">
        <v>1.3</v>
      </c>
      <c r="K97" s="13">
        <v>1.2</v>
      </c>
      <c r="L97" s="13">
        <v>1.89</v>
      </c>
      <c r="M97" s="13"/>
      <c r="N97" s="13"/>
      <c r="O97" s="13"/>
      <c r="P97" s="13"/>
      <c r="Q97" s="13"/>
      <c r="R97" s="13"/>
      <c r="S97" s="13"/>
      <c r="T97" s="13">
        <f>T96</f>
        <v>1.02</v>
      </c>
      <c r="U97" s="13"/>
      <c r="V97" s="13"/>
      <c r="W97" s="13"/>
      <c r="X97" s="13"/>
      <c r="Y97" s="13"/>
      <c r="Z97" s="13"/>
      <c r="AA97" s="13">
        <f>Z96</f>
        <v>1.02</v>
      </c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BN97" s="12"/>
      <c r="BO97" s="12"/>
      <c r="BP97" s="12"/>
      <c r="BQ97" s="12"/>
      <c r="BR97" s="12"/>
      <c r="BS97" s="12"/>
      <c r="BT97" s="12"/>
      <c r="BU97" s="12"/>
      <c r="BV97" s="12"/>
      <c r="BW97" s="12"/>
      <c r="BX97" s="12"/>
      <c r="BY97" s="12"/>
      <c r="BZ97" s="12"/>
      <c r="CA97" s="12"/>
      <c r="CB97" s="12"/>
      <c r="CC97" s="12"/>
      <c r="CD97" s="12"/>
      <c r="CE97" s="12"/>
      <c r="CF97" s="12"/>
      <c r="CG97" s="12"/>
      <c r="CH97" s="12"/>
      <c r="CI97" s="12"/>
      <c r="CJ97" s="12"/>
      <c r="CK97" s="12"/>
      <c r="CL97" s="12"/>
      <c r="CM97" s="12"/>
      <c r="CN97" s="12"/>
      <c r="CO97" s="12"/>
      <c r="CP97" s="12"/>
      <c r="CQ97" s="12"/>
      <c r="CR97" s="12"/>
      <c r="CS97" s="12"/>
      <c r="CT97" s="12"/>
      <c r="CU97" s="12"/>
      <c r="CV97" s="12"/>
      <c r="CW97" s="12"/>
      <c r="CX97" s="12"/>
      <c r="CY97" s="12"/>
    </row>
    <row r="98" spans="1:103" s="14" customFormat="1" x14ac:dyDescent="0.25">
      <c r="A98" s="4" t="s">
        <v>127</v>
      </c>
      <c r="B98" s="12" t="str" cm="1">
        <f t="array" ref="B98">User3($C$11:$ZX$11,C98:ZX98)</f>
        <v>1.05D+1.2SDL+1.2BW+1.1COL+1.1SOIL+1WATER+1.3Lr+1.3LLB+1.2LLE+1.89Wx+1+1.02CR12+1.02CR21</v>
      </c>
      <c r="C98" s="13">
        <f t="shared" si="6"/>
        <v>1.05</v>
      </c>
      <c r="D98" s="13">
        <f t="shared" si="7"/>
        <v>1.2</v>
      </c>
      <c r="E98" s="13">
        <f t="shared" si="8"/>
        <v>1.2</v>
      </c>
      <c r="F98" s="13">
        <f t="shared" si="9"/>
        <v>1.1000000000000001</v>
      </c>
      <c r="G98" s="13">
        <f t="shared" si="10"/>
        <v>1.1000000000000001</v>
      </c>
      <c r="H98" s="13">
        <f t="shared" si="11"/>
        <v>1</v>
      </c>
      <c r="I98" s="13">
        <v>1.3</v>
      </c>
      <c r="J98" s="13">
        <v>1.3</v>
      </c>
      <c r="K98" s="13">
        <v>1.2</v>
      </c>
      <c r="L98" s="13">
        <v>1.89</v>
      </c>
      <c r="M98" s="13"/>
      <c r="N98" s="13"/>
      <c r="O98" s="13"/>
      <c r="P98" s="13"/>
      <c r="Q98" s="13"/>
      <c r="R98" s="13"/>
      <c r="S98" s="13"/>
      <c r="T98" s="13"/>
      <c r="U98" s="13">
        <f>T94</f>
        <v>1.02</v>
      </c>
      <c r="V98" s="13"/>
      <c r="W98" s="13"/>
      <c r="X98" s="13">
        <f>X94</f>
        <v>1.02</v>
      </c>
      <c r="Y98" s="13"/>
      <c r="Z98" s="13"/>
      <c r="AA98" s="13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  <c r="BI98" s="12"/>
      <c r="BJ98" s="12"/>
      <c r="BK98" s="12"/>
      <c r="BL98" s="12"/>
      <c r="BM98" s="12"/>
      <c r="BN98" s="12"/>
      <c r="BO98" s="12"/>
      <c r="BP98" s="12"/>
      <c r="BQ98" s="12"/>
      <c r="BR98" s="12"/>
      <c r="BS98" s="12"/>
      <c r="BT98" s="12"/>
      <c r="BU98" s="12"/>
      <c r="BV98" s="12"/>
      <c r="BW98" s="12"/>
      <c r="BX98" s="12"/>
      <c r="BY98" s="12"/>
      <c r="BZ98" s="12"/>
      <c r="CA98" s="12"/>
      <c r="CB98" s="12"/>
      <c r="CC98" s="12"/>
      <c r="CD98" s="12"/>
      <c r="CE98" s="12"/>
      <c r="CF98" s="12"/>
      <c r="CG98" s="12"/>
      <c r="CH98" s="12"/>
      <c r="CI98" s="12"/>
      <c r="CJ98" s="12"/>
      <c r="CK98" s="12"/>
      <c r="CL98" s="12"/>
      <c r="CM98" s="12"/>
      <c r="CN98" s="12"/>
      <c r="CO98" s="12"/>
      <c r="CP98" s="12"/>
      <c r="CQ98" s="12"/>
      <c r="CR98" s="12"/>
      <c r="CS98" s="12"/>
      <c r="CT98" s="12"/>
      <c r="CU98" s="12"/>
      <c r="CV98" s="12"/>
      <c r="CW98" s="12"/>
      <c r="CX98" s="12"/>
      <c r="CY98" s="12"/>
    </row>
    <row r="99" spans="1:103" s="14" customFormat="1" x14ac:dyDescent="0.25">
      <c r="A99" s="4" t="s">
        <v>128</v>
      </c>
      <c r="B99" s="12" t="str" cm="1">
        <f t="array" ref="B99">User3($C$11:$ZX$11,C99:ZX99)</f>
        <v>1.05D+1.2SDL+1.2BW+1.1COL+1.1SOIL+1WATER+1.3Lr+1.3LLB+1.2LLE+1.89Wx+1+1.02CR12+1.02CR22</v>
      </c>
      <c r="C99" s="13">
        <f t="shared" si="6"/>
        <v>1.05</v>
      </c>
      <c r="D99" s="13">
        <f t="shared" si="7"/>
        <v>1.2</v>
      </c>
      <c r="E99" s="13">
        <f t="shared" si="8"/>
        <v>1.2</v>
      </c>
      <c r="F99" s="13">
        <f t="shared" si="9"/>
        <v>1.1000000000000001</v>
      </c>
      <c r="G99" s="13">
        <f t="shared" si="10"/>
        <v>1.1000000000000001</v>
      </c>
      <c r="H99" s="13">
        <f t="shared" si="11"/>
        <v>1</v>
      </c>
      <c r="I99" s="13">
        <v>1.3</v>
      </c>
      <c r="J99" s="13">
        <v>1.3</v>
      </c>
      <c r="K99" s="13">
        <v>1.2</v>
      </c>
      <c r="L99" s="13">
        <v>1.89</v>
      </c>
      <c r="M99" s="13"/>
      <c r="N99" s="13"/>
      <c r="O99" s="13"/>
      <c r="P99" s="13"/>
      <c r="Q99" s="13"/>
      <c r="R99" s="13"/>
      <c r="S99" s="13"/>
      <c r="T99" s="13"/>
      <c r="U99" s="13">
        <f>U98</f>
        <v>1.02</v>
      </c>
      <c r="V99" s="13"/>
      <c r="W99" s="13"/>
      <c r="X99" s="13"/>
      <c r="Y99" s="13">
        <f>Y95</f>
        <v>1.02</v>
      </c>
      <c r="Z99" s="13"/>
      <c r="AA99" s="13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  <c r="BJ99" s="12"/>
      <c r="BK99" s="12"/>
      <c r="BL99" s="12"/>
      <c r="BM99" s="12"/>
      <c r="BN99" s="12"/>
      <c r="BO99" s="12"/>
      <c r="BP99" s="12"/>
      <c r="BQ99" s="12"/>
      <c r="BR99" s="12"/>
      <c r="BS99" s="12"/>
      <c r="BT99" s="12"/>
      <c r="BU99" s="12"/>
      <c r="BV99" s="12"/>
      <c r="BW99" s="12"/>
      <c r="BX99" s="12"/>
      <c r="BY99" s="12"/>
      <c r="BZ99" s="12"/>
      <c r="CA99" s="12"/>
      <c r="CB99" s="12"/>
      <c r="CC99" s="12"/>
      <c r="CD99" s="12"/>
      <c r="CE99" s="12"/>
      <c r="CF99" s="12"/>
      <c r="CG99" s="12"/>
      <c r="CH99" s="12"/>
      <c r="CI99" s="12"/>
      <c r="CJ99" s="12"/>
      <c r="CK99" s="12"/>
      <c r="CL99" s="12"/>
      <c r="CM99" s="12"/>
      <c r="CN99" s="12"/>
      <c r="CO99" s="12"/>
      <c r="CP99" s="12"/>
      <c r="CQ99" s="12"/>
      <c r="CR99" s="12"/>
      <c r="CS99" s="12"/>
      <c r="CT99" s="12"/>
      <c r="CU99" s="12"/>
      <c r="CV99" s="12"/>
      <c r="CW99" s="12"/>
      <c r="CX99" s="12"/>
      <c r="CY99" s="12"/>
    </row>
    <row r="100" spans="1:103" s="14" customFormat="1" x14ac:dyDescent="0.25">
      <c r="A100" s="4" t="s">
        <v>129</v>
      </c>
      <c r="B100" s="12" t="str" cm="1">
        <f t="array" ref="B100">User3($C$11:$ZX$11,C100:ZX100)</f>
        <v>1.05D+1.2SDL+1.2BW+1.1COL+1.1SOIL+1WATER+1.3Lr+1.3LLB+1.2LLE+1.89Wx+1+1.02CR12+1.02CR23</v>
      </c>
      <c r="C100" s="13">
        <f t="shared" si="6"/>
        <v>1.05</v>
      </c>
      <c r="D100" s="13">
        <f t="shared" si="7"/>
        <v>1.2</v>
      </c>
      <c r="E100" s="13">
        <f t="shared" si="8"/>
        <v>1.2</v>
      </c>
      <c r="F100" s="13">
        <f t="shared" si="9"/>
        <v>1.1000000000000001</v>
      </c>
      <c r="G100" s="13">
        <f t="shared" si="10"/>
        <v>1.1000000000000001</v>
      </c>
      <c r="H100" s="13">
        <f t="shared" si="11"/>
        <v>1</v>
      </c>
      <c r="I100" s="13">
        <v>1.3</v>
      </c>
      <c r="J100" s="13">
        <v>1.3</v>
      </c>
      <c r="K100" s="13">
        <v>1.2</v>
      </c>
      <c r="L100" s="13">
        <v>1.89</v>
      </c>
      <c r="M100" s="13"/>
      <c r="N100" s="13"/>
      <c r="O100" s="13"/>
      <c r="P100" s="13"/>
      <c r="Q100" s="13"/>
      <c r="R100" s="13"/>
      <c r="S100" s="13"/>
      <c r="T100" s="13"/>
      <c r="U100" s="13">
        <f>U99</f>
        <v>1.02</v>
      </c>
      <c r="V100" s="13"/>
      <c r="W100" s="13"/>
      <c r="X100" s="13"/>
      <c r="Y100" s="13"/>
      <c r="Z100" s="13">
        <f>Z96</f>
        <v>1.02</v>
      </c>
      <c r="AA100" s="13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12"/>
      <c r="BT100" s="12"/>
      <c r="BU100" s="12"/>
      <c r="BV100" s="12"/>
      <c r="BW100" s="12"/>
      <c r="BX100" s="12"/>
      <c r="BY100" s="12"/>
      <c r="BZ100" s="12"/>
      <c r="CA100" s="12"/>
      <c r="CB100" s="12"/>
      <c r="CC100" s="12"/>
      <c r="CD100" s="12"/>
      <c r="CE100" s="12"/>
      <c r="CF100" s="12"/>
      <c r="CG100" s="12"/>
      <c r="CH100" s="12"/>
      <c r="CI100" s="12"/>
      <c r="CJ100" s="12"/>
      <c r="CK100" s="12"/>
      <c r="CL100" s="12"/>
      <c r="CM100" s="12"/>
      <c r="CN100" s="12"/>
      <c r="CO100" s="12"/>
      <c r="CP100" s="12"/>
      <c r="CQ100" s="12"/>
      <c r="CR100" s="12"/>
      <c r="CS100" s="12"/>
      <c r="CT100" s="12"/>
      <c r="CU100" s="12"/>
      <c r="CV100" s="12"/>
      <c r="CW100" s="12"/>
      <c r="CX100" s="12"/>
      <c r="CY100" s="12"/>
    </row>
    <row r="101" spans="1:103" s="17" customFormat="1" x14ac:dyDescent="0.25">
      <c r="A101" s="4" t="s">
        <v>130</v>
      </c>
      <c r="B101" s="15" t="str" cm="1">
        <f t="array" ref="B101">User3($C$11:$ZX$11,C101:ZX101)</f>
        <v>1.05D+1.2SDL+1.2BW+1.1COL+1.1SOIL+1WATER+1.3Lr+1.3LLB+1.2LLE+1.89Wx+1+1.02CR12+1.02CR24</v>
      </c>
      <c r="C101" s="16">
        <f t="shared" si="6"/>
        <v>1.05</v>
      </c>
      <c r="D101" s="16">
        <f t="shared" si="7"/>
        <v>1.2</v>
      </c>
      <c r="E101" s="16">
        <f t="shared" si="8"/>
        <v>1.2</v>
      </c>
      <c r="F101" s="16">
        <f t="shared" si="9"/>
        <v>1.1000000000000001</v>
      </c>
      <c r="G101" s="16">
        <f t="shared" si="10"/>
        <v>1.1000000000000001</v>
      </c>
      <c r="H101" s="16">
        <f t="shared" si="11"/>
        <v>1</v>
      </c>
      <c r="I101" s="16">
        <v>1.3</v>
      </c>
      <c r="J101" s="16">
        <v>1.3</v>
      </c>
      <c r="K101" s="16">
        <v>1.2</v>
      </c>
      <c r="L101" s="16">
        <v>1.89</v>
      </c>
      <c r="M101" s="16"/>
      <c r="N101" s="16"/>
      <c r="O101" s="16"/>
      <c r="P101" s="16"/>
      <c r="Q101" s="16"/>
      <c r="R101" s="16"/>
      <c r="S101" s="16"/>
      <c r="T101" s="16"/>
      <c r="U101" s="16">
        <f>U100</f>
        <v>1.02</v>
      </c>
      <c r="V101" s="16"/>
      <c r="W101" s="16"/>
      <c r="X101" s="16"/>
      <c r="Y101" s="16"/>
      <c r="Z101" s="16"/>
      <c r="AA101" s="16">
        <f>AA97</f>
        <v>1.02</v>
      </c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15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15"/>
      <c r="BY101" s="15"/>
      <c r="BZ101" s="15"/>
      <c r="CA101" s="15"/>
      <c r="CB101" s="15"/>
      <c r="CC101" s="15"/>
      <c r="CD101" s="15"/>
      <c r="CE101" s="15"/>
      <c r="CF101" s="15"/>
      <c r="CG101" s="15"/>
      <c r="CH101" s="15"/>
      <c r="CI101" s="15"/>
      <c r="CJ101" s="15"/>
      <c r="CK101" s="15"/>
      <c r="CL101" s="15"/>
      <c r="CM101" s="15"/>
      <c r="CN101" s="15"/>
      <c r="CO101" s="15"/>
      <c r="CP101" s="15"/>
      <c r="CQ101" s="15"/>
      <c r="CR101" s="15"/>
      <c r="CS101" s="15"/>
      <c r="CT101" s="15"/>
      <c r="CU101" s="15"/>
      <c r="CV101" s="15"/>
      <c r="CW101" s="15"/>
      <c r="CX101" s="15"/>
      <c r="CY101" s="15"/>
    </row>
    <row r="102" spans="1:103" s="11" customFormat="1" x14ac:dyDescent="0.25">
      <c r="A102" s="4" t="s">
        <v>131</v>
      </c>
      <c r="B102" s="9" t="str" cm="1">
        <f t="array" ref="B102">User3($C$11:$ZX$11,C102:ZX102)</f>
        <v>1.05D+1.2SDL+1.2BW+1.1COL+1.1SOIL+1WATER+1.3Lr+1.3LLB+1.2LLE+1.89Wx+1+1.02CR13+1.02CR21</v>
      </c>
      <c r="C102" s="13">
        <f t="shared" si="6"/>
        <v>1.05</v>
      </c>
      <c r="D102" s="13">
        <f t="shared" si="7"/>
        <v>1.2</v>
      </c>
      <c r="E102" s="13">
        <f t="shared" si="8"/>
        <v>1.2</v>
      </c>
      <c r="F102" s="13">
        <f t="shared" si="9"/>
        <v>1.1000000000000001</v>
      </c>
      <c r="G102" s="13">
        <f t="shared" si="10"/>
        <v>1.1000000000000001</v>
      </c>
      <c r="H102" s="13">
        <f t="shared" si="11"/>
        <v>1</v>
      </c>
      <c r="I102" s="10">
        <v>1.3</v>
      </c>
      <c r="J102" s="10">
        <v>1.3</v>
      </c>
      <c r="K102" s="10">
        <v>1.2</v>
      </c>
      <c r="L102" s="10">
        <v>1.89</v>
      </c>
      <c r="M102" s="10"/>
      <c r="N102" s="10"/>
      <c r="O102" s="10"/>
      <c r="P102" s="10"/>
      <c r="Q102" s="10"/>
      <c r="R102" s="10"/>
      <c r="S102" s="10"/>
      <c r="T102" s="10"/>
      <c r="U102" s="10"/>
      <c r="V102" s="10">
        <f>U101</f>
        <v>1.02</v>
      </c>
      <c r="W102" s="10"/>
      <c r="X102" s="10">
        <f>X98</f>
        <v>1.02</v>
      </c>
      <c r="Y102" s="10"/>
      <c r="Z102" s="10"/>
      <c r="AA102" s="10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9"/>
      <c r="CY102" s="9"/>
    </row>
    <row r="103" spans="1:103" s="14" customFormat="1" x14ac:dyDescent="0.25">
      <c r="A103" s="4" t="s">
        <v>132</v>
      </c>
      <c r="B103" s="12" t="str" cm="1">
        <f t="array" ref="B103">User3($C$11:$ZX$11,C103:ZX103)</f>
        <v>1.05D+1.2SDL+1.2BW+1.1COL+1.1SOIL+1WATER+1.3Lr+1.3LLB+1.2LLE+1.89Wx+1+1.02CR13+1.02CR22</v>
      </c>
      <c r="C103" s="13">
        <f t="shared" si="6"/>
        <v>1.05</v>
      </c>
      <c r="D103" s="13">
        <f t="shared" si="7"/>
        <v>1.2</v>
      </c>
      <c r="E103" s="13">
        <f t="shared" si="8"/>
        <v>1.2</v>
      </c>
      <c r="F103" s="13">
        <f t="shared" si="9"/>
        <v>1.1000000000000001</v>
      </c>
      <c r="G103" s="13">
        <f t="shared" si="10"/>
        <v>1.1000000000000001</v>
      </c>
      <c r="H103" s="13">
        <f t="shared" si="11"/>
        <v>1</v>
      </c>
      <c r="I103" s="13">
        <v>1.3</v>
      </c>
      <c r="J103" s="13">
        <v>1.3</v>
      </c>
      <c r="K103" s="13">
        <v>1.2</v>
      </c>
      <c r="L103" s="13">
        <v>1.89</v>
      </c>
      <c r="M103" s="13"/>
      <c r="N103" s="13"/>
      <c r="O103" s="13"/>
      <c r="P103" s="13"/>
      <c r="Q103" s="13"/>
      <c r="R103" s="13"/>
      <c r="S103" s="13"/>
      <c r="T103" s="13"/>
      <c r="U103" s="13"/>
      <c r="V103" s="13">
        <f>V102</f>
        <v>1.02</v>
      </c>
      <c r="W103" s="13"/>
      <c r="X103" s="13"/>
      <c r="Y103" s="13">
        <f>X102</f>
        <v>1.02</v>
      </c>
      <c r="Z103" s="13"/>
      <c r="AA103" s="13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12"/>
      <c r="BO103" s="12"/>
      <c r="BP103" s="12"/>
      <c r="BQ103" s="12"/>
      <c r="BR103" s="12"/>
      <c r="BS103" s="12"/>
      <c r="BT103" s="12"/>
      <c r="BU103" s="12"/>
      <c r="BV103" s="12"/>
      <c r="BW103" s="12"/>
      <c r="BX103" s="12"/>
      <c r="BY103" s="12"/>
      <c r="BZ103" s="12"/>
      <c r="CA103" s="12"/>
      <c r="CB103" s="12"/>
      <c r="CC103" s="12"/>
      <c r="CD103" s="12"/>
      <c r="CE103" s="12"/>
      <c r="CF103" s="12"/>
      <c r="CG103" s="12"/>
      <c r="CH103" s="12"/>
      <c r="CI103" s="12"/>
      <c r="CJ103" s="12"/>
      <c r="CK103" s="12"/>
      <c r="CL103" s="12"/>
      <c r="CM103" s="12"/>
      <c r="CN103" s="12"/>
      <c r="CO103" s="12"/>
      <c r="CP103" s="12"/>
      <c r="CQ103" s="12"/>
      <c r="CR103" s="12"/>
      <c r="CS103" s="12"/>
      <c r="CT103" s="12"/>
      <c r="CU103" s="12"/>
      <c r="CV103" s="12"/>
      <c r="CW103" s="12"/>
      <c r="CX103" s="12"/>
      <c r="CY103" s="12"/>
    </row>
    <row r="104" spans="1:103" s="14" customFormat="1" x14ac:dyDescent="0.25">
      <c r="A104" s="4" t="s">
        <v>133</v>
      </c>
      <c r="B104" s="12" t="str" cm="1">
        <f t="array" ref="B104">User3($C$11:$ZX$11,C104:ZX104)</f>
        <v>1.05D+1.2SDL+1.2BW+1.1COL+1.1SOIL+1WATER+1.3Lr+1.3LLB+1.2LLE+1.89Wx+1+1.02CR13+1.02CR23</v>
      </c>
      <c r="C104" s="13">
        <f t="shared" si="6"/>
        <v>1.05</v>
      </c>
      <c r="D104" s="13">
        <f t="shared" si="7"/>
        <v>1.2</v>
      </c>
      <c r="E104" s="13">
        <f t="shared" si="8"/>
        <v>1.2</v>
      </c>
      <c r="F104" s="13">
        <f t="shared" si="9"/>
        <v>1.1000000000000001</v>
      </c>
      <c r="G104" s="13">
        <f t="shared" si="10"/>
        <v>1.1000000000000001</v>
      </c>
      <c r="H104" s="13">
        <f t="shared" si="11"/>
        <v>1</v>
      </c>
      <c r="I104" s="13">
        <v>1.3</v>
      </c>
      <c r="J104" s="13">
        <v>1.3</v>
      </c>
      <c r="K104" s="13">
        <v>1.2</v>
      </c>
      <c r="L104" s="13">
        <v>1.89</v>
      </c>
      <c r="M104" s="13"/>
      <c r="N104" s="13"/>
      <c r="O104" s="13"/>
      <c r="P104" s="13"/>
      <c r="Q104" s="13"/>
      <c r="R104" s="13"/>
      <c r="S104" s="13"/>
      <c r="T104" s="13"/>
      <c r="U104" s="13"/>
      <c r="V104" s="13">
        <f>V103</f>
        <v>1.02</v>
      </c>
      <c r="W104" s="13"/>
      <c r="X104" s="13"/>
      <c r="Y104" s="13"/>
      <c r="Z104" s="13">
        <f>Y103</f>
        <v>1.02</v>
      </c>
      <c r="AA104" s="13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12"/>
      <c r="BO104" s="12"/>
      <c r="BP104" s="12"/>
      <c r="BQ104" s="12"/>
      <c r="BR104" s="12"/>
      <c r="BS104" s="12"/>
      <c r="BT104" s="12"/>
      <c r="BU104" s="12"/>
      <c r="BV104" s="12"/>
      <c r="BW104" s="12"/>
      <c r="BX104" s="12"/>
      <c r="BY104" s="12"/>
      <c r="BZ104" s="12"/>
      <c r="CA104" s="12"/>
      <c r="CB104" s="12"/>
      <c r="CC104" s="12"/>
      <c r="CD104" s="12"/>
      <c r="CE104" s="12"/>
      <c r="CF104" s="12"/>
      <c r="CG104" s="12"/>
      <c r="CH104" s="12"/>
      <c r="CI104" s="12"/>
      <c r="CJ104" s="12"/>
      <c r="CK104" s="12"/>
      <c r="CL104" s="12"/>
      <c r="CM104" s="12"/>
      <c r="CN104" s="12"/>
      <c r="CO104" s="12"/>
      <c r="CP104" s="12"/>
      <c r="CQ104" s="12"/>
      <c r="CR104" s="12"/>
      <c r="CS104" s="12"/>
      <c r="CT104" s="12"/>
      <c r="CU104" s="12"/>
      <c r="CV104" s="12"/>
      <c r="CW104" s="12"/>
      <c r="CX104" s="12"/>
      <c r="CY104" s="12"/>
    </row>
    <row r="105" spans="1:103" s="14" customFormat="1" x14ac:dyDescent="0.25">
      <c r="A105" s="4" t="s">
        <v>134</v>
      </c>
      <c r="B105" s="12" t="str" cm="1">
        <f t="array" ref="B105">User3($C$11:$ZX$11,C105:ZX105)</f>
        <v>1.05D+1.2SDL+1.2BW+1.1COL+1.1SOIL+1WATER+1.3Lr+1.3LLB+1.2LLE+1.89Wx+1+1.02CR13+1.02CR24</v>
      </c>
      <c r="C105" s="13">
        <f t="shared" si="6"/>
        <v>1.05</v>
      </c>
      <c r="D105" s="13">
        <f t="shared" si="7"/>
        <v>1.2</v>
      </c>
      <c r="E105" s="13">
        <f t="shared" si="8"/>
        <v>1.2</v>
      </c>
      <c r="F105" s="13">
        <f t="shared" si="9"/>
        <v>1.1000000000000001</v>
      </c>
      <c r="G105" s="13">
        <f t="shared" si="10"/>
        <v>1.1000000000000001</v>
      </c>
      <c r="H105" s="13">
        <f t="shared" si="11"/>
        <v>1</v>
      </c>
      <c r="I105" s="13">
        <v>1.3</v>
      </c>
      <c r="J105" s="13">
        <v>1.3</v>
      </c>
      <c r="K105" s="13">
        <v>1.2</v>
      </c>
      <c r="L105" s="13">
        <v>1.89</v>
      </c>
      <c r="M105" s="13"/>
      <c r="N105" s="13"/>
      <c r="O105" s="13"/>
      <c r="P105" s="13"/>
      <c r="Q105" s="13"/>
      <c r="R105" s="13"/>
      <c r="S105" s="13"/>
      <c r="T105" s="13"/>
      <c r="U105" s="13"/>
      <c r="V105" s="13">
        <f>V104</f>
        <v>1.02</v>
      </c>
      <c r="W105" s="13"/>
      <c r="X105" s="13"/>
      <c r="Y105" s="13"/>
      <c r="Z105" s="13"/>
      <c r="AA105" s="13">
        <f>Z104</f>
        <v>1.02</v>
      </c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12"/>
      <c r="BO105" s="12"/>
      <c r="BP105" s="12"/>
      <c r="BQ105" s="12"/>
      <c r="BR105" s="12"/>
      <c r="BS105" s="12"/>
      <c r="BT105" s="12"/>
      <c r="BU105" s="12"/>
      <c r="BV105" s="12"/>
      <c r="BW105" s="12"/>
      <c r="BX105" s="12"/>
      <c r="BY105" s="12"/>
      <c r="BZ105" s="12"/>
      <c r="CA105" s="12"/>
      <c r="CB105" s="12"/>
      <c r="CC105" s="12"/>
      <c r="CD105" s="12"/>
      <c r="CE105" s="12"/>
      <c r="CF105" s="12"/>
      <c r="CG105" s="12"/>
      <c r="CH105" s="12"/>
      <c r="CI105" s="12"/>
      <c r="CJ105" s="12"/>
      <c r="CK105" s="12"/>
      <c r="CL105" s="12"/>
      <c r="CM105" s="12"/>
      <c r="CN105" s="12"/>
      <c r="CO105" s="12"/>
      <c r="CP105" s="12"/>
      <c r="CQ105" s="12"/>
      <c r="CR105" s="12"/>
      <c r="CS105" s="12"/>
      <c r="CT105" s="12"/>
      <c r="CU105" s="12"/>
      <c r="CV105" s="12"/>
      <c r="CW105" s="12"/>
      <c r="CX105" s="12"/>
      <c r="CY105" s="12"/>
    </row>
    <row r="106" spans="1:103" s="14" customFormat="1" x14ac:dyDescent="0.25">
      <c r="A106" s="4" t="s">
        <v>135</v>
      </c>
      <c r="B106" s="12" t="str" cm="1">
        <f t="array" ref="B106">User3($C$11:$ZX$11,C106:ZX106)</f>
        <v>1.05D+1.2SDL+1.2BW+1.1COL+1.1SOIL+1WATER+1.3Lr+1.3LLB+1.2LLE+1.89Wx+1+1.02CR14+1.02CR21</v>
      </c>
      <c r="C106" s="13">
        <f t="shared" si="6"/>
        <v>1.05</v>
      </c>
      <c r="D106" s="13">
        <f t="shared" si="7"/>
        <v>1.2</v>
      </c>
      <c r="E106" s="13">
        <f t="shared" si="8"/>
        <v>1.2</v>
      </c>
      <c r="F106" s="13">
        <f t="shared" si="9"/>
        <v>1.1000000000000001</v>
      </c>
      <c r="G106" s="13">
        <f t="shared" si="10"/>
        <v>1.1000000000000001</v>
      </c>
      <c r="H106" s="13">
        <f t="shared" si="11"/>
        <v>1</v>
      </c>
      <c r="I106" s="13">
        <v>1.3</v>
      </c>
      <c r="J106" s="13">
        <v>1.3</v>
      </c>
      <c r="K106" s="13">
        <v>1.2</v>
      </c>
      <c r="L106" s="13">
        <v>1.89</v>
      </c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>
        <f>V105</f>
        <v>1.02</v>
      </c>
      <c r="X106" s="13">
        <f>X102</f>
        <v>1.02</v>
      </c>
      <c r="Y106" s="13"/>
      <c r="Z106" s="13"/>
      <c r="AA106" s="13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/>
      <c r="BC106" s="12"/>
      <c r="BD106" s="12"/>
      <c r="BE106" s="12"/>
      <c r="BF106" s="12"/>
      <c r="BG106" s="12"/>
      <c r="BH106" s="12"/>
      <c r="BI106" s="12"/>
      <c r="BJ106" s="12"/>
      <c r="BK106" s="12"/>
      <c r="BL106" s="12"/>
      <c r="BM106" s="12"/>
      <c r="BN106" s="12"/>
      <c r="BO106" s="12"/>
      <c r="BP106" s="12"/>
      <c r="BQ106" s="12"/>
      <c r="BR106" s="12"/>
      <c r="BS106" s="12"/>
      <c r="BT106" s="12"/>
      <c r="BU106" s="12"/>
      <c r="BV106" s="12"/>
      <c r="BW106" s="12"/>
      <c r="BX106" s="12"/>
      <c r="BY106" s="12"/>
      <c r="BZ106" s="12"/>
      <c r="CA106" s="12"/>
      <c r="CB106" s="12"/>
      <c r="CC106" s="12"/>
      <c r="CD106" s="12"/>
      <c r="CE106" s="12"/>
      <c r="CF106" s="12"/>
      <c r="CG106" s="12"/>
      <c r="CH106" s="12"/>
      <c r="CI106" s="12"/>
      <c r="CJ106" s="12"/>
      <c r="CK106" s="12"/>
      <c r="CL106" s="12"/>
      <c r="CM106" s="12"/>
      <c r="CN106" s="12"/>
      <c r="CO106" s="12"/>
      <c r="CP106" s="12"/>
      <c r="CQ106" s="12"/>
      <c r="CR106" s="12"/>
      <c r="CS106" s="12"/>
      <c r="CT106" s="12"/>
      <c r="CU106" s="12"/>
      <c r="CV106" s="12"/>
      <c r="CW106" s="12"/>
      <c r="CX106" s="12"/>
      <c r="CY106" s="12"/>
    </row>
    <row r="107" spans="1:103" s="14" customFormat="1" x14ac:dyDescent="0.25">
      <c r="A107" s="4" t="s">
        <v>136</v>
      </c>
      <c r="B107" s="12" t="str" cm="1">
        <f t="array" ref="B107">User3($C$11:$ZX$11,C107:ZX107)</f>
        <v>1.05D+1.2SDL+1.2BW+1.1COL+1.1SOIL+1WATER+1.3Lr+1.3LLB+1.2LLE+1.89Wx+1+1.02CR14+1.02CR22</v>
      </c>
      <c r="C107" s="13">
        <f t="shared" si="6"/>
        <v>1.05</v>
      </c>
      <c r="D107" s="13">
        <f t="shared" si="7"/>
        <v>1.2</v>
      </c>
      <c r="E107" s="13">
        <f t="shared" si="8"/>
        <v>1.2</v>
      </c>
      <c r="F107" s="13">
        <f t="shared" si="9"/>
        <v>1.1000000000000001</v>
      </c>
      <c r="G107" s="13">
        <f t="shared" si="10"/>
        <v>1.1000000000000001</v>
      </c>
      <c r="H107" s="13">
        <f t="shared" si="11"/>
        <v>1</v>
      </c>
      <c r="I107" s="13">
        <v>1.3</v>
      </c>
      <c r="J107" s="13">
        <v>1.3</v>
      </c>
      <c r="K107" s="13">
        <v>1.2</v>
      </c>
      <c r="L107" s="13">
        <v>1.89</v>
      </c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>
        <f>W106</f>
        <v>1.02</v>
      </c>
      <c r="X107" s="13"/>
      <c r="Y107" s="13">
        <f>X106</f>
        <v>1.02</v>
      </c>
      <c r="Z107" s="13"/>
      <c r="AA107" s="13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12"/>
      <c r="BE107" s="12"/>
      <c r="BF107" s="12"/>
      <c r="BG107" s="12"/>
      <c r="BH107" s="12"/>
      <c r="BI107" s="12"/>
      <c r="BJ107" s="12"/>
      <c r="BK107" s="12"/>
      <c r="BL107" s="12"/>
      <c r="BM107" s="12"/>
      <c r="BN107" s="12"/>
      <c r="BO107" s="12"/>
      <c r="BP107" s="12"/>
      <c r="BQ107" s="12"/>
      <c r="BR107" s="12"/>
      <c r="BS107" s="12"/>
      <c r="BT107" s="12"/>
      <c r="BU107" s="12"/>
      <c r="BV107" s="12"/>
      <c r="BW107" s="12"/>
      <c r="BX107" s="12"/>
      <c r="BY107" s="12"/>
      <c r="BZ107" s="12"/>
      <c r="CA107" s="12"/>
      <c r="CB107" s="12"/>
      <c r="CC107" s="12"/>
      <c r="CD107" s="12"/>
      <c r="CE107" s="12"/>
      <c r="CF107" s="12"/>
      <c r="CG107" s="12"/>
      <c r="CH107" s="12"/>
      <c r="CI107" s="12"/>
      <c r="CJ107" s="12"/>
      <c r="CK107" s="12"/>
      <c r="CL107" s="12"/>
      <c r="CM107" s="12"/>
      <c r="CN107" s="12"/>
      <c r="CO107" s="12"/>
      <c r="CP107" s="12"/>
      <c r="CQ107" s="12"/>
      <c r="CR107" s="12"/>
      <c r="CS107" s="12"/>
      <c r="CT107" s="12"/>
      <c r="CU107" s="12"/>
      <c r="CV107" s="12"/>
      <c r="CW107" s="12"/>
      <c r="CX107" s="12"/>
      <c r="CY107" s="12"/>
    </row>
    <row r="108" spans="1:103" s="14" customFormat="1" x14ac:dyDescent="0.25">
      <c r="A108" s="4" t="s">
        <v>137</v>
      </c>
      <c r="B108" s="12" t="str" cm="1">
        <f t="array" ref="B108">User3($C$11:$ZX$11,C108:ZX108)</f>
        <v>1.05D+1.2SDL+1.2BW+1.1COL+1.1SOIL+1WATER+1.3Lr+1.3LLB+1.2LLE+1.89Wx+1+1.02CR14+1.02CR23</v>
      </c>
      <c r="C108" s="13">
        <f t="shared" si="6"/>
        <v>1.05</v>
      </c>
      <c r="D108" s="13">
        <f t="shared" si="7"/>
        <v>1.2</v>
      </c>
      <c r="E108" s="13">
        <f t="shared" si="8"/>
        <v>1.2</v>
      </c>
      <c r="F108" s="13">
        <f t="shared" si="9"/>
        <v>1.1000000000000001</v>
      </c>
      <c r="G108" s="13">
        <f t="shared" si="10"/>
        <v>1.1000000000000001</v>
      </c>
      <c r="H108" s="13">
        <f t="shared" si="11"/>
        <v>1</v>
      </c>
      <c r="I108" s="13">
        <v>1.3</v>
      </c>
      <c r="J108" s="13">
        <v>1.3</v>
      </c>
      <c r="K108" s="13">
        <v>1.2</v>
      </c>
      <c r="L108" s="13">
        <v>1.89</v>
      </c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>
        <f>W107</f>
        <v>1.02</v>
      </c>
      <c r="X108" s="13"/>
      <c r="Y108" s="13"/>
      <c r="Z108" s="13">
        <f>Y107</f>
        <v>1.02</v>
      </c>
      <c r="AA108" s="13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12"/>
      <c r="BO108" s="12"/>
      <c r="BP108" s="12"/>
      <c r="BQ108" s="12"/>
      <c r="BR108" s="12"/>
      <c r="BS108" s="12"/>
      <c r="BT108" s="12"/>
      <c r="BU108" s="12"/>
      <c r="BV108" s="12"/>
      <c r="BW108" s="12"/>
      <c r="BX108" s="12"/>
      <c r="BY108" s="12"/>
      <c r="BZ108" s="12"/>
      <c r="CA108" s="12"/>
      <c r="CB108" s="12"/>
      <c r="CC108" s="12"/>
      <c r="CD108" s="12"/>
      <c r="CE108" s="12"/>
      <c r="CF108" s="12"/>
      <c r="CG108" s="12"/>
      <c r="CH108" s="12"/>
      <c r="CI108" s="12"/>
      <c r="CJ108" s="12"/>
      <c r="CK108" s="12"/>
      <c r="CL108" s="12"/>
      <c r="CM108" s="12"/>
      <c r="CN108" s="12"/>
      <c r="CO108" s="12"/>
      <c r="CP108" s="12"/>
      <c r="CQ108" s="12"/>
      <c r="CR108" s="12"/>
      <c r="CS108" s="12"/>
      <c r="CT108" s="12"/>
      <c r="CU108" s="12"/>
      <c r="CV108" s="12"/>
      <c r="CW108" s="12"/>
      <c r="CX108" s="12"/>
      <c r="CY108" s="12"/>
    </row>
    <row r="109" spans="1:103" s="17" customFormat="1" x14ac:dyDescent="0.25">
      <c r="A109" s="4" t="s">
        <v>138</v>
      </c>
      <c r="B109" s="15" t="str" cm="1">
        <f t="array" ref="B109">User3($C$11:$ZX$11,C109:ZX109)</f>
        <v>1.05D+1.2SDL+1.2BW+1.1COL+1.1SOIL+1WATER+1.3Lr+1.3LLB+1.2LLE+1.89Wx+1+1.02CR14+1.02CR24</v>
      </c>
      <c r="C109" s="16">
        <f t="shared" si="6"/>
        <v>1.05</v>
      </c>
      <c r="D109" s="16">
        <f t="shared" si="7"/>
        <v>1.2</v>
      </c>
      <c r="E109" s="16">
        <f t="shared" si="8"/>
        <v>1.2</v>
      </c>
      <c r="F109" s="16">
        <f t="shared" si="9"/>
        <v>1.1000000000000001</v>
      </c>
      <c r="G109" s="16">
        <f t="shared" si="10"/>
        <v>1.1000000000000001</v>
      </c>
      <c r="H109" s="16">
        <f t="shared" si="11"/>
        <v>1</v>
      </c>
      <c r="I109" s="16">
        <v>1.3</v>
      </c>
      <c r="J109" s="16">
        <v>1.3</v>
      </c>
      <c r="K109" s="16">
        <v>1.2</v>
      </c>
      <c r="L109" s="16">
        <v>1.89</v>
      </c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>
        <f>W108</f>
        <v>1.02</v>
      </c>
      <c r="X109" s="16"/>
      <c r="Y109" s="16"/>
      <c r="Z109" s="16"/>
      <c r="AA109" s="16">
        <f>Z108</f>
        <v>1.02</v>
      </c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15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15"/>
      <c r="BY109" s="15"/>
      <c r="BZ109" s="15"/>
      <c r="CA109" s="15"/>
      <c r="CB109" s="15"/>
      <c r="CC109" s="15"/>
      <c r="CD109" s="15"/>
      <c r="CE109" s="15"/>
      <c r="CF109" s="15"/>
      <c r="CG109" s="15"/>
      <c r="CH109" s="15"/>
      <c r="CI109" s="15"/>
      <c r="CJ109" s="15"/>
      <c r="CK109" s="15"/>
      <c r="CL109" s="15"/>
      <c r="CM109" s="15"/>
      <c r="CN109" s="15"/>
      <c r="CO109" s="15"/>
      <c r="CP109" s="15"/>
      <c r="CQ109" s="15"/>
      <c r="CR109" s="15"/>
      <c r="CS109" s="15"/>
      <c r="CT109" s="15"/>
      <c r="CU109" s="15"/>
      <c r="CV109" s="15"/>
      <c r="CW109" s="15"/>
      <c r="CX109" s="15"/>
      <c r="CY109" s="15"/>
    </row>
    <row r="110" spans="1:103" s="11" customFormat="1" x14ac:dyDescent="0.25">
      <c r="A110" s="4" t="s">
        <v>139</v>
      </c>
      <c r="B110" s="9" t="str" cm="1">
        <f t="array" ref="B110">User3($C$11:$ZX$11,C110:ZX110)</f>
        <v>1.05D+1.2SDL+1.2BW+1.1COL+1.1SOIL+1WATER+1.3Lr+1.3LLB+1.2LLE+1.89Wx+2+1.02CR11+1.02CR21</v>
      </c>
      <c r="C110" s="13">
        <f t="shared" si="6"/>
        <v>1.05</v>
      </c>
      <c r="D110" s="13">
        <f t="shared" si="7"/>
        <v>1.2</v>
      </c>
      <c r="E110" s="13">
        <f t="shared" si="8"/>
        <v>1.2</v>
      </c>
      <c r="F110" s="13">
        <f t="shared" si="9"/>
        <v>1.1000000000000001</v>
      </c>
      <c r="G110" s="13">
        <f t="shared" si="10"/>
        <v>1.1000000000000001</v>
      </c>
      <c r="H110" s="13">
        <f t="shared" si="11"/>
        <v>1</v>
      </c>
      <c r="I110" s="10">
        <v>1.3</v>
      </c>
      <c r="J110" s="10">
        <v>1.3</v>
      </c>
      <c r="K110" s="10">
        <v>1.2</v>
      </c>
      <c r="L110" s="10"/>
      <c r="M110" s="10">
        <v>1.89</v>
      </c>
      <c r="N110" s="10"/>
      <c r="O110" s="10"/>
      <c r="P110" s="10"/>
      <c r="Q110" s="10"/>
      <c r="R110" s="10"/>
      <c r="S110" s="10"/>
      <c r="T110" s="10">
        <f>T94</f>
        <v>1.02</v>
      </c>
      <c r="U110" s="10"/>
      <c r="V110" s="10"/>
      <c r="W110" s="10"/>
      <c r="X110" s="10">
        <f>T110</f>
        <v>1.02</v>
      </c>
      <c r="Y110" s="10"/>
      <c r="Z110" s="10"/>
      <c r="AA110" s="10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  <c r="BP110" s="9"/>
      <c r="BQ110" s="9"/>
      <c r="BR110" s="9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9"/>
      <c r="CE110" s="9"/>
      <c r="CF110" s="9"/>
      <c r="CG110" s="9"/>
      <c r="CH110" s="9"/>
      <c r="CI110" s="9"/>
      <c r="CJ110" s="9"/>
      <c r="CK110" s="9"/>
      <c r="CL110" s="9"/>
      <c r="CM110" s="9"/>
      <c r="CN110" s="9"/>
      <c r="CO110" s="9"/>
      <c r="CP110" s="9"/>
      <c r="CQ110" s="9"/>
      <c r="CR110" s="9"/>
      <c r="CS110" s="9"/>
      <c r="CT110" s="9"/>
      <c r="CU110" s="9"/>
      <c r="CV110" s="9"/>
      <c r="CW110" s="9"/>
      <c r="CX110" s="9"/>
      <c r="CY110" s="9"/>
    </row>
    <row r="111" spans="1:103" s="14" customFormat="1" x14ac:dyDescent="0.25">
      <c r="A111" s="4" t="s">
        <v>140</v>
      </c>
      <c r="B111" s="12" t="str" cm="1">
        <f t="array" ref="B111">User3($C$11:$ZX$11,C111:ZX111)</f>
        <v>1.05D+1.2SDL+1.2BW+1.1COL+1.1SOIL+1WATER+1.3Lr+1.3LLB+1.2LLE+1.89Wx+2+1.02CR11+1.02CR22</v>
      </c>
      <c r="C111" s="13">
        <f t="shared" si="6"/>
        <v>1.05</v>
      </c>
      <c r="D111" s="13">
        <f t="shared" si="7"/>
        <v>1.2</v>
      </c>
      <c r="E111" s="13">
        <f t="shared" si="8"/>
        <v>1.2</v>
      </c>
      <c r="F111" s="13">
        <f t="shared" si="9"/>
        <v>1.1000000000000001</v>
      </c>
      <c r="G111" s="13">
        <f t="shared" si="10"/>
        <v>1.1000000000000001</v>
      </c>
      <c r="H111" s="13">
        <f t="shared" si="11"/>
        <v>1</v>
      </c>
      <c r="I111" s="13">
        <v>1.3</v>
      </c>
      <c r="J111" s="13">
        <v>1.3</v>
      </c>
      <c r="K111" s="13">
        <v>1.2</v>
      </c>
      <c r="L111" s="13"/>
      <c r="M111" s="13">
        <v>1.89</v>
      </c>
      <c r="N111" s="13"/>
      <c r="O111" s="13"/>
      <c r="P111" s="13"/>
      <c r="Q111" s="13"/>
      <c r="R111" s="13"/>
      <c r="S111" s="13"/>
      <c r="T111" s="13">
        <f>T110</f>
        <v>1.02</v>
      </c>
      <c r="U111" s="13"/>
      <c r="V111" s="13"/>
      <c r="W111" s="13"/>
      <c r="X111" s="13"/>
      <c r="Y111" s="13">
        <f>X110</f>
        <v>1.02</v>
      </c>
      <c r="Z111" s="13"/>
      <c r="AA111" s="13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  <c r="BJ111" s="12"/>
      <c r="BK111" s="12"/>
      <c r="BL111" s="12"/>
      <c r="BM111" s="12"/>
      <c r="BN111" s="12"/>
      <c r="BO111" s="12"/>
      <c r="BP111" s="12"/>
      <c r="BQ111" s="12"/>
      <c r="BR111" s="12"/>
      <c r="BS111" s="12"/>
      <c r="BT111" s="12"/>
      <c r="BU111" s="12"/>
      <c r="BV111" s="12"/>
      <c r="BW111" s="12"/>
      <c r="BX111" s="12"/>
      <c r="BY111" s="12"/>
      <c r="BZ111" s="12"/>
      <c r="CA111" s="12"/>
      <c r="CB111" s="12"/>
      <c r="CC111" s="12"/>
      <c r="CD111" s="12"/>
      <c r="CE111" s="12"/>
      <c r="CF111" s="12"/>
      <c r="CG111" s="12"/>
      <c r="CH111" s="12"/>
      <c r="CI111" s="12"/>
      <c r="CJ111" s="12"/>
      <c r="CK111" s="12"/>
      <c r="CL111" s="12"/>
      <c r="CM111" s="12"/>
      <c r="CN111" s="12"/>
      <c r="CO111" s="12"/>
      <c r="CP111" s="12"/>
      <c r="CQ111" s="12"/>
      <c r="CR111" s="12"/>
      <c r="CS111" s="12"/>
      <c r="CT111" s="12"/>
      <c r="CU111" s="12"/>
      <c r="CV111" s="12"/>
      <c r="CW111" s="12"/>
      <c r="CX111" s="12"/>
      <c r="CY111" s="12"/>
    </row>
    <row r="112" spans="1:103" s="14" customFormat="1" x14ac:dyDescent="0.25">
      <c r="A112" s="4" t="s">
        <v>141</v>
      </c>
      <c r="B112" s="12" t="str" cm="1">
        <f t="array" ref="B112">User3($C$11:$ZX$11,C112:ZX112)</f>
        <v>1.05D+1.2SDL+1.2BW+1.1COL+1.1SOIL+1WATER+1.3Lr+1.3LLB+1.2LLE+1.89Wx+2+1.02CR11+1.02CR23</v>
      </c>
      <c r="C112" s="13">
        <f t="shared" si="6"/>
        <v>1.05</v>
      </c>
      <c r="D112" s="13">
        <f t="shared" si="7"/>
        <v>1.2</v>
      </c>
      <c r="E112" s="13">
        <f t="shared" si="8"/>
        <v>1.2</v>
      </c>
      <c r="F112" s="13">
        <f t="shared" si="9"/>
        <v>1.1000000000000001</v>
      </c>
      <c r="G112" s="13">
        <f t="shared" si="10"/>
        <v>1.1000000000000001</v>
      </c>
      <c r="H112" s="13">
        <f t="shared" si="11"/>
        <v>1</v>
      </c>
      <c r="I112" s="13">
        <v>1.3</v>
      </c>
      <c r="J112" s="13">
        <v>1.3</v>
      </c>
      <c r="K112" s="13">
        <v>1.2</v>
      </c>
      <c r="L112" s="13"/>
      <c r="M112" s="13">
        <v>1.89</v>
      </c>
      <c r="N112" s="13"/>
      <c r="O112" s="13"/>
      <c r="P112" s="13"/>
      <c r="Q112" s="13"/>
      <c r="R112" s="13"/>
      <c r="S112" s="13"/>
      <c r="T112" s="13">
        <f>T111</f>
        <v>1.02</v>
      </c>
      <c r="U112" s="13"/>
      <c r="V112" s="13"/>
      <c r="W112" s="13"/>
      <c r="X112" s="13"/>
      <c r="Y112" s="13"/>
      <c r="Z112" s="13">
        <f>Y111</f>
        <v>1.02</v>
      </c>
      <c r="AA112" s="13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12"/>
      <c r="CA112" s="12"/>
      <c r="CB112" s="12"/>
      <c r="CC112" s="12"/>
      <c r="CD112" s="12"/>
      <c r="CE112" s="12"/>
      <c r="CF112" s="12"/>
      <c r="CG112" s="12"/>
      <c r="CH112" s="12"/>
      <c r="CI112" s="12"/>
      <c r="CJ112" s="12"/>
      <c r="CK112" s="12"/>
      <c r="CL112" s="12"/>
      <c r="CM112" s="12"/>
      <c r="CN112" s="12"/>
      <c r="CO112" s="12"/>
      <c r="CP112" s="12"/>
      <c r="CQ112" s="12"/>
      <c r="CR112" s="12"/>
      <c r="CS112" s="12"/>
      <c r="CT112" s="12"/>
      <c r="CU112" s="12"/>
      <c r="CV112" s="12"/>
      <c r="CW112" s="12"/>
      <c r="CX112" s="12"/>
      <c r="CY112" s="12"/>
    </row>
    <row r="113" spans="1:103" s="14" customFormat="1" x14ac:dyDescent="0.25">
      <c r="A113" s="4" t="s">
        <v>142</v>
      </c>
      <c r="B113" s="12" t="str" cm="1">
        <f t="array" ref="B113">User3($C$11:$ZX$11,C113:ZX113)</f>
        <v>1.05D+1.2SDL+1.2BW+1.1COL+1.1SOIL+1WATER+1.3Lr+1.3LLB+1.2LLE+1.89Wx+2+1.02CR11+1.02CR24</v>
      </c>
      <c r="C113" s="13">
        <f t="shared" si="6"/>
        <v>1.05</v>
      </c>
      <c r="D113" s="13">
        <f t="shared" si="7"/>
        <v>1.2</v>
      </c>
      <c r="E113" s="13">
        <f t="shared" si="8"/>
        <v>1.2</v>
      </c>
      <c r="F113" s="13">
        <f t="shared" si="9"/>
        <v>1.1000000000000001</v>
      </c>
      <c r="G113" s="13">
        <f t="shared" si="10"/>
        <v>1.1000000000000001</v>
      </c>
      <c r="H113" s="13">
        <f t="shared" si="11"/>
        <v>1</v>
      </c>
      <c r="I113" s="13">
        <v>1.3</v>
      </c>
      <c r="J113" s="13">
        <v>1.3</v>
      </c>
      <c r="K113" s="13">
        <v>1.2</v>
      </c>
      <c r="L113" s="13"/>
      <c r="M113" s="13">
        <v>1.89</v>
      </c>
      <c r="N113" s="13"/>
      <c r="O113" s="13"/>
      <c r="P113" s="13"/>
      <c r="Q113" s="13"/>
      <c r="R113" s="13"/>
      <c r="S113" s="13"/>
      <c r="T113" s="13">
        <f>T112</f>
        <v>1.02</v>
      </c>
      <c r="U113" s="13"/>
      <c r="V113" s="13"/>
      <c r="W113" s="13"/>
      <c r="X113" s="13"/>
      <c r="Y113" s="13"/>
      <c r="Z113" s="13"/>
      <c r="AA113" s="13">
        <f>Z112</f>
        <v>1.02</v>
      </c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BN113" s="12"/>
      <c r="BO113" s="12"/>
      <c r="BP113" s="12"/>
      <c r="BQ113" s="12"/>
      <c r="BR113" s="12"/>
      <c r="BS113" s="12"/>
      <c r="BT113" s="12"/>
      <c r="BU113" s="12"/>
      <c r="BV113" s="12"/>
      <c r="BW113" s="12"/>
      <c r="BX113" s="12"/>
      <c r="BY113" s="12"/>
      <c r="BZ113" s="12"/>
      <c r="CA113" s="12"/>
      <c r="CB113" s="12"/>
      <c r="CC113" s="12"/>
      <c r="CD113" s="12"/>
      <c r="CE113" s="12"/>
      <c r="CF113" s="12"/>
      <c r="CG113" s="12"/>
      <c r="CH113" s="12"/>
      <c r="CI113" s="12"/>
      <c r="CJ113" s="12"/>
      <c r="CK113" s="12"/>
      <c r="CL113" s="12"/>
      <c r="CM113" s="12"/>
      <c r="CN113" s="12"/>
      <c r="CO113" s="12"/>
      <c r="CP113" s="12"/>
      <c r="CQ113" s="12"/>
      <c r="CR113" s="12"/>
      <c r="CS113" s="12"/>
      <c r="CT113" s="12"/>
      <c r="CU113" s="12"/>
      <c r="CV113" s="12"/>
      <c r="CW113" s="12"/>
      <c r="CX113" s="12"/>
      <c r="CY113" s="12"/>
    </row>
    <row r="114" spans="1:103" s="14" customFormat="1" x14ac:dyDescent="0.25">
      <c r="A114" s="4" t="s">
        <v>143</v>
      </c>
      <c r="B114" s="12" t="str" cm="1">
        <f t="array" ref="B114">User3($C$11:$ZX$11,C114:ZX114)</f>
        <v>1.05D+1.2SDL+1.2BW+1.1COL+1.1SOIL+1WATER+1.3Lr+1.3LLB+1.2LLE+1.89Wx+2+1.02CR12+1.02CR21</v>
      </c>
      <c r="C114" s="13">
        <f t="shared" si="6"/>
        <v>1.05</v>
      </c>
      <c r="D114" s="13">
        <f t="shared" si="7"/>
        <v>1.2</v>
      </c>
      <c r="E114" s="13">
        <f t="shared" si="8"/>
        <v>1.2</v>
      </c>
      <c r="F114" s="13">
        <f t="shared" si="9"/>
        <v>1.1000000000000001</v>
      </c>
      <c r="G114" s="13">
        <f t="shared" si="10"/>
        <v>1.1000000000000001</v>
      </c>
      <c r="H114" s="13">
        <f t="shared" si="11"/>
        <v>1</v>
      </c>
      <c r="I114" s="13">
        <v>1.3</v>
      </c>
      <c r="J114" s="13">
        <v>1.3</v>
      </c>
      <c r="K114" s="13">
        <v>1.2</v>
      </c>
      <c r="L114" s="13"/>
      <c r="M114" s="13">
        <v>1.89</v>
      </c>
      <c r="N114" s="13"/>
      <c r="O114" s="13"/>
      <c r="P114" s="13"/>
      <c r="Q114" s="13"/>
      <c r="R114" s="13"/>
      <c r="S114" s="13"/>
      <c r="T114" s="13"/>
      <c r="U114" s="13">
        <f>T110</f>
        <v>1.02</v>
      </c>
      <c r="V114" s="13"/>
      <c r="W114" s="13"/>
      <c r="X114" s="13">
        <f>X110</f>
        <v>1.02</v>
      </c>
      <c r="Y114" s="13"/>
      <c r="Z114" s="13"/>
      <c r="AA114" s="13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2"/>
      <c r="BB114" s="12"/>
      <c r="BC114" s="12"/>
      <c r="BD114" s="12"/>
      <c r="BE114" s="12"/>
      <c r="BF114" s="12"/>
      <c r="BG114" s="12"/>
      <c r="BH114" s="12"/>
      <c r="BI114" s="12"/>
      <c r="BJ114" s="12"/>
      <c r="BK114" s="12"/>
      <c r="BL114" s="12"/>
      <c r="BM114" s="12"/>
      <c r="BN114" s="12"/>
      <c r="BO114" s="12"/>
      <c r="BP114" s="12"/>
      <c r="BQ114" s="12"/>
      <c r="BR114" s="12"/>
      <c r="BS114" s="12"/>
      <c r="BT114" s="12"/>
      <c r="BU114" s="12"/>
      <c r="BV114" s="12"/>
      <c r="BW114" s="12"/>
      <c r="BX114" s="12"/>
      <c r="BY114" s="12"/>
      <c r="BZ114" s="12"/>
      <c r="CA114" s="12"/>
      <c r="CB114" s="12"/>
      <c r="CC114" s="12"/>
      <c r="CD114" s="12"/>
      <c r="CE114" s="12"/>
      <c r="CF114" s="12"/>
      <c r="CG114" s="12"/>
      <c r="CH114" s="12"/>
      <c r="CI114" s="12"/>
      <c r="CJ114" s="12"/>
      <c r="CK114" s="12"/>
      <c r="CL114" s="12"/>
      <c r="CM114" s="12"/>
      <c r="CN114" s="12"/>
      <c r="CO114" s="12"/>
      <c r="CP114" s="12"/>
      <c r="CQ114" s="12"/>
      <c r="CR114" s="12"/>
      <c r="CS114" s="12"/>
      <c r="CT114" s="12"/>
      <c r="CU114" s="12"/>
      <c r="CV114" s="12"/>
      <c r="CW114" s="12"/>
      <c r="CX114" s="12"/>
      <c r="CY114" s="12"/>
    </row>
    <row r="115" spans="1:103" s="14" customFormat="1" x14ac:dyDescent="0.25">
      <c r="A115" s="4" t="s">
        <v>144</v>
      </c>
      <c r="B115" s="12" t="str" cm="1">
        <f t="array" ref="B115">User3($C$11:$ZX$11,C115:ZX115)</f>
        <v>1.05D+1.2SDL+1.2BW+1.1COL+1.1SOIL+1WATER+1.3Lr+1.3LLB+1.2LLE+1.89Wx+2+1.02CR12+1.02CR22</v>
      </c>
      <c r="C115" s="13">
        <f t="shared" si="6"/>
        <v>1.05</v>
      </c>
      <c r="D115" s="13">
        <f t="shared" si="7"/>
        <v>1.2</v>
      </c>
      <c r="E115" s="13">
        <f t="shared" si="8"/>
        <v>1.2</v>
      </c>
      <c r="F115" s="13">
        <f t="shared" si="9"/>
        <v>1.1000000000000001</v>
      </c>
      <c r="G115" s="13">
        <f t="shared" si="10"/>
        <v>1.1000000000000001</v>
      </c>
      <c r="H115" s="13">
        <f t="shared" si="11"/>
        <v>1</v>
      </c>
      <c r="I115" s="13">
        <v>1.3</v>
      </c>
      <c r="J115" s="13">
        <v>1.3</v>
      </c>
      <c r="K115" s="13">
        <v>1.2</v>
      </c>
      <c r="L115" s="13"/>
      <c r="M115" s="13">
        <v>1.89</v>
      </c>
      <c r="N115" s="13"/>
      <c r="O115" s="13"/>
      <c r="P115" s="13"/>
      <c r="Q115" s="13"/>
      <c r="R115" s="13"/>
      <c r="S115" s="13"/>
      <c r="T115" s="13"/>
      <c r="U115" s="13">
        <f>U114</f>
        <v>1.02</v>
      </c>
      <c r="V115" s="13"/>
      <c r="W115" s="13"/>
      <c r="X115" s="13"/>
      <c r="Y115" s="13">
        <f>Y111</f>
        <v>1.02</v>
      </c>
      <c r="Z115" s="13"/>
      <c r="AA115" s="13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/>
      <c r="BC115" s="12"/>
      <c r="BD115" s="12"/>
      <c r="BE115" s="12"/>
      <c r="BF115" s="12"/>
      <c r="BG115" s="12"/>
      <c r="BH115" s="12"/>
      <c r="BI115" s="12"/>
      <c r="BJ115" s="12"/>
      <c r="BK115" s="12"/>
      <c r="BL115" s="12"/>
      <c r="BM115" s="12"/>
      <c r="BN115" s="12"/>
      <c r="BO115" s="12"/>
      <c r="BP115" s="12"/>
      <c r="BQ115" s="12"/>
      <c r="BR115" s="12"/>
      <c r="BS115" s="12"/>
      <c r="BT115" s="12"/>
      <c r="BU115" s="12"/>
      <c r="BV115" s="12"/>
      <c r="BW115" s="12"/>
      <c r="BX115" s="12"/>
      <c r="BY115" s="12"/>
      <c r="BZ115" s="12"/>
      <c r="CA115" s="12"/>
      <c r="CB115" s="12"/>
      <c r="CC115" s="12"/>
      <c r="CD115" s="12"/>
      <c r="CE115" s="12"/>
      <c r="CF115" s="12"/>
      <c r="CG115" s="12"/>
      <c r="CH115" s="12"/>
      <c r="CI115" s="12"/>
      <c r="CJ115" s="12"/>
      <c r="CK115" s="12"/>
      <c r="CL115" s="12"/>
      <c r="CM115" s="12"/>
      <c r="CN115" s="12"/>
      <c r="CO115" s="12"/>
      <c r="CP115" s="12"/>
      <c r="CQ115" s="12"/>
      <c r="CR115" s="12"/>
      <c r="CS115" s="12"/>
      <c r="CT115" s="12"/>
      <c r="CU115" s="12"/>
      <c r="CV115" s="12"/>
      <c r="CW115" s="12"/>
      <c r="CX115" s="12"/>
      <c r="CY115" s="12"/>
    </row>
    <row r="116" spans="1:103" s="14" customFormat="1" x14ac:dyDescent="0.25">
      <c r="A116" s="4" t="s">
        <v>145</v>
      </c>
      <c r="B116" s="12" t="str" cm="1">
        <f t="array" ref="B116">User3($C$11:$ZX$11,C116:ZX116)</f>
        <v>1.05D+1.2SDL+1.2BW+1.1COL+1.1SOIL+1WATER+1.3Lr+1.3LLB+1.2LLE+1.89Wx+2+1.02CR12+1.02CR23</v>
      </c>
      <c r="C116" s="13">
        <f t="shared" si="6"/>
        <v>1.05</v>
      </c>
      <c r="D116" s="13">
        <f t="shared" si="7"/>
        <v>1.2</v>
      </c>
      <c r="E116" s="13">
        <f t="shared" si="8"/>
        <v>1.2</v>
      </c>
      <c r="F116" s="13">
        <f t="shared" si="9"/>
        <v>1.1000000000000001</v>
      </c>
      <c r="G116" s="13">
        <f t="shared" si="10"/>
        <v>1.1000000000000001</v>
      </c>
      <c r="H116" s="13">
        <f t="shared" si="11"/>
        <v>1</v>
      </c>
      <c r="I116" s="13">
        <v>1.3</v>
      </c>
      <c r="J116" s="13">
        <v>1.3</v>
      </c>
      <c r="K116" s="13">
        <v>1.2</v>
      </c>
      <c r="L116" s="13"/>
      <c r="M116" s="13">
        <v>1.89</v>
      </c>
      <c r="N116" s="13"/>
      <c r="O116" s="13"/>
      <c r="P116" s="13"/>
      <c r="Q116" s="13"/>
      <c r="R116" s="13"/>
      <c r="S116" s="13"/>
      <c r="T116" s="13"/>
      <c r="U116" s="13">
        <f>U115</f>
        <v>1.02</v>
      </c>
      <c r="V116" s="13"/>
      <c r="W116" s="13"/>
      <c r="X116" s="13"/>
      <c r="Y116" s="13"/>
      <c r="Z116" s="13">
        <f>Z112</f>
        <v>1.02</v>
      </c>
      <c r="AA116" s="13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/>
      <c r="BC116" s="12"/>
      <c r="BD116" s="12"/>
      <c r="BE116" s="12"/>
      <c r="BF116" s="12"/>
      <c r="BG116" s="12"/>
      <c r="BH116" s="12"/>
      <c r="BI116" s="12"/>
      <c r="BJ116" s="12"/>
      <c r="BK116" s="12"/>
      <c r="BL116" s="12"/>
      <c r="BM116" s="12"/>
      <c r="BN116" s="12"/>
      <c r="BO116" s="12"/>
      <c r="BP116" s="12"/>
      <c r="BQ116" s="12"/>
      <c r="BR116" s="12"/>
      <c r="BS116" s="12"/>
      <c r="BT116" s="12"/>
      <c r="BU116" s="12"/>
      <c r="BV116" s="12"/>
      <c r="BW116" s="12"/>
      <c r="BX116" s="12"/>
      <c r="BY116" s="12"/>
      <c r="BZ116" s="12"/>
      <c r="CA116" s="12"/>
      <c r="CB116" s="12"/>
      <c r="CC116" s="12"/>
      <c r="CD116" s="12"/>
      <c r="CE116" s="12"/>
      <c r="CF116" s="12"/>
      <c r="CG116" s="12"/>
      <c r="CH116" s="12"/>
      <c r="CI116" s="12"/>
      <c r="CJ116" s="12"/>
      <c r="CK116" s="12"/>
      <c r="CL116" s="12"/>
      <c r="CM116" s="12"/>
      <c r="CN116" s="12"/>
      <c r="CO116" s="12"/>
      <c r="CP116" s="12"/>
      <c r="CQ116" s="12"/>
      <c r="CR116" s="12"/>
      <c r="CS116" s="12"/>
      <c r="CT116" s="12"/>
      <c r="CU116" s="12"/>
      <c r="CV116" s="12"/>
      <c r="CW116" s="12"/>
      <c r="CX116" s="12"/>
      <c r="CY116" s="12"/>
    </row>
    <row r="117" spans="1:103" s="17" customFormat="1" x14ac:dyDescent="0.25">
      <c r="A117" s="4" t="s">
        <v>146</v>
      </c>
      <c r="B117" s="15" t="str" cm="1">
        <f t="array" ref="B117">User3($C$11:$ZX$11,C117:ZX117)</f>
        <v>1.05D+1.2SDL+1.2BW+1.1COL+1.1SOIL+1WATER+1.3Lr+1.3LLB+1.2LLE+1.89Wx+2+1.02CR12+1.02CR24</v>
      </c>
      <c r="C117" s="16">
        <f t="shared" si="6"/>
        <v>1.05</v>
      </c>
      <c r="D117" s="16">
        <f t="shared" si="7"/>
        <v>1.2</v>
      </c>
      <c r="E117" s="16">
        <f t="shared" si="8"/>
        <v>1.2</v>
      </c>
      <c r="F117" s="16">
        <f t="shared" si="9"/>
        <v>1.1000000000000001</v>
      </c>
      <c r="G117" s="16">
        <f t="shared" si="10"/>
        <v>1.1000000000000001</v>
      </c>
      <c r="H117" s="16">
        <f t="shared" si="11"/>
        <v>1</v>
      </c>
      <c r="I117" s="16">
        <v>1.3</v>
      </c>
      <c r="J117" s="16">
        <v>1.3</v>
      </c>
      <c r="K117" s="16">
        <v>1.2</v>
      </c>
      <c r="L117" s="16"/>
      <c r="M117" s="16">
        <v>1.89</v>
      </c>
      <c r="N117" s="16"/>
      <c r="O117" s="16"/>
      <c r="P117" s="16"/>
      <c r="Q117" s="16"/>
      <c r="R117" s="16"/>
      <c r="S117" s="16"/>
      <c r="T117" s="16"/>
      <c r="U117" s="16">
        <f>U116</f>
        <v>1.02</v>
      </c>
      <c r="V117" s="16"/>
      <c r="W117" s="16"/>
      <c r="X117" s="16"/>
      <c r="Y117" s="16"/>
      <c r="Z117" s="16"/>
      <c r="AA117" s="16">
        <f>AA113</f>
        <v>1.02</v>
      </c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  <c r="BL117" s="15"/>
      <c r="BM117" s="15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15"/>
      <c r="BY117" s="15"/>
      <c r="BZ117" s="15"/>
      <c r="CA117" s="15"/>
      <c r="CB117" s="15"/>
      <c r="CC117" s="15"/>
      <c r="CD117" s="15"/>
      <c r="CE117" s="15"/>
      <c r="CF117" s="15"/>
      <c r="CG117" s="15"/>
      <c r="CH117" s="15"/>
      <c r="CI117" s="15"/>
      <c r="CJ117" s="15"/>
      <c r="CK117" s="15"/>
      <c r="CL117" s="15"/>
      <c r="CM117" s="15"/>
      <c r="CN117" s="15"/>
      <c r="CO117" s="15"/>
      <c r="CP117" s="15"/>
      <c r="CQ117" s="15"/>
      <c r="CR117" s="15"/>
      <c r="CS117" s="15"/>
      <c r="CT117" s="15"/>
      <c r="CU117" s="15"/>
      <c r="CV117" s="15"/>
      <c r="CW117" s="15"/>
      <c r="CX117" s="15"/>
      <c r="CY117" s="15"/>
    </row>
    <row r="118" spans="1:103" s="11" customFormat="1" x14ac:dyDescent="0.25">
      <c r="A118" s="4" t="s">
        <v>147</v>
      </c>
      <c r="B118" s="9" t="str" cm="1">
        <f t="array" ref="B118">User3($C$11:$ZX$11,C118:ZX118)</f>
        <v>1.05D+1.2SDL+1.2BW+1.1COL+1.1SOIL+1WATER+1.3Lr+1.3LLB+1.2LLE+1.89Wx+2+1.02CR13+1.02CR21</v>
      </c>
      <c r="C118" s="13">
        <f t="shared" si="6"/>
        <v>1.05</v>
      </c>
      <c r="D118" s="13">
        <f t="shared" si="7"/>
        <v>1.2</v>
      </c>
      <c r="E118" s="13">
        <f t="shared" si="8"/>
        <v>1.2</v>
      </c>
      <c r="F118" s="13">
        <f t="shared" si="9"/>
        <v>1.1000000000000001</v>
      </c>
      <c r="G118" s="13">
        <f t="shared" si="10"/>
        <v>1.1000000000000001</v>
      </c>
      <c r="H118" s="13">
        <f t="shared" si="11"/>
        <v>1</v>
      </c>
      <c r="I118" s="10">
        <v>1.3</v>
      </c>
      <c r="J118" s="10">
        <v>1.3</v>
      </c>
      <c r="K118" s="10">
        <v>1.2</v>
      </c>
      <c r="L118" s="10"/>
      <c r="M118" s="10">
        <v>1.89</v>
      </c>
      <c r="N118" s="10"/>
      <c r="O118" s="10"/>
      <c r="P118" s="10"/>
      <c r="Q118" s="10"/>
      <c r="R118" s="10"/>
      <c r="S118" s="10"/>
      <c r="T118" s="10"/>
      <c r="U118" s="10"/>
      <c r="V118" s="10">
        <f>U117</f>
        <v>1.02</v>
      </c>
      <c r="W118" s="10"/>
      <c r="X118" s="10">
        <f>X114</f>
        <v>1.02</v>
      </c>
      <c r="Y118" s="10"/>
      <c r="Z118" s="10"/>
      <c r="AA118" s="10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  <c r="CE118" s="9"/>
      <c r="CF118" s="9"/>
      <c r="CG118" s="9"/>
      <c r="CH118" s="9"/>
      <c r="CI118" s="9"/>
      <c r="CJ118" s="9"/>
      <c r="CK118" s="9"/>
      <c r="CL118" s="9"/>
      <c r="CM118" s="9"/>
      <c r="CN118" s="9"/>
      <c r="CO118" s="9"/>
      <c r="CP118" s="9"/>
      <c r="CQ118" s="9"/>
      <c r="CR118" s="9"/>
      <c r="CS118" s="9"/>
      <c r="CT118" s="9"/>
      <c r="CU118" s="9"/>
      <c r="CV118" s="9"/>
      <c r="CW118" s="9"/>
      <c r="CX118" s="9"/>
      <c r="CY118" s="9"/>
    </row>
    <row r="119" spans="1:103" s="14" customFormat="1" x14ac:dyDescent="0.25">
      <c r="A119" s="4" t="s">
        <v>148</v>
      </c>
      <c r="B119" s="12" t="str" cm="1">
        <f t="array" ref="B119">User3($C$11:$ZX$11,C119:ZX119)</f>
        <v>1.05D+1.2SDL+1.2BW+1.1COL+1.1SOIL+1WATER+1.3Lr+1.3LLB+1.2LLE+1.89Wx+2+1.02CR13+1.02CR22</v>
      </c>
      <c r="C119" s="13">
        <f t="shared" si="6"/>
        <v>1.05</v>
      </c>
      <c r="D119" s="13">
        <f t="shared" si="7"/>
        <v>1.2</v>
      </c>
      <c r="E119" s="13">
        <f t="shared" si="8"/>
        <v>1.2</v>
      </c>
      <c r="F119" s="13">
        <f t="shared" si="9"/>
        <v>1.1000000000000001</v>
      </c>
      <c r="G119" s="13">
        <f t="shared" si="10"/>
        <v>1.1000000000000001</v>
      </c>
      <c r="H119" s="13">
        <f t="shared" si="11"/>
        <v>1</v>
      </c>
      <c r="I119" s="13">
        <v>1.3</v>
      </c>
      <c r="J119" s="13">
        <v>1.3</v>
      </c>
      <c r="K119" s="13">
        <v>1.2</v>
      </c>
      <c r="L119" s="13"/>
      <c r="M119" s="13">
        <v>1.89</v>
      </c>
      <c r="N119" s="13"/>
      <c r="O119" s="13"/>
      <c r="P119" s="13"/>
      <c r="Q119" s="13"/>
      <c r="R119" s="13"/>
      <c r="S119" s="13"/>
      <c r="T119" s="13"/>
      <c r="U119" s="13"/>
      <c r="V119" s="13">
        <f>V118</f>
        <v>1.02</v>
      </c>
      <c r="W119" s="13"/>
      <c r="X119" s="13"/>
      <c r="Y119" s="13">
        <f>X118</f>
        <v>1.02</v>
      </c>
      <c r="Z119" s="13"/>
      <c r="AA119" s="13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12"/>
      <c r="BO119" s="12"/>
      <c r="BP119" s="12"/>
      <c r="BQ119" s="12"/>
      <c r="BR119" s="12"/>
      <c r="BS119" s="12"/>
      <c r="BT119" s="12"/>
      <c r="BU119" s="12"/>
      <c r="BV119" s="12"/>
      <c r="BW119" s="12"/>
      <c r="BX119" s="12"/>
      <c r="BY119" s="12"/>
      <c r="BZ119" s="12"/>
      <c r="CA119" s="12"/>
      <c r="CB119" s="12"/>
      <c r="CC119" s="12"/>
      <c r="CD119" s="12"/>
      <c r="CE119" s="12"/>
      <c r="CF119" s="12"/>
      <c r="CG119" s="12"/>
      <c r="CH119" s="12"/>
      <c r="CI119" s="12"/>
      <c r="CJ119" s="12"/>
      <c r="CK119" s="12"/>
      <c r="CL119" s="12"/>
      <c r="CM119" s="12"/>
      <c r="CN119" s="12"/>
      <c r="CO119" s="12"/>
      <c r="CP119" s="12"/>
      <c r="CQ119" s="12"/>
      <c r="CR119" s="12"/>
      <c r="CS119" s="12"/>
      <c r="CT119" s="12"/>
      <c r="CU119" s="12"/>
      <c r="CV119" s="12"/>
      <c r="CW119" s="12"/>
      <c r="CX119" s="12"/>
      <c r="CY119" s="12"/>
    </row>
    <row r="120" spans="1:103" s="14" customFormat="1" x14ac:dyDescent="0.25">
      <c r="A120" s="4" t="s">
        <v>149</v>
      </c>
      <c r="B120" s="12" t="str" cm="1">
        <f t="array" ref="B120">User3($C$11:$ZX$11,C120:ZX120)</f>
        <v>1.05D+1.2SDL+1.2BW+1.1COL+1.1SOIL+1WATER+1.3Lr+1.3LLB+1.2LLE+1.89Wx+2+1.02CR13+1.02CR23</v>
      </c>
      <c r="C120" s="13">
        <f t="shared" si="6"/>
        <v>1.05</v>
      </c>
      <c r="D120" s="13">
        <f t="shared" si="7"/>
        <v>1.2</v>
      </c>
      <c r="E120" s="13">
        <f t="shared" si="8"/>
        <v>1.2</v>
      </c>
      <c r="F120" s="13">
        <f t="shared" si="9"/>
        <v>1.1000000000000001</v>
      </c>
      <c r="G120" s="13">
        <f t="shared" si="10"/>
        <v>1.1000000000000001</v>
      </c>
      <c r="H120" s="13">
        <f t="shared" si="11"/>
        <v>1</v>
      </c>
      <c r="I120" s="13">
        <v>1.3</v>
      </c>
      <c r="J120" s="13">
        <v>1.3</v>
      </c>
      <c r="K120" s="13">
        <v>1.2</v>
      </c>
      <c r="L120" s="13"/>
      <c r="M120" s="13">
        <v>1.89</v>
      </c>
      <c r="N120" s="13"/>
      <c r="O120" s="13"/>
      <c r="P120" s="13"/>
      <c r="Q120" s="13"/>
      <c r="R120" s="13"/>
      <c r="S120" s="13"/>
      <c r="T120" s="13"/>
      <c r="U120" s="13"/>
      <c r="V120" s="13">
        <f>V119</f>
        <v>1.02</v>
      </c>
      <c r="W120" s="13"/>
      <c r="X120" s="13"/>
      <c r="Y120" s="13"/>
      <c r="Z120" s="13">
        <f>Y119</f>
        <v>1.02</v>
      </c>
      <c r="AA120" s="13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2"/>
      <c r="BB120" s="12"/>
      <c r="BC120" s="12"/>
      <c r="BD120" s="12"/>
      <c r="BE120" s="12"/>
      <c r="BF120" s="12"/>
      <c r="BG120" s="12"/>
      <c r="BH120" s="12"/>
      <c r="BI120" s="12"/>
      <c r="BJ120" s="12"/>
      <c r="BK120" s="12"/>
      <c r="BL120" s="12"/>
      <c r="BM120" s="12"/>
      <c r="BN120" s="12"/>
      <c r="BO120" s="12"/>
      <c r="BP120" s="12"/>
      <c r="BQ120" s="12"/>
      <c r="BR120" s="12"/>
      <c r="BS120" s="12"/>
      <c r="BT120" s="12"/>
      <c r="BU120" s="12"/>
      <c r="BV120" s="12"/>
      <c r="BW120" s="12"/>
      <c r="BX120" s="12"/>
      <c r="BY120" s="12"/>
      <c r="BZ120" s="12"/>
      <c r="CA120" s="12"/>
      <c r="CB120" s="12"/>
      <c r="CC120" s="12"/>
      <c r="CD120" s="12"/>
      <c r="CE120" s="12"/>
      <c r="CF120" s="12"/>
      <c r="CG120" s="12"/>
      <c r="CH120" s="12"/>
      <c r="CI120" s="12"/>
      <c r="CJ120" s="12"/>
      <c r="CK120" s="12"/>
      <c r="CL120" s="12"/>
      <c r="CM120" s="12"/>
      <c r="CN120" s="12"/>
      <c r="CO120" s="12"/>
      <c r="CP120" s="12"/>
      <c r="CQ120" s="12"/>
      <c r="CR120" s="12"/>
      <c r="CS120" s="12"/>
      <c r="CT120" s="12"/>
      <c r="CU120" s="12"/>
      <c r="CV120" s="12"/>
      <c r="CW120" s="12"/>
      <c r="CX120" s="12"/>
      <c r="CY120" s="12"/>
    </row>
    <row r="121" spans="1:103" s="14" customFormat="1" x14ac:dyDescent="0.25">
      <c r="A121" s="4" t="s">
        <v>150</v>
      </c>
      <c r="B121" s="12" t="str" cm="1">
        <f t="array" ref="B121">User3($C$11:$ZX$11,C121:ZX121)</f>
        <v>1.05D+1.2SDL+1.2BW+1.1COL+1.1SOIL+1WATER+1.3Lr+1.3LLB+1.2LLE+1.89Wx+2+1.02CR13+1.02CR24</v>
      </c>
      <c r="C121" s="13">
        <f t="shared" si="6"/>
        <v>1.05</v>
      </c>
      <c r="D121" s="13">
        <f t="shared" si="7"/>
        <v>1.2</v>
      </c>
      <c r="E121" s="13">
        <f t="shared" si="8"/>
        <v>1.2</v>
      </c>
      <c r="F121" s="13">
        <f t="shared" si="9"/>
        <v>1.1000000000000001</v>
      </c>
      <c r="G121" s="13">
        <f t="shared" si="10"/>
        <v>1.1000000000000001</v>
      </c>
      <c r="H121" s="13">
        <f t="shared" si="11"/>
        <v>1</v>
      </c>
      <c r="I121" s="13">
        <v>1.3</v>
      </c>
      <c r="J121" s="13">
        <v>1.3</v>
      </c>
      <c r="K121" s="13">
        <v>1.2</v>
      </c>
      <c r="L121" s="13"/>
      <c r="M121" s="13">
        <v>1.89</v>
      </c>
      <c r="N121" s="13"/>
      <c r="O121" s="13"/>
      <c r="P121" s="13"/>
      <c r="Q121" s="13"/>
      <c r="R121" s="13"/>
      <c r="S121" s="13"/>
      <c r="T121" s="13"/>
      <c r="U121" s="13"/>
      <c r="V121" s="13">
        <f>V120</f>
        <v>1.02</v>
      </c>
      <c r="W121" s="13"/>
      <c r="X121" s="13"/>
      <c r="Y121" s="13"/>
      <c r="Z121" s="13"/>
      <c r="AA121" s="13">
        <f>Z120</f>
        <v>1.02</v>
      </c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/>
      <c r="BC121" s="12"/>
      <c r="BD121" s="12"/>
      <c r="BE121" s="12"/>
      <c r="BF121" s="12"/>
      <c r="BG121" s="12"/>
      <c r="BH121" s="12"/>
      <c r="BI121" s="12"/>
      <c r="BJ121" s="12"/>
      <c r="BK121" s="12"/>
      <c r="BL121" s="12"/>
      <c r="BM121" s="12"/>
      <c r="BN121" s="12"/>
      <c r="BO121" s="12"/>
      <c r="BP121" s="12"/>
      <c r="BQ121" s="12"/>
      <c r="BR121" s="12"/>
      <c r="BS121" s="12"/>
      <c r="BT121" s="12"/>
      <c r="BU121" s="12"/>
      <c r="BV121" s="12"/>
      <c r="BW121" s="12"/>
      <c r="BX121" s="12"/>
      <c r="BY121" s="12"/>
      <c r="BZ121" s="12"/>
      <c r="CA121" s="12"/>
      <c r="CB121" s="12"/>
      <c r="CC121" s="12"/>
      <c r="CD121" s="12"/>
      <c r="CE121" s="12"/>
      <c r="CF121" s="12"/>
      <c r="CG121" s="12"/>
      <c r="CH121" s="12"/>
      <c r="CI121" s="12"/>
      <c r="CJ121" s="12"/>
      <c r="CK121" s="12"/>
      <c r="CL121" s="12"/>
      <c r="CM121" s="12"/>
      <c r="CN121" s="12"/>
      <c r="CO121" s="12"/>
      <c r="CP121" s="12"/>
      <c r="CQ121" s="12"/>
      <c r="CR121" s="12"/>
      <c r="CS121" s="12"/>
      <c r="CT121" s="12"/>
      <c r="CU121" s="12"/>
      <c r="CV121" s="12"/>
      <c r="CW121" s="12"/>
      <c r="CX121" s="12"/>
      <c r="CY121" s="12"/>
    </row>
    <row r="122" spans="1:103" s="14" customFormat="1" x14ac:dyDescent="0.25">
      <c r="A122" s="4" t="s">
        <v>151</v>
      </c>
      <c r="B122" s="12" t="str" cm="1">
        <f t="array" ref="B122">User3($C$11:$ZX$11,C122:ZX122)</f>
        <v>1.05D+1.2SDL+1.2BW+1.1COL+1.1SOIL+1WATER+1.3Lr+1.3LLB+1.2LLE+1.89Wx+2+1.02CR14+1.02CR21</v>
      </c>
      <c r="C122" s="13">
        <f t="shared" si="6"/>
        <v>1.05</v>
      </c>
      <c r="D122" s="13">
        <f t="shared" si="7"/>
        <v>1.2</v>
      </c>
      <c r="E122" s="13">
        <f t="shared" si="8"/>
        <v>1.2</v>
      </c>
      <c r="F122" s="13">
        <f t="shared" si="9"/>
        <v>1.1000000000000001</v>
      </c>
      <c r="G122" s="13">
        <f t="shared" si="10"/>
        <v>1.1000000000000001</v>
      </c>
      <c r="H122" s="13">
        <f t="shared" si="11"/>
        <v>1</v>
      </c>
      <c r="I122" s="13">
        <v>1.3</v>
      </c>
      <c r="J122" s="13">
        <v>1.3</v>
      </c>
      <c r="K122" s="13">
        <v>1.2</v>
      </c>
      <c r="L122" s="13"/>
      <c r="M122" s="13">
        <v>1.89</v>
      </c>
      <c r="N122" s="13"/>
      <c r="O122" s="13"/>
      <c r="P122" s="13"/>
      <c r="Q122" s="13"/>
      <c r="R122" s="13"/>
      <c r="S122" s="13"/>
      <c r="T122" s="13"/>
      <c r="U122" s="13"/>
      <c r="V122" s="13"/>
      <c r="W122" s="13">
        <f>V121</f>
        <v>1.02</v>
      </c>
      <c r="X122" s="13">
        <f>X118</f>
        <v>1.02</v>
      </c>
      <c r="Y122" s="13"/>
      <c r="Z122" s="13"/>
      <c r="AA122" s="13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  <c r="BF122" s="12"/>
      <c r="BG122" s="12"/>
      <c r="BH122" s="12"/>
      <c r="BI122" s="12"/>
      <c r="BJ122" s="12"/>
      <c r="BK122" s="12"/>
      <c r="BL122" s="12"/>
      <c r="BM122" s="12"/>
      <c r="BN122" s="12"/>
      <c r="BO122" s="12"/>
      <c r="BP122" s="12"/>
      <c r="BQ122" s="12"/>
      <c r="BR122" s="12"/>
      <c r="BS122" s="12"/>
      <c r="BT122" s="12"/>
      <c r="BU122" s="12"/>
      <c r="BV122" s="12"/>
      <c r="BW122" s="12"/>
      <c r="BX122" s="12"/>
      <c r="BY122" s="12"/>
      <c r="BZ122" s="12"/>
      <c r="CA122" s="12"/>
      <c r="CB122" s="12"/>
      <c r="CC122" s="12"/>
      <c r="CD122" s="12"/>
      <c r="CE122" s="12"/>
      <c r="CF122" s="12"/>
      <c r="CG122" s="12"/>
      <c r="CH122" s="12"/>
      <c r="CI122" s="12"/>
      <c r="CJ122" s="12"/>
      <c r="CK122" s="12"/>
      <c r="CL122" s="12"/>
      <c r="CM122" s="12"/>
      <c r="CN122" s="12"/>
      <c r="CO122" s="12"/>
      <c r="CP122" s="12"/>
      <c r="CQ122" s="12"/>
      <c r="CR122" s="12"/>
      <c r="CS122" s="12"/>
      <c r="CT122" s="12"/>
      <c r="CU122" s="12"/>
      <c r="CV122" s="12"/>
      <c r="CW122" s="12"/>
      <c r="CX122" s="12"/>
      <c r="CY122" s="12"/>
    </row>
    <row r="123" spans="1:103" s="14" customFormat="1" x14ac:dyDescent="0.25">
      <c r="A123" s="4" t="s">
        <v>152</v>
      </c>
      <c r="B123" s="12" t="str" cm="1">
        <f t="array" ref="B123">User3($C$11:$ZX$11,C123:ZX123)</f>
        <v>1.05D+1.2SDL+1.2BW+1.1COL+1.1SOIL+1WATER+1.3Lr+1.3LLB+1.2LLE+1.89Wx+2+1.02CR14+1.02CR22</v>
      </c>
      <c r="C123" s="13">
        <f t="shared" si="6"/>
        <v>1.05</v>
      </c>
      <c r="D123" s="13">
        <f t="shared" si="7"/>
        <v>1.2</v>
      </c>
      <c r="E123" s="13">
        <f t="shared" si="8"/>
        <v>1.2</v>
      </c>
      <c r="F123" s="13">
        <f t="shared" si="9"/>
        <v>1.1000000000000001</v>
      </c>
      <c r="G123" s="13">
        <f t="shared" si="10"/>
        <v>1.1000000000000001</v>
      </c>
      <c r="H123" s="13">
        <f t="shared" si="11"/>
        <v>1</v>
      </c>
      <c r="I123" s="13">
        <v>1.3</v>
      </c>
      <c r="J123" s="13">
        <v>1.3</v>
      </c>
      <c r="K123" s="13">
        <v>1.2</v>
      </c>
      <c r="L123" s="13"/>
      <c r="M123" s="13">
        <v>1.89</v>
      </c>
      <c r="N123" s="13"/>
      <c r="O123" s="13"/>
      <c r="P123" s="13"/>
      <c r="Q123" s="13"/>
      <c r="R123" s="13"/>
      <c r="S123" s="13"/>
      <c r="T123" s="13"/>
      <c r="U123" s="13"/>
      <c r="V123" s="13"/>
      <c r="W123" s="13">
        <f>W122</f>
        <v>1.02</v>
      </c>
      <c r="X123" s="13"/>
      <c r="Y123" s="13">
        <f>X122</f>
        <v>1.02</v>
      </c>
      <c r="Z123" s="13"/>
      <c r="AA123" s="13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  <c r="BI123" s="12"/>
      <c r="BJ123" s="12"/>
      <c r="BK123" s="12"/>
      <c r="BL123" s="12"/>
      <c r="BM123" s="12"/>
      <c r="BN123" s="12"/>
      <c r="BO123" s="12"/>
      <c r="BP123" s="12"/>
      <c r="BQ123" s="12"/>
      <c r="BR123" s="12"/>
      <c r="BS123" s="12"/>
      <c r="BT123" s="12"/>
      <c r="BU123" s="12"/>
      <c r="BV123" s="12"/>
      <c r="BW123" s="12"/>
      <c r="BX123" s="12"/>
      <c r="BY123" s="12"/>
      <c r="BZ123" s="12"/>
      <c r="CA123" s="12"/>
      <c r="CB123" s="12"/>
      <c r="CC123" s="12"/>
      <c r="CD123" s="12"/>
      <c r="CE123" s="12"/>
      <c r="CF123" s="12"/>
      <c r="CG123" s="12"/>
      <c r="CH123" s="12"/>
      <c r="CI123" s="12"/>
      <c r="CJ123" s="12"/>
      <c r="CK123" s="12"/>
      <c r="CL123" s="12"/>
      <c r="CM123" s="12"/>
      <c r="CN123" s="12"/>
      <c r="CO123" s="12"/>
      <c r="CP123" s="12"/>
      <c r="CQ123" s="12"/>
      <c r="CR123" s="12"/>
      <c r="CS123" s="12"/>
      <c r="CT123" s="12"/>
      <c r="CU123" s="12"/>
      <c r="CV123" s="12"/>
      <c r="CW123" s="12"/>
      <c r="CX123" s="12"/>
      <c r="CY123" s="12"/>
    </row>
    <row r="124" spans="1:103" s="14" customFormat="1" x14ac:dyDescent="0.25">
      <c r="A124" s="4" t="s">
        <v>153</v>
      </c>
      <c r="B124" s="12" t="str" cm="1">
        <f t="array" ref="B124">User3($C$11:$ZX$11,C124:ZX124)</f>
        <v>1.05D+1.2SDL+1.2BW+1.1COL+1.1SOIL+1WATER+1.3Lr+1.3LLB+1.2LLE+1.89Wx+2+1.02CR14+1.02CR23</v>
      </c>
      <c r="C124" s="13">
        <f t="shared" si="6"/>
        <v>1.05</v>
      </c>
      <c r="D124" s="13">
        <f t="shared" si="7"/>
        <v>1.2</v>
      </c>
      <c r="E124" s="13">
        <f t="shared" si="8"/>
        <v>1.2</v>
      </c>
      <c r="F124" s="13">
        <f t="shared" si="9"/>
        <v>1.1000000000000001</v>
      </c>
      <c r="G124" s="13">
        <f t="shared" si="10"/>
        <v>1.1000000000000001</v>
      </c>
      <c r="H124" s="13">
        <f t="shared" si="11"/>
        <v>1</v>
      </c>
      <c r="I124" s="13">
        <v>1.3</v>
      </c>
      <c r="J124" s="13">
        <v>1.3</v>
      </c>
      <c r="K124" s="13">
        <v>1.2</v>
      </c>
      <c r="L124" s="13"/>
      <c r="M124" s="13">
        <v>1.89</v>
      </c>
      <c r="N124" s="13"/>
      <c r="O124" s="13"/>
      <c r="P124" s="13"/>
      <c r="Q124" s="13"/>
      <c r="R124" s="13"/>
      <c r="S124" s="13"/>
      <c r="T124" s="13"/>
      <c r="U124" s="13"/>
      <c r="V124" s="13"/>
      <c r="W124" s="13">
        <f>W123</f>
        <v>1.02</v>
      </c>
      <c r="X124" s="13"/>
      <c r="Y124" s="13"/>
      <c r="Z124" s="13">
        <f>Y123</f>
        <v>1.02</v>
      </c>
      <c r="AA124" s="13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/>
      <c r="BC124" s="12"/>
      <c r="BD124" s="12"/>
      <c r="BE124" s="12"/>
      <c r="BF124" s="12"/>
      <c r="BG124" s="12"/>
      <c r="BH124" s="12"/>
      <c r="BI124" s="12"/>
      <c r="BJ124" s="12"/>
      <c r="BK124" s="12"/>
      <c r="BL124" s="12"/>
      <c r="BM124" s="12"/>
      <c r="BN124" s="12"/>
      <c r="BO124" s="12"/>
      <c r="BP124" s="12"/>
      <c r="BQ124" s="12"/>
      <c r="BR124" s="12"/>
      <c r="BS124" s="12"/>
      <c r="BT124" s="12"/>
      <c r="BU124" s="12"/>
      <c r="BV124" s="12"/>
      <c r="BW124" s="12"/>
      <c r="BX124" s="12"/>
      <c r="BY124" s="12"/>
      <c r="BZ124" s="12"/>
      <c r="CA124" s="12"/>
      <c r="CB124" s="12"/>
      <c r="CC124" s="12"/>
      <c r="CD124" s="12"/>
      <c r="CE124" s="12"/>
      <c r="CF124" s="12"/>
      <c r="CG124" s="12"/>
      <c r="CH124" s="12"/>
      <c r="CI124" s="12"/>
      <c r="CJ124" s="12"/>
      <c r="CK124" s="12"/>
      <c r="CL124" s="12"/>
      <c r="CM124" s="12"/>
      <c r="CN124" s="12"/>
      <c r="CO124" s="12"/>
      <c r="CP124" s="12"/>
      <c r="CQ124" s="12"/>
      <c r="CR124" s="12"/>
      <c r="CS124" s="12"/>
      <c r="CT124" s="12"/>
      <c r="CU124" s="12"/>
      <c r="CV124" s="12"/>
      <c r="CW124" s="12"/>
      <c r="CX124" s="12"/>
      <c r="CY124" s="12"/>
    </row>
    <row r="125" spans="1:103" s="17" customFormat="1" x14ac:dyDescent="0.25">
      <c r="A125" s="4" t="s">
        <v>154</v>
      </c>
      <c r="B125" s="15" t="str" cm="1">
        <f t="array" ref="B125">User3($C$11:$ZX$11,C125:ZX125)</f>
        <v>1.05D+1.2SDL+1.2BW+1.1COL+1.1SOIL+1WATER+1.3Lr+1.3LLB+1.2LLE+1.89Wx+2+1.02CR14+1.02CR24</v>
      </c>
      <c r="C125" s="16">
        <f t="shared" si="6"/>
        <v>1.05</v>
      </c>
      <c r="D125" s="16">
        <f t="shared" si="7"/>
        <v>1.2</v>
      </c>
      <c r="E125" s="16">
        <f t="shared" si="8"/>
        <v>1.2</v>
      </c>
      <c r="F125" s="16">
        <f t="shared" si="9"/>
        <v>1.1000000000000001</v>
      </c>
      <c r="G125" s="16">
        <f t="shared" si="10"/>
        <v>1.1000000000000001</v>
      </c>
      <c r="H125" s="16">
        <f t="shared" si="11"/>
        <v>1</v>
      </c>
      <c r="I125" s="16">
        <v>1.3</v>
      </c>
      <c r="J125" s="16">
        <v>1.3</v>
      </c>
      <c r="K125" s="16">
        <v>1.2</v>
      </c>
      <c r="L125" s="16"/>
      <c r="M125" s="16">
        <v>1.89</v>
      </c>
      <c r="N125" s="16"/>
      <c r="O125" s="16"/>
      <c r="P125" s="16"/>
      <c r="Q125" s="16"/>
      <c r="R125" s="16"/>
      <c r="S125" s="16"/>
      <c r="T125" s="16"/>
      <c r="U125" s="16"/>
      <c r="V125" s="16"/>
      <c r="W125" s="16">
        <f>W124</f>
        <v>1.02</v>
      </c>
      <c r="X125" s="16"/>
      <c r="Y125" s="16"/>
      <c r="Z125" s="16"/>
      <c r="AA125" s="16">
        <f>Z124</f>
        <v>1.02</v>
      </c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  <c r="BL125" s="15"/>
      <c r="BM125" s="15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15"/>
      <c r="BY125" s="15"/>
      <c r="BZ125" s="15"/>
      <c r="CA125" s="15"/>
      <c r="CB125" s="15"/>
      <c r="CC125" s="15"/>
      <c r="CD125" s="15"/>
      <c r="CE125" s="15"/>
      <c r="CF125" s="15"/>
      <c r="CG125" s="15"/>
      <c r="CH125" s="15"/>
      <c r="CI125" s="15"/>
      <c r="CJ125" s="15"/>
      <c r="CK125" s="15"/>
      <c r="CL125" s="15"/>
      <c r="CM125" s="15"/>
      <c r="CN125" s="15"/>
      <c r="CO125" s="15"/>
      <c r="CP125" s="15"/>
      <c r="CQ125" s="15"/>
      <c r="CR125" s="15"/>
      <c r="CS125" s="15"/>
      <c r="CT125" s="15"/>
      <c r="CU125" s="15"/>
      <c r="CV125" s="15"/>
      <c r="CW125" s="15"/>
      <c r="CX125" s="15"/>
      <c r="CY125" s="15"/>
    </row>
    <row r="126" spans="1:103" s="11" customFormat="1" x14ac:dyDescent="0.25">
      <c r="A126" s="4" t="s">
        <v>155</v>
      </c>
      <c r="B126" s="9" t="str" cm="1">
        <f t="array" ref="B126">User3($C$11:$ZX$11,C126:ZX126)</f>
        <v>1.05D+1.2SDL+1.2BW+1.1COL+1.1SOIL+1WATER+1.3Lr+1.3LLB+1.2LLE+1.89Wx-1+1.02CR11+1.02CR21</v>
      </c>
      <c r="C126" s="13">
        <f t="shared" si="6"/>
        <v>1.05</v>
      </c>
      <c r="D126" s="13">
        <f t="shared" si="7"/>
        <v>1.2</v>
      </c>
      <c r="E126" s="13">
        <f t="shared" si="8"/>
        <v>1.2</v>
      </c>
      <c r="F126" s="13">
        <f t="shared" si="9"/>
        <v>1.1000000000000001</v>
      </c>
      <c r="G126" s="13">
        <f t="shared" si="10"/>
        <v>1.1000000000000001</v>
      </c>
      <c r="H126" s="13">
        <f t="shared" si="11"/>
        <v>1</v>
      </c>
      <c r="I126" s="10">
        <v>1.3</v>
      </c>
      <c r="J126" s="10">
        <v>1.3</v>
      </c>
      <c r="K126" s="10">
        <v>1.2</v>
      </c>
      <c r="L126" s="10"/>
      <c r="M126" s="10"/>
      <c r="N126" s="10">
        <v>1.89</v>
      </c>
      <c r="O126" s="10"/>
      <c r="P126" s="10"/>
      <c r="Q126" s="10"/>
      <c r="R126" s="10"/>
      <c r="S126" s="10"/>
      <c r="T126" s="10">
        <f>T110</f>
        <v>1.02</v>
      </c>
      <c r="U126" s="10"/>
      <c r="V126" s="10"/>
      <c r="W126" s="10"/>
      <c r="X126" s="10">
        <f>T126</f>
        <v>1.02</v>
      </c>
      <c r="Y126" s="10"/>
      <c r="Z126" s="10"/>
      <c r="AA126" s="10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</row>
    <row r="127" spans="1:103" s="14" customFormat="1" x14ac:dyDescent="0.25">
      <c r="A127" s="4" t="s">
        <v>156</v>
      </c>
      <c r="B127" s="12" t="str" cm="1">
        <f t="array" ref="B127">User3($C$11:$ZX$11,C127:ZX127)</f>
        <v>1.05D+1.2SDL+1.2BW+1.1COL+1.1SOIL+1WATER+1.3Lr+1.3LLB+1.2LLE+1.89Wx-1+1.02CR11+1.02CR22</v>
      </c>
      <c r="C127" s="13">
        <f t="shared" si="6"/>
        <v>1.05</v>
      </c>
      <c r="D127" s="13">
        <f t="shared" si="7"/>
        <v>1.2</v>
      </c>
      <c r="E127" s="13">
        <f t="shared" si="8"/>
        <v>1.2</v>
      </c>
      <c r="F127" s="13">
        <f t="shared" si="9"/>
        <v>1.1000000000000001</v>
      </c>
      <c r="G127" s="13">
        <f t="shared" si="10"/>
        <v>1.1000000000000001</v>
      </c>
      <c r="H127" s="13">
        <f t="shared" si="11"/>
        <v>1</v>
      </c>
      <c r="I127" s="13">
        <v>1.3</v>
      </c>
      <c r="J127" s="13">
        <v>1.3</v>
      </c>
      <c r="K127" s="13">
        <v>1.2</v>
      </c>
      <c r="L127" s="13"/>
      <c r="M127" s="13"/>
      <c r="N127" s="13">
        <v>1.89</v>
      </c>
      <c r="O127" s="13"/>
      <c r="P127" s="13"/>
      <c r="Q127" s="13"/>
      <c r="R127" s="13"/>
      <c r="S127" s="13"/>
      <c r="T127" s="13">
        <f>T126</f>
        <v>1.02</v>
      </c>
      <c r="U127" s="13"/>
      <c r="V127" s="13"/>
      <c r="W127" s="13"/>
      <c r="X127" s="13"/>
      <c r="Y127" s="13">
        <f>X126</f>
        <v>1.02</v>
      </c>
      <c r="Z127" s="13"/>
      <c r="AA127" s="13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12"/>
      <c r="BE127" s="12"/>
      <c r="BF127" s="12"/>
      <c r="BG127" s="12"/>
      <c r="BH127" s="12"/>
      <c r="BI127" s="12"/>
      <c r="BJ127" s="12"/>
      <c r="BK127" s="12"/>
      <c r="BL127" s="12"/>
      <c r="BM127" s="12"/>
      <c r="BN127" s="12"/>
      <c r="BO127" s="12"/>
      <c r="BP127" s="12"/>
      <c r="BQ127" s="12"/>
      <c r="BR127" s="12"/>
      <c r="BS127" s="12"/>
      <c r="BT127" s="12"/>
      <c r="BU127" s="12"/>
      <c r="BV127" s="12"/>
      <c r="BW127" s="12"/>
      <c r="BX127" s="12"/>
      <c r="BY127" s="12"/>
      <c r="BZ127" s="12"/>
      <c r="CA127" s="12"/>
      <c r="CB127" s="12"/>
      <c r="CC127" s="12"/>
      <c r="CD127" s="12"/>
      <c r="CE127" s="12"/>
      <c r="CF127" s="12"/>
      <c r="CG127" s="12"/>
      <c r="CH127" s="12"/>
      <c r="CI127" s="12"/>
      <c r="CJ127" s="12"/>
      <c r="CK127" s="12"/>
      <c r="CL127" s="12"/>
      <c r="CM127" s="12"/>
      <c r="CN127" s="12"/>
      <c r="CO127" s="12"/>
      <c r="CP127" s="12"/>
      <c r="CQ127" s="12"/>
      <c r="CR127" s="12"/>
      <c r="CS127" s="12"/>
      <c r="CT127" s="12"/>
      <c r="CU127" s="12"/>
      <c r="CV127" s="12"/>
      <c r="CW127" s="12"/>
      <c r="CX127" s="12"/>
      <c r="CY127" s="12"/>
    </row>
    <row r="128" spans="1:103" s="14" customFormat="1" x14ac:dyDescent="0.25">
      <c r="A128" s="4" t="s">
        <v>157</v>
      </c>
      <c r="B128" s="12" t="str" cm="1">
        <f t="array" ref="B128">User3($C$11:$ZX$11,C128:ZX128)</f>
        <v>1.05D+1.2SDL+1.2BW+1.1COL+1.1SOIL+1WATER+1.3Lr+1.3LLB+1.2LLE+1.89Wx-1+1.02CR11+1.02CR23</v>
      </c>
      <c r="C128" s="13">
        <f t="shared" si="6"/>
        <v>1.05</v>
      </c>
      <c r="D128" s="13">
        <f t="shared" si="7"/>
        <v>1.2</v>
      </c>
      <c r="E128" s="13">
        <f t="shared" si="8"/>
        <v>1.2</v>
      </c>
      <c r="F128" s="13">
        <f t="shared" si="9"/>
        <v>1.1000000000000001</v>
      </c>
      <c r="G128" s="13">
        <f t="shared" si="10"/>
        <v>1.1000000000000001</v>
      </c>
      <c r="H128" s="13">
        <f t="shared" si="11"/>
        <v>1</v>
      </c>
      <c r="I128" s="13">
        <v>1.3</v>
      </c>
      <c r="J128" s="13">
        <v>1.3</v>
      </c>
      <c r="K128" s="13">
        <v>1.2</v>
      </c>
      <c r="L128" s="13"/>
      <c r="M128" s="13"/>
      <c r="N128" s="13">
        <v>1.89</v>
      </c>
      <c r="O128" s="13"/>
      <c r="P128" s="13"/>
      <c r="Q128" s="13"/>
      <c r="R128" s="13"/>
      <c r="S128" s="13"/>
      <c r="T128" s="13">
        <f>T127</f>
        <v>1.02</v>
      </c>
      <c r="U128" s="13"/>
      <c r="V128" s="13"/>
      <c r="W128" s="13"/>
      <c r="X128" s="13"/>
      <c r="Y128" s="13"/>
      <c r="Z128" s="13">
        <f>Y127</f>
        <v>1.02</v>
      </c>
      <c r="AA128" s="13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2"/>
      <c r="BB128" s="12"/>
      <c r="BC128" s="12"/>
      <c r="BD128" s="12"/>
      <c r="BE128" s="12"/>
      <c r="BF128" s="12"/>
      <c r="BG128" s="12"/>
      <c r="BH128" s="12"/>
      <c r="BI128" s="12"/>
      <c r="BJ128" s="12"/>
      <c r="BK128" s="12"/>
      <c r="BL128" s="12"/>
      <c r="BM128" s="12"/>
      <c r="BN128" s="12"/>
      <c r="BO128" s="12"/>
      <c r="BP128" s="12"/>
      <c r="BQ128" s="12"/>
      <c r="BR128" s="12"/>
      <c r="BS128" s="12"/>
      <c r="BT128" s="12"/>
      <c r="BU128" s="12"/>
      <c r="BV128" s="12"/>
      <c r="BW128" s="12"/>
      <c r="BX128" s="12"/>
      <c r="BY128" s="12"/>
      <c r="BZ128" s="12"/>
      <c r="CA128" s="12"/>
      <c r="CB128" s="12"/>
      <c r="CC128" s="12"/>
      <c r="CD128" s="12"/>
      <c r="CE128" s="12"/>
      <c r="CF128" s="12"/>
      <c r="CG128" s="12"/>
      <c r="CH128" s="12"/>
      <c r="CI128" s="12"/>
      <c r="CJ128" s="12"/>
      <c r="CK128" s="12"/>
      <c r="CL128" s="12"/>
      <c r="CM128" s="12"/>
      <c r="CN128" s="12"/>
      <c r="CO128" s="12"/>
      <c r="CP128" s="12"/>
      <c r="CQ128" s="12"/>
      <c r="CR128" s="12"/>
      <c r="CS128" s="12"/>
      <c r="CT128" s="12"/>
      <c r="CU128" s="12"/>
      <c r="CV128" s="12"/>
      <c r="CW128" s="12"/>
      <c r="CX128" s="12"/>
      <c r="CY128" s="12"/>
    </row>
    <row r="129" spans="1:103" s="14" customFormat="1" x14ac:dyDescent="0.25">
      <c r="A129" s="4" t="s">
        <v>158</v>
      </c>
      <c r="B129" s="12" t="str" cm="1">
        <f t="array" ref="B129">User3($C$11:$ZX$11,C129:ZX129)</f>
        <v>1.05D+1.2SDL+1.2BW+1.1COL+1.1SOIL+1WATER+1.3Lr+1.3LLB+1.2LLE+1.89Wx-1+1.02CR11+1.02CR24</v>
      </c>
      <c r="C129" s="13">
        <f t="shared" si="6"/>
        <v>1.05</v>
      </c>
      <c r="D129" s="13">
        <f t="shared" si="7"/>
        <v>1.2</v>
      </c>
      <c r="E129" s="13">
        <f t="shared" si="8"/>
        <v>1.2</v>
      </c>
      <c r="F129" s="13">
        <f t="shared" si="9"/>
        <v>1.1000000000000001</v>
      </c>
      <c r="G129" s="13">
        <f t="shared" si="10"/>
        <v>1.1000000000000001</v>
      </c>
      <c r="H129" s="13">
        <f t="shared" si="11"/>
        <v>1</v>
      </c>
      <c r="I129" s="13">
        <v>1.3</v>
      </c>
      <c r="J129" s="13">
        <v>1.3</v>
      </c>
      <c r="K129" s="13">
        <v>1.2</v>
      </c>
      <c r="L129" s="13"/>
      <c r="M129" s="13"/>
      <c r="N129" s="13">
        <v>1.89</v>
      </c>
      <c r="O129" s="13"/>
      <c r="P129" s="13"/>
      <c r="Q129" s="13"/>
      <c r="R129" s="13"/>
      <c r="S129" s="13"/>
      <c r="T129" s="13">
        <f>T128</f>
        <v>1.02</v>
      </c>
      <c r="U129" s="13"/>
      <c r="V129" s="13"/>
      <c r="W129" s="13"/>
      <c r="X129" s="13"/>
      <c r="Y129" s="13"/>
      <c r="Z129" s="13"/>
      <c r="AA129" s="13">
        <f>Z128</f>
        <v>1.02</v>
      </c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E129" s="12"/>
      <c r="BF129" s="12"/>
      <c r="BG129" s="12"/>
      <c r="BH129" s="12"/>
      <c r="BI129" s="12"/>
      <c r="BJ129" s="12"/>
      <c r="BK129" s="12"/>
      <c r="BL129" s="12"/>
      <c r="BM129" s="12"/>
      <c r="BN129" s="12"/>
      <c r="BO129" s="12"/>
      <c r="BP129" s="12"/>
      <c r="BQ129" s="12"/>
      <c r="BR129" s="12"/>
      <c r="BS129" s="12"/>
      <c r="BT129" s="12"/>
      <c r="BU129" s="12"/>
      <c r="BV129" s="12"/>
      <c r="BW129" s="12"/>
      <c r="BX129" s="12"/>
      <c r="BY129" s="12"/>
      <c r="BZ129" s="12"/>
      <c r="CA129" s="12"/>
      <c r="CB129" s="12"/>
      <c r="CC129" s="12"/>
      <c r="CD129" s="12"/>
      <c r="CE129" s="12"/>
      <c r="CF129" s="12"/>
      <c r="CG129" s="12"/>
      <c r="CH129" s="12"/>
      <c r="CI129" s="12"/>
      <c r="CJ129" s="12"/>
      <c r="CK129" s="12"/>
      <c r="CL129" s="12"/>
      <c r="CM129" s="12"/>
      <c r="CN129" s="12"/>
      <c r="CO129" s="12"/>
      <c r="CP129" s="12"/>
      <c r="CQ129" s="12"/>
      <c r="CR129" s="12"/>
      <c r="CS129" s="12"/>
      <c r="CT129" s="12"/>
      <c r="CU129" s="12"/>
      <c r="CV129" s="12"/>
      <c r="CW129" s="12"/>
      <c r="CX129" s="12"/>
      <c r="CY129" s="12"/>
    </row>
    <row r="130" spans="1:103" s="14" customFormat="1" x14ac:dyDescent="0.25">
      <c r="A130" s="4" t="s">
        <v>159</v>
      </c>
      <c r="B130" s="12" t="str" cm="1">
        <f t="array" ref="B130">User3($C$11:$ZX$11,C130:ZX130)</f>
        <v>1.05D+1.2SDL+1.2BW+1.1COL+1.1SOIL+1WATER+1.3Lr+1.3LLB+1.2LLE+1.89Wx-1+1.02CR12+1.02CR21</v>
      </c>
      <c r="C130" s="13">
        <f t="shared" si="6"/>
        <v>1.05</v>
      </c>
      <c r="D130" s="13">
        <f t="shared" si="7"/>
        <v>1.2</v>
      </c>
      <c r="E130" s="13">
        <f t="shared" si="8"/>
        <v>1.2</v>
      </c>
      <c r="F130" s="13">
        <f t="shared" si="9"/>
        <v>1.1000000000000001</v>
      </c>
      <c r="G130" s="13">
        <f t="shared" si="10"/>
        <v>1.1000000000000001</v>
      </c>
      <c r="H130" s="13">
        <f t="shared" si="11"/>
        <v>1</v>
      </c>
      <c r="I130" s="13">
        <v>1.3</v>
      </c>
      <c r="J130" s="13">
        <v>1.3</v>
      </c>
      <c r="K130" s="13">
        <v>1.2</v>
      </c>
      <c r="L130" s="13"/>
      <c r="M130" s="13"/>
      <c r="N130" s="13">
        <v>1.89</v>
      </c>
      <c r="O130" s="13"/>
      <c r="P130" s="13"/>
      <c r="Q130" s="13"/>
      <c r="R130" s="13"/>
      <c r="S130" s="13"/>
      <c r="T130" s="13"/>
      <c r="U130" s="13">
        <f>T126</f>
        <v>1.02</v>
      </c>
      <c r="V130" s="13"/>
      <c r="W130" s="13"/>
      <c r="X130" s="13">
        <f>X126</f>
        <v>1.02</v>
      </c>
      <c r="Y130" s="13"/>
      <c r="Z130" s="13"/>
      <c r="AA130" s="13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12"/>
      <c r="BE130" s="12"/>
      <c r="BF130" s="12"/>
      <c r="BG130" s="12"/>
      <c r="BH130" s="12"/>
      <c r="BI130" s="12"/>
      <c r="BJ130" s="12"/>
      <c r="BK130" s="12"/>
      <c r="BL130" s="12"/>
      <c r="BM130" s="12"/>
      <c r="BN130" s="12"/>
      <c r="BO130" s="12"/>
      <c r="BP130" s="12"/>
      <c r="BQ130" s="12"/>
      <c r="BR130" s="12"/>
      <c r="BS130" s="12"/>
      <c r="BT130" s="12"/>
      <c r="BU130" s="12"/>
      <c r="BV130" s="12"/>
      <c r="BW130" s="12"/>
      <c r="BX130" s="12"/>
      <c r="BY130" s="12"/>
      <c r="BZ130" s="12"/>
      <c r="CA130" s="12"/>
      <c r="CB130" s="12"/>
      <c r="CC130" s="12"/>
      <c r="CD130" s="12"/>
      <c r="CE130" s="12"/>
      <c r="CF130" s="12"/>
      <c r="CG130" s="12"/>
      <c r="CH130" s="12"/>
      <c r="CI130" s="12"/>
      <c r="CJ130" s="12"/>
      <c r="CK130" s="12"/>
      <c r="CL130" s="12"/>
      <c r="CM130" s="12"/>
      <c r="CN130" s="12"/>
      <c r="CO130" s="12"/>
      <c r="CP130" s="12"/>
      <c r="CQ130" s="12"/>
      <c r="CR130" s="12"/>
      <c r="CS130" s="12"/>
      <c r="CT130" s="12"/>
      <c r="CU130" s="12"/>
      <c r="CV130" s="12"/>
      <c r="CW130" s="12"/>
      <c r="CX130" s="12"/>
      <c r="CY130" s="12"/>
    </row>
    <row r="131" spans="1:103" s="14" customFormat="1" x14ac:dyDescent="0.25">
      <c r="A131" s="4" t="s">
        <v>160</v>
      </c>
      <c r="B131" s="12" t="str" cm="1">
        <f t="array" ref="B131">User3($C$11:$ZX$11,C131:ZX131)</f>
        <v>1.05D+1.2SDL+1.2BW+1.1COL+1.1SOIL+1WATER+1.3Lr+1.3LLB+1.2LLE+1.89Wx-1+1.02CR12+1.02CR22</v>
      </c>
      <c r="C131" s="13">
        <f t="shared" si="6"/>
        <v>1.05</v>
      </c>
      <c r="D131" s="13">
        <f t="shared" si="7"/>
        <v>1.2</v>
      </c>
      <c r="E131" s="13">
        <f t="shared" si="8"/>
        <v>1.2</v>
      </c>
      <c r="F131" s="13">
        <f t="shared" si="9"/>
        <v>1.1000000000000001</v>
      </c>
      <c r="G131" s="13">
        <f t="shared" si="10"/>
        <v>1.1000000000000001</v>
      </c>
      <c r="H131" s="13">
        <f t="shared" si="11"/>
        <v>1</v>
      </c>
      <c r="I131" s="13">
        <v>1.3</v>
      </c>
      <c r="J131" s="13">
        <v>1.3</v>
      </c>
      <c r="K131" s="13">
        <v>1.2</v>
      </c>
      <c r="L131" s="13"/>
      <c r="M131" s="13"/>
      <c r="N131" s="13">
        <v>1.89</v>
      </c>
      <c r="O131" s="13"/>
      <c r="P131" s="13"/>
      <c r="Q131" s="13"/>
      <c r="R131" s="13"/>
      <c r="S131" s="13"/>
      <c r="T131" s="13"/>
      <c r="U131" s="13">
        <f>U130</f>
        <v>1.02</v>
      </c>
      <c r="V131" s="13"/>
      <c r="W131" s="13"/>
      <c r="X131" s="13"/>
      <c r="Y131" s="13">
        <f>Y127</f>
        <v>1.02</v>
      </c>
      <c r="Z131" s="13"/>
      <c r="AA131" s="13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  <c r="BA131" s="12"/>
      <c r="BB131" s="12"/>
      <c r="BC131" s="12"/>
      <c r="BD131" s="12"/>
      <c r="BE131" s="12"/>
      <c r="BF131" s="12"/>
      <c r="BG131" s="12"/>
      <c r="BH131" s="12"/>
      <c r="BI131" s="12"/>
      <c r="BJ131" s="12"/>
      <c r="BK131" s="12"/>
      <c r="BL131" s="12"/>
      <c r="BM131" s="12"/>
      <c r="BN131" s="12"/>
      <c r="BO131" s="12"/>
      <c r="BP131" s="12"/>
      <c r="BQ131" s="12"/>
      <c r="BR131" s="12"/>
      <c r="BS131" s="12"/>
      <c r="BT131" s="12"/>
      <c r="BU131" s="12"/>
      <c r="BV131" s="12"/>
      <c r="BW131" s="12"/>
      <c r="BX131" s="12"/>
      <c r="BY131" s="12"/>
      <c r="BZ131" s="12"/>
      <c r="CA131" s="12"/>
      <c r="CB131" s="12"/>
      <c r="CC131" s="12"/>
      <c r="CD131" s="12"/>
      <c r="CE131" s="12"/>
      <c r="CF131" s="12"/>
      <c r="CG131" s="12"/>
      <c r="CH131" s="12"/>
      <c r="CI131" s="12"/>
      <c r="CJ131" s="12"/>
      <c r="CK131" s="12"/>
      <c r="CL131" s="12"/>
      <c r="CM131" s="12"/>
      <c r="CN131" s="12"/>
      <c r="CO131" s="12"/>
      <c r="CP131" s="12"/>
      <c r="CQ131" s="12"/>
      <c r="CR131" s="12"/>
      <c r="CS131" s="12"/>
      <c r="CT131" s="12"/>
      <c r="CU131" s="12"/>
      <c r="CV131" s="12"/>
      <c r="CW131" s="12"/>
      <c r="CX131" s="12"/>
      <c r="CY131" s="12"/>
    </row>
    <row r="132" spans="1:103" s="14" customFormat="1" x14ac:dyDescent="0.25">
      <c r="A132" s="4" t="s">
        <v>161</v>
      </c>
      <c r="B132" s="12" t="str" cm="1">
        <f t="array" ref="B132">User3($C$11:$ZX$11,C132:ZX132)</f>
        <v>1.05D+1.2SDL+1.2BW+1.1COL+1.1SOIL+1WATER+1.3Lr+1.3LLB+1.2LLE+1.89Wx-1+1.02CR12+1.02CR23</v>
      </c>
      <c r="C132" s="13">
        <f t="shared" si="6"/>
        <v>1.05</v>
      </c>
      <c r="D132" s="13">
        <f t="shared" si="7"/>
        <v>1.2</v>
      </c>
      <c r="E132" s="13">
        <f t="shared" si="8"/>
        <v>1.2</v>
      </c>
      <c r="F132" s="13">
        <f t="shared" si="9"/>
        <v>1.1000000000000001</v>
      </c>
      <c r="G132" s="13">
        <f t="shared" si="10"/>
        <v>1.1000000000000001</v>
      </c>
      <c r="H132" s="13">
        <f t="shared" si="11"/>
        <v>1</v>
      </c>
      <c r="I132" s="13">
        <v>1.3</v>
      </c>
      <c r="J132" s="13">
        <v>1.3</v>
      </c>
      <c r="K132" s="13">
        <v>1.2</v>
      </c>
      <c r="L132" s="13"/>
      <c r="M132" s="13"/>
      <c r="N132" s="13">
        <v>1.89</v>
      </c>
      <c r="O132" s="13"/>
      <c r="P132" s="13"/>
      <c r="Q132" s="13"/>
      <c r="R132" s="13"/>
      <c r="S132" s="13"/>
      <c r="T132" s="13"/>
      <c r="U132" s="13">
        <f>U131</f>
        <v>1.02</v>
      </c>
      <c r="V132" s="13"/>
      <c r="W132" s="13"/>
      <c r="X132" s="13"/>
      <c r="Y132" s="13"/>
      <c r="Z132" s="13">
        <f>Z128</f>
        <v>1.02</v>
      </c>
      <c r="AA132" s="13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  <c r="BJ132" s="12"/>
      <c r="BK132" s="12"/>
      <c r="BL132" s="12"/>
      <c r="BM132" s="12"/>
      <c r="BN132" s="12"/>
      <c r="BO132" s="12"/>
      <c r="BP132" s="12"/>
      <c r="BQ132" s="12"/>
      <c r="BR132" s="12"/>
      <c r="BS132" s="12"/>
      <c r="BT132" s="12"/>
      <c r="BU132" s="12"/>
      <c r="BV132" s="12"/>
      <c r="BW132" s="12"/>
      <c r="BX132" s="12"/>
      <c r="BY132" s="12"/>
      <c r="BZ132" s="12"/>
      <c r="CA132" s="12"/>
      <c r="CB132" s="12"/>
      <c r="CC132" s="12"/>
      <c r="CD132" s="12"/>
      <c r="CE132" s="12"/>
      <c r="CF132" s="12"/>
      <c r="CG132" s="12"/>
      <c r="CH132" s="12"/>
      <c r="CI132" s="12"/>
      <c r="CJ132" s="12"/>
      <c r="CK132" s="12"/>
      <c r="CL132" s="12"/>
      <c r="CM132" s="12"/>
      <c r="CN132" s="12"/>
      <c r="CO132" s="12"/>
      <c r="CP132" s="12"/>
      <c r="CQ132" s="12"/>
      <c r="CR132" s="12"/>
      <c r="CS132" s="12"/>
      <c r="CT132" s="12"/>
      <c r="CU132" s="12"/>
      <c r="CV132" s="12"/>
      <c r="CW132" s="12"/>
      <c r="CX132" s="12"/>
      <c r="CY132" s="12"/>
    </row>
    <row r="133" spans="1:103" s="17" customFormat="1" x14ac:dyDescent="0.25">
      <c r="A133" s="4" t="s">
        <v>162</v>
      </c>
      <c r="B133" s="15" t="str" cm="1">
        <f t="array" ref="B133">User3($C$11:$ZX$11,C133:ZX133)</f>
        <v>1.05D+1.2SDL+1.2BW+1.1COL+1.1SOIL+1WATER+1.3Lr+1.3LLB+1.2LLE+1.89Wx-1+1.02CR12+1.02CR24</v>
      </c>
      <c r="C133" s="16">
        <f t="shared" si="6"/>
        <v>1.05</v>
      </c>
      <c r="D133" s="16">
        <f t="shared" si="7"/>
        <v>1.2</v>
      </c>
      <c r="E133" s="16">
        <f t="shared" si="8"/>
        <v>1.2</v>
      </c>
      <c r="F133" s="16">
        <f t="shared" si="9"/>
        <v>1.1000000000000001</v>
      </c>
      <c r="G133" s="16">
        <f t="shared" si="10"/>
        <v>1.1000000000000001</v>
      </c>
      <c r="H133" s="16">
        <f t="shared" si="11"/>
        <v>1</v>
      </c>
      <c r="I133" s="16">
        <v>1.3</v>
      </c>
      <c r="J133" s="16">
        <v>1.3</v>
      </c>
      <c r="K133" s="16">
        <v>1.2</v>
      </c>
      <c r="L133" s="16"/>
      <c r="M133" s="16"/>
      <c r="N133" s="16">
        <v>1.89</v>
      </c>
      <c r="O133" s="16"/>
      <c r="P133" s="16"/>
      <c r="Q133" s="16"/>
      <c r="R133" s="16"/>
      <c r="S133" s="16"/>
      <c r="T133" s="16"/>
      <c r="U133" s="16">
        <f>U132</f>
        <v>1.02</v>
      </c>
      <c r="V133" s="16"/>
      <c r="W133" s="16"/>
      <c r="X133" s="16"/>
      <c r="Y133" s="16"/>
      <c r="Z133" s="16"/>
      <c r="AA133" s="16">
        <f>AA129</f>
        <v>1.02</v>
      </c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  <c r="BL133" s="15"/>
      <c r="BM133" s="15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15"/>
      <c r="BY133" s="15"/>
      <c r="BZ133" s="15"/>
      <c r="CA133" s="15"/>
      <c r="CB133" s="15"/>
      <c r="CC133" s="15"/>
      <c r="CD133" s="15"/>
      <c r="CE133" s="15"/>
      <c r="CF133" s="15"/>
      <c r="CG133" s="15"/>
      <c r="CH133" s="15"/>
      <c r="CI133" s="15"/>
      <c r="CJ133" s="15"/>
      <c r="CK133" s="15"/>
      <c r="CL133" s="15"/>
      <c r="CM133" s="15"/>
      <c r="CN133" s="15"/>
      <c r="CO133" s="15"/>
      <c r="CP133" s="15"/>
      <c r="CQ133" s="15"/>
      <c r="CR133" s="15"/>
      <c r="CS133" s="15"/>
      <c r="CT133" s="15"/>
      <c r="CU133" s="15"/>
      <c r="CV133" s="15"/>
      <c r="CW133" s="15"/>
      <c r="CX133" s="15"/>
      <c r="CY133" s="15"/>
    </row>
    <row r="134" spans="1:103" s="11" customFormat="1" x14ac:dyDescent="0.25">
      <c r="A134" s="4" t="s">
        <v>163</v>
      </c>
      <c r="B134" s="9" t="str" cm="1">
        <f t="array" ref="B134">User3($C$11:$ZX$11,C134:ZX134)</f>
        <v>1.05D+1.2SDL+1.2BW+1.1COL+1.1SOIL+1WATER+1.3Lr+1.3LLB+1.2LLE+1.89Wx-1+1.02CR13+1.02CR21</v>
      </c>
      <c r="C134" s="13">
        <f t="shared" si="6"/>
        <v>1.05</v>
      </c>
      <c r="D134" s="13">
        <f t="shared" si="7"/>
        <v>1.2</v>
      </c>
      <c r="E134" s="13">
        <f t="shared" si="8"/>
        <v>1.2</v>
      </c>
      <c r="F134" s="13">
        <f t="shared" si="9"/>
        <v>1.1000000000000001</v>
      </c>
      <c r="G134" s="13">
        <f t="shared" si="10"/>
        <v>1.1000000000000001</v>
      </c>
      <c r="H134" s="13">
        <f t="shared" si="11"/>
        <v>1</v>
      </c>
      <c r="I134" s="10">
        <v>1.3</v>
      </c>
      <c r="J134" s="10">
        <v>1.3</v>
      </c>
      <c r="K134" s="10">
        <v>1.2</v>
      </c>
      <c r="L134" s="10"/>
      <c r="M134" s="10"/>
      <c r="N134" s="10">
        <v>1.89</v>
      </c>
      <c r="O134" s="10"/>
      <c r="P134" s="10"/>
      <c r="Q134" s="10"/>
      <c r="R134" s="10"/>
      <c r="S134" s="10"/>
      <c r="T134" s="10"/>
      <c r="U134" s="10"/>
      <c r="V134" s="10">
        <f>U133</f>
        <v>1.02</v>
      </c>
      <c r="W134" s="10"/>
      <c r="X134" s="10">
        <f>X130</f>
        <v>1.02</v>
      </c>
      <c r="Y134" s="10"/>
      <c r="Z134" s="10"/>
      <c r="AA134" s="10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</row>
    <row r="135" spans="1:103" s="14" customFormat="1" x14ac:dyDescent="0.25">
      <c r="A135" s="4" t="s">
        <v>164</v>
      </c>
      <c r="B135" s="12" t="str" cm="1">
        <f t="array" ref="B135">User3($C$11:$ZX$11,C135:ZX135)</f>
        <v>1.05D+1.2SDL+1.2BW+1.1COL+1.1SOIL+1WATER+1.3Lr+1.3LLB+1.2LLE+1.89Wx-1+1.02CR13+1.02CR22</v>
      </c>
      <c r="C135" s="13">
        <f t="shared" si="6"/>
        <v>1.05</v>
      </c>
      <c r="D135" s="13">
        <f t="shared" si="7"/>
        <v>1.2</v>
      </c>
      <c r="E135" s="13">
        <f t="shared" si="8"/>
        <v>1.2</v>
      </c>
      <c r="F135" s="13">
        <f t="shared" si="9"/>
        <v>1.1000000000000001</v>
      </c>
      <c r="G135" s="13">
        <f t="shared" si="10"/>
        <v>1.1000000000000001</v>
      </c>
      <c r="H135" s="13">
        <f t="shared" si="11"/>
        <v>1</v>
      </c>
      <c r="I135" s="13">
        <v>1.3</v>
      </c>
      <c r="J135" s="13">
        <v>1.3</v>
      </c>
      <c r="K135" s="13">
        <v>1.2</v>
      </c>
      <c r="L135" s="13"/>
      <c r="M135" s="13"/>
      <c r="N135" s="13">
        <v>1.89</v>
      </c>
      <c r="O135" s="13"/>
      <c r="P135" s="13"/>
      <c r="Q135" s="13"/>
      <c r="R135" s="13"/>
      <c r="S135" s="13"/>
      <c r="T135" s="13"/>
      <c r="U135" s="13"/>
      <c r="V135" s="13">
        <f>V134</f>
        <v>1.02</v>
      </c>
      <c r="W135" s="13"/>
      <c r="X135" s="13"/>
      <c r="Y135" s="13">
        <f>X134</f>
        <v>1.02</v>
      </c>
      <c r="Z135" s="13"/>
      <c r="AA135" s="13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/>
      <c r="BG135" s="12"/>
      <c r="BH135" s="12"/>
      <c r="BI135" s="12"/>
      <c r="BJ135" s="12"/>
      <c r="BK135" s="12"/>
      <c r="BL135" s="12"/>
      <c r="BM135" s="12"/>
      <c r="BN135" s="12"/>
      <c r="BO135" s="12"/>
      <c r="BP135" s="12"/>
      <c r="BQ135" s="12"/>
      <c r="BR135" s="12"/>
      <c r="BS135" s="12"/>
      <c r="BT135" s="12"/>
      <c r="BU135" s="12"/>
      <c r="BV135" s="12"/>
      <c r="BW135" s="12"/>
      <c r="BX135" s="12"/>
      <c r="BY135" s="12"/>
      <c r="BZ135" s="12"/>
      <c r="CA135" s="12"/>
      <c r="CB135" s="12"/>
      <c r="CC135" s="12"/>
      <c r="CD135" s="12"/>
      <c r="CE135" s="12"/>
      <c r="CF135" s="12"/>
      <c r="CG135" s="12"/>
      <c r="CH135" s="12"/>
      <c r="CI135" s="12"/>
      <c r="CJ135" s="12"/>
      <c r="CK135" s="12"/>
      <c r="CL135" s="12"/>
      <c r="CM135" s="12"/>
      <c r="CN135" s="12"/>
      <c r="CO135" s="12"/>
      <c r="CP135" s="12"/>
      <c r="CQ135" s="12"/>
      <c r="CR135" s="12"/>
      <c r="CS135" s="12"/>
      <c r="CT135" s="12"/>
      <c r="CU135" s="12"/>
      <c r="CV135" s="12"/>
      <c r="CW135" s="12"/>
      <c r="CX135" s="12"/>
      <c r="CY135" s="12"/>
    </row>
    <row r="136" spans="1:103" s="14" customFormat="1" x14ac:dyDescent="0.25">
      <c r="A136" s="4" t="s">
        <v>165</v>
      </c>
      <c r="B136" s="12" t="str" cm="1">
        <f t="array" ref="B136">User3($C$11:$ZX$11,C136:ZX136)</f>
        <v>1.05D+1.2SDL+1.2BW+1.1COL+1.1SOIL+1WATER+1.3Lr+1.3LLB+1.2LLE+1.89Wx-1+1.02CR13+1.02CR23</v>
      </c>
      <c r="C136" s="13">
        <f t="shared" si="6"/>
        <v>1.05</v>
      </c>
      <c r="D136" s="13">
        <f t="shared" si="7"/>
        <v>1.2</v>
      </c>
      <c r="E136" s="13">
        <f t="shared" si="8"/>
        <v>1.2</v>
      </c>
      <c r="F136" s="13">
        <f t="shared" si="9"/>
        <v>1.1000000000000001</v>
      </c>
      <c r="G136" s="13">
        <f t="shared" si="10"/>
        <v>1.1000000000000001</v>
      </c>
      <c r="H136" s="13">
        <f t="shared" si="11"/>
        <v>1</v>
      </c>
      <c r="I136" s="13">
        <v>1.3</v>
      </c>
      <c r="J136" s="13">
        <v>1.3</v>
      </c>
      <c r="K136" s="13">
        <v>1.2</v>
      </c>
      <c r="L136" s="13"/>
      <c r="M136" s="13"/>
      <c r="N136" s="13">
        <v>1.89</v>
      </c>
      <c r="O136" s="13"/>
      <c r="P136" s="13"/>
      <c r="Q136" s="13"/>
      <c r="R136" s="13"/>
      <c r="S136" s="13"/>
      <c r="T136" s="13"/>
      <c r="U136" s="13"/>
      <c r="V136" s="13">
        <f>V135</f>
        <v>1.02</v>
      </c>
      <c r="W136" s="13"/>
      <c r="X136" s="13"/>
      <c r="Y136" s="13"/>
      <c r="Z136" s="13">
        <f>Y135</f>
        <v>1.02</v>
      </c>
      <c r="AA136" s="13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  <c r="AW136" s="12"/>
      <c r="AX136" s="12"/>
      <c r="AY136" s="12"/>
      <c r="AZ136" s="12"/>
      <c r="BA136" s="12"/>
      <c r="BB136" s="12"/>
      <c r="BC136" s="12"/>
      <c r="BD136" s="12"/>
      <c r="BE136" s="12"/>
      <c r="BF136" s="12"/>
      <c r="BG136" s="12"/>
      <c r="BH136" s="12"/>
      <c r="BI136" s="12"/>
      <c r="BJ136" s="12"/>
      <c r="BK136" s="12"/>
      <c r="BL136" s="12"/>
      <c r="BM136" s="12"/>
      <c r="BN136" s="12"/>
      <c r="BO136" s="12"/>
      <c r="BP136" s="12"/>
      <c r="BQ136" s="12"/>
      <c r="BR136" s="12"/>
      <c r="BS136" s="12"/>
      <c r="BT136" s="12"/>
      <c r="BU136" s="12"/>
      <c r="BV136" s="12"/>
      <c r="BW136" s="12"/>
      <c r="BX136" s="12"/>
      <c r="BY136" s="12"/>
      <c r="BZ136" s="12"/>
      <c r="CA136" s="12"/>
      <c r="CB136" s="12"/>
      <c r="CC136" s="12"/>
      <c r="CD136" s="12"/>
      <c r="CE136" s="12"/>
      <c r="CF136" s="12"/>
      <c r="CG136" s="12"/>
      <c r="CH136" s="12"/>
      <c r="CI136" s="12"/>
      <c r="CJ136" s="12"/>
      <c r="CK136" s="12"/>
      <c r="CL136" s="12"/>
      <c r="CM136" s="12"/>
      <c r="CN136" s="12"/>
      <c r="CO136" s="12"/>
      <c r="CP136" s="12"/>
      <c r="CQ136" s="12"/>
      <c r="CR136" s="12"/>
      <c r="CS136" s="12"/>
      <c r="CT136" s="12"/>
      <c r="CU136" s="12"/>
      <c r="CV136" s="12"/>
      <c r="CW136" s="12"/>
      <c r="CX136" s="12"/>
      <c r="CY136" s="12"/>
    </row>
    <row r="137" spans="1:103" s="14" customFormat="1" x14ac:dyDescent="0.25">
      <c r="A137" s="4" t="s">
        <v>166</v>
      </c>
      <c r="B137" s="12" t="str" cm="1">
        <f t="array" ref="B137">User3($C$11:$ZX$11,C137:ZX137)</f>
        <v>1.05D+1.2SDL+1.2BW+1.1COL+1.1SOIL+1WATER+1.3Lr+1.3LLB+1.2LLE+1.89Wx-1+1.02CR13+1.02CR24</v>
      </c>
      <c r="C137" s="13">
        <f t="shared" si="6"/>
        <v>1.05</v>
      </c>
      <c r="D137" s="13">
        <f t="shared" si="7"/>
        <v>1.2</v>
      </c>
      <c r="E137" s="13">
        <f t="shared" si="8"/>
        <v>1.2</v>
      </c>
      <c r="F137" s="13">
        <f t="shared" si="9"/>
        <v>1.1000000000000001</v>
      </c>
      <c r="G137" s="13">
        <f t="shared" si="10"/>
        <v>1.1000000000000001</v>
      </c>
      <c r="H137" s="13">
        <f t="shared" si="11"/>
        <v>1</v>
      </c>
      <c r="I137" s="13">
        <v>1.3</v>
      </c>
      <c r="J137" s="13">
        <v>1.3</v>
      </c>
      <c r="K137" s="13">
        <v>1.2</v>
      </c>
      <c r="L137" s="13"/>
      <c r="M137" s="13"/>
      <c r="N137" s="13">
        <v>1.89</v>
      </c>
      <c r="O137" s="13"/>
      <c r="P137" s="13"/>
      <c r="Q137" s="13"/>
      <c r="R137" s="13"/>
      <c r="S137" s="13"/>
      <c r="T137" s="13"/>
      <c r="U137" s="13"/>
      <c r="V137" s="13">
        <f>V136</f>
        <v>1.02</v>
      </c>
      <c r="W137" s="13"/>
      <c r="X137" s="13"/>
      <c r="Y137" s="13"/>
      <c r="Z137" s="13"/>
      <c r="AA137" s="13">
        <f>Z136</f>
        <v>1.02</v>
      </c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2"/>
      <c r="BB137" s="12"/>
      <c r="BC137" s="12"/>
      <c r="BD137" s="12"/>
      <c r="BE137" s="12"/>
      <c r="BF137" s="12"/>
      <c r="BG137" s="12"/>
      <c r="BH137" s="12"/>
      <c r="BI137" s="12"/>
      <c r="BJ137" s="12"/>
      <c r="BK137" s="12"/>
      <c r="BL137" s="12"/>
      <c r="BM137" s="12"/>
      <c r="BN137" s="12"/>
      <c r="BO137" s="12"/>
      <c r="BP137" s="12"/>
      <c r="BQ137" s="12"/>
      <c r="BR137" s="12"/>
      <c r="BS137" s="12"/>
      <c r="BT137" s="12"/>
      <c r="BU137" s="12"/>
      <c r="BV137" s="12"/>
      <c r="BW137" s="12"/>
      <c r="BX137" s="12"/>
      <c r="BY137" s="12"/>
      <c r="BZ137" s="12"/>
      <c r="CA137" s="12"/>
      <c r="CB137" s="12"/>
      <c r="CC137" s="12"/>
      <c r="CD137" s="12"/>
      <c r="CE137" s="12"/>
      <c r="CF137" s="12"/>
      <c r="CG137" s="12"/>
      <c r="CH137" s="12"/>
      <c r="CI137" s="12"/>
      <c r="CJ137" s="12"/>
      <c r="CK137" s="12"/>
      <c r="CL137" s="12"/>
      <c r="CM137" s="12"/>
      <c r="CN137" s="12"/>
      <c r="CO137" s="12"/>
      <c r="CP137" s="12"/>
      <c r="CQ137" s="12"/>
      <c r="CR137" s="12"/>
      <c r="CS137" s="12"/>
      <c r="CT137" s="12"/>
      <c r="CU137" s="12"/>
      <c r="CV137" s="12"/>
      <c r="CW137" s="12"/>
      <c r="CX137" s="12"/>
      <c r="CY137" s="12"/>
    </row>
    <row r="138" spans="1:103" s="14" customFormat="1" x14ac:dyDescent="0.25">
      <c r="A138" s="4" t="s">
        <v>167</v>
      </c>
      <c r="B138" s="12" t="str" cm="1">
        <f t="array" ref="B138">User3($C$11:$ZX$11,C138:ZX138)</f>
        <v>1.05D+1.2SDL+1.2BW+1.1COL+1.1SOIL+1WATER+1.3Lr+1.3LLB+1.2LLE+1.89Wx-1+1.02CR14+1.02CR21</v>
      </c>
      <c r="C138" s="13">
        <f t="shared" si="6"/>
        <v>1.05</v>
      </c>
      <c r="D138" s="13">
        <f t="shared" si="7"/>
        <v>1.2</v>
      </c>
      <c r="E138" s="13">
        <f t="shared" si="8"/>
        <v>1.2</v>
      </c>
      <c r="F138" s="13">
        <f t="shared" si="9"/>
        <v>1.1000000000000001</v>
      </c>
      <c r="G138" s="13">
        <f t="shared" si="10"/>
        <v>1.1000000000000001</v>
      </c>
      <c r="H138" s="13">
        <f t="shared" si="11"/>
        <v>1</v>
      </c>
      <c r="I138" s="13">
        <v>1.3</v>
      </c>
      <c r="J138" s="13">
        <v>1.3</v>
      </c>
      <c r="K138" s="13">
        <v>1.2</v>
      </c>
      <c r="L138" s="13"/>
      <c r="M138" s="13"/>
      <c r="N138" s="13">
        <v>1.89</v>
      </c>
      <c r="O138" s="13"/>
      <c r="P138" s="13"/>
      <c r="Q138" s="13"/>
      <c r="R138" s="13"/>
      <c r="S138" s="13"/>
      <c r="T138" s="13"/>
      <c r="U138" s="13"/>
      <c r="V138" s="13"/>
      <c r="W138" s="13">
        <f>V137</f>
        <v>1.02</v>
      </c>
      <c r="X138" s="13">
        <f>X134</f>
        <v>1.02</v>
      </c>
      <c r="Y138" s="13"/>
      <c r="Z138" s="13"/>
      <c r="AA138" s="13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/>
      <c r="BG138" s="12"/>
      <c r="BH138" s="12"/>
      <c r="BI138" s="12"/>
      <c r="BJ138" s="12"/>
      <c r="BK138" s="12"/>
      <c r="BL138" s="12"/>
      <c r="BM138" s="12"/>
      <c r="BN138" s="12"/>
      <c r="BO138" s="12"/>
      <c r="BP138" s="12"/>
      <c r="BQ138" s="12"/>
      <c r="BR138" s="12"/>
      <c r="BS138" s="12"/>
      <c r="BT138" s="12"/>
      <c r="BU138" s="12"/>
      <c r="BV138" s="12"/>
      <c r="BW138" s="12"/>
      <c r="BX138" s="12"/>
      <c r="BY138" s="12"/>
      <c r="BZ138" s="12"/>
      <c r="CA138" s="12"/>
      <c r="CB138" s="12"/>
      <c r="CC138" s="12"/>
      <c r="CD138" s="12"/>
      <c r="CE138" s="12"/>
      <c r="CF138" s="12"/>
      <c r="CG138" s="12"/>
      <c r="CH138" s="12"/>
      <c r="CI138" s="12"/>
      <c r="CJ138" s="12"/>
      <c r="CK138" s="12"/>
      <c r="CL138" s="12"/>
      <c r="CM138" s="12"/>
      <c r="CN138" s="12"/>
      <c r="CO138" s="12"/>
      <c r="CP138" s="12"/>
      <c r="CQ138" s="12"/>
      <c r="CR138" s="12"/>
      <c r="CS138" s="12"/>
      <c r="CT138" s="12"/>
      <c r="CU138" s="12"/>
      <c r="CV138" s="12"/>
      <c r="CW138" s="12"/>
      <c r="CX138" s="12"/>
      <c r="CY138" s="12"/>
    </row>
    <row r="139" spans="1:103" s="14" customFormat="1" x14ac:dyDescent="0.25">
      <c r="A139" s="4" t="s">
        <v>168</v>
      </c>
      <c r="B139" s="12" t="str" cm="1">
        <f t="array" ref="B139">User3($C$11:$ZX$11,C139:ZX139)</f>
        <v>1.05D+1.2SDL+1.2BW+1.1COL+1.1SOIL+1WATER+1.3Lr+1.3LLB+1.2LLE+1.89Wx-1+1.02CR14+1.02CR22</v>
      </c>
      <c r="C139" s="13">
        <f t="shared" si="6"/>
        <v>1.05</v>
      </c>
      <c r="D139" s="13">
        <f t="shared" si="7"/>
        <v>1.2</v>
      </c>
      <c r="E139" s="13">
        <f t="shared" si="8"/>
        <v>1.2</v>
      </c>
      <c r="F139" s="13">
        <f t="shared" si="9"/>
        <v>1.1000000000000001</v>
      </c>
      <c r="G139" s="13">
        <f t="shared" si="10"/>
        <v>1.1000000000000001</v>
      </c>
      <c r="H139" s="13">
        <f t="shared" si="11"/>
        <v>1</v>
      </c>
      <c r="I139" s="13">
        <v>1.3</v>
      </c>
      <c r="J139" s="13">
        <v>1.3</v>
      </c>
      <c r="K139" s="13">
        <v>1.2</v>
      </c>
      <c r="L139" s="13"/>
      <c r="M139" s="13"/>
      <c r="N139" s="13">
        <v>1.89</v>
      </c>
      <c r="O139" s="13"/>
      <c r="P139" s="13"/>
      <c r="Q139" s="13"/>
      <c r="R139" s="13"/>
      <c r="S139" s="13"/>
      <c r="T139" s="13"/>
      <c r="U139" s="13"/>
      <c r="V139" s="13"/>
      <c r="W139" s="13">
        <f>W138</f>
        <v>1.02</v>
      </c>
      <c r="X139" s="13"/>
      <c r="Y139" s="13">
        <f>X138</f>
        <v>1.02</v>
      </c>
      <c r="Z139" s="13"/>
      <c r="AA139" s="13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12"/>
      <c r="AW139" s="12"/>
      <c r="AX139" s="12"/>
      <c r="AY139" s="12"/>
      <c r="AZ139" s="12"/>
      <c r="BA139" s="12"/>
      <c r="BB139" s="12"/>
      <c r="BC139" s="12"/>
      <c r="BD139" s="12"/>
      <c r="BE139" s="12"/>
      <c r="BF139" s="12"/>
      <c r="BG139" s="12"/>
      <c r="BH139" s="12"/>
      <c r="BI139" s="12"/>
      <c r="BJ139" s="12"/>
      <c r="BK139" s="12"/>
      <c r="BL139" s="12"/>
      <c r="BM139" s="12"/>
      <c r="BN139" s="12"/>
      <c r="BO139" s="12"/>
      <c r="BP139" s="12"/>
      <c r="BQ139" s="12"/>
      <c r="BR139" s="12"/>
      <c r="BS139" s="12"/>
      <c r="BT139" s="12"/>
      <c r="BU139" s="12"/>
      <c r="BV139" s="12"/>
      <c r="BW139" s="12"/>
      <c r="BX139" s="12"/>
      <c r="BY139" s="12"/>
      <c r="BZ139" s="12"/>
      <c r="CA139" s="12"/>
      <c r="CB139" s="12"/>
      <c r="CC139" s="12"/>
      <c r="CD139" s="12"/>
      <c r="CE139" s="12"/>
      <c r="CF139" s="12"/>
      <c r="CG139" s="12"/>
      <c r="CH139" s="12"/>
      <c r="CI139" s="12"/>
      <c r="CJ139" s="12"/>
      <c r="CK139" s="12"/>
      <c r="CL139" s="12"/>
      <c r="CM139" s="12"/>
      <c r="CN139" s="12"/>
      <c r="CO139" s="12"/>
      <c r="CP139" s="12"/>
      <c r="CQ139" s="12"/>
      <c r="CR139" s="12"/>
      <c r="CS139" s="12"/>
      <c r="CT139" s="12"/>
      <c r="CU139" s="12"/>
      <c r="CV139" s="12"/>
      <c r="CW139" s="12"/>
      <c r="CX139" s="12"/>
      <c r="CY139" s="12"/>
    </row>
    <row r="140" spans="1:103" s="14" customFormat="1" x14ac:dyDescent="0.25">
      <c r="A140" s="4" t="s">
        <v>169</v>
      </c>
      <c r="B140" s="12" t="str" cm="1">
        <f t="array" ref="B140">User3($C$11:$ZX$11,C140:ZX140)</f>
        <v>1.05D+1.2SDL+1.2BW+1.1COL+1.1SOIL+1WATER+1.3Lr+1.3LLB+1.2LLE+1.89Wx-1+1.02CR14+1.02CR23</v>
      </c>
      <c r="C140" s="13">
        <f t="shared" si="6"/>
        <v>1.05</v>
      </c>
      <c r="D140" s="13">
        <f t="shared" si="7"/>
        <v>1.2</v>
      </c>
      <c r="E140" s="13">
        <f t="shared" si="8"/>
        <v>1.2</v>
      </c>
      <c r="F140" s="13">
        <f t="shared" si="9"/>
        <v>1.1000000000000001</v>
      </c>
      <c r="G140" s="13">
        <f t="shared" si="10"/>
        <v>1.1000000000000001</v>
      </c>
      <c r="H140" s="13">
        <f t="shared" si="11"/>
        <v>1</v>
      </c>
      <c r="I140" s="13">
        <v>1.3</v>
      </c>
      <c r="J140" s="13">
        <v>1.3</v>
      </c>
      <c r="K140" s="13">
        <v>1.2</v>
      </c>
      <c r="L140" s="13"/>
      <c r="M140" s="13"/>
      <c r="N140" s="13">
        <v>1.89</v>
      </c>
      <c r="O140" s="13"/>
      <c r="P140" s="13"/>
      <c r="Q140" s="13"/>
      <c r="R140" s="13"/>
      <c r="S140" s="13"/>
      <c r="T140" s="13"/>
      <c r="U140" s="13"/>
      <c r="V140" s="13"/>
      <c r="W140" s="13">
        <f>W139</f>
        <v>1.02</v>
      </c>
      <c r="X140" s="13"/>
      <c r="Y140" s="13"/>
      <c r="Z140" s="13">
        <f>Y139</f>
        <v>1.02</v>
      </c>
      <c r="AA140" s="13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  <c r="AW140" s="12"/>
      <c r="AX140" s="12"/>
      <c r="AY140" s="12"/>
      <c r="AZ140" s="12"/>
      <c r="BA140" s="12"/>
      <c r="BB140" s="12"/>
      <c r="BC140" s="12"/>
      <c r="BD140" s="12"/>
      <c r="BE140" s="12"/>
      <c r="BF140" s="12"/>
      <c r="BG140" s="12"/>
      <c r="BH140" s="12"/>
      <c r="BI140" s="12"/>
      <c r="BJ140" s="12"/>
      <c r="BK140" s="12"/>
      <c r="BL140" s="12"/>
      <c r="BM140" s="12"/>
      <c r="BN140" s="12"/>
      <c r="BO140" s="12"/>
      <c r="BP140" s="12"/>
      <c r="BQ140" s="12"/>
      <c r="BR140" s="12"/>
      <c r="BS140" s="12"/>
      <c r="BT140" s="12"/>
      <c r="BU140" s="12"/>
      <c r="BV140" s="12"/>
      <c r="BW140" s="12"/>
      <c r="BX140" s="12"/>
      <c r="BY140" s="12"/>
      <c r="BZ140" s="12"/>
      <c r="CA140" s="12"/>
      <c r="CB140" s="12"/>
      <c r="CC140" s="12"/>
      <c r="CD140" s="12"/>
      <c r="CE140" s="12"/>
      <c r="CF140" s="12"/>
      <c r="CG140" s="12"/>
      <c r="CH140" s="12"/>
      <c r="CI140" s="12"/>
      <c r="CJ140" s="12"/>
      <c r="CK140" s="12"/>
      <c r="CL140" s="12"/>
      <c r="CM140" s="12"/>
      <c r="CN140" s="12"/>
      <c r="CO140" s="12"/>
      <c r="CP140" s="12"/>
      <c r="CQ140" s="12"/>
      <c r="CR140" s="12"/>
      <c r="CS140" s="12"/>
      <c r="CT140" s="12"/>
      <c r="CU140" s="12"/>
      <c r="CV140" s="12"/>
      <c r="CW140" s="12"/>
      <c r="CX140" s="12"/>
      <c r="CY140" s="12"/>
    </row>
    <row r="141" spans="1:103" s="17" customFormat="1" x14ac:dyDescent="0.25">
      <c r="A141" s="4" t="s">
        <v>170</v>
      </c>
      <c r="B141" s="15" t="str" cm="1">
        <f t="array" ref="B141">User3($C$11:$ZX$11,C141:ZX141)</f>
        <v>1.05D+1.2SDL+1.2BW+1.1COL+1.1SOIL+1WATER+1.3Lr+1.3LLB+1.2LLE+1.89Wx-1+1.02CR14+1.02CR24</v>
      </c>
      <c r="C141" s="16">
        <f t="shared" si="6"/>
        <v>1.05</v>
      </c>
      <c r="D141" s="16">
        <f t="shared" si="7"/>
        <v>1.2</v>
      </c>
      <c r="E141" s="16">
        <f t="shared" si="8"/>
        <v>1.2</v>
      </c>
      <c r="F141" s="16">
        <f t="shared" si="9"/>
        <v>1.1000000000000001</v>
      </c>
      <c r="G141" s="16">
        <f t="shared" si="10"/>
        <v>1.1000000000000001</v>
      </c>
      <c r="H141" s="16">
        <f t="shared" si="11"/>
        <v>1</v>
      </c>
      <c r="I141" s="16">
        <v>1.3</v>
      </c>
      <c r="J141" s="16">
        <v>1.3</v>
      </c>
      <c r="K141" s="16">
        <v>1.2</v>
      </c>
      <c r="L141" s="16"/>
      <c r="M141" s="16"/>
      <c r="N141" s="16">
        <v>1.89</v>
      </c>
      <c r="O141" s="16"/>
      <c r="P141" s="16"/>
      <c r="Q141" s="16"/>
      <c r="R141" s="16"/>
      <c r="S141" s="16"/>
      <c r="T141" s="16"/>
      <c r="U141" s="16"/>
      <c r="V141" s="16"/>
      <c r="W141" s="16">
        <f>W140</f>
        <v>1.02</v>
      </c>
      <c r="X141" s="16"/>
      <c r="Y141" s="16"/>
      <c r="Z141" s="16"/>
      <c r="AA141" s="16">
        <f>Z140</f>
        <v>1.02</v>
      </c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15"/>
      <c r="BO141" s="15"/>
      <c r="BP141" s="15"/>
      <c r="BQ141" s="15"/>
      <c r="BR141" s="15"/>
      <c r="BS141" s="15"/>
      <c r="BT141" s="15"/>
      <c r="BU141" s="15"/>
      <c r="BV141" s="15"/>
      <c r="BW141" s="15"/>
      <c r="BX141" s="15"/>
      <c r="BY141" s="15"/>
      <c r="BZ141" s="15"/>
      <c r="CA141" s="15"/>
      <c r="CB141" s="15"/>
      <c r="CC141" s="15"/>
      <c r="CD141" s="15"/>
      <c r="CE141" s="15"/>
      <c r="CF141" s="15"/>
      <c r="CG141" s="15"/>
      <c r="CH141" s="15"/>
      <c r="CI141" s="15"/>
      <c r="CJ141" s="15"/>
      <c r="CK141" s="15"/>
      <c r="CL141" s="15"/>
      <c r="CM141" s="15"/>
      <c r="CN141" s="15"/>
      <c r="CO141" s="15"/>
      <c r="CP141" s="15"/>
      <c r="CQ141" s="15"/>
      <c r="CR141" s="15"/>
      <c r="CS141" s="15"/>
      <c r="CT141" s="15"/>
      <c r="CU141" s="15"/>
      <c r="CV141" s="15"/>
      <c r="CW141" s="15"/>
      <c r="CX141" s="15"/>
      <c r="CY141" s="15"/>
    </row>
    <row r="142" spans="1:103" s="11" customFormat="1" x14ac:dyDescent="0.25">
      <c r="A142" s="4" t="s">
        <v>171</v>
      </c>
      <c r="B142" s="9" t="str" cm="1">
        <f t="array" ref="B142">User3($C$11:$ZX$11,C142:ZX142)</f>
        <v>1.05D+1.2SDL+1.2BW+1.1COL+1.1SOIL+1WATER+1.3Lr+1.3LLB+1.2LLE+1.89Wx-2+1.02CR11+1.02CR21</v>
      </c>
      <c r="C142" s="13">
        <f t="shared" ref="C142:C206" si="12">$C$12</f>
        <v>1.05</v>
      </c>
      <c r="D142" s="13">
        <f t="shared" ref="D142:D206" si="13">$D$12</f>
        <v>1.2</v>
      </c>
      <c r="E142" s="13">
        <f t="shared" ref="E142:E206" si="14">$E$12</f>
        <v>1.2</v>
      </c>
      <c r="F142" s="13">
        <f t="shared" ref="F142:F206" si="15">$F$12</f>
        <v>1.1000000000000001</v>
      </c>
      <c r="G142" s="13">
        <f t="shared" ref="G142:G206" si="16">$G$12</f>
        <v>1.1000000000000001</v>
      </c>
      <c r="H142" s="13">
        <f t="shared" ref="H142:H206" si="17">$H$12</f>
        <v>1</v>
      </c>
      <c r="I142" s="10">
        <v>1.3</v>
      </c>
      <c r="J142" s="10">
        <v>1.3</v>
      </c>
      <c r="K142" s="10">
        <v>1.2</v>
      </c>
      <c r="L142" s="10"/>
      <c r="M142" s="10"/>
      <c r="N142" s="10"/>
      <c r="O142" s="10">
        <v>1.89</v>
      </c>
      <c r="P142" s="10"/>
      <c r="Q142" s="10"/>
      <c r="R142" s="10"/>
      <c r="S142" s="10"/>
      <c r="T142" s="10">
        <f>T126</f>
        <v>1.02</v>
      </c>
      <c r="U142" s="10"/>
      <c r="V142" s="10"/>
      <c r="W142" s="10"/>
      <c r="X142" s="10">
        <f>T142</f>
        <v>1.02</v>
      </c>
      <c r="Y142" s="10"/>
      <c r="Z142" s="10"/>
      <c r="AA142" s="10"/>
      <c r="AB142" s="9"/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  <c r="BQ142" s="9"/>
      <c r="BR142" s="9"/>
      <c r="BS142" s="9"/>
      <c r="BT142" s="9"/>
      <c r="BU142" s="9"/>
      <c r="BV142" s="9"/>
      <c r="BW142" s="9"/>
      <c r="BX142" s="9"/>
      <c r="BY142" s="9"/>
      <c r="BZ142" s="9"/>
      <c r="CA142" s="9"/>
      <c r="CB142" s="9"/>
      <c r="CC142" s="9"/>
      <c r="CD142" s="9"/>
      <c r="CE142" s="9"/>
      <c r="CF142" s="9"/>
      <c r="CG142" s="9"/>
      <c r="CH142" s="9"/>
      <c r="CI142" s="9"/>
      <c r="CJ142" s="9"/>
      <c r="CK142" s="9"/>
      <c r="CL142" s="9"/>
      <c r="CM142" s="9"/>
      <c r="CN142" s="9"/>
      <c r="CO142" s="9"/>
      <c r="CP142" s="9"/>
      <c r="CQ142" s="9"/>
      <c r="CR142" s="9"/>
      <c r="CS142" s="9"/>
      <c r="CT142" s="9"/>
      <c r="CU142" s="9"/>
      <c r="CV142" s="9"/>
      <c r="CW142" s="9"/>
      <c r="CX142" s="9"/>
      <c r="CY142" s="9"/>
    </row>
    <row r="143" spans="1:103" s="14" customFormat="1" x14ac:dyDescent="0.25">
      <c r="A143" s="4" t="s">
        <v>172</v>
      </c>
      <c r="B143" s="12" t="str" cm="1">
        <f t="array" ref="B143">User3($C$11:$ZX$11,C143:ZX143)</f>
        <v>1.05D+1.2SDL+1.2BW+1.1COL+1.1SOIL+1WATER+1.3Lr+1.3LLB+1.2LLE+1.89Wx-2+1.02CR11+1.02CR22</v>
      </c>
      <c r="C143" s="13">
        <f t="shared" si="12"/>
        <v>1.05</v>
      </c>
      <c r="D143" s="13">
        <f t="shared" si="13"/>
        <v>1.2</v>
      </c>
      <c r="E143" s="13">
        <f t="shared" si="14"/>
        <v>1.2</v>
      </c>
      <c r="F143" s="13">
        <f t="shared" si="15"/>
        <v>1.1000000000000001</v>
      </c>
      <c r="G143" s="13">
        <f t="shared" si="16"/>
        <v>1.1000000000000001</v>
      </c>
      <c r="H143" s="13">
        <f t="shared" si="17"/>
        <v>1</v>
      </c>
      <c r="I143" s="13">
        <v>1.3</v>
      </c>
      <c r="J143" s="13">
        <v>1.3</v>
      </c>
      <c r="K143" s="13">
        <v>1.2</v>
      </c>
      <c r="L143" s="13"/>
      <c r="M143" s="13"/>
      <c r="N143" s="13"/>
      <c r="O143" s="13">
        <v>1.89</v>
      </c>
      <c r="P143" s="13"/>
      <c r="Q143" s="13"/>
      <c r="R143" s="13"/>
      <c r="S143" s="13"/>
      <c r="T143" s="13">
        <f>T142</f>
        <v>1.02</v>
      </c>
      <c r="U143" s="13"/>
      <c r="V143" s="13"/>
      <c r="W143" s="13"/>
      <c r="X143" s="13"/>
      <c r="Y143" s="13">
        <f>X142</f>
        <v>1.02</v>
      </c>
      <c r="Z143" s="13"/>
      <c r="AA143" s="13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  <c r="AW143" s="12"/>
      <c r="AX143" s="12"/>
      <c r="AY143" s="12"/>
      <c r="AZ143" s="12"/>
      <c r="BA143" s="12"/>
      <c r="BB143" s="12"/>
      <c r="BC143" s="12"/>
      <c r="BD143" s="12"/>
      <c r="BE143" s="12"/>
      <c r="BF143" s="12"/>
      <c r="BG143" s="12"/>
      <c r="BH143" s="12"/>
      <c r="BI143" s="12"/>
      <c r="BJ143" s="12"/>
      <c r="BK143" s="12"/>
      <c r="BL143" s="12"/>
      <c r="BM143" s="12"/>
      <c r="BN143" s="12"/>
      <c r="BO143" s="12"/>
      <c r="BP143" s="12"/>
      <c r="BQ143" s="12"/>
      <c r="BR143" s="12"/>
      <c r="BS143" s="12"/>
      <c r="BT143" s="12"/>
      <c r="BU143" s="12"/>
      <c r="BV143" s="12"/>
      <c r="BW143" s="12"/>
      <c r="BX143" s="12"/>
      <c r="BY143" s="12"/>
      <c r="BZ143" s="12"/>
      <c r="CA143" s="12"/>
      <c r="CB143" s="12"/>
      <c r="CC143" s="12"/>
      <c r="CD143" s="12"/>
      <c r="CE143" s="12"/>
      <c r="CF143" s="12"/>
      <c r="CG143" s="12"/>
      <c r="CH143" s="12"/>
      <c r="CI143" s="12"/>
      <c r="CJ143" s="12"/>
      <c r="CK143" s="12"/>
      <c r="CL143" s="12"/>
      <c r="CM143" s="12"/>
      <c r="CN143" s="12"/>
      <c r="CO143" s="12"/>
      <c r="CP143" s="12"/>
      <c r="CQ143" s="12"/>
      <c r="CR143" s="12"/>
      <c r="CS143" s="12"/>
      <c r="CT143" s="12"/>
      <c r="CU143" s="12"/>
      <c r="CV143" s="12"/>
      <c r="CW143" s="12"/>
      <c r="CX143" s="12"/>
      <c r="CY143" s="12"/>
    </row>
    <row r="144" spans="1:103" s="14" customFormat="1" x14ac:dyDescent="0.25">
      <c r="A144" s="4" t="s">
        <v>173</v>
      </c>
      <c r="B144" s="12" t="str" cm="1">
        <f t="array" ref="B144">User3($C$11:$ZX$11,C144:ZX144)</f>
        <v>1.05D+1.2SDL+1.2BW+1.1COL+1.1SOIL+1WATER+1.3Lr+1.3LLB+1.2LLE+1.89Wx-2+1.02CR11+1.02CR23</v>
      </c>
      <c r="C144" s="13">
        <f t="shared" si="12"/>
        <v>1.05</v>
      </c>
      <c r="D144" s="13">
        <f t="shared" si="13"/>
        <v>1.2</v>
      </c>
      <c r="E144" s="13">
        <f t="shared" si="14"/>
        <v>1.2</v>
      </c>
      <c r="F144" s="13">
        <f t="shared" si="15"/>
        <v>1.1000000000000001</v>
      </c>
      <c r="G144" s="13">
        <f t="shared" si="16"/>
        <v>1.1000000000000001</v>
      </c>
      <c r="H144" s="13">
        <f t="shared" si="17"/>
        <v>1</v>
      </c>
      <c r="I144" s="13">
        <v>1.3</v>
      </c>
      <c r="J144" s="13">
        <v>1.3</v>
      </c>
      <c r="K144" s="13">
        <v>1.2</v>
      </c>
      <c r="L144" s="13"/>
      <c r="M144" s="13"/>
      <c r="N144" s="13"/>
      <c r="O144" s="13">
        <v>1.89</v>
      </c>
      <c r="P144" s="13"/>
      <c r="Q144" s="13"/>
      <c r="R144" s="13"/>
      <c r="S144" s="13"/>
      <c r="T144" s="13">
        <f>T143</f>
        <v>1.02</v>
      </c>
      <c r="U144" s="13"/>
      <c r="V144" s="13"/>
      <c r="W144" s="13"/>
      <c r="X144" s="13"/>
      <c r="Y144" s="13"/>
      <c r="Z144" s="13">
        <f>Y143</f>
        <v>1.02</v>
      </c>
      <c r="AA144" s="13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12"/>
      <c r="AW144" s="12"/>
      <c r="AX144" s="12"/>
      <c r="AY144" s="12"/>
      <c r="AZ144" s="12"/>
      <c r="BA144" s="12"/>
      <c r="BB144" s="12"/>
      <c r="BC144" s="12"/>
      <c r="BD144" s="12"/>
      <c r="BE144" s="12"/>
      <c r="BF144" s="12"/>
      <c r="BG144" s="12"/>
      <c r="BH144" s="12"/>
      <c r="BI144" s="12"/>
      <c r="BJ144" s="12"/>
      <c r="BK144" s="12"/>
      <c r="BL144" s="12"/>
      <c r="BM144" s="12"/>
      <c r="BN144" s="12"/>
      <c r="BO144" s="12"/>
      <c r="BP144" s="12"/>
      <c r="BQ144" s="12"/>
      <c r="BR144" s="12"/>
      <c r="BS144" s="12"/>
      <c r="BT144" s="12"/>
      <c r="BU144" s="12"/>
      <c r="BV144" s="12"/>
      <c r="BW144" s="12"/>
      <c r="BX144" s="12"/>
      <c r="BY144" s="12"/>
      <c r="BZ144" s="12"/>
      <c r="CA144" s="12"/>
      <c r="CB144" s="12"/>
      <c r="CC144" s="12"/>
      <c r="CD144" s="12"/>
      <c r="CE144" s="12"/>
      <c r="CF144" s="12"/>
      <c r="CG144" s="12"/>
      <c r="CH144" s="12"/>
      <c r="CI144" s="12"/>
      <c r="CJ144" s="12"/>
      <c r="CK144" s="12"/>
      <c r="CL144" s="12"/>
      <c r="CM144" s="12"/>
      <c r="CN144" s="12"/>
      <c r="CO144" s="12"/>
      <c r="CP144" s="12"/>
      <c r="CQ144" s="12"/>
      <c r="CR144" s="12"/>
      <c r="CS144" s="12"/>
      <c r="CT144" s="12"/>
      <c r="CU144" s="12"/>
      <c r="CV144" s="12"/>
      <c r="CW144" s="12"/>
      <c r="CX144" s="12"/>
      <c r="CY144" s="12"/>
    </row>
    <row r="145" spans="1:103" s="14" customFormat="1" x14ac:dyDescent="0.25">
      <c r="A145" s="4" t="s">
        <v>174</v>
      </c>
      <c r="B145" s="12" t="str" cm="1">
        <f t="array" ref="B145">User3($C$11:$ZX$11,C145:ZX145)</f>
        <v>1.05D+1.2SDL+1.2BW+1.1COL+1.1SOIL+1WATER+1.3Lr+1.3LLB+1.2LLE+1.89Wx-2+1.02CR11+1.02CR24</v>
      </c>
      <c r="C145" s="13">
        <f t="shared" si="12"/>
        <v>1.05</v>
      </c>
      <c r="D145" s="13">
        <f t="shared" si="13"/>
        <v>1.2</v>
      </c>
      <c r="E145" s="13">
        <f t="shared" si="14"/>
        <v>1.2</v>
      </c>
      <c r="F145" s="13">
        <f t="shared" si="15"/>
        <v>1.1000000000000001</v>
      </c>
      <c r="G145" s="13">
        <f t="shared" si="16"/>
        <v>1.1000000000000001</v>
      </c>
      <c r="H145" s="13">
        <f t="shared" si="17"/>
        <v>1</v>
      </c>
      <c r="I145" s="13">
        <v>1.3</v>
      </c>
      <c r="J145" s="13">
        <v>1.3</v>
      </c>
      <c r="K145" s="13">
        <v>1.2</v>
      </c>
      <c r="L145" s="13"/>
      <c r="M145" s="13"/>
      <c r="N145" s="13"/>
      <c r="O145" s="13">
        <v>1.89</v>
      </c>
      <c r="P145" s="13"/>
      <c r="Q145" s="13"/>
      <c r="R145" s="13"/>
      <c r="S145" s="13"/>
      <c r="T145" s="13">
        <f>T144</f>
        <v>1.02</v>
      </c>
      <c r="U145" s="13"/>
      <c r="V145" s="13"/>
      <c r="W145" s="13"/>
      <c r="X145" s="13"/>
      <c r="Y145" s="13"/>
      <c r="Z145" s="13"/>
      <c r="AA145" s="13">
        <f>Z144</f>
        <v>1.02</v>
      </c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/>
      <c r="BC145" s="12"/>
      <c r="BD145" s="12"/>
      <c r="BE145" s="12"/>
      <c r="BF145" s="12"/>
      <c r="BG145" s="12"/>
      <c r="BH145" s="12"/>
      <c r="BI145" s="12"/>
      <c r="BJ145" s="12"/>
      <c r="BK145" s="12"/>
      <c r="BL145" s="12"/>
      <c r="BM145" s="12"/>
      <c r="BN145" s="12"/>
      <c r="BO145" s="12"/>
      <c r="BP145" s="12"/>
      <c r="BQ145" s="12"/>
      <c r="BR145" s="12"/>
      <c r="BS145" s="12"/>
      <c r="BT145" s="12"/>
      <c r="BU145" s="12"/>
      <c r="BV145" s="12"/>
      <c r="BW145" s="12"/>
      <c r="BX145" s="12"/>
      <c r="BY145" s="12"/>
      <c r="BZ145" s="12"/>
      <c r="CA145" s="12"/>
      <c r="CB145" s="12"/>
      <c r="CC145" s="12"/>
      <c r="CD145" s="12"/>
      <c r="CE145" s="12"/>
      <c r="CF145" s="12"/>
      <c r="CG145" s="12"/>
      <c r="CH145" s="12"/>
      <c r="CI145" s="12"/>
      <c r="CJ145" s="12"/>
      <c r="CK145" s="12"/>
      <c r="CL145" s="12"/>
      <c r="CM145" s="12"/>
      <c r="CN145" s="12"/>
      <c r="CO145" s="12"/>
      <c r="CP145" s="12"/>
      <c r="CQ145" s="12"/>
      <c r="CR145" s="12"/>
      <c r="CS145" s="12"/>
      <c r="CT145" s="12"/>
      <c r="CU145" s="12"/>
      <c r="CV145" s="12"/>
      <c r="CW145" s="12"/>
      <c r="CX145" s="12"/>
      <c r="CY145" s="12"/>
    </row>
    <row r="146" spans="1:103" s="14" customFormat="1" x14ac:dyDescent="0.25">
      <c r="A146" s="4" t="s">
        <v>175</v>
      </c>
      <c r="B146" s="12" t="str" cm="1">
        <f t="array" ref="B146">User3($C$11:$ZX$11,C146:ZX146)</f>
        <v>1.05D+1.2SDL+1.2BW+1.1COL+1.1SOIL+1WATER+1.3Lr+1.3LLB+1.2LLE+1.89Wx-2+1.02CR12+1.02CR21</v>
      </c>
      <c r="C146" s="13">
        <f t="shared" si="12"/>
        <v>1.05</v>
      </c>
      <c r="D146" s="13">
        <f t="shared" si="13"/>
        <v>1.2</v>
      </c>
      <c r="E146" s="13">
        <f t="shared" si="14"/>
        <v>1.2</v>
      </c>
      <c r="F146" s="13">
        <f t="shared" si="15"/>
        <v>1.1000000000000001</v>
      </c>
      <c r="G146" s="13">
        <f t="shared" si="16"/>
        <v>1.1000000000000001</v>
      </c>
      <c r="H146" s="13">
        <f t="shared" si="17"/>
        <v>1</v>
      </c>
      <c r="I146" s="13">
        <v>1.3</v>
      </c>
      <c r="J146" s="13">
        <v>1.3</v>
      </c>
      <c r="K146" s="13">
        <v>1.2</v>
      </c>
      <c r="L146" s="13"/>
      <c r="M146" s="13"/>
      <c r="N146" s="13"/>
      <c r="O146" s="13">
        <v>1.89</v>
      </c>
      <c r="P146" s="13"/>
      <c r="Q146" s="13"/>
      <c r="R146" s="13"/>
      <c r="S146" s="13"/>
      <c r="T146" s="13"/>
      <c r="U146" s="13">
        <f>T142</f>
        <v>1.02</v>
      </c>
      <c r="V146" s="13"/>
      <c r="W146" s="13"/>
      <c r="X146" s="13">
        <f>X142</f>
        <v>1.02</v>
      </c>
      <c r="Y146" s="13"/>
      <c r="Z146" s="13"/>
      <c r="AA146" s="13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  <c r="AW146" s="12"/>
      <c r="AX146" s="12"/>
      <c r="AY146" s="12"/>
      <c r="AZ146" s="12"/>
      <c r="BA146" s="12"/>
      <c r="BB146" s="12"/>
      <c r="BC146" s="12"/>
      <c r="BD146" s="12"/>
      <c r="BE146" s="12"/>
      <c r="BF146" s="12"/>
      <c r="BG146" s="12"/>
      <c r="BH146" s="12"/>
      <c r="BI146" s="12"/>
      <c r="BJ146" s="12"/>
      <c r="BK146" s="12"/>
      <c r="BL146" s="12"/>
      <c r="BM146" s="12"/>
      <c r="BN146" s="12"/>
      <c r="BO146" s="12"/>
      <c r="BP146" s="12"/>
      <c r="BQ146" s="12"/>
      <c r="BR146" s="12"/>
      <c r="BS146" s="12"/>
      <c r="BT146" s="12"/>
      <c r="BU146" s="12"/>
      <c r="BV146" s="12"/>
      <c r="BW146" s="12"/>
      <c r="BX146" s="12"/>
      <c r="BY146" s="12"/>
      <c r="BZ146" s="12"/>
      <c r="CA146" s="12"/>
      <c r="CB146" s="12"/>
      <c r="CC146" s="12"/>
      <c r="CD146" s="12"/>
      <c r="CE146" s="12"/>
      <c r="CF146" s="12"/>
      <c r="CG146" s="12"/>
      <c r="CH146" s="12"/>
      <c r="CI146" s="12"/>
      <c r="CJ146" s="12"/>
      <c r="CK146" s="12"/>
      <c r="CL146" s="12"/>
      <c r="CM146" s="12"/>
      <c r="CN146" s="12"/>
      <c r="CO146" s="12"/>
      <c r="CP146" s="12"/>
      <c r="CQ146" s="12"/>
      <c r="CR146" s="12"/>
      <c r="CS146" s="12"/>
      <c r="CT146" s="12"/>
      <c r="CU146" s="12"/>
      <c r="CV146" s="12"/>
      <c r="CW146" s="12"/>
      <c r="CX146" s="12"/>
      <c r="CY146" s="12"/>
    </row>
    <row r="147" spans="1:103" s="14" customFormat="1" x14ac:dyDescent="0.25">
      <c r="A147" s="4" t="s">
        <v>176</v>
      </c>
      <c r="B147" s="12" t="str" cm="1">
        <f t="array" ref="B147">User3($C$11:$ZX$11,C147:ZX147)</f>
        <v>1.05D+1.2SDL+1.2BW+1.1COL+1.1SOIL+1WATER+1.3Lr+1.3LLB+1.2LLE+1.89Wx-2+1.02CR12+1.02CR22</v>
      </c>
      <c r="C147" s="13">
        <f t="shared" si="12"/>
        <v>1.05</v>
      </c>
      <c r="D147" s="13">
        <f t="shared" si="13"/>
        <v>1.2</v>
      </c>
      <c r="E147" s="13">
        <f t="shared" si="14"/>
        <v>1.2</v>
      </c>
      <c r="F147" s="13">
        <f t="shared" si="15"/>
        <v>1.1000000000000001</v>
      </c>
      <c r="G147" s="13">
        <f t="shared" si="16"/>
        <v>1.1000000000000001</v>
      </c>
      <c r="H147" s="13">
        <f t="shared" si="17"/>
        <v>1</v>
      </c>
      <c r="I147" s="13">
        <v>1.3</v>
      </c>
      <c r="J147" s="13">
        <v>1.3</v>
      </c>
      <c r="K147" s="13">
        <v>1.2</v>
      </c>
      <c r="L147" s="13"/>
      <c r="M147" s="13"/>
      <c r="N147" s="13"/>
      <c r="O147" s="13">
        <v>1.89</v>
      </c>
      <c r="P147" s="13"/>
      <c r="Q147" s="13"/>
      <c r="R147" s="13"/>
      <c r="S147" s="13"/>
      <c r="T147" s="13"/>
      <c r="U147" s="13">
        <f>U146</f>
        <v>1.02</v>
      </c>
      <c r="V147" s="13"/>
      <c r="W147" s="13"/>
      <c r="X147" s="13"/>
      <c r="Y147" s="13">
        <f>Y143</f>
        <v>1.02</v>
      </c>
      <c r="Z147" s="13"/>
      <c r="AA147" s="13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  <c r="AW147" s="12"/>
      <c r="AX147" s="12"/>
      <c r="AY147" s="12"/>
      <c r="AZ147" s="12"/>
      <c r="BA147" s="12"/>
      <c r="BB147" s="12"/>
      <c r="BC147" s="12"/>
      <c r="BD147" s="12"/>
      <c r="BE147" s="12"/>
      <c r="BF147" s="12"/>
      <c r="BG147" s="12"/>
      <c r="BH147" s="12"/>
      <c r="BI147" s="12"/>
      <c r="BJ147" s="12"/>
      <c r="BK147" s="12"/>
      <c r="BL147" s="12"/>
      <c r="BM147" s="12"/>
      <c r="BN147" s="12"/>
      <c r="BO147" s="12"/>
      <c r="BP147" s="12"/>
      <c r="BQ147" s="12"/>
      <c r="BR147" s="12"/>
      <c r="BS147" s="12"/>
      <c r="BT147" s="12"/>
      <c r="BU147" s="12"/>
      <c r="BV147" s="12"/>
      <c r="BW147" s="12"/>
      <c r="BX147" s="12"/>
      <c r="BY147" s="12"/>
      <c r="BZ147" s="12"/>
      <c r="CA147" s="12"/>
      <c r="CB147" s="12"/>
      <c r="CC147" s="12"/>
      <c r="CD147" s="12"/>
      <c r="CE147" s="12"/>
      <c r="CF147" s="12"/>
      <c r="CG147" s="12"/>
      <c r="CH147" s="12"/>
      <c r="CI147" s="12"/>
      <c r="CJ147" s="12"/>
      <c r="CK147" s="12"/>
      <c r="CL147" s="12"/>
      <c r="CM147" s="12"/>
      <c r="CN147" s="12"/>
      <c r="CO147" s="12"/>
      <c r="CP147" s="12"/>
      <c r="CQ147" s="12"/>
      <c r="CR147" s="12"/>
      <c r="CS147" s="12"/>
      <c r="CT147" s="12"/>
      <c r="CU147" s="12"/>
      <c r="CV147" s="12"/>
      <c r="CW147" s="12"/>
      <c r="CX147" s="12"/>
      <c r="CY147" s="12"/>
    </row>
    <row r="148" spans="1:103" s="14" customFormat="1" x14ac:dyDescent="0.25">
      <c r="A148" s="4" t="s">
        <v>177</v>
      </c>
      <c r="B148" s="12" t="str" cm="1">
        <f t="array" ref="B148">User3($C$11:$ZX$11,C148:ZX148)</f>
        <v>1.05D+1.2SDL+1.2BW+1.1COL+1.1SOIL+1WATER+1.3Lr+1.3LLB+1.2LLE+1.89Wx-2+1.02CR12+1.02CR23</v>
      </c>
      <c r="C148" s="13">
        <f t="shared" si="12"/>
        <v>1.05</v>
      </c>
      <c r="D148" s="13">
        <f t="shared" si="13"/>
        <v>1.2</v>
      </c>
      <c r="E148" s="13">
        <f t="shared" si="14"/>
        <v>1.2</v>
      </c>
      <c r="F148" s="13">
        <f t="shared" si="15"/>
        <v>1.1000000000000001</v>
      </c>
      <c r="G148" s="13">
        <f t="shared" si="16"/>
        <v>1.1000000000000001</v>
      </c>
      <c r="H148" s="13">
        <f t="shared" si="17"/>
        <v>1</v>
      </c>
      <c r="I148" s="13">
        <v>1.3</v>
      </c>
      <c r="J148" s="13">
        <v>1.3</v>
      </c>
      <c r="K148" s="13">
        <v>1.2</v>
      </c>
      <c r="L148" s="13"/>
      <c r="M148" s="13"/>
      <c r="N148" s="13"/>
      <c r="O148" s="13">
        <v>1.89</v>
      </c>
      <c r="P148" s="13"/>
      <c r="Q148" s="13"/>
      <c r="R148" s="13"/>
      <c r="S148" s="13"/>
      <c r="T148" s="13"/>
      <c r="U148" s="13">
        <f>U147</f>
        <v>1.02</v>
      </c>
      <c r="V148" s="13"/>
      <c r="W148" s="13"/>
      <c r="X148" s="13"/>
      <c r="Y148" s="13"/>
      <c r="Z148" s="13">
        <f>Z144</f>
        <v>1.02</v>
      </c>
      <c r="AA148" s="13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  <c r="BA148" s="12"/>
      <c r="BB148" s="12"/>
      <c r="BC148" s="12"/>
      <c r="BD148" s="12"/>
      <c r="BE148" s="12"/>
      <c r="BF148" s="12"/>
      <c r="BG148" s="12"/>
      <c r="BH148" s="12"/>
      <c r="BI148" s="12"/>
      <c r="BJ148" s="12"/>
      <c r="BK148" s="12"/>
      <c r="BL148" s="12"/>
      <c r="BM148" s="12"/>
      <c r="BN148" s="12"/>
      <c r="BO148" s="12"/>
      <c r="BP148" s="12"/>
      <c r="BQ148" s="12"/>
      <c r="BR148" s="12"/>
      <c r="BS148" s="12"/>
      <c r="BT148" s="12"/>
      <c r="BU148" s="12"/>
      <c r="BV148" s="12"/>
      <c r="BW148" s="12"/>
      <c r="BX148" s="12"/>
      <c r="BY148" s="12"/>
      <c r="BZ148" s="12"/>
      <c r="CA148" s="12"/>
      <c r="CB148" s="12"/>
      <c r="CC148" s="12"/>
      <c r="CD148" s="12"/>
      <c r="CE148" s="12"/>
      <c r="CF148" s="12"/>
      <c r="CG148" s="12"/>
      <c r="CH148" s="12"/>
      <c r="CI148" s="12"/>
      <c r="CJ148" s="12"/>
      <c r="CK148" s="12"/>
      <c r="CL148" s="12"/>
      <c r="CM148" s="12"/>
      <c r="CN148" s="12"/>
      <c r="CO148" s="12"/>
      <c r="CP148" s="12"/>
      <c r="CQ148" s="12"/>
      <c r="CR148" s="12"/>
      <c r="CS148" s="12"/>
      <c r="CT148" s="12"/>
      <c r="CU148" s="12"/>
      <c r="CV148" s="12"/>
      <c r="CW148" s="12"/>
      <c r="CX148" s="12"/>
      <c r="CY148" s="12"/>
    </row>
    <row r="149" spans="1:103" s="17" customFormat="1" x14ac:dyDescent="0.25">
      <c r="A149" s="4" t="s">
        <v>178</v>
      </c>
      <c r="B149" s="15" t="str" cm="1">
        <f t="array" ref="B149">User3($C$11:$ZX$11,C149:ZX149)</f>
        <v>1.05D+1.2SDL+1.2BW+1.1COL+1.1SOIL+1WATER+1.3Lr+1.3LLB+1.2LLE+1.89Wx-2+1.02CR12+1.02CR24</v>
      </c>
      <c r="C149" s="16">
        <f t="shared" si="12"/>
        <v>1.05</v>
      </c>
      <c r="D149" s="16">
        <f t="shared" si="13"/>
        <v>1.2</v>
      </c>
      <c r="E149" s="16">
        <f t="shared" si="14"/>
        <v>1.2</v>
      </c>
      <c r="F149" s="16">
        <f t="shared" si="15"/>
        <v>1.1000000000000001</v>
      </c>
      <c r="G149" s="16">
        <f t="shared" si="16"/>
        <v>1.1000000000000001</v>
      </c>
      <c r="H149" s="16">
        <f t="shared" si="17"/>
        <v>1</v>
      </c>
      <c r="I149" s="16">
        <v>1.3</v>
      </c>
      <c r="J149" s="16">
        <v>1.3</v>
      </c>
      <c r="K149" s="16">
        <v>1.2</v>
      </c>
      <c r="L149" s="16"/>
      <c r="M149" s="16"/>
      <c r="N149" s="16"/>
      <c r="O149" s="16">
        <v>1.89</v>
      </c>
      <c r="P149" s="16"/>
      <c r="Q149" s="16"/>
      <c r="R149" s="16"/>
      <c r="S149" s="16"/>
      <c r="T149" s="16"/>
      <c r="U149" s="16">
        <f>U148</f>
        <v>1.02</v>
      </c>
      <c r="V149" s="16"/>
      <c r="W149" s="16"/>
      <c r="X149" s="16"/>
      <c r="Y149" s="16"/>
      <c r="Z149" s="16"/>
      <c r="AA149" s="16">
        <f>AA145</f>
        <v>1.02</v>
      </c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/>
      <c r="BN149" s="15"/>
      <c r="BO149" s="15"/>
      <c r="BP149" s="15"/>
      <c r="BQ149" s="15"/>
      <c r="BR149" s="15"/>
      <c r="BS149" s="15"/>
      <c r="BT149" s="15"/>
      <c r="BU149" s="15"/>
      <c r="BV149" s="15"/>
      <c r="BW149" s="15"/>
      <c r="BX149" s="15"/>
      <c r="BY149" s="15"/>
      <c r="BZ149" s="15"/>
      <c r="CA149" s="15"/>
      <c r="CB149" s="15"/>
      <c r="CC149" s="15"/>
      <c r="CD149" s="15"/>
      <c r="CE149" s="15"/>
      <c r="CF149" s="15"/>
      <c r="CG149" s="15"/>
      <c r="CH149" s="15"/>
      <c r="CI149" s="15"/>
      <c r="CJ149" s="15"/>
      <c r="CK149" s="15"/>
      <c r="CL149" s="15"/>
      <c r="CM149" s="15"/>
      <c r="CN149" s="15"/>
      <c r="CO149" s="15"/>
      <c r="CP149" s="15"/>
      <c r="CQ149" s="15"/>
      <c r="CR149" s="15"/>
      <c r="CS149" s="15"/>
      <c r="CT149" s="15"/>
      <c r="CU149" s="15"/>
      <c r="CV149" s="15"/>
      <c r="CW149" s="15"/>
      <c r="CX149" s="15"/>
      <c r="CY149" s="15"/>
    </row>
    <row r="150" spans="1:103" s="11" customFormat="1" x14ac:dyDescent="0.25">
      <c r="A150" s="4" t="s">
        <v>179</v>
      </c>
      <c r="B150" s="9" t="str" cm="1">
        <f t="array" ref="B150">User3($C$11:$ZX$11,C150:ZX150)</f>
        <v>1.05D+1.2SDL+1.2BW+1.1COL+1.1SOIL+1WATER+1.3Lr+1.3LLB+1.2LLE+1.89Wx-2+1.02CR13+1.02CR21</v>
      </c>
      <c r="C150" s="13">
        <f t="shared" si="12"/>
        <v>1.05</v>
      </c>
      <c r="D150" s="13">
        <f t="shared" si="13"/>
        <v>1.2</v>
      </c>
      <c r="E150" s="13">
        <f t="shared" si="14"/>
        <v>1.2</v>
      </c>
      <c r="F150" s="13">
        <f t="shared" si="15"/>
        <v>1.1000000000000001</v>
      </c>
      <c r="G150" s="13">
        <f t="shared" si="16"/>
        <v>1.1000000000000001</v>
      </c>
      <c r="H150" s="13">
        <f t="shared" si="17"/>
        <v>1</v>
      </c>
      <c r="I150" s="10">
        <v>1.3</v>
      </c>
      <c r="J150" s="10">
        <v>1.3</v>
      </c>
      <c r="K150" s="10">
        <v>1.2</v>
      </c>
      <c r="L150" s="10"/>
      <c r="M150" s="10"/>
      <c r="N150" s="10"/>
      <c r="O150" s="10">
        <v>1.89</v>
      </c>
      <c r="P150" s="10"/>
      <c r="Q150" s="10"/>
      <c r="R150" s="10"/>
      <c r="S150" s="10"/>
      <c r="T150" s="10"/>
      <c r="U150" s="10"/>
      <c r="V150" s="10">
        <f>U149</f>
        <v>1.02</v>
      </c>
      <c r="W150" s="10"/>
      <c r="X150" s="10">
        <f>X146</f>
        <v>1.02</v>
      </c>
      <c r="Y150" s="10"/>
      <c r="Z150" s="10"/>
      <c r="AA150" s="10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9"/>
      <c r="CE150" s="9"/>
      <c r="CF150" s="9"/>
      <c r="CG150" s="9"/>
      <c r="CH150" s="9"/>
      <c r="CI150" s="9"/>
      <c r="CJ150" s="9"/>
      <c r="CK150" s="9"/>
      <c r="CL150" s="9"/>
      <c r="CM150" s="9"/>
      <c r="CN150" s="9"/>
      <c r="CO150" s="9"/>
      <c r="CP150" s="9"/>
      <c r="CQ150" s="9"/>
      <c r="CR150" s="9"/>
      <c r="CS150" s="9"/>
      <c r="CT150" s="9"/>
      <c r="CU150" s="9"/>
      <c r="CV150" s="9"/>
      <c r="CW150" s="9"/>
      <c r="CX150" s="9"/>
      <c r="CY150" s="9"/>
    </row>
    <row r="151" spans="1:103" s="14" customFormat="1" x14ac:dyDescent="0.25">
      <c r="A151" s="4" t="s">
        <v>180</v>
      </c>
      <c r="B151" s="12" t="str" cm="1">
        <f t="array" ref="B151">User3($C$11:$ZX$11,C151:ZX151)</f>
        <v>1.05D+1.2SDL+1.2BW+1.1COL+1.1SOIL+1WATER+1.3Lr+1.3LLB+1.2LLE+1.89Wx-2+1.02CR13+1.02CR22</v>
      </c>
      <c r="C151" s="13">
        <f t="shared" si="12"/>
        <v>1.05</v>
      </c>
      <c r="D151" s="13">
        <f t="shared" si="13"/>
        <v>1.2</v>
      </c>
      <c r="E151" s="13">
        <f t="shared" si="14"/>
        <v>1.2</v>
      </c>
      <c r="F151" s="13">
        <f t="shared" si="15"/>
        <v>1.1000000000000001</v>
      </c>
      <c r="G151" s="13">
        <f t="shared" si="16"/>
        <v>1.1000000000000001</v>
      </c>
      <c r="H151" s="13">
        <f t="shared" si="17"/>
        <v>1</v>
      </c>
      <c r="I151" s="13">
        <v>1.3</v>
      </c>
      <c r="J151" s="13">
        <v>1.3</v>
      </c>
      <c r="K151" s="13">
        <v>1.2</v>
      </c>
      <c r="L151" s="13"/>
      <c r="M151" s="13"/>
      <c r="N151" s="13"/>
      <c r="O151" s="13">
        <v>1.89</v>
      </c>
      <c r="P151" s="13"/>
      <c r="Q151" s="13"/>
      <c r="R151" s="13"/>
      <c r="S151" s="13"/>
      <c r="T151" s="13"/>
      <c r="U151" s="13"/>
      <c r="V151" s="13">
        <f>V150</f>
        <v>1.02</v>
      </c>
      <c r="W151" s="13"/>
      <c r="X151" s="13"/>
      <c r="Y151" s="13">
        <f>X150</f>
        <v>1.02</v>
      </c>
      <c r="Z151" s="13"/>
      <c r="AA151" s="13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12"/>
      <c r="AW151" s="12"/>
      <c r="AX151" s="12"/>
      <c r="AY151" s="12"/>
      <c r="AZ151" s="12"/>
      <c r="BA151" s="12"/>
      <c r="BB151" s="12"/>
      <c r="BC151" s="12"/>
      <c r="BD151" s="12"/>
      <c r="BE151" s="12"/>
      <c r="BF151" s="12"/>
      <c r="BG151" s="12"/>
      <c r="BH151" s="12"/>
      <c r="BI151" s="12"/>
      <c r="BJ151" s="12"/>
      <c r="BK151" s="12"/>
      <c r="BL151" s="12"/>
      <c r="BM151" s="12"/>
      <c r="BN151" s="12"/>
      <c r="BO151" s="12"/>
      <c r="BP151" s="12"/>
      <c r="BQ151" s="12"/>
      <c r="BR151" s="12"/>
      <c r="BS151" s="12"/>
      <c r="BT151" s="12"/>
      <c r="BU151" s="12"/>
      <c r="BV151" s="12"/>
      <c r="BW151" s="12"/>
      <c r="BX151" s="12"/>
      <c r="BY151" s="12"/>
      <c r="BZ151" s="12"/>
      <c r="CA151" s="12"/>
      <c r="CB151" s="12"/>
      <c r="CC151" s="12"/>
      <c r="CD151" s="12"/>
      <c r="CE151" s="12"/>
      <c r="CF151" s="12"/>
      <c r="CG151" s="12"/>
      <c r="CH151" s="12"/>
      <c r="CI151" s="12"/>
      <c r="CJ151" s="12"/>
      <c r="CK151" s="12"/>
      <c r="CL151" s="12"/>
      <c r="CM151" s="12"/>
      <c r="CN151" s="12"/>
      <c r="CO151" s="12"/>
      <c r="CP151" s="12"/>
      <c r="CQ151" s="12"/>
      <c r="CR151" s="12"/>
      <c r="CS151" s="12"/>
      <c r="CT151" s="12"/>
      <c r="CU151" s="12"/>
      <c r="CV151" s="12"/>
      <c r="CW151" s="12"/>
      <c r="CX151" s="12"/>
      <c r="CY151" s="12"/>
    </row>
    <row r="152" spans="1:103" s="14" customFormat="1" x14ac:dyDescent="0.25">
      <c r="A152" s="4" t="s">
        <v>181</v>
      </c>
      <c r="B152" s="12" t="str" cm="1">
        <f t="array" ref="B152">User3($C$11:$ZX$11,C152:ZX152)</f>
        <v>1.05D+1.2SDL+1.2BW+1.1COL+1.1SOIL+1WATER+1.3Lr+1.3LLB+1.2LLE+1.89Wx-2+1.02CR13+1.02CR23</v>
      </c>
      <c r="C152" s="13">
        <f t="shared" si="12"/>
        <v>1.05</v>
      </c>
      <c r="D152" s="13">
        <f t="shared" si="13"/>
        <v>1.2</v>
      </c>
      <c r="E152" s="13">
        <f t="shared" si="14"/>
        <v>1.2</v>
      </c>
      <c r="F152" s="13">
        <f t="shared" si="15"/>
        <v>1.1000000000000001</v>
      </c>
      <c r="G152" s="13">
        <f t="shared" si="16"/>
        <v>1.1000000000000001</v>
      </c>
      <c r="H152" s="13">
        <f t="shared" si="17"/>
        <v>1</v>
      </c>
      <c r="I152" s="13">
        <v>1.3</v>
      </c>
      <c r="J152" s="13">
        <v>1.3</v>
      </c>
      <c r="K152" s="13">
        <v>1.2</v>
      </c>
      <c r="L152" s="13"/>
      <c r="M152" s="13"/>
      <c r="N152" s="13"/>
      <c r="O152" s="13">
        <v>1.89</v>
      </c>
      <c r="P152" s="13"/>
      <c r="Q152" s="13"/>
      <c r="R152" s="13"/>
      <c r="S152" s="13"/>
      <c r="T152" s="13"/>
      <c r="U152" s="13"/>
      <c r="V152" s="13">
        <f>V151</f>
        <v>1.02</v>
      </c>
      <c r="W152" s="13"/>
      <c r="X152" s="13"/>
      <c r="Y152" s="13"/>
      <c r="Z152" s="13">
        <f>Y151</f>
        <v>1.02</v>
      </c>
      <c r="AA152" s="13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12"/>
      <c r="AW152" s="12"/>
      <c r="AX152" s="12"/>
      <c r="AY152" s="12"/>
      <c r="AZ152" s="12"/>
      <c r="BA152" s="12"/>
      <c r="BB152" s="12"/>
      <c r="BC152" s="12"/>
      <c r="BD152" s="12"/>
      <c r="BE152" s="12"/>
      <c r="BF152" s="12"/>
      <c r="BG152" s="12"/>
      <c r="BH152" s="12"/>
      <c r="BI152" s="12"/>
      <c r="BJ152" s="12"/>
      <c r="BK152" s="12"/>
      <c r="BL152" s="12"/>
      <c r="BM152" s="12"/>
      <c r="BN152" s="12"/>
      <c r="BO152" s="12"/>
      <c r="BP152" s="12"/>
      <c r="BQ152" s="12"/>
      <c r="BR152" s="12"/>
      <c r="BS152" s="12"/>
      <c r="BT152" s="12"/>
      <c r="BU152" s="12"/>
      <c r="BV152" s="12"/>
      <c r="BW152" s="12"/>
      <c r="BX152" s="12"/>
      <c r="BY152" s="12"/>
      <c r="BZ152" s="12"/>
      <c r="CA152" s="12"/>
      <c r="CB152" s="12"/>
      <c r="CC152" s="12"/>
      <c r="CD152" s="12"/>
      <c r="CE152" s="12"/>
      <c r="CF152" s="12"/>
      <c r="CG152" s="12"/>
      <c r="CH152" s="12"/>
      <c r="CI152" s="12"/>
      <c r="CJ152" s="12"/>
      <c r="CK152" s="12"/>
      <c r="CL152" s="12"/>
      <c r="CM152" s="12"/>
      <c r="CN152" s="12"/>
      <c r="CO152" s="12"/>
      <c r="CP152" s="12"/>
      <c r="CQ152" s="12"/>
      <c r="CR152" s="12"/>
      <c r="CS152" s="12"/>
      <c r="CT152" s="12"/>
      <c r="CU152" s="12"/>
      <c r="CV152" s="12"/>
      <c r="CW152" s="12"/>
      <c r="CX152" s="12"/>
      <c r="CY152" s="12"/>
    </row>
    <row r="153" spans="1:103" s="14" customFormat="1" x14ac:dyDescent="0.25">
      <c r="A153" s="4" t="s">
        <v>182</v>
      </c>
      <c r="B153" s="12" t="str" cm="1">
        <f t="array" ref="B153">User3($C$11:$ZX$11,C153:ZX153)</f>
        <v>1.05D+1.2SDL+1.2BW+1.1COL+1.1SOIL+1WATER+1.3Lr+1.3LLB+1.2LLE+1.89Wx-2+1.02CR13+1.02CR24</v>
      </c>
      <c r="C153" s="13">
        <f t="shared" si="12"/>
        <v>1.05</v>
      </c>
      <c r="D153" s="13">
        <f t="shared" si="13"/>
        <v>1.2</v>
      </c>
      <c r="E153" s="13">
        <f t="shared" si="14"/>
        <v>1.2</v>
      </c>
      <c r="F153" s="13">
        <f t="shared" si="15"/>
        <v>1.1000000000000001</v>
      </c>
      <c r="G153" s="13">
        <f t="shared" si="16"/>
        <v>1.1000000000000001</v>
      </c>
      <c r="H153" s="13">
        <f t="shared" si="17"/>
        <v>1</v>
      </c>
      <c r="I153" s="13">
        <v>1.3</v>
      </c>
      <c r="J153" s="13">
        <v>1.3</v>
      </c>
      <c r="K153" s="13">
        <v>1.2</v>
      </c>
      <c r="L153" s="13"/>
      <c r="M153" s="13"/>
      <c r="N153" s="13"/>
      <c r="O153" s="13">
        <v>1.89</v>
      </c>
      <c r="P153" s="13"/>
      <c r="Q153" s="13"/>
      <c r="R153" s="13"/>
      <c r="S153" s="13"/>
      <c r="T153" s="13"/>
      <c r="U153" s="13"/>
      <c r="V153" s="13">
        <f>V152</f>
        <v>1.02</v>
      </c>
      <c r="W153" s="13"/>
      <c r="X153" s="13"/>
      <c r="Y153" s="13"/>
      <c r="Z153" s="13"/>
      <c r="AA153" s="13">
        <f>Z152</f>
        <v>1.02</v>
      </c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12"/>
      <c r="AW153" s="12"/>
      <c r="AX153" s="12"/>
      <c r="AY153" s="12"/>
      <c r="AZ153" s="12"/>
      <c r="BA153" s="12"/>
      <c r="BB153" s="12"/>
      <c r="BC153" s="12"/>
      <c r="BD153" s="12"/>
      <c r="BE153" s="12"/>
      <c r="BF153" s="12"/>
      <c r="BG153" s="12"/>
      <c r="BH153" s="12"/>
      <c r="BI153" s="12"/>
      <c r="BJ153" s="12"/>
      <c r="BK153" s="12"/>
      <c r="BL153" s="12"/>
      <c r="BM153" s="12"/>
      <c r="BN153" s="12"/>
      <c r="BO153" s="12"/>
      <c r="BP153" s="12"/>
      <c r="BQ153" s="12"/>
      <c r="BR153" s="12"/>
      <c r="BS153" s="12"/>
      <c r="BT153" s="12"/>
      <c r="BU153" s="12"/>
      <c r="BV153" s="12"/>
      <c r="BW153" s="12"/>
      <c r="BX153" s="12"/>
      <c r="BY153" s="12"/>
      <c r="BZ153" s="12"/>
      <c r="CA153" s="12"/>
      <c r="CB153" s="12"/>
      <c r="CC153" s="12"/>
      <c r="CD153" s="12"/>
      <c r="CE153" s="12"/>
      <c r="CF153" s="12"/>
      <c r="CG153" s="12"/>
      <c r="CH153" s="12"/>
      <c r="CI153" s="12"/>
      <c r="CJ153" s="12"/>
      <c r="CK153" s="12"/>
      <c r="CL153" s="12"/>
      <c r="CM153" s="12"/>
      <c r="CN153" s="12"/>
      <c r="CO153" s="12"/>
      <c r="CP153" s="12"/>
      <c r="CQ153" s="12"/>
      <c r="CR153" s="12"/>
      <c r="CS153" s="12"/>
      <c r="CT153" s="12"/>
      <c r="CU153" s="12"/>
      <c r="CV153" s="12"/>
      <c r="CW153" s="12"/>
      <c r="CX153" s="12"/>
      <c r="CY153" s="12"/>
    </row>
    <row r="154" spans="1:103" s="14" customFormat="1" x14ac:dyDescent="0.25">
      <c r="A154" s="4" t="s">
        <v>183</v>
      </c>
      <c r="B154" s="12" t="str" cm="1">
        <f t="array" ref="B154">User3($C$11:$ZX$11,C154:ZX154)</f>
        <v>1.05D+1.2SDL+1.2BW+1.1COL+1.1SOIL+1WATER+1.3Lr+1.3LLB+1.2LLE+1.89Wx-2+1.02CR14+1.02CR21</v>
      </c>
      <c r="C154" s="13">
        <f t="shared" si="12"/>
        <v>1.05</v>
      </c>
      <c r="D154" s="13">
        <f t="shared" si="13"/>
        <v>1.2</v>
      </c>
      <c r="E154" s="13">
        <f t="shared" si="14"/>
        <v>1.2</v>
      </c>
      <c r="F154" s="13">
        <f t="shared" si="15"/>
        <v>1.1000000000000001</v>
      </c>
      <c r="G154" s="13">
        <f t="shared" si="16"/>
        <v>1.1000000000000001</v>
      </c>
      <c r="H154" s="13">
        <f t="shared" si="17"/>
        <v>1</v>
      </c>
      <c r="I154" s="13">
        <v>1.3</v>
      </c>
      <c r="J154" s="13">
        <v>1.3</v>
      </c>
      <c r="K154" s="13">
        <v>1.2</v>
      </c>
      <c r="L154" s="13"/>
      <c r="M154" s="13"/>
      <c r="N154" s="13"/>
      <c r="O154" s="13">
        <v>1.89</v>
      </c>
      <c r="P154" s="13"/>
      <c r="Q154" s="13"/>
      <c r="R154" s="13"/>
      <c r="S154" s="13"/>
      <c r="T154" s="13"/>
      <c r="U154" s="13"/>
      <c r="V154" s="13"/>
      <c r="W154" s="13">
        <f>V153</f>
        <v>1.02</v>
      </c>
      <c r="X154" s="13">
        <f>X150</f>
        <v>1.02</v>
      </c>
      <c r="Y154" s="13"/>
      <c r="Z154" s="13"/>
      <c r="AA154" s="13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  <c r="AW154" s="12"/>
      <c r="AX154" s="12"/>
      <c r="AY154" s="12"/>
      <c r="AZ154" s="12"/>
      <c r="BA154" s="12"/>
      <c r="BB154" s="12"/>
      <c r="BC154" s="12"/>
      <c r="BD154" s="12"/>
      <c r="BE154" s="12"/>
      <c r="BF154" s="12"/>
      <c r="BG154" s="12"/>
      <c r="BH154" s="12"/>
      <c r="BI154" s="12"/>
      <c r="BJ154" s="12"/>
      <c r="BK154" s="12"/>
      <c r="BL154" s="12"/>
      <c r="BM154" s="12"/>
      <c r="BN154" s="12"/>
      <c r="BO154" s="12"/>
      <c r="BP154" s="12"/>
      <c r="BQ154" s="12"/>
      <c r="BR154" s="12"/>
      <c r="BS154" s="12"/>
      <c r="BT154" s="12"/>
      <c r="BU154" s="12"/>
      <c r="BV154" s="12"/>
      <c r="BW154" s="12"/>
      <c r="BX154" s="12"/>
      <c r="BY154" s="12"/>
      <c r="BZ154" s="12"/>
      <c r="CA154" s="12"/>
      <c r="CB154" s="12"/>
      <c r="CC154" s="12"/>
      <c r="CD154" s="12"/>
      <c r="CE154" s="12"/>
      <c r="CF154" s="12"/>
      <c r="CG154" s="12"/>
      <c r="CH154" s="12"/>
      <c r="CI154" s="12"/>
      <c r="CJ154" s="12"/>
      <c r="CK154" s="12"/>
      <c r="CL154" s="12"/>
      <c r="CM154" s="12"/>
      <c r="CN154" s="12"/>
      <c r="CO154" s="12"/>
      <c r="CP154" s="12"/>
      <c r="CQ154" s="12"/>
      <c r="CR154" s="12"/>
      <c r="CS154" s="12"/>
      <c r="CT154" s="12"/>
      <c r="CU154" s="12"/>
      <c r="CV154" s="12"/>
      <c r="CW154" s="12"/>
      <c r="CX154" s="12"/>
      <c r="CY154" s="12"/>
    </row>
    <row r="155" spans="1:103" s="14" customFormat="1" x14ac:dyDescent="0.25">
      <c r="A155" s="4" t="s">
        <v>184</v>
      </c>
      <c r="B155" s="12" t="str" cm="1">
        <f t="array" ref="B155">User3($C$11:$ZX$11,C155:ZX155)</f>
        <v>1.05D+1.2SDL+1.2BW+1.1COL+1.1SOIL+1WATER+1.3Lr+1.3LLB+1.2LLE+1.89Wx-2+1.02CR14+1.02CR22</v>
      </c>
      <c r="C155" s="13">
        <f t="shared" si="12"/>
        <v>1.05</v>
      </c>
      <c r="D155" s="13">
        <f t="shared" si="13"/>
        <v>1.2</v>
      </c>
      <c r="E155" s="13">
        <f t="shared" si="14"/>
        <v>1.2</v>
      </c>
      <c r="F155" s="13">
        <f t="shared" si="15"/>
        <v>1.1000000000000001</v>
      </c>
      <c r="G155" s="13">
        <f t="shared" si="16"/>
        <v>1.1000000000000001</v>
      </c>
      <c r="H155" s="13">
        <f t="shared" si="17"/>
        <v>1</v>
      </c>
      <c r="I155" s="13">
        <v>1.3</v>
      </c>
      <c r="J155" s="13">
        <v>1.3</v>
      </c>
      <c r="K155" s="13">
        <v>1.2</v>
      </c>
      <c r="L155" s="13"/>
      <c r="M155" s="13"/>
      <c r="N155" s="13"/>
      <c r="O155" s="13">
        <v>1.89</v>
      </c>
      <c r="P155" s="13"/>
      <c r="Q155" s="13"/>
      <c r="R155" s="13"/>
      <c r="S155" s="13"/>
      <c r="T155" s="13"/>
      <c r="U155" s="13"/>
      <c r="V155" s="13"/>
      <c r="W155" s="13">
        <f>W154</f>
        <v>1.02</v>
      </c>
      <c r="X155" s="13"/>
      <c r="Y155" s="13">
        <f>X154</f>
        <v>1.02</v>
      </c>
      <c r="Z155" s="13"/>
      <c r="AA155" s="13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  <c r="AW155" s="12"/>
      <c r="AX155" s="12"/>
      <c r="AY155" s="12"/>
      <c r="AZ155" s="12"/>
      <c r="BA155" s="12"/>
      <c r="BB155" s="12"/>
      <c r="BC155" s="12"/>
      <c r="BD155" s="12"/>
      <c r="BE155" s="12"/>
      <c r="BF155" s="12"/>
      <c r="BG155" s="12"/>
      <c r="BH155" s="12"/>
      <c r="BI155" s="12"/>
      <c r="BJ155" s="12"/>
      <c r="BK155" s="12"/>
      <c r="BL155" s="12"/>
      <c r="BM155" s="12"/>
      <c r="BN155" s="12"/>
      <c r="BO155" s="12"/>
      <c r="BP155" s="12"/>
      <c r="BQ155" s="12"/>
      <c r="BR155" s="12"/>
      <c r="BS155" s="12"/>
      <c r="BT155" s="12"/>
      <c r="BU155" s="12"/>
      <c r="BV155" s="12"/>
      <c r="BW155" s="12"/>
      <c r="BX155" s="12"/>
      <c r="BY155" s="12"/>
      <c r="BZ155" s="12"/>
      <c r="CA155" s="12"/>
      <c r="CB155" s="12"/>
      <c r="CC155" s="12"/>
      <c r="CD155" s="12"/>
      <c r="CE155" s="12"/>
      <c r="CF155" s="12"/>
      <c r="CG155" s="12"/>
      <c r="CH155" s="12"/>
      <c r="CI155" s="12"/>
      <c r="CJ155" s="12"/>
      <c r="CK155" s="12"/>
      <c r="CL155" s="12"/>
      <c r="CM155" s="12"/>
      <c r="CN155" s="12"/>
      <c r="CO155" s="12"/>
      <c r="CP155" s="12"/>
      <c r="CQ155" s="12"/>
      <c r="CR155" s="12"/>
      <c r="CS155" s="12"/>
      <c r="CT155" s="12"/>
      <c r="CU155" s="12"/>
      <c r="CV155" s="12"/>
      <c r="CW155" s="12"/>
      <c r="CX155" s="12"/>
      <c r="CY155" s="12"/>
    </row>
    <row r="156" spans="1:103" s="14" customFormat="1" x14ac:dyDescent="0.25">
      <c r="A156" s="4" t="s">
        <v>185</v>
      </c>
      <c r="B156" s="12" t="str" cm="1">
        <f t="array" ref="B156">User3($C$11:$ZX$11,C156:ZX156)</f>
        <v>1.05D+1.2SDL+1.2BW+1.1COL+1.1SOIL+1WATER+1.3Lr+1.3LLB+1.2LLE+1.89Wx-2+1.02CR14+1.02CR23</v>
      </c>
      <c r="C156" s="13">
        <f t="shared" si="12"/>
        <v>1.05</v>
      </c>
      <c r="D156" s="13">
        <f t="shared" si="13"/>
        <v>1.2</v>
      </c>
      <c r="E156" s="13">
        <f t="shared" si="14"/>
        <v>1.2</v>
      </c>
      <c r="F156" s="13">
        <f t="shared" si="15"/>
        <v>1.1000000000000001</v>
      </c>
      <c r="G156" s="13">
        <f t="shared" si="16"/>
        <v>1.1000000000000001</v>
      </c>
      <c r="H156" s="13">
        <f t="shared" si="17"/>
        <v>1</v>
      </c>
      <c r="I156" s="13">
        <v>1.3</v>
      </c>
      <c r="J156" s="13">
        <v>1.3</v>
      </c>
      <c r="K156" s="13">
        <v>1.2</v>
      </c>
      <c r="L156" s="13"/>
      <c r="M156" s="13"/>
      <c r="N156" s="13"/>
      <c r="O156" s="13">
        <v>1.89</v>
      </c>
      <c r="P156" s="13"/>
      <c r="Q156" s="13"/>
      <c r="R156" s="13"/>
      <c r="S156" s="13"/>
      <c r="T156" s="13"/>
      <c r="U156" s="13"/>
      <c r="V156" s="13"/>
      <c r="W156" s="13">
        <f>W155</f>
        <v>1.02</v>
      </c>
      <c r="X156" s="13"/>
      <c r="Y156" s="13"/>
      <c r="Z156" s="13">
        <f>Y155</f>
        <v>1.02</v>
      </c>
      <c r="AA156" s="13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12"/>
      <c r="AW156" s="12"/>
      <c r="AX156" s="12"/>
      <c r="AY156" s="12"/>
      <c r="AZ156" s="12"/>
      <c r="BA156" s="12"/>
      <c r="BB156" s="12"/>
      <c r="BC156" s="12"/>
      <c r="BD156" s="12"/>
      <c r="BE156" s="12"/>
      <c r="BF156" s="12"/>
      <c r="BG156" s="12"/>
      <c r="BH156" s="12"/>
      <c r="BI156" s="12"/>
      <c r="BJ156" s="12"/>
      <c r="BK156" s="12"/>
      <c r="BL156" s="12"/>
      <c r="BM156" s="12"/>
      <c r="BN156" s="12"/>
      <c r="BO156" s="12"/>
      <c r="BP156" s="12"/>
      <c r="BQ156" s="12"/>
      <c r="BR156" s="12"/>
      <c r="BS156" s="12"/>
      <c r="BT156" s="12"/>
      <c r="BU156" s="12"/>
      <c r="BV156" s="12"/>
      <c r="BW156" s="12"/>
      <c r="BX156" s="12"/>
      <c r="BY156" s="12"/>
      <c r="BZ156" s="12"/>
      <c r="CA156" s="12"/>
      <c r="CB156" s="12"/>
      <c r="CC156" s="12"/>
      <c r="CD156" s="12"/>
      <c r="CE156" s="12"/>
      <c r="CF156" s="12"/>
      <c r="CG156" s="12"/>
      <c r="CH156" s="12"/>
      <c r="CI156" s="12"/>
      <c r="CJ156" s="12"/>
      <c r="CK156" s="12"/>
      <c r="CL156" s="12"/>
      <c r="CM156" s="12"/>
      <c r="CN156" s="12"/>
      <c r="CO156" s="12"/>
      <c r="CP156" s="12"/>
      <c r="CQ156" s="12"/>
      <c r="CR156" s="12"/>
      <c r="CS156" s="12"/>
      <c r="CT156" s="12"/>
      <c r="CU156" s="12"/>
      <c r="CV156" s="12"/>
      <c r="CW156" s="12"/>
      <c r="CX156" s="12"/>
      <c r="CY156" s="12"/>
    </row>
    <row r="157" spans="1:103" s="17" customFormat="1" x14ac:dyDescent="0.25">
      <c r="A157" s="4" t="s">
        <v>186</v>
      </c>
      <c r="B157" s="15" t="str" cm="1">
        <f t="array" ref="B157">User3($C$11:$ZX$11,C157:ZX157)</f>
        <v>1.05D+1.2SDL+1.2BW+1.1COL+1.1SOIL+1WATER+1.3Lr+1.3LLB+1.2LLE+1.89Wx-2+1.02CR14+1.02CR24</v>
      </c>
      <c r="C157" s="16">
        <f t="shared" si="12"/>
        <v>1.05</v>
      </c>
      <c r="D157" s="16">
        <f t="shared" si="13"/>
        <v>1.2</v>
      </c>
      <c r="E157" s="16">
        <f t="shared" si="14"/>
        <v>1.2</v>
      </c>
      <c r="F157" s="16">
        <f t="shared" si="15"/>
        <v>1.1000000000000001</v>
      </c>
      <c r="G157" s="16">
        <f t="shared" si="16"/>
        <v>1.1000000000000001</v>
      </c>
      <c r="H157" s="16">
        <f t="shared" si="17"/>
        <v>1</v>
      </c>
      <c r="I157" s="16">
        <v>1.3</v>
      </c>
      <c r="J157" s="16">
        <v>1.3</v>
      </c>
      <c r="K157" s="16">
        <v>1.2</v>
      </c>
      <c r="L157" s="16"/>
      <c r="M157" s="16"/>
      <c r="N157" s="16"/>
      <c r="O157" s="16">
        <v>1.89</v>
      </c>
      <c r="P157" s="16"/>
      <c r="Q157" s="16"/>
      <c r="R157" s="16"/>
      <c r="S157" s="16"/>
      <c r="T157" s="16"/>
      <c r="U157" s="16"/>
      <c r="V157" s="16"/>
      <c r="W157" s="16">
        <f>W156</f>
        <v>1.02</v>
      </c>
      <c r="X157" s="16"/>
      <c r="Y157" s="16"/>
      <c r="Z157" s="16"/>
      <c r="AA157" s="16">
        <f>Z156</f>
        <v>1.02</v>
      </c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5"/>
      <c r="BM157" s="15"/>
      <c r="BN157" s="15"/>
      <c r="BO157" s="15"/>
      <c r="BP157" s="15"/>
      <c r="BQ157" s="15"/>
      <c r="BR157" s="15"/>
      <c r="BS157" s="15"/>
      <c r="BT157" s="15"/>
      <c r="BU157" s="15"/>
      <c r="BV157" s="15"/>
      <c r="BW157" s="15"/>
      <c r="BX157" s="15"/>
      <c r="BY157" s="15"/>
      <c r="BZ157" s="15"/>
      <c r="CA157" s="15"/>
      <c r="CB157" s="15"/>
      <c r="CC157" s="15"/>
      <c r="CD157" s="15"/>
      <c r="CE157" s="15"/>
      <c r="CF157" s="15"/>
      <c r="CG157" s="15"/>
      <c r="CH157" s="15"/>
      <c r="CI157" s="15"/>
      <c r="CJ157" s="15"/>
      <c r="CK157" s="15"/>
      <c r="CL157" s="15"/>
      <c r="CM157" s="15"/>
      <c r="CN157" s="15"/>
      <c r="CO157" s="15"/>
      <c r="CP157" s="15"/>
      <c r="CQ157" s="15"/>
      <c r="CR157" s="15"/>
      <c r="CS157" s="15"/>
      <c r="CT157" s="15"/>
      <c r="CU157" s="15"/>
      <c r="CV157" s="15"/>
      <c r="CW157" s="15"/>
      <c r="CX157" s="15"/>
      <c r="CY157" s="15"/>
    </row>
    <row r="158" spans="1:103" x14ac:dyDescent="0.25">
      <c r="A158" s="4" t="s">
        <v>187</v>
      </c>
      <c r="B158" s="2" t="str" cm="1">
        <f t="array" ref="B158">User3($C$11:$ZX$11,C158:ZX158)</f>
        <v>1.05D+1.2SDL+1.2BW+1.1COL+1.1SOIL+1WATER+1.3Lr+1.3LLB+1.2LLE+1.89Wy+1+1.02CR11+1.02CR21</v>
      </c>
      <c r="C158" s="13">
        <f t="shared" si="12"/>
        <v>1.05</v>
      </c>
      <c r="D158" s="13">
        <f t="shared" si="13"/>
        <v>1.2</v>
      </c>
      <c r="E158" s="13">
        <f t="shared" si="14"/>
        <v>1.2</v>
      </c>
      <c r="F158" s="13">
        <f t="shared" si="15"/>
        <v>1.1000000000000001</v>
      </c>
      <c r="G158" s="13">
        <f t="shared" si="16"/>
        <v>1.1000000000000001</v>
      </c>
      <c r="H158" s="13">
        <f t="shared" si="17"/>
        <v>1</v>
      </c>
      <c r="I158" s="10">
        <v>1.3</v>
      </c>
      <c r="J158" s="10">
        <v>1.3</v>
      </c>
      <c r="K158" s="10">
        <v>1.2</v>
      </c>
      <c r="L158" s="10"/>
      <c r="M158" s="10"/>
      <c r="N158" s="10"/>
      <c r="O158" s="10"/>
      <c r="P158" s="10">
        <v>1.89</v>
      </c>
      <c r="Q158" s="10"/>
      <c r="R158" s="10"/>
      <c r="S158" s="10"/>
      <c r="T158" s="10">
        <f>T142</f>
        <v>1.02</v>
      </c>
      <c r="U158" s="10"/>
      <c r="V158" s="10"/>
      <c r="W158" s="10"/>
      <c r="X158" s="10">
        <f>T158</f>
        <v>1.02</v>
      </c>
      <c r="Y158" s="10"/>
      <c r="Z158" s="10"/>
      <c r="AA158" s="10"/>
    </row>
    <row r="159" spans="1:103" x14ac:dyDescent="0.25">
      <c r="A159" s="4" t="s">
        <v>188</v>
      </c>
      <c r="B159" s="2" t="str" cm="1">
        <f t="array" ref="B159">User3($C$11:$ZX$11,C159:ZX159)</f>
        <v>1.05D+1.2SDL+1.2BW+1.1COL+1.1SOIL+1WATER+1.3Lr+1.3LLB+1.2LLE+1.89Wy+1+1.02CR11+1.02CR22</v>
      </c>
      <c r="C159" s="13">
        <f t="shared" si="12"/>
        <v>1.05</v>
      </c>
      <c r="D159" s="13">
        <f t="shared" si="13"/>
        <v>1.2</v>
      </c>
      <c r="E159" s="13">
        <f t="shared" si="14"/>
        <v>1.2</v>
      </c>
      <c r="F159" s="13">
        <f t="shared" si="15"/>
        <v>1.1000000000000001</v>
      </c>
      <c r="G159" s="13">
        <f t="shared" si="16"/>
        <v>1.1000000000000001</v>
      </c>
      <c r="H159" s="13">
        <f t="shared" si="17"/>
        <v>1</v>
      </c>
      <c r="I159" s="13">
        <v>1.3</v>
      </c>
      <c r="J159" s="13">
        <v>1.3</v>
      </c>
      <c r="K159" s="13">
        <v>1.2</v>
      </c>
      <c r="L159" s="13"/>
      <c r="M159" s="13"/>
      <c r="N159" s="13"/>
      <c r="O159" s="13"/>
      <c r="P159" s="13">
        <v>1.89</v>
      </c>
      <c r="Q159" s="13"/>
      <c r="R159" s="13"/>
      <c r="S159" s="13"/>
      <c r="T159" s="13">
        <f>T158</f>
        <v>1.02</v>
      </c>
      <c r="U159" s="13"/>
      <c r="V159" s="13"/>
      <c r="W159" s="13"/>
      <c r="X159" s="13"/>
      <c r="Y159" s="13">
        <f>X158</f>
        <v>1.02</v>
      </c>
      <c r="Z159" s="13"/>
      <c r="AA159" s="13"/>
    </row>
    <row r="160" spans="1:103" x14ac:dyDescent="0.25">
      <c r="A160" s="4" t="s">
        <v>189</v>
      </c>
      <c r="B160" s="2" t="str" cm="1">
        <f t="array" ref="B160">User3($C$11:$ZX$11,C160:ZX160)</f>
        <v>1.05D+1.2SDL+1.2BW+1.1COL+1.1SOIL+1WATER+1.3Lr+1.3LLB+1.2LLE+1.89Wy+1+1.02CR11+1.02CR23</v>
      </c>
      <c r="C160" s="13">
        <f t="shared" si="12"/>
        <v>1.05</v>
      </c>
      <c r="D160" s="13">
        <f t="shared" si="13"/>
        <v>1.2</v>
      </c>
      <c r="E160" s="13">
        <f t="shared" si="14"/>
        <v>1.2</v>
      </c>
      <c r="F160" s="13">
        <f t="shared" si="15"/>
        <v>1.1000000000000001</v>
      </c>
      <c r="G160" s="13">
        <f t="shared" si="16"/>
        <v>1.1000000000000001</v>
      </c>
      <c r="H160" s="13">
        <f t="shared" si="17"/>
        <v>1</v>
      </c>
      <c r="I160" s="13">
        <v>1.3</v>
      </c>
      <c r="J160" s="13">
        <v>1.3</v>
      </c>
      <c r="K160" s="13">
        <v>1.2</v>
      </c>
      <c r="L160" s="13"/>
      <c r="M160" s="13"/>
      <c r="N160" s="13"/>
      <c r="O160" s="13"/>
      <c r="P160" s="13">
        <v>1.89</v>
      </c>
      <c r="Q160" s="13"/>
      <c r="R160" s="13"/>
      <c r="S160" s="13"/>
      <c r="T160" s="13">
        <f>T159</f>
        <v>1.02</v>
      </c>
      <c r="U160" s="13"/>
      <c r="V160" s="13"/>
      <c r="W160" s="13"/>
      <c r="X160" s="13"/>
      <c r="Y160" s="13"/>
      <c r="Z160" s="13">
        <f>Y159</f>
        <v>1.02</v>
      </c>
      <c r="AA160" s="13"/>
    </row>
    <row r="161" spans="1:27" x14ac:dyDescent="0.25">
      <c r="A161" s="4" t="s">
        <v>190</v>
      </c>
      <c r="B161" s="2" t="str" cm="1">
        <f t="array" ref="B161">User3($C$11:$ZX$11,C161:ZX161)</f>
        <v>1.05D+1.2SDL+1.2BW+1.1COL+1.1SOIL+1WATER+1.3Lr+1.3LLB+1.2LLE+1.89Wy+1+1.02CR11+1.02CR24</v>
      </c>
      <c r="C161" s="13">
        <f t="shared" si="12"/>
        <v>1.05</v>
      </c>
      <c r="D161" s="13">
        <f t="shared" si="13"/>
        <v>1.2</v>
      </c>
      <c r="E161" s="13">
        <f t="shared" si="14"/>
        <v>1.2</v>
      </c>
      <c r="F161" s="13">
        <f t="shared" si="15"/>
        <v>1.1000000000000001</v>
      </c>
      <c r="G161" s="13">
        <f t="shared" si="16"/>
        <v>1.1000000000000001</v>
      </c>
      <c r="H161" s="13">
        <f t="shared" si="17"/>
        <v>1</v>
      </c>
      <c r="I161" s="13">
        <v>1.3</v>
      </c>
      <c r="J161" s="13">
        <v>1.3</v>
      </c>
      <c r="K161" s="13">
        <v>1.2</v>
      </c>
      <c r="L161" s="13"/>
      <c r="M161" s="13"/>
      <c r="N161" s="13"/>
      <c r="O161" s="13"/>
      <c r="P161" s="13">
        <v>1.89</v>
      </c>
      <c r="Q161" s="13"/>
      <c r="R161" s="13"/>
      <c r="S161" s="13"/>
      <c r="T161" s="13">
        <f>T160</f>
        <v>1.02</v>
      </c>
      <c r="U161" s="13"/>
      <c r="V161" s="13"/>
      <c r="W161" s="13"/>
      <c r="X161" s="13"/>
      <c r="Y161" s="13"/>
      <c r="Z161" s="13"/>
      <c r="AA161" s="13">
        <f>Z160</f>
        <v>1.02</v>
      </c>
    </row>
    <row r="162" spans="1:27" x14ac:dyDescent="0.25">
      <c r="A162" s="4" t="s">
        <v>191</v>
      </c>
      <c r="B162" s="2" t="str" cm="1">
        <f t="array" ref="B162">User3($C$11:$ZX$11,C162:ZX162)</f>
        <v>1.05D+1.2SDL+1.2BW+1.1COL+1.1SOIL+1WATER+1.3Lr+1.3LLB+1.2LLE+1.89Wy+1+1.02CR12+1.02CR21</v>
      </c>
      <c r="C162" s="13">
        <f t="shared" si="12"/>
        <v>1.05</v>
      </c>
      <c r="D162" s="13">
        <f t="shared" si="13"/>
        <v>1.2</v>
      </c>
      <c r="E162" s="13">
        <f t="shared" si="14"/>
        <v>1.2</v>
      </c>
      <c r="F162" s="13">
        <f t="shared" si="15"/>
        <v>1.1000000000000001</v>
      </c>
      <c r="G162" s="13">
        <f t="shared" si="16"/>
        <v>1.1000000000000001</v>
      </c>
      <c r="H162" s="13">
        <f t="shared" si="17"/>
        <v>1</v>
      </c>
      <c r="I162" s="13">
        <v>1.3</v>
      </c>
      <c r="J162" s="13">
        <v>1.3</v>
      </c>
      <c r="K162" s="13">
        <v>1.2</v>
      </c>
      <c r="L162" s="13"/>
      <c r="M162" s="13"/>
      <c r="N162" s="13"/>
      <c r="O162" s="13"/>
      <c r="P162" s="13">
        <v>1.89</v>
      </c>
      <c r="Q162" s="13"/>
      <c r="R162" s="13"/>
      <c r="S162" s="13"/>
      <c r="T162" s="13"/>
      <c r="U162" s="13">
        <f>T158</f>
        <v>1.02</v>
      </c>
      <c r="V162" s="13"/>
      <c r="W162" s="13"/>
      <c r="X162" s="13">
        <f>X158</f>
        <v>1.02</v>
      </c>
      <c r="Y162" s="13"/>
      <c r="Z162" s="13"/>
      <c r="AA162" s="13"/>
    </row>
    <row r="163" spans="1:27" x14ac:dyDescent="0.25">
      <c r="A163" s="4" t="s">
        <v>192</v>
      </c>
      <c r="B163" s="2" t="str" cm="1">
        <f t="array" ref="B163">User3($C$11:$ZX$11,C163:ZX163)</f>
        <v>1.05D+1.2SDL+1.2BW+1.1COL+1.1SOIL+1WATER+1.3Lr+1.3LLB+1.2LLE+1.89Wy+1+1.02CR12+1.02CR22</v>
      </c>
      <c r="C163" s="13">
        <f t="shared" si="12"/>
        <v>1.05</v>
      </c>
      <c r="D163" s="13">
        <f t="shared" si="13"/>
        <v>1.2</v>
      </c>
      <c r="E163" s="13">
        <f t="shared" si="14"/>
        <v>1.2</v>
      </c>
      <c r="F163" s="13">
        <f t="shared" si="15"/>
        <v>1.1000000000000001</v>
      </c>
      <c r="G163" s="13">
        <f t="shared" si="16"/>
        <v>1.1000000000000001</v>
      </c>
      <c r="H163" s="13">
        <f t="shared" si="17"/>
        <v>1</v>
      </c>
      <c r="I163" s="13">
        <v>1.3</v>
      </c>
      <c r="J163" s="13">
        <v>1.3</v>
      </c>
      <c r="K163" s="13">
        <v>1.2</v>
      </c>
      <c r="L163" s="13"/>
      <c r="M163" s="13"/>
      <c r="N163" s="13"/>
      <c r="O163" s="13"/>
      <c r="P163" s="13">
        <v>1.89</v>
      </c>
      <c r="Q163" s="13"/>
      <c r="R163" s="13"/>
      <c r="S163" s="13"/>
      <c r="T163" s="13"/>
      <c r="U163" s="13">
        <f>U162</f>
        <v>1.02</v>
      </c>
      <c r="V163" s="13"/>
      <c r="W163" s="13"/>
      <c r="X163" s="13"/>
      <c r="Y163" s="13">
        <f>Y159</f>
        <v>1.02</v>
      </c>
      <c r="Z163" s="13"/>
      <c r="AA163" s="13"/>
    </row>
    <row r="164" spans="1:27" x14ac:dyDescent="0.25">
      <c r="A164" s="4" t="s">
        <v>193</v>
      </c>
      <c r="B164" s="2" t="str" cm="1">
        <f t="array" ref="B164">User3($C$11:$ZX$11,C164:ZX164)</f>
        <v>1.05D+1.2SDL+1.2BW+1.1COL+1.1SOIL+1WATER+1.3Lr+1.3LLB+1.2LLE+1.89Wy+1+1.02CR12+1.02CR23</v>
      </c>
      <c r="C164" s="13">
        <f t="shared" si="12"/>
        <v>1.05</v>
      </c>
      <c r="D164" s="13">
        <f t="shared" si="13"/>
        <v>1.2</v>
      </c>
      <c r="E164" s="13">
        <f t="shared" si="14"/>
        <v>1.2</v>
      </c>
      <c r="F164" s="13">
        <f t="shared" si="15"/>
        <v>1.1000000000000001</v>
      </c>
      <c r="G164" s="13">
        <f t="shared" si="16"/>
        <v>1.1000000000000001</v>
      </c>
      <c r="H164" s="13">
        <f t="shared" si="17"/>
        <v>1</v>
      </c>
      <c r="I164" s="13">
        <v>1.3</v>
      </c>
      <c r="J164" s="13">
        <v>1.3</v>
      </c>
      <c r="K164" s="13">
        <v>1.2</v>
      </c>
      <c r="L164" s="13"/>
      <c r="M164" s="13"/>
      <c r="N164" s="13"/>
      <c r="O164" s="13"/>
      <c r="P164" s="13">
        <v>1.89</v>
      </c>
      <c r="Q164" s="13"/>
      <c r="R164" s="13"/>
      <c r="S164" s="13"/>
      <c r="T164" s="13"/>
      <c r="U164" s="13">
        <f>U163</f>
        <v>1.02</v>
      </c>
      <c r="V164" s="13"/>
      <c r="W164" s="13"/>
      <c r="X164" s="13"/>
      <c r="Y164" s="13"/>
      <c r="Z164" s="13">
        <f>Z160</f>
        <v>1.02</v>
      </c>
      <c r="AA164" s="13"/>
    </row>
    <row r="165" spans="1:27" x14ac:dyDescent="0.25">
      <c r="A165" s="4" t="s">
        <v>194</v>
      </c>
      <c r="B165" s="2" t="str" cm="1">
        <f t="array" ref="B165">User3($C$11:$ZX$11,C165:ZX165)</f>
        <v>1.05D+1.2SDL+1.2BW+1.1COL+1.1SOIL+1WATER+1.3Lr+1.3LLB+1.2LLE+1.89Wy+1+1.02CR12+1.02CR24</v>
      </c>
      <c r="C165" s="16">
        <f t="shared" si="12"/>
        <v>1.05</v>
      </c>
      <c r="D165" s="16">
        <f t="shared" si="13"/>
        <v>1.2</v>
      </c>
      <c r="E165" s="16">
        <f t="shared" si="14"/>
        <v>1.2</v>
      </c>
      <c r="F165" s="16">
        <f t="shared" si="15"/>
        <v>1.1000000000000001</v>
      </c>
      <c r="G165" s="16">
        <f t="shared" si="16"/>
        <v>1.1000000000000001</v>
      </c>
      <c r="H165" s="16">
        <f t="shared" si="17"/>
        <v>1</v>
      </c>
      <c r="I165" s="16">
        <v>1.3</v>
      </c>
      <c r="J165" s="16">
        <v>1.3</v>
      </c>
      <c r="K165" s="16">
        <v>1.2</v>
      </c>
      <c r="L165" s="16"/>
      <c r="M165" s="16"/>
      <c r="N165" s="16"/>
      <c r="O165" s="16"/>
      <c r="P165" s="16">
        <v>1.89</v>
      </c>
      <c r="Q165" s="16"/>
      <c r="R165" s="16"/>
      <c r="S165" s="16"/>
      <c r="T165" s="16"/>
      <c r="U165" s="16">
        <f>U164</f>
        <v>1.02</v>
      </c>
      <c r="V165" s="16"/>
      <c r="W165" s="16"/>
      <c r="X165" s="16"/>
      <c r="Y165" s="16"/>
      <c r="Z165" s="16"/>
      <c r="AA165" s="16">
        <f>AA161</f>
        <v>1.02</v>
      </c>
    </row>
    <row r="166" spans="1:27" x14ac:dyDescent="0.25">
      <c r="A166" s="4" t="s">
        <v>195</v>
      </c>
      <c r="B166" s="2" t="str" cm="1">
        <f t="array" ref="B166">User3($C$11:$ZX$11,C166:ZX166)</f>
        <v>1.05D+1.2SDL+1.2BW+1.1COL+1.1SOIL+1WATER+1.3Lr+1.3LLB+1.2LLE+1.89Wy+1+1.02CR13+1.02CR21</v>
      </c>
      <c r="C166" s="13">
        <f t="shared" si="12"/>
        <v>1.05</v>
      </c>
      <c r="D166" s="13">
        <f t="shared" si="13"/>
        <v>1.2</v>
      </c>
      <c r="E166" s="13">
        <f t="shared" si="14"/>
        <v>1.2</v>
      </c>
      <c r="F166" s="13">
        <f t="shared" si="15"/>
        <v>1.1000000000000001</v>
      </c>
      <c r="G166" s="13">
        <f t="shared" si="16"/>
        <v>1.1000000000000001</v>
      </c>
      <c r="H166" s="13">
        <f t="shared" si="17"/>
        <v>1</v>
      </c>
      <c r="I166" s="10">
        <v>1.3</v>
      </c>
      <c r="J166" s="10">
        <v>1.3</v>
      </c>
      <c r="K166" s="10">
        <v>1.2</v>
      </c>
      <c r="L166" s="10"/>
      <c r="M166" s="10"/>
      <c r="N166" s="10"/>
      <c r="O166" s="10"/>
      <c r="P166" s="10">
        <v>1.89</v>
      </c>
      <c r="Q166" s="10"/>
      <c r="R166" s="10"/>
      <c r="S166" s="10"/>
      <c r="T166" s="10"/>
      <c r="U166" s="10"/>
      <c r="V166" s="10">
        <f>U165</f>
        <v>1.02</v>
      </c>
      <c r="W166" s="10"/>
      <c r="X166" s="10">
        <f>X162</f>
        <v>1.02</v>
      </c>
      <c r="Y166" s="10"/>
      <c r="Z166" s="10"/>
      <c r="AA166" s="10"/>
    </row>
    <row r="167" spans="1:27" x14ac:dyDescent="0.25">
      <c r="A167" s="4" t="s">
        <v>196</v>
      </c>
      <c r="B167" s="2" t="str" cm="1">
        <f t="array" ref="B167">User3($C$11:$ZX$11,C167:ZX167)</f>
        <v>1.05D+1.2SDL+1.2BW+1.1COL+1.1SOIL+1WATER+1.3Lr+1.3LLB+1.2LLE+1.89Wy+1+1.02CR13+1.02CR22</v>
      </c>
      <c r="C167" s="13">
        <f t="shared" si="12"/>
        <v>1.05</v>
      </c>
      <c r="D167" s="13">
        <f t="shared" si="13"/>
        <v>1.2</v>
      </c>
      <c r="E167" s="13">
        <f t="shared" si="14"/>
        <v>1.2</v>
      </c>
      <c r="F167" s="13">
        <f t="shared" si="15"/>
        <v>1.1000000000000001</v>
      </c>
      <c r="G167" s="13">
        <f t="shared" si="16"/>
        <v>1.1000000000000001</v>
      </c>
      <c r="H167" s="13">
        <f t="shared" si="17"/>
        <v>1</v>
      </c>
      <c r="I167" s="13">
        <v>1.3</v>
      </c>
      <c r="J167" s="13">
        <v>1.3</v>
      </c>
      <c r="K167" s="13">
        <v>1.2</v>
      </c>
      <c r="L167" s="13"/>
      <c r="M167" s="13"/>
      <c r="N167" s="13"/>
      <c r="O167" s="13"/>
      <c r="P167" s="13">
        <v>1.89</v>
      </c>
      <c r="Q167" s="13"/>
      <c r="R167" s="13"/>
      <c r="S167" s="13"/>
      <c r="T167" s="13"/>
      <c r="U167" s="13"/>
      <c r="V167" s="13">
        <f>V166</f>
        <v>1.02</v>
      </c>
      <c r="W167" s="13"/>
      <c r="X167" s="13"/>
      <c r="Y167" s="13">
        <f>X166</f>
        <v>1.02</v>
      </c>
      <c r="Z167" s="13"/>
      <c r="AA167" s="13"/>
    </row>
    <row r="168" spans="1:27" x14ac:dyDescent="0.25">
      <c r="A168" s="4" t="s">
        <v>197</v>
      </c>
      <c r="B168" s="2" t="str" cm="1">
        <f t="array" ref="B168">User3($C$11:$ZX$11,C168:ZX168)</f>
        <v>1.05D+1.2SDL+1.2BW+1.1COL+1.1SOIL+1WATER+1.3Lr+1.3LLB+1.2LLE+1.89Wy+1+1.02CR13+1.02CR23</v>
      </c>
      <c r="C168" s="13">
        <f t="shared" si="12"/>
        <v>1.05</v>
      </c>
      <c r="D168" s="13">
        <f t="shared" si="13"/>
        <v>1.2</v>
      </c>
      <c r="E168" s="13">
        <f t="shared" si="14"/>
        <v>1.2</v>
      </c>
      <c r="F168" s="13">
        <f t="shared" si="15"/>
        <v>1.1000000000000001</v>
      </c>
      <c r="G168" s="13">
        <f t="shared" si="16"/>
        <v>1.1000000000000001</v>
      </c>
      <c r="H168" s="13">
        <f t="shared" si="17"/>
        <v>1</v>
      </c>
      <c r="I168" s="13">
        <v>1.3</v>
      </c>
      <c r="J168" s="13">
        <v>1.3</v>
      </c>
      <c r="K168" s="13">
        <v>1.2</v>
      </c>
      <c r="L168" s="13"/>
      <c r="M168" s="13"/>
      <c r="N168" s="13"/>
      <c r="O168" s="13"/>
      <c r="P168" s="13">
        <v>1.89</v>
      </c>
      <c r="Q168" s="13"/>
      <c r="R168" s="13"/>
      <c r="S168" s="13"/>
      <c r="T168" s="13"/>
      <c r="U168" s="13"/>
      <c r="V168" s="13">
        <f>V167</f>
        <v>1.02</v>
      </c>
      <c r="W168" s="13"/>
      <c r="X168" s="13"/>
      <c r="Y168" s="13"/>
      <c r="Z168" s="13">
        <f>Y167</f>
        <v>1.02</v>
      </c>
      <c r="AA168" s="13"/>
    </row>
    <row r="169" spans="1:27" x14ac:dyDescent="0.25">
      <c r="A169" s="4" t="s">
        <v>198</v>
      </c>
      <c r="B169" s="2" t="str" cm="1">
        <f t="array" ref="B169">User3($C$11:$ZX$11,C169:ZX169)</f>
        <v>1.05D+1.2SDL+1.2BW+1.1COL+1.1SOIL+1WATER+1.3Lr+1.3LLB+1.2LLE+1.89Wy+1+1.02CR13+1.02CR24</v>
      </c>
      <c r="C169" s="13">
        <f t="shared" si="12"/>
        <v>1.05</v>
      </c>
      <c r="D169" s="13">
        <f t="shared" si="13"/>
        <v>1.2</v>
      </c>
      <c r="E169" s="13">
        <f t="shared" si="14"/>
        <v>1.2</v>
      </c>
      <c r="F169" s="13">
        <f t="shared" si="15"/>
        <v>1.1000000000000001</v>
      </c>
      <c r="G169" s="13">
        <f t="shared" si="16"/>
        <v>1.1000000000000001</v>
      </c>
      <c r="H169" s="13">
        <f t="shared" si="17"/>
        <v>1</v>
      </c>
      <c r="I169" s="13">
        <v>1.3</v>
      </c>
      <c r="J169" s="13">
        <v>1.3</v>
      </c>
      <c r="K169" s="13">
        <v>1.2</v>
      </c>
      <c r="L169" s="13"/>
      <c r="M169" s="13"/>
      <c r="N169" s="13"/>
      <c r="O169" s="13"/>
      <c r="P169" s="13">
        <v>1.89</v>
      </c>
      <c r="Q169" s="13"/>
      <c r="R169" s="13"/>
      <c r="S169" s="13"/>
      <c r="T169" s="13"/>
      <c r="U169" s="13"/>
      <c r="V169" s="13">
        <f>V168</f>
        <v>1.02</v>
      </c>
      <c r="W169" s="13"/>
      <c r="X169" s="13"/>
      <c r="Y169" s="13"/>
      <c r="Z169" s="13"/>
      <c r="AA169" s="13">
        <f>Z168</f>
        <v>1.02</v>
      </c>
    </row>
    <row r="170" spans="1:27" x14ac:dyDescent="0.25">
      <c r="A170" s="4" t="s">
        <v>199</v>
      </c>
      <c r="B170" s="2" t="str" cm="1">
        <f t="array" ref="B170">User3($C$11:$ZX$11,C170:ZX170)</f>
        <v>1.05D+1.2SDL+1.2BW+1.1COL+1.1SOIL+1WATER+1.3Lr+1.3LLB+1.2LLE+1.89Wy+1+1.02CR14+1.02CR21</v>
      </c>
      <c r="C170" s="13">
        <f t="shared" si="12"/>
        <v>1.05</v>
      </c>
      <c r="D170" s="13">
        <f t="shared" si="13"/>
        <v>1.2</v>
      </c>
      <c r="E170" s="13">
        <f t="shared" si="14"/>
        <v>1.2</v>
      </c>
      <c r="F170" s="13">
        <f t="shared" si="15"/>
        <v>1.1000000000000001</v>
      </c>
      <c r="G170" s="13">
        <f t="shared" si="16"/>
        <v>1.1000000000000001</v>
      </c>
      <c r="H170" s="13">
        <f t="shared" si="17"/>
        <v>1</v>
      </c>
      <c r="I170" s="13">
        <v>1.3</v>
      </c>
      <c r="J170" s="13">
        <v>1.3</v>
      </c>
      <c r="K170" s="13">
        <v>1.2</v>
      </c>
      <c r="L170" s="13"/>
      <c r="M170" s="13"/>
      <c r="N170" s="13"/>
      <c r="O170" s="13"/>
      <c r="P170" s="13">
        <v>1.89</v>
      </c>
      <c r="Q170" s="13"/>
      <c r="R170" s="13"/>
      <c r="S170" s="13"/>
      <c r="T170" s="13"/>
      <c r="U170" s="13"/>
      <c r="V170" s="13"/>
      <c r="W170" s="13">
        <f>V169</f>
        <v>1.02</v>
      </c>
      <c r="X170" s="13">
        <f>X166</f>
        <v>1.02</v>
      </c>
      <c r="Y170" s="13"/>
      <c r="Z170" s="13"/>
      <c r="AA170" s="13"/>
    </row>
    <row r="171" spans="1:27" x14ac:dyDescent="0.25">
      <c r="A171" s="4" t="s">
        <v>200</v>
      </c>
      <c r="B171" s="2" t="str" cm="1">
        <f t="array" ref="B171">User3($C$11:$ZX$11,C171:ZX171)</f>
        <v>1.05D+1.2SDL+1.2BW+1.1COL+1.1SOIL+1WATER+1.3Lr+1.3LLB+1.2LLE+1.89Wy+1+1.02CR14+1.02CR22</v>
      </c>
      <c r="C171" s="13">
        <f t="shared" si="12"/>
        <v>1.05</v>
      </c>
      <c r="D171" s="13">
        <f t="shared" si="13"/>
        <v>1.2</v>
      </c>
      <c r="E171" s="13">
        <f t="shared" si="14"/>
        <v>1.2</v>
      </c>
      <c r="F171" s="13">
        <f t="shared" si="15"/>
        <v>1.1000000000000001</v>
      </c>
      <c r="G171" s="13">
        <f t="shared" si="16"/>
        <v>1.1000000000000001</v>
      </c>
      <c r="H171" s="13">
        <f t="shared" si="17"/>
        <v>1</v>
      </c>
      <c r="I171" s="13">
        <v>1.3</v>
      </c>
      <c r="J171" s="13">
        <v>1.3</v>
      </c>
      <c r="K171" s="13">
        <v>1.2</v>
      </c>
      <c r="L171" s="13"/>
      <c r="M171" s="13"/>
      <c r="N171" s="13"/>
      <c r="O171" s="13"/>
      <c r="P171" s="13">
        <v>1.89</v>
      </c>
      <c r="Q171" s="13"/>
      <c r="R171" s="13"/>
      <c r="S171" s="13"/>
      <c r="T171" s="13"/>
      <c r="U171" s="13"/>
      <c r="V171" s="13"/>
      <c r="W171" s="13">
        <f>W170</f>
        <v>1.02</v>
      </c>
      <c r="X171" s="13"/>
      <c r="Y171" s="13">
        <f>X170</f>
        <v>1.02</v>
      </c>
      <c r="Z171" s="13"/>
      <c r="AA171" s="13"/>
    </row>
    <row r="172" spans="1:27" x14ac:dyDescent="0.25">
      <c r="A172" s="4" t="s">
        <v>201</v>
      </c>
      <c r="B172" s="2" t="str" cm="1">
        <f t="array" ref="B172">User3($C$11:$ZX$11,C172:ZX172)</f>
        <v>1.05D+1.2SDL+1.2BW+1.1COL+1.1SOIL+1WATER+1.3Lr+1.3LLB+1.2LLE+1.89Wy+1+1.02CR14+1.02CR23</v>
      </c>
      <c r="C172" s="13">
        <f t="shared" si="12"/>
        <v>1.05</v>
      </c>
      <c r="D172" s="13">
        <f t="shared" si="13"/>
        <v>1.2</v>
      </c>
      <c r="E172" s="13">
        <f t="shared" si="14"/>
        <v>1.2</v>
      </c>
      <c r="F172" s="13">
        <f t="shared" si="15"/>
        <v>1.1000000000000001</v>
      </c>
      <c r="G172" s="13">
        <f t="shared" si="16"/>
        <v>1.1000000000000001</v>
      </c>
      <c r="H172" s="13">
        <f t="shared" si="17"/>
        <v>1</v>
      </c>
      <c r="I172" s="13">
        <v>1.3</v>
      </c>
      <c r="J172" s="13">
        <v>1.3</v>
      </c>
      <c r="K172" s="13">
        <v>1.2</v>
      </c>
      <c r="L172" s="13"/>
      <c r="M172" s="13"/>
      <c r="N172" s="13"/>
      <c r="O172" s="13"/>
      <c r="P172" s="13">
        <v>1.89</v>
      </c>
      <c r="Q172" s="13"/>
      <c r="R172" s="13"/>
      <c r="S172" s="13"/>
      <c r="T172" s="13"/>
      <c r="U172" s="13"/>
      <c r="V172" s="13"/>
      <c r="W172" s="13">
        <f>W171</f>
        <v>1.02</v>
      </c>
      <c r="X172" s="13"/>
      <c r="Y172" s="13"/>
      <c r="Z172" s="13">
        <f>Y171</f>
        <v>1.02</v>
      </c>
      <c r="AA172" s="13"/>
    </row>
    <row r="173" spans="1:27" x14ac:dyDescent="0.25">
      <c r="A173" s="4" t="s">
        <v>202</v>
      </c>
      <c r="B173" s="2" t="str" cm="1">
        <f t="array" ref="B173">User3($C$11:$ZX$11,C173:ZX173)</f>
        <v>1.05D+1.2SDL+1.2BW+1.1COL+1.1SOIL+1WATER+1.3Lr+1.3LLB+1.2LLE+1.89Wy+1+1.02CR14+1.02CR24</v>
      </c>
      <c r="C173" s="16">
        <f t="shared" si="12"/>
        <v>1.05</v>
      </c>
      <c r="D173" s="16">
        <f t="shared" si="13"/>
        <v>1.2</v>
      </c>
      <c r="E173" s="16">
        <f t="shared" si="14"/>
        <v>1.2</v>
      </c>
      <c r="F173" s="16">
        <f t="shared" si="15"/>
        <v>1.1000000000000001</v>
      </c>
      <c r="G173" s="16">
        <f t="shared" si="16"/>
        <v>1.1000000000000001</v>
      </c>
      <c r="H173" s="16">
        <f t="shared" si="17"/>
        <v>1</v>
      </c>
      <c r="I173" s="16">
        <v>1.3</v>
      </c>
      <c r="J173" s="16">
        <v>1.3</v>
      </c>
      <c r="K173" s="16">
        <v>1.2</v>
      </c>
      <c r="L173" s="16"/>
      <c r="M173" s="16"/>
      <c r="N173" s="16"/>
      <c r="O173" s="16"/>
      <c r="P173" s="16">
        <v>1.89</v>
      </c>
      <c r="Q173" s="16"/>
      <c r="R173" s="16"/>
      <c r="S173" s="16"/>
      <c r="T173" s="16"/>
      <c r="U173" s="16"/>
      <c r="V173" s="16"/>
      <c r="W173" s="16">
        <f>W172</f>
        <v>1.02</v>
      </c>
      <c r="X173" s="16"/>
      <c r="Y173" s="16"/>
      <c r="Z173" s="16"/>
      <c r="AA173" s="16">
        <f>Z172</f>
        <v>1.02</v>
      </c>
    </row>
    <row r="174" spans="1:27" x14ac:dyDescent="0.25">
      <c r="A174" s="4" t="s">
        <v>203</v>
      </c>
      <c r="B174" s="2" t="str" cm="1">
        <f t="array" ref="B174">User3($C$11:$ZX$11,C174:ZX174)</f>
        <v>1.05D+1.2SDL+1.2BW+1.1COL+1.1SOIL+1WATER+1.3Lr+1.3LLB+1.2LLE+1.89Wy+2+1.02CR11+1.02CR21</v>
      </c>
      <c r="C174" s="13">
        <f t="shared" si="12"/>
        <v>1.05</v>
      </c>
      <c r="D174" s="13">
        <f t="shared" si="13"/>
        <v>1.2</v>
      </c>
      <c r="E174" s="13">
        <f t="shared" si="14"/>
        <v>1.2</v>
      </c>
      <c r="F174" s="13">
        <f t="shared" si="15"/>
        <v>1.1000000000000001</v>
      </c>
      <c r="G174" s="13">
        <f t="shared" si="16"/>
        <v>1.1000000000000001</v>
      </c>
      <c r="H174" s="13">
        <f t="shared" si="17"/>
        <v>1</v>
      </c>
      <c r="I174" s="10">
        <v>1.3</v>
      </c>
      <c r="J174" s="10">
        <v>1.3</v>
      </c>
      <c r="K174" s="10">
        <v>1.2</v>
      </c>
      <c r="L174" s="10"/>
      <c r="M174" s="10"/>
      <c r="N174" s="10"/>
      <c r="O174" s="10"/>
      <c r="P174" s="10"/>
      <c r="Q174" s="10">
        <v>1.89</v>
      </c>
      <c r="R174" s="10"/>
      <c r="S174" s="10"/>
      <c r="T174" s="10">
        <f>T158</f>
        <v>1.02</v>
      </c>
      <c r="U174" s="10"/>
      <c r="V174" s="10"/>
      <c r="W174" s="10"/>
      <c r="X174" s="10">
        <f>T174</f>
        <v>1.02</v>
      </c>
      <c r="Y174" s="10"/>
      <c r="Z174" s="10"/>
      <c r="AA174" s="10"/>
    </row>
    <row r="175" spans="1:27" x14ac:dyDescent="0.25">
      <c r="A175" s="4" t="s">
        <v>204</v>
      </c>
      <c r="B175" s="2" t="str" cm="1">
        <f t="array" ref="B175">User3($C$11:$ZX$11,C175:ZX175)</f>
        <v>1.05D+1.2SDL+1.2BW+1.1COL+1.1SOIL+1WATER+1.3Lr+1.3LLB+1.2LLE+1.89Wy+2+1.02CR11+1.02CR22</v>
      </c>
      <c r="C175" s="13">
        <f t="shared" si="12"/>
        <v>1.05</v>
      </c>
      <c r="D175" s="13">
        <f t="shared" si="13"/>
        <v>1.2</v>
      </c>
      <c r="E175" s="13">
        <f t="shared" si="14"/>
        <v>1.2</v>
      </c>
      <c r="F175" s="13">
        <f t="shared" si="15"/>
        <v>1.1000000000000001</v>
      </c>
      <c r="G175" s="13">
        <f t="shared" si="16"/>
        <v>1.1000000000000001</v>
      </c>
      <c r="H175" s="13">
        <f t="shared" si="17"/>
        <v>1</v>
      </c>
      <c r="I175" s="13">
        <v>1.3</v>
      </c>
      <c r="J175" s="13">
        <v>1.3</v>
      </c>
      <c r="K175" s="13">
        <v>1.2</v>
      </c>
      <c r="L175" s="13"/>
      <c r="M175" s="13"/>
      <c r="N175" s="13"/>
      <c r="O175" s="13"/>
      <c r="P175" s="13"/>
      <c r="Q175" s="13">
        <v>1.89</v>
      </c>
      <c r="R175" s="13"/>
      <c r="S175" s="13"/>
      <c r="T175" s="13">
        <f>T174</f>
        <v>1.02</v>
      </c>
      <c r="U175" s="13"/>
      <c r="V175" s="13"/>
      <c r="W175" s="13"/>
      <c r="X175" s="13"/>
      <c r="Y175" s="13">
        <f>X174</f>
        <v>1.02</v>
      </c>
      <c r="Z175" s="13"/>
      <c r="AA175" s="13"/>
    </row>
    <row r="176" spans="1:27" x14ac:dyDescent="0.25">
      <c r="A176" s="4" t="s">
        <v>205</v>
      </c>
      <c r="B176" s="2" t="str" cm="1">
        <f t="array" ref="B176">User3($C$11:$ZX$11,C176:ZX176)</f>
        <v>1.05D+1.2SDL+1.2BW+1.1COL+1.1SOIL+1WATER+1.3Lr+1.3LLB+1.2LLE+1.89Wy+2+1.02CR11+1.02CR23</v>
      </c>
      <c r="C176" s="13">
        <f t="shared" si="12"/>
        <v>1.05</v>
      </c>
      <c r="D176" s="13">
        <f t="shared" si="13"/>
        <v>1.2</v>
      </c>
      <c r="E176" s="13">
        <f t="shared" si="14"/>
        <v>1.2</v>
      </c>
      <c r="F176" s="13">
        <f t="shared" si="15"/>
        <v>1.1000000000000001</v>
      </c>
      <c r="G176" s="13">
        <f t="shared" si="16"/>
        <v>1.1000000000000001</v>
      </c>
      <c r="H176" s="13">
        <f t="shared" si="17"/>
        <v>1</v>
      </c>
      <c r="I176" s="13">
        <v>1.3</v>
      </c>
      <c r="J176" s="13">
        <v>1.3</v>
      </c>
      <c r="K176" s="13">
        <v>1.2</v>
      </c>
      <c r="L176" s="13"/>
      <c r="M176" s="13"/>
      <c r="N176" s="13"/>
      <c r="O176" s="13"/>
      <c r="P176" s="13"/>
      <c r="Q176" s="13">
        <v>1.89</v>
      </c>
      <c r="R176" s="13"/>
      <c r="S176" s="13"/>
      <c r="T176" s="13">
        <f>T175</f>
        <v>1.02</v>
      </c>
      <c r="U176" s="13"/>
      <c r="V176" s="13"/>
      <c r="W176" s="13"/>
      <c r="X176" s="13"/>
      <c r="Y176" s="13"/>
      <c r="Z176" s="13">
        <f>Y175</f>
        <v>1.02</v>
      </c>
      <c r="AA176" s="13"/>
    </row>
    <row r="177" spans="1:27" x14ac:dyDescent="0.25">
      <c r="A177" s="4" t="s">
        <v>206</v>
      </c>
      <c r="B177" s="2" t="str" cm="1">
        <f t="array" ref="B177">User3($C$11:$ZX$11,C177:ZX177)</f>
        <v>1.05D+1.2SDL+1.2BW+1.1COL+1.1SOIL+1WATER+1.3Lr+1.3LLB+1.2LLE+1.89Wy+2+1.02CR11+1.02CR24</v>
      </c>
      <c r="C177" s="13">
        <f t="shared" si="12"/>
        <v>1.05</v>
      </c>
      <c r="D177" s="13">
        <f t="shared" si="13"/>
        <v>1.2</v>
      </c>
      <c r="E177" s="13">
        <f t="shared" si="14"/>
        <v>1.2</v>
      </c>
      <c r="F177" s="13">
        <f t="shared" si="15"/>
        <v>1.1000000000000001</v>
      </c>
      <c r="G177" s="13">
        <f t="shared" si="16"/>
        <v>1.1000000000000001</v>
      </c>
      <c r="H177" s="13">
        <f t="shared" si="17"/>
        <v>1</v>
      </c>
      <c r="I177" s="13">
        <v>1.3</v>
      </c>
      <c r="J177" s="13">
        <v>1.3</v>
      </c>
      <c r="K177" s="13">
        <v>1.2</v>
      </c>
      <c r="L177" s="13"/>
      <c r="M177" s="13"/>
      <c r="N177" s="13"/>
      <c r="O177" s="13"/>
      <c r="P177" s="13"/>
      <c r="Q177" s="13">
        <v>1.89</v>
      </c>
      <c r="R177" s="13"/>
      <c r="S177" s="13"/>
      <c r="T177" s="13">
        <f>T176</f>
        <v>1.02</v>
      </c>
      <c r="U177" s="13"/>
      <c r="V177" s="13"/>
      <c r="W177" s="13"/>
      <c r="X177" s="13"/>
      <c r="Y177" s="13"/>
      <c r="Z177" s="13"/>
      <c r="AA177" s="13">
        <f>Z176</f>
        <v>1.02</v>
      </c>
    </row>
    <row r="178" spans="1:27" x14ac:dyDescent="0.25">
      <c r="A178" s="4" t="s">
        <v>207</v>
      </c>
      <c r="B178" s="2" t="str" cm="1">
        <f t="array" ref="B178">User3($C$11:$ZX$11,C178:ZX178)</f>
        <v>1.05D+1.2SDL+1.2BW+1.1COL+1.1SOIL+1WATER+1.3Lr+1.3LLB+1.2LLE+1.89Wy+2+1.02CR12+1.02CR21</v>
      </c>
      <c r="C178" s="13">
        <f t="shared" si="12"/>
        <v>1.05</v>
      </c>
      <c r="D178" s="13">
        <f t="shared" si="13"/>
        <v>1.2</v>
      </c>
      <c r="E178" s="13">
        <f t="shared" si="14"/>
        <v>1.2</v>
      </c>
      <c r="F178" s="13">
        <f t="shared" si="15"/>
        <v>1.1000000000000001</v>
      </c>
      <c r="G178" s="13">
        <f t="shared" si="16"/>
        <v>1.1000000000000001</v>
      </c>
      <c r="H178" s="13">
        <f t="shared" si="17"/>
        <v>1</v>
      </c>
      <c r="I178" s="13">
        <v>1.3</v>
      </c>
      <c r="J178" s="13">
        <v>1.3</v>
      </c>
      <c r="K178" s="13">
        <v>1.2</v>
      </c>
      <c r="L178" s="13"/>
      <c r="M178" s="13"/>
      <c r="N178" s="13"/>
      <c r="O178" s="13"/>
      <c r="P178" s="13"/>
      <c r="Q178" s="13">
        <v>1.89</v>
      </c>
      <c r="R178" s="13"/>
      <c r="S178" s="13"/>
      <c r="T178" s="13"/>
      <c r="U178" s="13">
        <f>T174</f>
        <v>1.02</v>
      </c>
      <c r="V178" s="13"/>
      <c r="W178" s="13"/>
      <c r="X178" s="13">
        <f>X174</f>
        <v>1.02</v>
      </c>
      <c r="Y178" s="13"/>
      <c r="Z178" s="13"/>
      <c r="AA178" s="13"/>
    </row>
    <row r="179" spans="1:27" x14ac:dyDescent="0.25">
      <c r="A179" s="4" t="s">
        <v>208</v>
      </c>
      <c r="B179" s="2" t="str" cm="1">
        <f t="array" ref="B179">User3($C$11:$ZX$11,C179:ZX179)</f>
        <v>1.05D+1.2SDL+1.2BW+1.1COL+1.1SOIL+1WATER+1.3Lr+1.3LLB+1.2LLE+1.89Wy+2+1.02CR12+1.02CR22</v>
      </c>
      <c r="C179" s="13">
        <f t="shared" si="12"/>
        <v>1.05</v>
      </c>
      <c r="D179" s="13">
        <f t="shared" si="13"/>
        <v>1.2</v>
      </c>
      <c r="E179" s="13">
        <f t="shared" si="14"/>
        <v>1.2</v>
      </c>
      <c r="F179" s="13">
        <f t="shared" si="15"/>
        <v>1.1000000000000001</v>
      </c>
      <c r="G179" s="13">
        <f t="shared" si="16"/>
        <v>1.1000000000000001</v>
      </c>
      <c r="H179" s="13">
        <f t="shared" si="17"/>
        <v>1</v>
      </c>
      <c r="I179" s="13">
        <v>1.3</v>
      </c>
      <c r="J179" s="13">
        <v>1.3</v>
      </c>
      <c r="K179" s="13">
        <v>1.2</v>
      </c>
      <c r="L179" s="13"/>
      <c r="M179" s="13"/>
      <c r="N179" s="13"/>
      <c r="O179" s="13"/>
      <c r="P179" s="13"/>
      <c r="Q179" s="13">
        <v>1.89</v>
      </c>
      <c r="R179" s="13"/>
      <c r="S179" s="13"/>
      <c r="T179" s="13"/>
      <c r="U179" s="13">
        <f>U178</f>
        <v>1.02</v>
      </c>
      <c r="V179" s="13"/>
      <c r="W179" s="13"/>
      <c r="X179" s="13"/>
      <c r="Y179" s="13">
        <f>Y175</f>
        <v>1.02</v>
      </c>
      <c r="Z179" s="13"/>
      <c r="AA179" s="13"/>
    </row>
    <row r="180" spans="1:27" x14ac:dyDescent="0.25">
      <c r="A180" s="4" t="s">
        <v>209</v>
      </c>
      <c r="B180" s="2" t="str" cm="1">
        <f t="array" ref="B180">User3($C$11:$ZX$11,C180:ZX180)</f>
        <v>1.05D+1.2SDL+1.2BW+1.1COL+1.1SOIL+1WATER+1.3Lr+1.3LLB+1.2LLE+1.89Wy+2+1.02CR12+1.02CR23</v>
      </c>
      <c r="C180" s="13">
        <f t="shared" si="12"/>
        <v>1.05</v>
      </c>
      <c r="D180" s="13">
        <f t="shared" si="13"/>
        <v>1.2</v>
      </c>
      <c r="E180" s="13">
        <f t="shared" si="14"/>
        <v>1.2</v>
      </c>
      <c r="F180" s="13">
        <f t="shared" si="15"/>
        <v>1.1000000000000001</v>
      </c>
      <c r="G180" s="13">
        <f t="shared" si="16"/>
        <v>1.1000000000000001</v>
      </c>
      <c r="H180" s="13">
        <f t="shared" si="17"/>
        <v>1</v>
      </c>
      <c r="I180" s="13">
        <v>1.3</v>
      </c>
      <c r="J180" s="13">
        <v>1.3</v>
      </c>
      <c r="K180" s="13">
        <v>1.2</v>
      </c>
      <c r="L180" s="13"/>
      <c r="M180" s="13"/>
      <c r="N180" s="13"/>
      <c r="O180" s="13"/>
      <c r="P180" s="13"/>
      <c r="Q180" s="13">
        <v>1.89</v>
      </c>
      <c r="R180" s="13"/>
      <c r="S180" s="13"/>
      <c r="T180" s="13"/>
      <c r="U180" s="13">
        <f>U179</f>
        <v>1.02</v>
      </c>
      <c r="V180" s="13"/>
      <c r="W180" s="13"/>
      <c r="X180" s="13"/>
      <c r="Y180" s="13"/>
      <c r="Z180" s="13">
        <f>Z176</f>
        <v>1.02</v>
      </c>
      <c r="AA180" s="13"/>
    </row>
    <row r="181" spans="1:27" x14ac:dyDescent="0.25">
      <c r="A181" s="4" t="s">
        <v>210</v>
      </c>
      <c r="B181" s="2" t="str" cm="1">
        <f t="array" ref="B181">User3($C$11:$ZX$11,C181:ZX181)</f>
        <v>1.05D+1.2SDL+1.2BW+1.1COL+1.1SOIL+1WATER+1.3Lr+1.3LLB+1.2LLE+1.89Wy+2+1.02CR12+1.02CR24</v>
      </c>
      <c r="C181" s="16">
        <f t="shared" si="12"/>
        <v>1.05</v>
      </c>
      <c r="D181" s="16">
        <f t="shared" si="13"/>
        <v>1.2</v>
      </c>
      <c r="E181" s="16">
        <f t="shared" si="14"/>
        <v>1.2</v>
      </c>
      <c r="F181" s="16">
        <f t="shared" si="15"/>
        <v>1.1000000000000001</v>
      </c>
      <c r="G181" s="16">
        <f t="shared" si="16"/>
        <v>1.1000000000000001</v>
      </c>
      <c r="H181" s="16">
        <f t="shared" si="17"/>
        <v>1</v>
      </c>
      <c r="I181" s="16">
        <v>1.3</v>
      </c>
      <c r="J181" s="16">
        <v>1.3</v>
      </c>
      <c r="K181" s="16">
        <v>1.2</v>
      </c>
      <c r="L181" s="16"/>
      <c r="M181" s="16"/>
      <c r="N181" s="16"/>
      <c r="O181" s="16"/>
      <c r="P181" s="16"/>
      <c r="Q181" s="16">
        <v>1.89</v>
      </c>
      <c r="R181" s="16"/>
      <c r="S181" s="16"/>
      <c r="T181" s="16"/>
      <c r="U181" s="16">
        <f>U180</f>
        <v>1.02</v>
      </c>
      <c r="V181" s="16"/>
      <c r="W181" s="16"/>
      <c r="X181" s="16"/>
      <c r="Y181" s="16"/>
      <c r="Z181" s="16"/>
      <c r="AA181" s="16">
        <f>AA177</f>
        <v>1.02</v>
      </c>
    </row>
    <row r="182" spans="1:27" x14ac:dyDescent="0.25">
      <c r="A182" s="4" t="s">
        <v>211</v>
      </c>
      <c r="B182" s="2" t="str" cm="1">
        <f t="array" ref="B182">User3($C$11:$ZX$11,C182:ZX182)</f>
        <v>1.05D+1.2SDL+1.2BW+1.1COL+1.1SOIL+1WATER+1.3Lr+1.3LLB+1.2LLE+1.89Wy+2+1.02CR13+1.02CR21</v>
      </c>
      <c r="C182" s="13">
        <f t="shared" si="12"/>
        <v>1.05</v>
      </c>
      <c r="D182" s="13">
        <f t="shared" si="13"/>
        <v>1.2</v>
      </c>
      <c r="E182" s="13">
        <f t="shared" si="14"/>
        <v>1.2</v>
      </c>
      <c r="F182" s="13">
        <f t="shared" si="15"/>
        <v>1.1000000000000001</v>
      </c>
      <c r="G182" s="13">
        <f t="shared" si="16"/>
        <v>1.1000000000000001</v>
      </c>
      <c r="H182" s="13">
        <f t="shared" si="17"/>
        <v>1</v>
      </c>
      <c r="I182" s="10">
        <v>1.3</v>
      </c>
      <c r="J182" s="10">
        <v>1.3</v>
      </c>
      <c r="K182" s="10">
        <v>1.2</v>
      </c>
      <c r="L182" s="10"/>
      <c r="M182" s="10"/>
      <c r="N182" s="10"/>
      <c r="O182" s="10"/>
      <c r="P182" s="10"/>
      <c r="Q182" s="10">
        <v>1.89</v>
      </c>
      <c r="R182" s="10"/>
      <c r="S182" s="10"/>
      <c r="T182" s="10"/>
      <c r="U182" s="10"/>
      <c r="V182" s="10">
        <f>U181</f>
        <v>1.02</v>
      </c>
      <c r="W182" s="10"/>
      <c r="X182" s="10">
        <f>X178</f>
        <v>1.02</v>
      </c>
      <c r="Y182" s="10"/>
      <c r="Z182" s="10"/>
      <c r="AA182" s="10"/>
    </row>
    <row r="183" spans="1:27" x14ac:dyDescent="0.25">
      <c r="A183" s="4" t="s">
        <v>212</v>
      </c>
      <c r="B183" s="2" t="str" cm="1">
        <f t="array" ref="B183">User3($C$11:$ZX$11,C183:ZX183)</f>
        <v>1.05D+1.2SDL+1.2BW+1.1COL+1.1SOIL+1WATER+1.3Lr+1.3LLB+1.2LLE+1.89Wy+2+1.02CR13+1.02CR22</v>
      </c>
      <c r="C183" s="13">
        <f t="shared" si="12"/>
        <v>1.05</v>
      </c>
      <c r="D183" s="13">
        <f t="shared" si="13"/>
        <v>1.2</v>
      </c>
      <c r="E183" s="13">
        <f t="shared" si="14"/>
        <v>1.2</v>
      </c>
      <c r="F183" s="13">
        <f t="shared" si="15"/>
        <v>1.1000000000000001</v>
      </c>
      <c r="G183" s="13">
        <f t="shared" si="16"/>
        <v>1.1000000000000001</v>
      </c>
      <c r="H183" s="13">
        <f t="shared" si="17"/>
        <v>1</v>
      </c>
      <c r="I183" s="13">
        <v>1.3</v>
      </c>
      <c r="J183" s="13">
        <v>1.3</v>
      </c>
      <c r="K183" s="13">
        <v>1.2</v>
      </c>
      <c r="L183" s="13"/>
      <c r="M183" s="13"/>
      <c r="N183" s="13"/>
      <c r="O183" s="13"/>
      <c r="P183" s="13"/>
      <c r="Q183" s="13">
        <v>1.89</v>
      </c>
      <c r="R183" s="13"/>
      <c r="S183" s="13"/>
      <c r="T183" s="13"/>
      <c r="U183" s="13"/>
      <c r="V183" s="13">
        <f>V182</f>
        <v>1.02</v>
      </c>
      <c r="W183" s="13"/>
      <c r="X183" s="13"/>
      <c r="Y183" s="13">
        <f>X182</f>
        <v>1.02</v>
      </c>
      <c r="Z183" s="13"/>
      <c r="AA183" s="13"/>
    </row>
    <row r="184" spans="1:27" x14ac:dyDescent="0.25">
      <c r="A184" s="4" t="s">
        <v>213</v>
      </c>
      <c r="B184" s="2" t="str" cm="1">
        <f t="array" ref="B184">User3($C$11:$ZX$11,C184:ZX184)</f>
        <v>1.05D+1.2SDL+1.2BW+1.1COL+1.1SOIL+1WATER+1.3Lr+1.3LLB+1.2LLE+1.89Wy+2+1.02CR13+1.02CR23</v>
      </c>
      <c r="C184" s="13">
        <f t="shared" si="12"/>
        <v>1.05</v>
      </c>
      <c r="D184" s="13">
        <f t="shared" si="13"/>
        <v>1.2</v>
      </c>
      <c r="E184" s="13">
        <f t="shared" si="14"/>
        <v>1.2</v>
      </c>
      <c r="F184" s="13">
        <f t="shared" si="15"/>
        <v>1.1000000000000001</v>
      </c>
      <c r="G184" s="13">
        <f t="shared" si="16"/>
        <v>1.1000000000000001</v>
      </c>
      <c r="H184" s="13">
        <f t="shared" si="17"/>
        <v>1</v>
      </c>
      <c r="I184" s="13">
        <v>1.3</v>
      </c>
      <c r="J184" s="13">
        <v>1.3</v>
      </c>
      <c r="K184" s="13">
        <v>1.2</v>
      </c>
      <c r="L184" s="13"/>
      <c r="M184" s="13"/>
      <c r="N184" s="13"/>
      <c r="O184" s="13"/>
      <c r="P184" s="13"/>
      <c r="Q184" s="13">
        <v>1.89</v>
      </c>
      <c r="R184" s="13"/>
      <c r="S184" s="13"/>
      <c r="T184" s="13"/>
      <c r="U184" s="13"/>
      <c r="V184" s="13">
        <f>V183</f>
        <v>1.02</v>
      </c>
      <c r="W184" s="13"/>
      <c r="X184" s="13"/>
      <c r="Y184" s="13"/>
      <c r="Z184" s="13">
        <f>Y183</f>
        <v>1.02</v>
      </c>
      <c r="AA184" s="13"/>
    </row>
    <row r="185" spans="1:27" x14ac:dyDescent="0.25">
      <c r="A185" s="4" t="s">
        <v>214</v>
      </c>
      <c r="B185" s="2" t="str" cm="1">
        <f t="array" ref="B185">User3($C$11:$ZX$11,C185:ZX185)</f>
        <v>1.05D+1.2SDL+1.2BW+1.1COL+1.1SOIL+1WATER+1.3Lr+1.3LLB+1.2LLE+1.89Wy+2+1.02CR13+1.02CR24</v>
      </c>
      <c r="C185" s="13">
        <f t="shared" si="12"/>
        <v>1.05</v>
      </c>
      <c r="D185" s="13">
        <f t="shared" si="13"/>
        <v>1.2</v>
      </c>
      <c r="E185" s="13">
        <f t="shared" si="14"/>
        <v>1.2</v>
      </c>
      <c r="F185" s="13">
        <f t="shared" si="15"/>
        <v>1.1000000000000001</v>
      </c>
      <c r="G185" s="13">
        <f t="shared" si="16"/>
        <v>1.1000000000000001</v>
      </c>
      <c r="H185" s="13">
        <f t="shared" si="17"/>
        <v>1</v>
      </c>
      <c r="I185" s="13">
        <v>1.3</v>
      </c>
      <c r="J185" s="13">
        <v>1.3</v>
      </c>
      <c r="K185" s="13">
        <v>1.2</v>
      </c>
      <c r="L185" s="13"/>
      <c r="M185" s="13"/>
      <c r="N185" s="13"/>
      <c r="O185" s="13"/>
      <c r="P185" s="13"/>
      <c r="Q185" s="13">
        <v>1.89</v>
      </c>
      <c r="R185" s="13"/>
      <c r="S185" s="13"/>
      <c r="T185" s="13"/>
      <c r="U185" s="13"/>
      <c r="V185" s="13">
        <f>V184</f>
        <v>1.02</v>
      </c>
      <c r="W185" s="13"/>
      <c r="X185" s="13"/>
      <c r="Y185" s="13"/>
      <c r="Z185" s="13"/>
      <c r="AA185" s="13">
        <f>Z184</f>
        <v>1.02</v>
      </c>
    </row>
    <row r="186" spans="1:27" x14ac:dyDescent="0.25">
      <c r="A186" s="4" t="s">
        <v>215</v>
      </c>
      <c r="B186" s="2" t="str" cm="1">
        <f t="array" ref="B186">User3($C$11:$ZX$11,C186:ZX186)</f>
        <v>1.05D+1.2SDL+1.2BW+1.1COL+1.1SOIL+1WATER+1.3Lr+1.3LLB+1.2LLE+1.89Wy+2+1.02CR14+1.02CR21</v>
      </c>
      <c r="C186" s="13">
        <f t="shared" si="12"/>
        <v>1.05</v>
      </c>
      <c r="D186" s="13">
        <f t="shared" si="13"/>
        <v>1.2</v>
      </c>
      <c r="E186" s="13">
        <f t="shared" si="14"/>
        <v>1.2</v>
      </c>
      <c r="F186" s="13">
        <f t="shared" si="15"/>
        <v>1.1000000000000001</v>
      </c>
      <c r="G186" s="13">
        <f t="shared" si="16"/>
        <v>1.1000000000000001</v>
      </c>
      <c r="H186" s="13">
        <f t="shared" si="17"/>
        <v>1</v>
      </c>
      <c r="I186" s="13">
        <v>1.3</v>
      </c>
      <c r="J186" s="13">
        <v>1.3</v>
      </c>
      <c r="K186" s="13">
        <v>1.2</v>
      </c>
      <c r="L186" s="13"/>
      <c r="M186" s="13"/>
      <c r="N186" s="13"/>
      <c r="O186" s="13"/>
      <c r="P186" s="13"/>
      <c r="Q186" s="13">
        <v>1.89</v>
      </c>
      <c r="R186" s="13"/>
      <c r="S186" s="13"/>
      <c r="T186" s="13"/>
      <c r="U186" s="13"/>
      <c r="V186" s="13"/>
      <c r="W186" s="13">
        <f>V185</f>
        <v>1.02</v>
      </c>
      <c r="X186" s="13">
        <f>X182</f>
        <v>1.02</v>
      </c>
      <c r="Y186" s="13"/>
      <c r="Z186" s="13"/>
      <c r="AA186" s="13"/>
    </row>
    <row r="187" spans="1:27" x14ac:dyDescent="0.25">
      <c r="A187" s="4" t="s">
        <v>216</v>
      </c>
      <c r="B187" s="2" t="str" cm="1">
        <f t="array" ref="B187">User3($C$11:$ZX$11,C187:ZX187)</f>
        <v>1.05D+1.2SDL+1.2BW+1.1COL+1.1SOIL+1WATER+1.3Lr+1.3LLB+1.2LLE+1.89Wy+2+1.02CR14+1.02CR22</v>
      </c>
      <c r="C187" s="13">
        <f t="shared" si="12"/>
        <v>1.05</v>
      </c>
      <c r="D187" s="13">
        <f t="shared" si="13"/>
        <v>1.2</v>
      </c>
      <c r="E187" s="13">
        <f t="shared" si="14"/>
        <v>1.2</v>
      </c>
      <c r="F187" s="13">
        <f t="shared" si="15"/>
        <v>1.1000000000000001</v>
      </c>
      <c r="G187" s="13">
        <f t="shared" si="16"/>
        <v>1.1000000000000001</v>
      </c>
      <c r="H187" s="13">
        <f t="shared" si="17"/>
        <v>1</v>
      </c>
      <c r="I187" s="13">
        <v>1.3</v>
      </c>
      <c r="J187" s="13">
        <v>1.3</v>
      </c>
      <c r="K187" s="13">
        <v>1.2</v>
      </c>
      <c r="L187" s="13"/>
      <c r="M187" s="13"/>
      <c r="N187" s="13"/>
      <c r="O187" s="13"/>
      <c r="P187" s="13"/>
      <c r="Q187" s="13">
        <v>1.89</v>
      </c>
      <c r="R187" s="13"/>
      <c r="S187" s="13"/>
      <c r="T187" s="13"/>
      <c r="U187" s="13"/>
      <c r="V187" s="13"/>
      <c r="W187" s="13">
        <f>W186</f>
        <v>1.02</v>
      </c>
      <c r="X187" s="13"/>
      <c r="Y187" s="13">
        <f>X186</f>
        <v>1.02</v>
      </c>
      <c r="Z187" s="13"/>
      <c r="AA187" s="13"/>
    </row>
    <row r="188" spans="1:27" x14ac:dyDescent="0.25">
      <c r="A188" s="4" t="s">
        <v>217</v>
      </c>
      <c r="B188" s="2" t="str" cm="1">
        <f t="array" ref="B188">User3($C$11:$ZX$11,C188:ZX188)</f>
        <v>1.05D+1.2SDL+1.2BW+1.1COL+1.1SOIL+1WATER+1.3Lr+1.3LLB+1.2LLE+1.89Wy+2+1.02CR14+1.02CR23</v>
      </c>
      <c r="C188" s="13">
        <f t="shared" si="12"/>
        <v>1.05</v>
      </c>
      <c r="D188" s="13">
        <f t="shared" si="13"/>
        <v>1.2</v>
      </c>
      <c r="E188" s="13">
        <f t="shared" si="14"/>
        <v>1.2</v>
      </c>
      <c r="F188" s="13">
        <f t="shared" si="15"/>
        <v>1.1000000000000001</v>
      </c>
      <c r="G188" s="13">
        <f t="shared" si="16"/>
        <v>1.1000000000000001</v>
      </c>
      <c r="H188" s="13">
        <f t="shared" si="17"/>
        <v>1</v>
      </c>
      <c r="I188" s="13">
        <v>1.3</v>
      </c>
      <c r="J188" s="13">
        <v>1.3</v>
      </c>
      <c r="K188" s="13">
        <v>1.2</v>
      </c>
      <c r="L188" s="13"/>
      <c r="M188" s="13"/>
      <c r="N188" s="13"/>
      <c r="O188" s="13"/>
      <c r="P188" s="13"/>
      <c r="Q188" s="13">
        <v>1.89</v>
      </c>
      <c r="R188" s="13"/>
      <c r="S188" s="13"/>
      <c r="T188" s="13"/>
      <c r="U188" s="13"/>
      <c r="V188" s="13"/>
      <c r="W188" s="13">
        <f>W187</f>
        <v>1.02</v>
      </c>
      <c r="X188" s="13"/>
      <c r="Y188" s="13"/>
      <c r="Z188" s="13">
        <f>Y187</f>
        <v>1.02</v>
      </c>
      <c r="AA188" s="13"/>
    </row>
    <row r="189" spans="1:27" x14ac:dyDescent="0.25">
      <c r="A189" s="4" t="s">
        <v>218</v>
      </c>
      <c r="B189" s="2" t="str" cm="1">
        <f t="array" ref="B189">User3($C$11:$ZX$11,C189:ZX189)</f>
        <v>1.05D+1.2SDL+1.2BW+1.1COL+1.1SOIL+1WATER+1.3Lr+1.3LLB+1.2LLE+1.89Wy+2+1.02CR14+1.02CR24</v>
      </c>
      <c r="C189" s="16">
        <f t="shared" si="12"/>
        <v>1.05</v>
      </c>
      <c r="D189" s="16">
        <f t="shared" si="13"/>
        <v>1.2</v>
      </c>
      <c r="E189" s="16">
        <f t="shared" si="14"/>
        <v>1.2</v>
      </c>
      <c r="F189" s="16">
        <f t="shared" si="15"/>
        <v>1.1000000000000001</v>
      </c>
      <c r="G189" s="16">
        <f t="shared" si="16"/>
        <v>1.1000000000000001</v>
      </c>
      <c r="H189" s="16">
        <f t="shared" si="17"/>
        <v>1</v>
      </c>
      <c r="I189" s="16">
        <v>1.3</v>
      </c>
      <c r="J189" s="16">
        <v>1.3</v>
      </c>
      <c r="K189" s="16">
        <v>1.2</v>
      </c>
      <c r="L189" s="16"/>
      <c r="M189" s="16"/>
      <c r="N189" s="16"/>
      <c r="O189" s="16"/>
      <c r="P189" s="16"/>
      <c r="Q189" s="16">
        <v>1.89</v>
      </c>
      <c r="R189" s="16"/>
      <c r="S189" s="16"/>
      <c r="T189" s="16"/>
      <c r="U189" s="16"/>
      <c r="V189" s="16"/>
      <c r="W189" s="16">
        <f>W188</f>
        <v>1.02</v>
      </c>
      <c r="X189" s="16"/>
      <c r="Y189" s="16"/>
      <c r="Z189" s="16"/>
      <c r="AA189" s="16">
        <f>Z188</f>
        <v>1.02</v>
      </c>
    </row>
    <row r="190" spans="1:27" x14ac:dyDescent="0.25">
      <c r="A190" s="4" t="s">
        <v>219</v>
      </c>
      <c r="B190" s="2" t="str" cm="1">
        <f t="array" ref="B190">User3($C$11:$ZX$11,C190:ZX190)</f>
        <v>1.05D+1.2SDL+1.2BW+1.1COL+1.1SOIL+1WATER+1.3Lr+1.3LLB+1.2LLE+1.89Wy-1+1.02CR11+1.02CR21</v>
      </c>
      <c r="C190" s="13">
        <f t="shared" si="12"/>
        <v>1.05</v>
      </c>
      <c r="D190" s="13">
        <f t="shared" si="13"/>
        <v>1.2</v>
      </c>
      <c r="E190" s="13">
        <f t="shared" si="14"/>
        <v>1.2</v>
      </c>
      <c r="F190" s="13">
        <f t="shared" si="15"/>
        <v>1.1000000000000001</v>
      </c>
      <c r="G190" s="13">
        <f t="shared" si="16"/>
        <v>1.1000000000000001</v>
      </c>
      <c r="H190" s="13">
        <f t="shared" si="17"/>
        <v>1</v>
      </c>
      <c r="I190" s="10">
        <v>1.3</v>
      </c>
      <c r="J190" s="10">
        <v>1.3</v>
      </c>
      <c r="K190" s="10">
        <v>1.2</v>
      </c>
      <c r="L190" s="10"/>
      <c r="M190" s="10"/>
      <c r="N190" s="10"/>
      <c r="O190" s="10"/>
      <c r="P190" s="10"/>
      <c r="Q190" s="10"/>
      <c r="R190" s="10">
        <v>1.89</v>
      </c>
      <c r="S190" s="10"/>
      <c r="T190" s="10">
        <f>T174</f>
        <v>1.02</v>
      </c>
      <c r="U190" s="10"/>
      <c r="V190" s="10"/>
      <c r="W190" s="10"/>
      <c r="X190" s="10">
        <f>T190</f>
        <v>1.02</v>
      </c>
      <c r="Y190" s="10"/>
      <c r="Z190" s="10"/>
      <c r="AA190" s="10"/>
    </row>
    <row r="191" spans="1:27" x14ac:dyDescent="0.25">
      <c r="A191" s="4" t="s">
        <v>220</v>
      </c>
      <c r="B191" s="2" t="str" cm="1">
        <f t="array" ref="B191">User3($C$11:$ZX$11,C191:ZX191)</f>
        <v>1.05D+1.2SDL+1.2BW+1.1COL+1.1SOIL+1WATER+1.3Lr+1.3LLB+1.2LLE+1.89Wy-1+1.02CR11+1.02CR22</v>
      </c>
      <c r="C191" s="13">
        <f t="shared" si="12"/>
        <v>1.05</v>
      </c>
      <c r="D191" s="13">
        <f t="shared" si="13"/>
        <v>1.2</v>
      </c>
      <c r="E191" s="13">
        <f t="shared" si="14"/>
        <v>1.2</v>
      </c>
      <c r="F191" s="13">
        <f t="shared" si="15"/>
        <v>1.1000000000000001</v>
      </c>
      <c r="G191" s="13">
        <f t="shared" si="16"/>
        <v>1.1000000000000001</v>
      </c>
      <c r="H191" s="13">
        <f t="shared" si="17"/>
        <v>1</v>
      </c>
      <c r="I191" s="13">
        <v>1.3</v>
      </c>
      <c r="J191" s="13">
        <v>1.3</v>
      </c>
      <c r="K191" s="13">
        <v>1.2</v>
      </c>
      <c r="L191" s="13"/>
      <c r="M191" s="13"/>
      <c r="N191" s="13"/>
      <c r="O191" s="13"/>
      <c r="P191" s="13"/>
      <c r="Q191" s="13"/>
      <c r="R191" s="13">
        <v>1.89</v>
      </c>
      <c r="S191" s="13"/>
      <c r="T191" s="13">
        <f>T190</f>
        <v>1.02</v>
      </c>
      <c r="U191" s="13"/>
      <c r="V191" s="13"/>
      <c r="W191" s="13"/>
      <c r="X191" s="13"/>
      <c r="Y191" s="13">
        <f>X190</f>
        <v>1.02</v>
      </c>
      <c r="Z191" s="13"/>
      <c r="AA191" s="13"/>
    </row>
    <row r="192" spans="1:27" x14ac:dyDescent="0.25">
      <c r="A192" s="4" t="s">
        <v>221</v>
      </c>
      <c r="B192" s="2" t="str" cm="1">
        <f t="array" ref="B192">User3($C$11:$ZX$11,C192:ZX192)</f>
        <v>1.05D+1.2SDL+1.2BW+1.1COL+1.1SOIL+1WATER+1.3Lr+1.3LLB+1.2LLE+1.89Wy-1+1.02CR11+1.02CR23</v>
      </c>
      <c r="C192" s="13">
        <f t="shared" si="12"/>
        <v>1.05</v>
      </c>
      <c r="D192" s="13">
        <f t="shared" si="13"/>
        <v>1.2</v>
      </c>
      <c r="E192" s="13">
        <f t="shared" si="14"/>
        <v>1.2</v>
      </c>
      <c r="F192" s="13">
        <f t="shared" si="15"/>
        <v>1.1000000000000001</v>
      </c>
      <c r="G192" s="13">
        <f t="shared" si="16"/>
        <v>1.1000000000000001</v>
      </c>
      <c r="H192" s="13">
        <f t="shared" si="17"/>
        <v>1</v>
      </c>
      <c r="I192" s="13">
        <v>1.3</v>
      </c>
      <c r="J192" s="13">
        <v>1.3</v>
      </c>
      <c r="K192" s="13">
        <v>1.2</v>
      </c>
      <c r="L192" s="13"/>
      <c r="M192" s="13"/>
      <c r="N192" s="13"/>
      <c r="O192" s="13"/>
      <c r="P192" s="13"/>
      <c r="Q192" s="13"/>
      <c r="R192" s="13">
        <v>1.89</v>
      </c>
      <c r="S192" s="13"/>
      <c r="T192" s="13">
        <f>T191</f>
        <v>1.02</v>
      </c>
      <c r="U192" s="13"/>
      <c r="V192" s="13"/>
      <c r="W192" s="13"/>
      <c r="X192" s="13"/>
      <c r="Y192" s="13"/>
      <c r="Z192" s="13">
        <f>Y191</f>
        <v>1.02</v>
      </c>
      <c r="AA192" s="13"/>
    </row>
    <row r="193" spans="1:27" x14ac:dyDescent="0.25">
      <c r="A193" s="4" t="s">
        <v>222</v>
      </c>
      <c r="B193" s="2" t="str" cm="1">
        <f t="array" ref="B193">User3($C$11:$ZX$11,C193:ZX193)</f>
        <v>1.05D+1.2SDL+1.2BW+1.1COL+1.1SOIL+1WATER+1.3Lr+1.3LLB+1.2LLE+1.89Wy-1+1.02CR11+1.02CR24</v>
      </c>
      <c r="C193" s="13">
        <f t="shared" si="12"/>
        <v>1.05</v>
      </c>
      <c r="D193" s="13">
        <f t="shared" si="13"/>
        <v>1.2</v>
      </c>
      <c r="E193" s="13">
        <f t="shared" si="14"/>
        <v>1.2</v>
      </c>
      <c r="F193" s="13">
        <f t="shared" si="15"/>
        <v>1.1000000000000001</v>
      </c>
      <c r="G193" s="13">
        <f t="shared" si="16"/>
        <v>1.1000000000000001</v>
      </c>
      <c r="H193" s="13">
        <f t="shared" si="17"/>
        <v>1</v>
      </c>
      <c r="I193" s="13">
        <v>1.3</v>
      </c>
      <c r="J193" s="13">
        <v>1.3</v>
      </c>
      <c r="K193" s="13">
        <v>1.2</v>
      </c>
      <c r="L193" s="13"/>
      <c r="M193" s="13"/>
      <c r="N193" s="13"/>
      <c r="O193" s="13"/>
      <c r="P193" s="13"/>
      <c r="Q193" s="13"/>
      <c r="R193" s="13">
        <v>1.89</v>
      </c>
      <c r="S193" s="13"/>
      <c r="T193" s="13">
        <f>T192</f>
        <v>1.02</v>
      </c>
      <c r="U193" s="13"/>
      <c r="V193" s="13"/>
      <c r="W193" s="13"/>
      <c r="X193" s="13"/>
      <c r="Y193" s="13"/>
      <c r="Z193" s="13"/>
      <c r="AA193" s="13">
        <f>Z192</f>
        <v>1.02</v>
      </c>
    </row>
    <row r="194" spans="1:27" x14ac:dyDescent="0.25">
      <c r="A194" s="4" t="s">
        <v>223</v>
      </c>
      <c r="B194" s="2" t="str" cm="1">
        <f t="array" ref="B194">User3($C$11:$ZX$11,C194:ZX194)</f>
        <v>1.05D+1.2SDL+1.2BW+1.1COL+1.1SOIL+1WATER+1.3Lr+1.3LLB+1.2LLE+1.89Wy-1+1.02CR12+1.02CR21</v>
      </c>
      <c r="C194" s="13">
        <f t="shared" si="12"/>
        <v>1.05</v>
      </c>
      <c r="D194" s="13">
        <f t="shared" si="13"/>
        <v>1.2</v>
      </c>
      <c r="E194" s="13">
        <f t="shared" si="14"/>
        <v>1.2</v>
      </c>
      <c r="F194" s="13">
        <f t="shared" si="15"/>
        <v>1.1000000000000001</v>
      </c>
      <c r="G194" s="13">
        <f t="shared" si="16"/>
        <v>1.1000000000000001</v>
      </c>
      <c r="H194" s="13">
        <f t="shared" si="17"/>
        <v>1</v>
      </c>
      <c r="I194" s="13">
        <v>1.3</v>
      </c>
      <c r="J194" s="13">
        <v>1.3</v>
      </c>
      <c r="K194" s="13">
        <v>1.2</v>
      </c>
      <c r="L194" s="13"/>
      <c r="M194" s="13"/>
      <c r="N194" s="13"/>
      <c r="O194" s="13"/>
      <c r="P194" s="13"/>
      <c r="Q194" s="13"/>
      <c r="R194" s="13">
        <v>1.89</v>
      </c>
      <c r="S194" s="13"/>
      <c r="T194" s="13"/>
      <c r="U194" s="13">
        <f>T190</f>
        <v>1.02</v>
      </c>
      <c r="V194" s="13"/>
      <c r="W194" s="13"/>
      <c r="X194" s="13">
        <f>X190</f>
        <v>1.02</v>
      </c>
      <c r="Y194" s="13"/>
      <c r="Z194" s="13"/>
      <c r="AA194" s="13"/>
    </row>
    <row r="195" spans="1:27" x14ac:dyDescent="0.25">
      <c r="A195" s="4" t="s">
        <v>224</v>
      </c>
      <c r="B195" s="2" t="str" cm="1">
        <f t="array" ref="B195">User3($C$11:$ZX$11,C195:ZX195)</f>
        <v>1.05D+1.2SDL+1.2BW+1.1COL+1.1SOIL+1WATER+1.3Lr+1.3LLB+1.2LLE+1.89Wy-1+1.02CR12+1.02CR22</v>
      </c>
      <c r="C195" s="13">
        <f t="shared" si="12"/>
        <v>1.05</v>
      </c>
      <c r="D195" s="13">
        <f t="shared" si="13"/>
        <v>1.2</v>
      </c>
      <c r="E195" s="13">
        <f t="shared" si="14"/>
        <v>1.2</v>
      </c>
      <c r="F195" s="13">
        <f t="shared" si="15"/>
        <v>1.1000000000000001</v>
      </c>
      <c r="G195" s="13">
        <f t="shared" si="16"/>
        <v>1.1000000000000001</v>
      </c>
      <c r="H195" s="13">
        <f t="shared" si="17"/>
        <v>1</v>
      </c>
      <c r="I195" s="13">
        <v>1.3</v>
      </c>
      <c r="J195" s="13">
        <v>1.3</v>
      </c>
      <c r="K195" s="13">
        <v>1.2</v>
      </c>
      <c r="L195" s="13"/>
      <c r="M195" s="13"/>
      <c r="N195" s="13"/>
      <c r="O195" s="13"/>
      <c r="P195" s="13"/>
      <c r="Q195" s="13"/>
      <c r="R195" s="13">
        <v>1.89</v>
      </c>
      <c r="S195" s="13"/>
      <c r="T195" s="13"/>
      <c r="U195" s="13">
        <f>U194</f>
        <v>1.02</v>
      </c>
      <c r="V195" s="13"/>
      <c r="W195" s="13"/>
      <c r="X195" s="13"/>
      <c r="Y195" s="13">
        <f>Y191</f>
        <v>1.02</v>
      </c>
      <c r="Z195" s="13"/>
      <c r="AA195" s="13"/>
    </row>
    <row r="196" spans="1:27" x14ac:dyDescent="0.25">
      <c r="A196" s="4" t="s">
        <v>225</v>
      </c>
      <c r="B196" s="2" t="str" cm="1">
        <f t="array" ref="B196">User3($C$11:$ZX$11,C196:ZX196)</f>
        <v>1.05D+1.2SDL+1.2BW+1.1COL+1.1SOIL+1WATER+1.3Lr+1.3LLB+1.2LLE+1.89Wy-1+1.02CR12+1.02CR23</v>
      </c>
      <c r="C196" s="13">
        <f t="shared" si="12"/>
        <v>1.05</v>
      </c>
      <c r="D196" s="13">
        <f t="shared" si="13"/>
        <v>1.2</v>
      </c>
      <c r="E196" s="13">
        <f t="shared" si="14"/>
        <v>1.2</v>
      </c>
      <c r="F196" s="13">
        <f t="shared" si="15"/>
        <v>1.1000000000000001</v>
      </c>
      <c r="G196" s="13">
        <f t="shared" si="16"/>
        <v>1.1000000000000001</v>
      </c>
      <c r="H196" s="13">
        <f t="shared" si="17"/>
        <v>1</v>
      </c>
      <c r="I196" s="13">
        <v>1.3</v>
      </c>
      <c r="J196" s="13">
        <v>1.3</v>
      </c>
      <c r="K196" s="13">
        <v>1.2</v>
      </c>
      <c r="L196" s="13"/>
      <c r="M196" s="13"/>
      <c r="N196" s="13"/>
      <c r="O196" s="13"/>
      <c r="P196" s="13"/>
      <c r="Q196" s="13"/>
      <c r="R196" s="13">
        <v>1.89</v>
      </c>
      <c r="S196" s="13"/>
      <c r="T196" s="13"/>
      <c r="U196" s="13">
        <f>U195</f>
        <v>1.02</v>
      </c>
      <c r="V196" s="13"/>
      <c r="W196" s="13"/>
      <c r="X196" s="13"/>
      <c r="Y196" s="13"/>
      <c r="Z196" s="13">
        <f>Z192</f>
        <v>1.02</v>
      </c>
      <c r="AA196" s="13"/>
    </row>
    <row r="197" spans="1:27" x14ac:dyDescent="0.25">
      <c r="A197" s="4" t="s">
        <v>226</v>
      </c>
      <c r="B197" s="2" t="str" cm="1">
        <f t="array" ref="B197">User3($C$11:$ZX$11,C197:ZX197)</f>
        <v>1.05D+1.2SDL+1.2BW+1.1COL+1.1SOIL+1WATER+1.3Lr+1.3LLB+1.2LLE+1.89Wy-1+1.02CR12+1.02CR24</v>
      </c>
      <c r="C197" s="16">
        <f t="shared" si="12"/>
        <v>1.05</v>
      </c>
      <c r="D197" s="16">
        <f t="shared" si="13"/>
        <v>1.2</v>
      </c>
      <c r="E197" s="16">
        <f t="shared" si="14"/>
        <v>1.2</v>
      </c>
      <c r="F197" s="16">
        <f t="shared" si="15"/>
        <v>1.1000000000000001</v>
      </c>
      <c r="G197" s="16">
        <f t="shared" si="16"/>
        <v>1.1000000000000001</v>
      </c>
      <c r="H197" s="16">
        <f t="shared" si="17"/>
        <v>1</v>
      </c>
      <c r="I197" s="16">
        <v>1.3</v>
      </c>
      <c r="J197" s="16">
        <v>1.3</v>
      </c>
      <c r="K197" s="16">
        <v>1.2</v>
      </c>
      <c r="L197" s="16"/>
      <c r="M197" s="16"/>
      <c r="N197" s="16"/>
      <c r="O197" s="16"/>
      <c r="P197" s="16"/>
      <c r="Q197" s="16"/>
      <c r="R197" s="16">
        <v>1.89</v>
      </c>
      <c r="S197" s="16"/>
      <c r="T197" s="16"/>
      <c r="U197" s="16">
        <f>U196</f>
        <v>1.02</v>
      </c>
      <c r="V197" s="16"/>
      <c r="W197" s="16"/>
      <c r="X197" s="16"/>
      <c r="Y197" s="16"/>
      <c r="Z197" s="16"/>
      <c r="AA197" s="16">
        <f>AA193</f>
        <v>1.02</v>
      </c>
    </row>
    <row r="198" spans="1:27" x14ac:dyDescent="0.25">
      <c r="A198" s="4" t="s">
        <v>227</v>
      </c>
      <c r="B198" s="2" t="str" cm="1">
        <f t="array" ref="B198">User3($C$11:$ZX$11,C198:ZX198)</f>
        <v>1.05D+1.2SDL+1.2BW+1.1COL+1.1SOIL+1WATER+1.3Lr+1.3LLB+1.2LLE+1.89Wy-1+1.02CR13+1.02CR21</v>
      </c>
      <c r="C198" s="13">
        <f t="shared" si="12"/>
        <v>1.05</v>
      </c>
      <c r="D198" s="13">
        <f t="shared" si="13"/>
        <v>1.2</v>
      </c>
      <c r="E198" s="13">
        <f t="shared" si="14"/>
        <v>1.2</v>
      </c>
      <c r="F198" s="13">
        <f t="shared" si="15"/>
        <v>1.1000000000000001</v>
      </c>
      <c r="G198" s="13">
        <f t="shared" si="16"/>
        <v>1.1000000000000001</v>
      </c>
      <c r="H198" s="13">
        <f t="shared" si="17"/>
        <v>1</v>
      </c>
      <c r="I198" s="10">
        <v>1.3</v>
      </c>
      <c r="J198" s="10">
        <v>1.3</v>
      </c>
      <c r="K198" s="10">
        <v>1.2</v>
      </c>
      <c r="L198" s="10"/>
      <c r="M198" s="10"/>
      <c r="N198" s="10"/>
      <c r="O198" s="10"/>
      <c r="P198" s="10"/>
      <c r="Q198" s="10"/>
      <c r="R198" s="10">
        <v>1.89</v>
      </c>
      <c r="S198" s="10"/>
      <c r="T198" s="10"/>
      <c r="U198" s="10"/>
      <c r="V198" s="10">
        <f>U197</f>
        <v>1.02</v>
      </c>
      <c r="W198" s="10"/>
      <c r="X198" s="10">
        <f>X194</f>
        <v>1.02</v>
      </c>
      <c r="Y198" s="10"/>
      <c r="Z198" s="10"/>
      <c r="AA198" s="10"/>
    </row>
    <row r="199" spans="1:27" x14ac:dyDescent="0.25">
      <c r="A199" s="4" t="s">
        <v>228</v>
      </c>
      <c r="B199" s="2" t="str" cm="1">
        <f t="array" ref="B199">User3($C$11:$ZX$11,C199:ZX199)</f>
        <v>1.05D+1.2SDL+1.2BW+1.1COL+1.1SOIL+1WATER+1.3Lr+1.3LLB+1.2LLE+1.89Wy-1+1.02CR13+1.02CR22</v>
      </c>
      <c r="C199" s="13">
        <f t="shared" si="12"/>
        <v>1.05</v>
      </c>
      <c r="D199" s="13">
        <f t="shared" si="13"/>
        <v>1.2</v>
      </c>
      <c r="E199" s="13">
        <f t="shared" si="14"/>
        <v>1.2</v>
      </c>
      <c r="F199" s="13">
        <f t="shared" si="15"/>
        <v>1.1000000000000001</v>
      </c>
      <c r="G199" s="13">
        <f t="shared" si="16"/>
        <v>1.1000000000000001</v>
      </c>
      <c r="H199" s="13">
        <f t="shared" si="17"/>
        <v>1</v>
      </c>
      <c r="I199" s="13">
        <v>1.3</v>
      </c>
      <c r="J199" s="13">
        <v>1.3</v>
      </c>
      <c r="K199" s="13">
        <v>1.2</v>
      </c>
      <c r="L199" s="13"/>
      <c r="M199" s="13"/>
      <c r="N199" s="13"/>
      <c r="O199" s="13"/>
      <c r="P199" s="13"/>
      <c r="Q199" s="13"/>
      <c r="R199" s="13">
        <v>1.89</v>
      </c>
      <c r="S199" s="13"/>
      <c r="T199" s="13"/>
      <c r="U199" s="13"/>
      <c r="V199" s="13">
        <f>V198</f>
        <v>1.02</v>
      </c>
      <c r="W199" s="13"/>
      <c r="X199" s="13"/>
      <c r="Y199" s="13">
        <f>X198</f>
        <v>1.02</v>
      </c>
      <c r="Z199" s="13"/>
      <c r="AA199" s="13"/>
    </row>
    <row r="200" spans="1:27" x14ac:dyDescent="0.25">
      <c r="A200" s="4" t="s">
        <v>229</v>
      </c>
      <c r="B200" s="2" t="str" cm="1">
        <f t="array" ref="B200">User3($C$11:$ZX$11,C200:ZX200)</f>
        <v>1.05D+1.2SDL+1.2BW+1.1COL+1.1SOIL+1WATER+1.3Lr+1.3LLB+1.2LLE+1.89Wy-1+1.02CR13+1.02CR23</v>
      </c>
      <c r="C200" s="13">
        <f t="shared" si="12"/>
        <v>1.05</v>
      </c>
      <c r="D200" s="13">
        <f t="shared" si="13"/>
        <v>1.2</v>
      </c>
      <c r="E200" s="13">
        <f t="shared" si="14"/>
        <v>1.2</v>
      </c>
      <c r="F200" s="13">
        <f t="shared" si="15"/>
        <v>1.1000000000000001</v>
      </c>
      <c r="G200" s="13">
        <f t="shared" si="16"/>
        <v>1.1000000000000001</v>
      </c>
      <c r="H200" s="13">
        <f t="shared" si="17"/>
        <v>1</v>
      </c>
      <c r="I200" s="13">
        <v>1.3</v>
      </c>
      <c r="J200" s="13">
        <v>1.3</v>
      </c>
      <c r="K200" s="13">
        <v>1.2</v>
      </c>
      <c r="L200" s="13"/>
      <c r="M200" s="13"/>
      <c r="N200" s="13"/>
      <c r="O200" s="13"/>
      <c r="P200" s="13"/>
      <c r="Q200" s="13"/>
      <c r="R200" s="13">
        <v>1.89</v>
      </c>
      <c r="S200" s="13"/>
      <c r="T200" s="13"/>
      <c r="U200" s="13"/>
      <c r="V200" s="13">
        <f>V199</f>
        <v>1.02</v>
      </c>
      <c r="W200" s="13"/>
      <c r="X200" s="13"/>
      <c r="Y200" s="13"/>
      <c r="Z200" s="13">
        <f>Y199</f>
        <v>1.02</v>
      </c>
      <c r="AA200" s="13"/>
    </row>
    <row r="201" spans="1:27" x14ac:dyDescent="0.25">
      <c r="A201" s="4" t="s">
        <v>230</v>
      </c>
      <c r="B201" s="2" t="str" cm="1">
        <f t="array" ref="B201">User3($C$11:$ZX$11,C201:ZX201)</f>
        <v>1.05D+1.2SDL+1.2BW+1.1COL+1.1SOIL+1WATER+1.3Lr+1.3LLB+1.2LLE+1.89Wy-1+1.02CR13+1.02CR24</v>
      </c>
      <c r="C201" s="13">
        <f t="shared" si="12"/>
        <v>1.05</v>
      </c>
      <c r="D201" s="13">
        <f t="shared" si="13"/>
        <v>1.2</v>
      </c>
      <c r="E201" s="13">
        <f t="shared" si="14"/>
        <v>1.2</v>
      </c>
      <c r="F201" s="13">
        <f t="shared" si="15"/>
        <v>1.1000000000000001</v>
      </c>
      <c r="G201" s="13">
        <f t="shared" si="16"/>
        <v>1.1000000000000001</v>
      </c>
      <c r="H201" s="13">
        <f t="shared" si="17"/>
        <v>1</v>
      </c>
      <c r="I201" s="13">
        <v>1.3</v>
      </c>
      <c r="J201" s="13">
        <v>1.3</v>
      </c>
      <c r="K201" s="13">
        <v>1.2</v>
      </c>
      <c r="L201" s="13"/>
      <c r="M201" s="13"/>
      <c r="N201" s="13"/>
      <c r="O201" s="13"/>
      <c r="P201" s="13"/>
      <c r="Q201" s="13"/>
      <c r="R201" s="13">
        <v>1.89</v>
      </c>
      <c r="S201" s="13"/>
      <c r="T201" s="13"/>
      <c r="U201" s="13"/>
      <c r="V201" s="13">
        <f>V200</f>
        <v>1.02</v>
      </c>
      <c r="W201" s="13"/>
      <c r="X201" s="13"/>
      <c r="Y201" s="13"/>
      <c r="Z201" s="13"/>
      <c r="AA201" s="13">
        <f>Z200</f>
        <v>1.02</v>
      </c>
    </row>
    <row r="202" spans="1:27" x14ac:dyDescent="0.25">
      <c r="A202" s="4" t="s">
        <v>231</v>
      </c>
      <c r="B202" s="2" t="str" cm="1">
        <f t="array" ref="B202">User3($C$11:$ZX$11,C202:ZX202)</f>
        <v>1.05D+1.2SDL+1.2BW+1.1COL+1.1SOIL+1WATER+1.3Lr+1.3LLB+1.2LLE+1.89Wy-1+1.02CR14+1.02CR21</v>
      </c>
      <c r="C202" s="13">
        <f t="shared" si="12"/>
        <v>1.05</v>
      </c>
      <c r="D202" s="13">
        <f t="shared" si="13"/>
        <v>1.2</v>
      </c>
      <c r="E202" s="13">
        <f t="shared" si="14"/>
        <v>1.2</v>
      </c>
      <c r="F202" s="13">
        <f t="shared" si="15"/>
        <v>1.1000000000000001</v>
      </c>
      <c r="G202" s="13">
        <f t="shared" si="16"/>
        <v>1.1000000000000001</v>
      </c>
      <c r="H202" s="13">
        <f t="shared" si="17"/>
        <v>1</v>
      </c>
      <c r="I202" s="13">
        <v>1.3</v>
      </c>
      <c r="J202" s="13">
        <v>1.3</v>
      </c>
      <c r="K202" s="13">
        <v>1.2</v>
      </c>
      <c r="L202" s="13"/>
      <c r="M202" s="13"/>
      <c r="N202" s="13"/>
      <c r="O202" s="13"/>
      <c r="P202" s="13"/>
      <c r="Q202" s="13"/>
      <c r="R202" s="13">
        <v>1.89</v>
      </c>
      <c r="S202" s="13"/>
      <c r="T202" s="13"/>
      <c r="U202" s="13"/>
      <c r="V202" s="13"/>
      <c r="W202" s="13">
        <f>V201</f>
        <v>1.02</v>
      </c>
      <c r="X202" s="13">
        <f>X198</f>
        <v>1.02</v>
      </c>
      <c r="Y202" s="13"/>
      <c r="Z202" s="13"/>
      <c r="AA202" s="13"/>
    </row>
    <row r="203" spans="1:27" x14ac:dyDescent="0.25">
      <c r="A203" s="4" t="s">
        <v>232</v>
      </c>
      <c r="B203" s="2" t="str" cm="1">
        <f t="array" ref="B203">User3($C$11:$ZX$11,C203:ZX203)</f>
        <v>1.05D+1.2SDL+1.2BW+1.1COL+1.1SOIL+1WATER+1.3Lr+1.3LLB+1.2LLE+1.89Wy-1+1.02CR14+1.02CR22</v>
      </c>
      <c r="C203" s="13">
        <f t="shared" si="12"/>
        <v>1.05</v>
      </c>
      <c r="D203" s="13">
        <f t="shared" si="13"/>
        <v>1.2</v>
      </c>
      <c r="E203" s="13">
        <f t="shared" si="14"/>
        <v>1.2</v>
      </c>
      <c r="F203" s="13">
        <f t="shared" si="15"/>
        <v>1.1000000000000001</v>
      </c>
      <c r="G203" s="13">
        <f t="shared" si="16"/>
        <v>1.1000000000000001</v>
      </c>
      <c r="H203" s="13">
        <f t="shared" si="17"/>
        <v>1</v>
      </c>
      <c r="I203" s="13">
        <v>1.3</v>
      </c>
      <c r="J203" s="13">
        <v>1.3</v>
      </c>
      <c r="K203" s="13">
        <v>1.2</v>
      </c>
      <c r="L203" s="13"/>
      <c r="M203" s="13"/>
      <c r="N203" s="13"/>
      <c r="O203" s="13"/>
      <c r="P203" s="13"/>
      <c r="Q203" s="13"/>
      <c r="R203" s="13">
        <v>1.89</v>
      </c>
      <c r="S203" s="13"/>
      <c r="T203" s="13"/>
      <c r="U203" s="13"/>
      <c r="V203" s="13"/>
      <c r="W203" s="13">
        <f>W202</f>
        <v>1.02</v>
      </c>
      <c r="X203" s="13"/>
      <c r="Y203" s="13">
        <f>X202</f>
        <v>1.02</v>
      </c>
      <c r="Z203" s="13"/>
      <c r="AA203" s="13"/>
    </row>
    <row r="204" spans="1:27" x14ac:dyDescent="0.25">
      <c r="A204" s="4" t="s">
        <v>233</v>
      </c>
      <c r="B204" s="2" t="str" cm="1">
        <f t="array" ref="B204">User3($C$11:$ZX$11,C204:ZX204)</f>
        <v>1.05D+1.2SDL+1.2BW+1.1COL+1.1SOIL+1WATER+1.3Lr+1.3LLB+1.2LLE+1.89Wy-1+1.02CR14+1.02CR23</v>
      </c>
      <c r="C204" s="13">
        <f t="shared" si="12"/>
        <v>1.05</v>
      </c>
      <c r="D204" s="13">
        <f t="shared" si="13"/>
        <v>1.2</v>
      </c>
      <c r="E204" s="13">
        <f t="shared" si="14"/>
        <v>1.2</v>
      </c>
      <c r="F204" s="13">
        <f t="shared" si="15"/>
        <v>1.1000000000000001</v>
      </c>
      <c r="G204" s="13">
        <f t="shared" si="16"/>
        <v>1.1000000000000001</v>
      </c>
      <c r="H204" s="13">
        <f t="shared" si="17"/>
        <v>1</v>
      </c>
      <c r="I204" s="13">
        <v>1.3</v>
      </c>
      <c r="J204" s="13">
        <v>1.3</v>
      </c>
      <c r="K204" s="13">
        <v>1.2</v>
      </c>
      <c r="L204" s="13"/>
      <c r="M204" s="13"/>
      <c r="N204" s="13"/>
      <c r="O204" s="13"/>
      <c r="P204" s="13"/>
      <c r="Q204" s="13"/>
      <c r="R204" s="13">
        <v>1.89</v>
      </c>
      <c r="S204" s="13"/>
      <c r="T204" s="13"/>
      <c r="U204" s="13"/>
      <c r="V204" s="13"/>
      <c r="W204" s="13">
        <f>W203</f>
        <v>1.02</v>
      </c>
      <c r="X204" s="13"/>
      <c r="Y204" s="13"/>
      <c r="Z204" s="13">
        <f>Y203</f>
        <v>1.02</v>
      </c>
      <c r="AA204" s="13"/>
    </row>
    <row r="205" spans="1:27" x14ac:dyDescent="0.25">
      <c r="A205" s="4" t="s">
        <v>234</v>
      </c>
      <c r="B205" s="2" t="str" cm="1">
        <f t="array" ref="B205">User3($C$11:$ZX$11,C205:ZX205)</f>
        <v>1.05D+1.2SDL+1.2BW+1.1COL+1.1SOIL+1WATER+1.3Lr+1.3LLB+1.2LLE+1.89Wy-1+1.02CR14+1.02CR24</v>
      </c>
      <c r="C205" s="16">
        <f t="shared" si="12"/>
        <v>1.05</v>
      </c>
      <c r="D205" s="16">
        <f t="shared" si="13"/>
        <v>1.2</v>
      </c>
      <c r="E205" s="16">
        <f t="shared" si="14"/>
        <v>1.2</v>
      </c>
      <c r="F205" s="16">
        <f t="shared" si="15"/>
        <v>1.1000000000000001</v>
      </c>
      <c r="G205" s="16">
        <f t="shared" si="16"/>
        <v>1.1000000000000001</v>
      </c>
      <c r="H205" s="16">
        <f t="shared" si="17"/>
        <v>1</v>
      </c>
      <c r="I205" s="16">
        <v>1.3</v>
      </c>
      <c r="J205" s="16">
        <v>1.3</v>
      </c>
      <c r="K205" s="16">
        <v>1.2</v>
      </c>
      <c r="L205" s="16"/>
      <c r="M205" s="16"/>
      <c r="N205" s="16"/>
      <c r="O205" s="16"/>
      <c r="P205" s="16"/>
      <c r="Q205" s="16"/>
      <c r="R205" s="16">
        <v>1.89</v>
      </c>
      <c r="S205" s="16"/>
      <c r="T205" s="16"/>
      <c r="U205" s="16"/>
      <c r="V205" s="16"/>
      <c r="W205" s="16">
        <f>W204</f>
        <v>1.02</v>
      </c>
      <c r="X205" s="16"/>
      <c r="Y205" s="16"/>
      <c r="Z205" s="16"/>
      <c r="AA205" s="16">
        <f>Z204</f>
        <v>1.02</v>
      </c>
    </row>
    <row r="206" spans="1:27" x14ac:dyDescent="0.25">
      <c r="A206" s="4" t="s">
        <v>235</v>
      </c>
      <c r="B206" s="2" t="str" cm="1">
        <f t="array" ref="B206">User3($C$11:$ZX$11,C206:ZX206)</f>
        <v>1.05D+1.2SDL+1.2BW+1.1COL+1.1SOIL+1WATER+1.3Lr+1.3LLB+1.2LLE+1.89Wy-2+1.02CR11+1.02CR21</v>
      </c>
      <c r="C206" s="13">
        <f t="shared" si="12"/>
        <v>1.05</v>
      </c>
      <c r="D206" s="13">
        <f t="shared" si="13"/>
        <v>1.2</v>
      </c>
      <c r="E206" s="13">
        <f t="shared" si="14"/>
        <v>1.2</v>
      </c>
      <c r="F206" s="13">
        <f t="shared" si="15"/>
        <v>1.1000000000000001</v>
      </c>
      <c r="G206" s="13">
        <f t="shared" si="16"/>
        <v>1.1000000000000001</v>
      </c>
      <c r="H206" s="13">
        <f t="shared" si="17"/>
        <v>1</v>
      </c>
      <c r="I206" s="10">
        <v>1.3</v>
      </c>
      <c r="J206" s="10">
        <v>1.3</v>
      </c>
      <c r="K206" s="10">
        <v>1.2</v>
      </c>
      <c r="L206" s="10"/>
      <c r="M206" s="10"/>
      <c r="N206" s="10"/>
      <c r="O206" s="10"/>
      <c r="P206" s="10"/>
      <c r="Q206" s="10"/>
      <c r="R206" s="10"/>
      <c r="S206" s="10">
        <v>1.89</v>
      </c>
      <c r="T206" s="10">
        <f>T190</f>
        <v>1.02</v>
      </c>
      <c r="U206" s="10"/>
      <c r="V206" s="10"/>
      <c r="W206" s="10"/>
      <c r="X206" s="10">
        <f>T206</f>
        <v>1.02</v>
      </c>
      <c r="Y206" s="10"/>
      <c r="Z206" s="10"/>
      <c r="AA206" s="10"/>
    </row>
    <row r="207" spans="1:27" x14ac:dyDescent="0.25">
      <c r="A207" s="4" t="s">
        <v>236</v>
      </c>
      <c r="B207" s="2" t="str" cm="1">
        <f t="array" ref="B207">User3($C$11:$ZX$11,C207:ZX207)</f>
        <v>1.05D+1.2SDL+1.2BW+1.1COL+1.1SOIL+1WATER+1.3Lr+1.3LLB+1.2LLE+1.89Wy-2+1.02CR11+1.02CR22</v>
      </c>
      <c r="C207" s="13">
        <f t="shared" ref="C207:C270" si="18">$C$12</f>
        <v>1.05</v>
      </c>
      <c r="D207" s="13">
        <f t="shared" ref="D207:D270" si="19">$D$12</f>
        <v>1.2</v>
      </c>
      <c r="E207" s="13">
        <f t="shared" ref="E207:E270" si="20">$E$12</f>
        <v>1.2</v>
      </c>
      <c r="F207" s="13">
        <f t="shared" ref="F207:F270" si="21">$F$12</f>
        <v>1.1000000000000001</v>
      </c>
      <c r="G207" s="13">
        <f t="shared" ref="G207:G270" si="22">$G$12</f>
        <v>1.1000000000000001</v>
      </c>
      <c r="H207" s="13">
        <f t="shared" ref="H207:H270" si="23">$H$12</f>
        <v>1</v>
      </c>
      <c r="I207" s="13">
        <v>1.3</v>
      </c>
      <c r="J207" s="13">
        <v>1.3</v>
      </c>
      <c r="K207" s="13">
        <v>1.2</v>
      </c>
      <c r="L207" s="13"/>
      <c r="M207" s="13"/>
      <c r="N207" s="13"/>
      <c r="O207" s="13"/>
      <c r="P207" s="13"/>
      <c r="Q207" s="13"/>
      <c r="R207" s="13"/>
      <c r="S207" s="13">
        <v>1.89</v>
      </c>
      <c r="T207" s="13">
        <f>T206</f>
        <v>1.02</v>
      </c>
      <c r="U207" s="13"/>
      <c r="V207" s="13"/>
      <c r="W207" s="13"/>
      <c r="X207" s="13"/>
      <c r="Y207" s="13">
        <f>X206</f>
        <v>1.02</v>
      </c>
      <c r="Z207" s="13"/>
      <c r="AA207" s="13"/>
    </row>
    <row r="208" spans="1:27" x14ac:dyDescent="0.25">
      <c r="A208" s="4" t="s">
        <v>237</v>
      </c>
      <c r="B208" s="2" t="str" cm="1">
        <f t="array" ref="B208">User3($C$11:$ZX$11,C208:ZX208)</f>
        <v>1.05D+1.2SDL+1.2BW+1.1COL+1.1SOIL+1WATER+1.3Lr+1.3LLB+1.2LLE+1.89Wy-2+1.02CR11+1.02CR23</v>
      </c>
      <c r="C208" s="13">
        <f t="shared" si="18"/>
        <v>1.05</v>
      </c>
      <c r="D208" s="13">
        <f t="shared" si="19"/>
        <v>1.2</v>
      </c>
      <c r="E208" s="13">
        <f t="shared" si="20"/>
        <v>1.2</v>
      </c>
      <c r="F208" s="13">
        <f t="shared" si="21"/>
        <v>1.1000000000000001</v>
      </c>
      <c r="G208" s="13">
        <f t="shared" si="22"/>
        <v>1.1000000000000001</v>
      </c>
      <c r="H208" s="13">
        <f t="shared" si="23"/>
        <v>1</v>
      </c>
      <c r="I208" s="13">
        <v>1.3</v>
      </c>
      <c r="J208" s="13">
        <v>1.3</v>
      </c>
      <c r="K208" s="13">
        <v>1.2</v>
      </c>
      <c r="L208" s="13"/>
      <c r="M208" s="13"/>
      <c r="N208" s="13"/>
      <c r="O208" s="13"/>
      <c r="P208" s="13"/>
      <c r="Q208" s="13"/>
      <c r="R208" s="13"/>
      <c r="S208" s="13">
        <v>1.89</v>
      </c>
      <c r="T208" s="13">
        <f>T207</f>
        <v>1.02</v>
      </c>
      <c r="U208" s="13"/>
      <c r="V208" s="13"/>
      <c r="W208" s="13"/>
      <c r="X208" s="13"/>
      <c r="Y208" s="13"/>
      <c r="Z208" s="13">
        <f>Y207</f>
        <v>1.02</v>
      </c>
      <c r="AA208" s="13"/>
    </row>
    <row r="209" spans="1:27" x14ac:dyDescent="0.25">
      <c r="A209" s="4" t="s">
        <v>238</v>
      </c>
      <c r="B209" s="2" t="str" cm="1">
        <f t="array" ref="B209">User3($C$11:$ZX$11,C209:ZX209)</f>
        <v>1.05D+1.2SDL+1.2BW+1.1COL+1.1SOIL+1WATER+1.3Lr+1.3LLB+1.2LLE+1.89Wy-2+1.02CR11+1.02CR24</v>
      </c>
      <c r="C209" s="13">
        <f t="shared" si="18"/>
        <v>1.05</v>
      </c>
      <c r="D209" s="13">
        <f t="shared" si="19"/>
        <v>1.2</v>
      </c>
      <c r="E209" s="13">
        <f t="shared" si="20"/>
        <v>1.2</v>
      </c>
      <c r="F209" s="13">
        <f t="shared" si="21"/>
        <v>1.1000000000000001</v>
      </c>
      <c r="G209" s="13">
        <f t="shared" si="22"/>
        <v>1.1000000000000001</v>
      </c>
      <c r="H209" s="13">
        <f t="shared" si="23"/>
        <v>1</v>
      </c>
      <c r="I209" s="13">
        <v>1.3</v>
      </c>
      <c r="J209" s="13">
        <v>1.3</v>
      </c>
      <c r="K209" s="13">
        <v>1.2</v>
      </c>
      <c r="L209" s="13"/>
      <c r="M209" s="13"/>
      <c r="N209" s="13"/>
      <c r="O209" s="13"/>
      <c r="P209" s="13"/>
      <c r="Q209" s="13"/>
      <c r="R209" s="13"/>
      <c r="S209" s="13">
        <v>1.89</v>
      </c>
      <c r="T209" s="13">
        <f>T208</f>
        <v>1.02</v>
      </c>
      <c r="U209" s="13"/>
      <c r="V209" s="13"/>
      <c r="W209" s="13"/>
      <c r="X209" s="13"/>
      <c r="Y209" s="13"/>
      <c r="Z209" s="13"/>
      <c r="AA209" s="13">
        <f>Z208</f>
        <v>1.02</v>
      </c>
    </row>
    <row r="210" spans="1:27" x14ac:dyDescent="0.25">
      <c r="A210" s="4" t="s">
        <v>239</v>
      </c>
      <c r="B210" s="2" t="str" cm="1">
        <f t="array" ref="B210">User3($C$11:$ZX$11,C210:ZX210)</f>
        <v>1.05D+1.2SDL+1.2BW+1.1COL+1.1SOIL+1WATER+1.3Lr+1.3LLB+1.2LLE+1.89Wy-2+1.02CR12+1.02CR21</v>
      </c>
      <c r="C210" s="13">
        <f t="shared" si="18"/>
        <v>1.05</v>
      </c>
      <c r="D210" s="13">
        <f t="shared" si="19"/>
        <v>1.2</v>
      </c>
      <c r="E210" s="13">
        <f t="shared" si="20"/>
        <v>1.2</v>
      </c>
      <c r="F210" s="13">
        <f t="shared" si="21"/>
        <v>1.1000000000000001</v>
      </c>
      <c r="G210" s="13">
        <f t="shared" si="22"/>
        <v>1.1000000000000001</v>
      </c>
      <c r="H210" s="13">
        <f t="shared" si="23"/>
        <v>1</v>
      </c>
      <c r="I210" s="13">
        <v>1.3</v>
      </c>
      <c r="J210" s="13">
        <v>1.3</v>
      </c>
      <c r="K210" s="13">
        <v>1.2</v>
      </c>
      <c r="L210" s="13"/>
      <c r="M210" s="13"/>
      <c r="N210" s="13"/>
      <c r="O210" s="13"/>
      <c r="P210" s="13"/>
      <c r="Q210" s="13"/>
      <c r="R210" s="13"/>
      <c r="S210" s="13">
        <v>1.89</v>
      </c>
      <c r="T210" s="13"/>
      <c r="U210" s="13">
        <f>T206</f>
        <v>1.02</v>
      </c>
      <c r="V210" s="13"/>
      <c r="W210" s="13"/>
      <c r="X210" s="13">
        <f>X206</f>
        <v>1.02</v>
      </c>
      <c r="Y210" s="13"/>
      <c r="Z210" s="13"/>
      <c r="AA210" s="13"/>
    </row>
    <row r="211" spans="1:27" x14ac:dyDescent="0.25">
      <c r="A211" s="4" t="s">
        <v>240</v>
      </c>
      <c r="B211" s="2" t="str" cm="1">
        <f t="array" ref="B211">User3($C$11:$ZX$11,C211:ZX211)</f>
        <v>1.05D+1.2SDL+1.2BW+1.1COL+1.1SOIL+1WATER+1.3Lr+1.3LLB+1.2LLE+1.89Wy-2+1.02CR12+1.02CR22</v>
      </c>
      <c r="C211" s="13">
        <f t="shared" si="18"/>
        <v>1.05</v>
      </c>
      <c r="D211" s="13">
        <f t="shared" si="19"/>
        <v>1.2</v>
      </c>
      <c r="E211" s="13">
        <f t="shared" si="20"/>
        <v>1.2</v>
      </c>
      <c r="F211" s="13">
        <f t="shared" si="21"/>
        <v>1.1000000000000001</v>
      </c>
      <c r="G211" s="13">
        <f t="shared" si="22"/>
        <v>1.1000000000000001</v>
      </c>
      <c r="H211" s="13">
        <f t="shared" si="23"/>
        <v>1</v>
      </c>
      <c r="I211" s="13">
        <v>1.3</v>
      </c>
      <c r="J211" s="13">
        <v>1.3</v>
      </c>
      <c r="K211" s="13">
        <v>1.2</v>
      </c>
      <c r="L211" s="13"/>
      <c r="M211" s="13"/>
      <c r="N211" s="13"/>
      <c r="O211" s="13"/>
      <c r="P211" s="13"/>
      <c r="Q211" s="13"/>
      <c r="R211" s="13"/>
      <c r="S211" s="13">
        <v>1.89</v>
      </c>
      <c r="T211" s="13"/>
      <c r="U211" s="13">
        <f>U210</f>
        <v>1.02</v>
      </c>
      <c r="V211" s="13"/>
      <c r="W211" s="13"/>
      <c r="X211" s="13"/>
      <c r="Y211" s="13">
        <f>Y207</f>
        <v>1.02</v>
      </c>
      <c r="Z211" s="13"/>
      <c r="AA211" s="13"/>
    </row>
    <row r="212" spans="1:27" x14ac:dyDescent="0.25">
      <c r="A212" s="4" t="s">
        <v>241</v>
      </c>
      <c r="B212" s="2" t="str" cm="1">
        <f t="array" ref="B212">User3($C$11:$ZX$11,C212:ZX212)</f>
        <v>1.05D+1.2SDL+1.2BW+1.1COL+1.1SOIL+1WATER+1.3Lr+1.3LLB+1.2LLE+1.89Wy-2+1.02CR12+1.02CR23</v>
      </c>
      <c r="C212" s="13">
        <f t="shared" si="18"/>
        <v>1.05</v>
      </c>
      <c r="D212" s="13">
        <f t="shared" si="19"/>
        <v>1.2</v>
      </c>
      <c r="E212" s="13">
        <f t="shared" si="20"/>
        <v>1.2</v>
      </c>
      <c r="F212" s="13">
        <f t="shared" si="21"/>
        <v>1.1000000000000001</v>
      </c>
      <c r="G212" s="13">
        <f t="shared" si="22"/>
        <v>1.1000000000000001</v>
      </c>
      <c r="H212" s="13">
        <f t="shared" si="23"/>
        <v>1</v>
      </c>
      <c r="I212" s="13">
        <v>1.3</v>
      </c>
      <c r="J212" s="13">
        <v>1.3</v>
      </c>
      <c r="K212" s="13">
        <v>1.2</v>
      </c>
      <c r="L212" s="13"/>
      <c r="M212" s="13"/>
      <c r="N212" s="13"/>
      <c r="O212" s="13"/>
      <c r="P212" s="13"/>
      <c r="Q212" s="13"/>
      <c r="R212" s="13"/>
      <c r="S212" s="13">
        <v>1.89</v>
      </c>
      <c r="T212" s="13"/>
      <c r="U212" s="13">
        <f>U211</f>
        <v>1.02</v>
      </c>
      <c r="V212" s="13"/>
      <c r="W212" s="13"/>
      <c r="X212" s="13"/>
      <c r="Y212" s="13"/>
      <c r="Z212" s="13">
        <f>Z208</f>
        <v>1.02</v>
      </c>
      <c r="AA212" s="13"/>
    </row>
    <row r="213" spans="1:27" x14ac:dyDescent="0.25">
      <c r="A213" s="4" t="s">
        <v>242</v>
      </c>
      <c r="B213" s="2" t="str" cm="1">
        <f t="array" ref="B213">User3($C$11:$ZX$11,C213:ZX213)</f>
        <v>1.05D+1.2SDL+1.2BW+1.1COL+1.1SOIL+1WATER+1.3Lr+1.3LLB+1.2LLE+1.89Wy-2+1.02CR12+1.02CR24</v>
      </c>
      <c r="C213" s="16">
        <f t="shared" si="18"/>
        <v>1.05</v>
      </c>
      <c r="D213" s="16">
        <f t="shared" si="19"/>
        <v>1.2</v>
      </c>
      <c r="E213" s="16">
        <f t="shared" si="20"/>
        <v>1.2</v>
      </c>
      <c r="F213" s="16">
        <f t="shared" si="21"/>
        <v>1.1000000000000001</v>
      </c>
      <c r="G213" s="16">
        <f t="shared" si="22"/>
        <v>1.1000000000000001</v>
      </c>
      <c r="H213" s="16">
        <f t="shared" si="23"/>
        <v>1</v>
      </c>
      <c r="I213" s="16">
        <v>1.3</v>
      </c>
      <c r="J213" s="16">
        <v>1.3</v>
      </c>
      <c r="K213" s="16">
        <v>1.2</v>
      </c>
      <c r="L213" s="16"/>
      <c r="M213" s="16"/>
      <c r="N213" s="16"/>
      <c r="O213" s="16"/>
      <c r="P213" s="16"/>
      <c r="Q213" s="16"/>
      <c r="R213" s="16"/>
      <c r="S213" s="16">
        <v>1.89</v>
      </c>
      <c r="T213" s="16"/>
      <c r="U213" s="16">
        <f>U212</f>
        <v>1.02</v>
      </c>
      <c r="V213" s="16"/>
      <c r="W213" s="16"/>
      <c r="X213" s="16"/>
      <c r="Y213" s="16"/>
      <c r="Z213" s="16"/>
      <c r="AA213" s="16">
        <f>AA209</f>
        <v>1.02</v>
      </c>
    </row>
    <row r="214" spans="1:27" x14ac:dyDescent="0.25">
      <c r="A214" s="4" t="s">
        <v>243</v>
      </c>
      <c r="B214" s="2" t="str" cm="1">
        <f t="array" ref="B214">User3($C$11:$ZX$11,C214:ZX214)</f>
        <v>1.05D+1.2SDL+1.2BW+1.1COL+1.1SOIL+1WATER+1.3Lr+1.3LLB+1.2LLE+1.89Wy-2+1.02CR13+1.02CR21</v>
      </c>
      <c r="C214" s="13">
        <f t="shared" si="18"/>
        <v>1.05</v>
      </c>
      <c r="D214" s="13">
        <f t="shared" si="19"/>
        <v>1.2</v>
      </c>
      <c r="E214" s="13">
        <f t="shared" si="20"/>
        <v>1.2</v>
      </c>
      <c r="F214" s="13">
        <f t="shared" si="21"/>
        <v>1.1000000000000001</v>
      </c>
      <c r="G214" s="13">
        <f t="shared" si="22"/>
        <v>1.1000000000000001</v>
      </c>
      <c r="H214" s="13">
        <f t="shared" si="23"/>
        <v>1</v>
      </c>
      <c r="I214" s="10">
        <v>1.3</v>
      </c>
      <c r="J214" s="10">
        <v>1.3</v>
      </c>
      <c r="K214" s="10">
        <v>1.2</v>
      </c>
      <c r="L214" s="10"/>
      <c r="M214" s="10"/>
      <c r="N214" s="10"/>
      <c r="O214" s="10"/>
      <c r="P214" s="10"/>
      <c r="Q214" s="10"/>
      <c r="R214" s="10"/>
      <c r="S214" s="10">
        <v>1.89</v>
      </c>
      <c r="T214" s="10"/>
      <c r="U214" s="10"/>
      <c r="V214" s="10">
        <f>U213</f>
        <v>1.02</v>
      </c>
      <c r="W214" s="10"/>
      <c r="X214" s="10">
        <f>X210</f>
        <v>1.02</v>
      </c>
      <c r="Y214" s="10"/>
      <c r="Z214" s="10"/>
      <c r="AA214" s="10"/>
    </row>
    <row r="215" spans="1:27" x14ac:dyDescent="0.25">
      <c r="A215" s="4" t="s">
        <v>244</v>
      </c>
      <c r="B215" s="2" t="str" cm="1">
        <f t="array" ref="B215">User3($C$11:$ZX$11,C215:ZX215)</f>
        <v>1.05D+1.2SDL+1.2BW+1.1COL+1.1SOIL+1WATER+1.3Lr+1.3LLB+1.2LLE+1.89Wy-2+1.02CR13+1.02CR22</v>
      </c>
      <c r="C215" s="13">
        <f t="shared" si="18"/>
        <v>1.05</v>
      </c>
      <c r="D215" s="13">
        <f t="shared" si="19"/>
        <v>1.2</v>
      </c>
      <c r="E215" s="13">
        <f t="shared" si="20"/>
        <v>1.2</v>
      </c>
      <c r="F215" s="13">
        <f t="shared" si="21"/>
        <v>1.1000000000000001</v>
      </c>
      <c r="G215" s="13">
        <f t="shared" si="22"/>
        <v>1.1000000000000001</v>
      </c>
      <c r="H215" s="13">
        <f t="shared" si="23"/>
        <v>1</v>
      </c>
      <c r="I215" s="13">
        <v>1.3</v>
      </c>
      <c r="J215" s="13">
        <v>1.3</v>
      </c>
      <c r="K215" s="13">
        <v>1.2</v>
      </c>
      <c r="L215" s="13"/>
      <c r="M215" s="13"/>
      <c r="N215" s="13"/>
      <c r="O215" s="13"/>
      <c r="P215" s="13"/>
      <c r="Q215" s="13"/>
      <c r="R215" s="13"/>
      <c r="S215" s="13">
        <v>1.89</v>
      </c>
      <c r="T215" s="13"/>
      <c r="U215" s="13"/>
      <c r="V215" s="13">
        <f>V214</f>
        <v>1.02</v>
      </c>
      <c r="W215" s="13"/>
      <c r="X215" s="13"/>
      <c r="Y215" s="13">
        <f>X214</f>
        <v>1.02</v>
      </c>
      <c r="Z215" s="13"/>
      <c r="AA215" s="13"/>
    </row>
    <row r="216" spans="1:27" x14ac:dyDescent="0.25">
      <c r="A216" s="4" t="s">
        <v>245</v>
      </c>
      <c r="B216" s="2" t="str" cm="1">
        <f t="array" ref="B216">User3($C$11:$ZX$11,C216:ZX216)</f>
        <v>1.05D+1.2SDL+1.2BW+1.1COL+1.1SOIL+1WATER+1.3Lr+1.3LLB+1.2LLE+1.89Wy-2+1.02CR13+1.02CR23</v>
      </c>
      <c r="C216" s="13">
        <f t="shared" si="18"/>
        <v>1.05</v>
      </c>
      <c r="D216" s="13">
        <f t="shared" si="19"/>
        <v>1.2</v>
      </c>
      <c r="E216" s="13">
        <f t="shared" si="20"/>
        <v>1.2</v>
      </c>
      <c r="F216" s="13">
        <f t="shared" si="21"/>
        <v>1.1000000000000001</v>
      </c>
      <c r="G216" s="13">
        <f t="shared" si="22"/>
        <v>1.1000000000000001</v>
      </c>
      <c r="H216" s="13">
        <f t="shared" si="23"/>
        <v>1</v>
      </c>
      <c r="I216" s="13">
        <v>1.3</v>
      </c>
      <c r="J216" s="13">
        <v>1.3</v>
      </c>
      <c r="K216" s="13">
        <v>1.2</v>
      </c>
      <c r="L216" s="13"/>
      <c r="M216" s="13"/>
      <c r="N216" s="13"/>
      <c r="O216" s="13"/>
      <c r="P216" s="13"/>
      <c r="Q216" s="13"/>
      <c r="R216" s="13"/>
      <c r="S216" s="13">
        <v>1.89</v>
      </c>
      <c r="T216" s="13"/>
      <c r="U216" s="13"/>
      <c r="V216" s="13">
        <f>V215</f>
        <v>1.02</v>
      </c>
      <c r="W216" s="13"/>
      <c r="X216" s="13"/>
      <c r="Y216" s="13"/>
      <c r="Z216" s="13">
        <f>Y215</f>
        <v>1.02</v>
      </c>
      <c r="AA216" s="13"/>
    </row>
    <row r="217" spans="1:27" x14ac:dyDescent="0.25">
      <c r="A217" s="4" t="s">
        <v>246</v>
      </c>
      <c r="B217" s="2" t="str" cm="1">
        <f t="array" ref="B217">User3($C$11:$ZX$11,C217:ZX217)</f>
        <v>1.05D+1.2SDL+1.2BW+1.1COL+1.1SOIL+1WATER+1.3Lr+1.3LLB+1.2LLE+1.89Wy-2+1.02CR13+1.02CR24</v>
      </c>
      <c r="C217" s="13">
        <f t="shared" si="18"/>
        <v>1.05</v>
      </c>
      <c r="D217" s="13">
        <f t="shared" si="19"/>
        <v>1.2</v>
      </c>
      <c r="E217" s="13">
        <f t="shared" si="20"/>
        <v>1.2</v>
      </c>
      <c r="F217" s="13">
        <f t="shared" si="21"/>
        <v>1.1000000000000001</v>
      </c>
      <c r="G217" s="13">
        <f t="shared" si="22"/>
        <v>1.1000000000000001</v>
      </c>
      <c r="H217" s="13">
        <f t="shared" si="23"/>
        <v>1</v>
      </c>
      <c r="I217" s="13">
        <v>1.3</v>
      </c>
      <c r="J217" s="13">
        <v>1.3</v>
      </c>
      <c r="K217" s="13">
        <v>1.2</v>
      </c>
      <c r="L217" s="13"/>
      <c r="M217" s="13"/>
      <c r="N217" s="13"/>
      <c r="O217" s="13"/>
      <c r="P217" s="13"/>
      <c r="Q217" s="13"/>
      <c r="R217" s="13"/>
      <c r="S217" s="13">
        <v>1.89</v>
      </c>
      <c r="T217" s="13"/>
      <c r="U217" s="13"/>
      <c r="V217" s="13">
        <f>V216</f>
        <v>1.02</v>
      </c>
      <c r="W217" s="13"/>
      <c r="X217" s="13"/>
      <c r="Y217" s="13"/>
      <c r="Z217" s="13"/>
      <c r="AA217" s="13">
        <f>Z216</f>
        <v>1.02</v>
      </c>
    </row>
    <row r="218" spans="1:27" x14ac:dyDescent="0.25">
      <c r="A218" s="4" t="s">
        <v>247</v>
      </c>
      <c r="B218" s="2" t="str" cm="1">
        <f t="array" ref="B218">User3($C$11:$ZX$11,C218:ZX218)</f>
        <v>1.05D+1.2SDL+1.2BW+1.1COL+1.1SOIL+1WATER+1.3Lr+1.3LLB+1.2LLE+1.89Wy-2+1.02CR14+1.02CR21</v>
      </c>
      <c r="C218" s="13">
        <f t="shared" si="18"/>
        <v>1.05</v>
      </c>
      <c r="D218" s="13">
        <f t="shared" si="19"/>
        <v>1.2</v>
      </c>
      <c r="E218" s="13">
        <f t="shared" si="20"/>
        <v>1.2</v>
      </c>
      <c r="F218" s="13">
        <f t="shared" si="21"/>
        <v>1.1000000000000001</v>
      </c>
      <c r="G218" s="13">
        <f t="shared" si="22"/>
        <v>1.1000000000000001</v>
      </c>
      <c r="H218" s="13">
        <f t="shared" si="23"/>
        <v>1</v>
      </c>
      <c r="I218" s="13">
        <v>1.3</v>
      </c>
      <c r="J218" s="13">
        <v>1.3</v>
      </c>
      <c r="K218" s="13">
        <v>1.2</v>
      </c>
      <c r="L218" s="13"/>
      <c r="M218" s="13"/>
      <c r="N218" s="13"/>
      <c r="O218" s="13"/>
      <c r="P218" s="13"/>
      <c r="Q218" s="13"/>
      <c r="R218" s="13"/>
      <c r="S218" s="13">
        <v>1.89</v>
      </c>
      <c r="T218" s="13"/>
      <c r="U218" s="13"/>
      <c r="V218" s="13"/>
      <c r="W218" s="13">
        <f>V217</f>
        <v>1.02</v>
      </c>
      <c r="X218" s="13">
        <f>X214</f>
        <v>1.02</v>
      </c>
      <c r="Y218" s="13"/>
      <c r="Z218" s="13"/>
      <c r="AA218" s="13"/>
    </row>
    <row r="219" spans="1:27" x14ac:dyDescent="0.25">
      <c r="A219" s="4" t="s">
        <v>248</v>
      </c>
      <c r="B219" s="2" t="str" cm="1">
        <f t="array" ref="B219">User3($C$11:$ZX$11,C219:ZX219)</f>
        <v>1.05D+1.2SDL+1.2BW+1.1COL+1.1SOIL+1WATER+1.3Lr+1.3LLB+1.2LLE+1.89Wy-2+1.02CR14+1.02CR22</v>
      </c>
      <c r="C219" s="13">
        <f t="shared" si="18"/>
        <v>1.05</v>
      </c>
      <c r="D219" s="13">
        <f t="shared" si="19"/>
        <v>1.2</v>
      </c>
      <c r="E219" s="13">
        <f t="shared" si="20"/>
        <v>1.2</v>
      </c>
      <c r="F219" s="13">
        <f t="shared" si="21"/>
        <v>1.1000000000000001</v>
      </c>
      <c r="G219" s="13">
        <f t="shared" si="22"/>
        <v>1.1000000000000001</v>
      </c>
      <c r="H219" s="13">
        <f t="shared" si="23"/>
        <v>1</v>
      </c>
      <c r="I219" s="13">
        <v>1.3</v>
      </c>
      <c r="J219" s="13">
        <v>1.3</v>
      </c>
      <c r="K219" s="13">
        <v>1.2</v>
      </c>
      <c r="L219" s="13"/>
      <c r="M219" s="13"/>
      <c r="N219" s="13"/>
      <c r="O219" s="13"/>
      <c r="P219" s="13"/>
      <c r="Q219" s="13"/>
      <c r="R219" s="13"/>
      <c r="S219" s="13">
        <v>1.89</v>
      </c>
      <c r="T219" s="13"/>
      <c r="U219" s="13"/>
      <c r="V219" s="13"/>
      <c r="W219" s="13">
        <f>W218</f>
        <v>1.02</v>
      </c>
      <c r="X219" s="13"/>
      <c r="Y219" s="13">
        <f>X218</f>
        <v>1.02</v>
      </c>
      <c r="Z219" s="13"/>
      <c r="AA219" s="13"/>
    </row>
    <row r="220" spans="1:27" x14ac:dyDescent="0.25">
      <c r="A220" s="4" t="s">
        <v>249</v>
      </c>
      <c r="B220" s="2" t="str" cm="1">
        <f t="array" ref="B220">User3($C$11:$ZX$11,C220:ZX220)</f>
        <v>1.05D+1.2SDL+1.2BW+1.1COL+1.1SOIL+1WATER+1.3Lr+1.3LLB+1.2LLE+1.89Wy-2+1.02CR14+1.02CR23</v>
      </c>
      <c r="C220" s="13">
        <f t="shared" si="18"/>
        <v>1.05</v>
      </c>
      <c r="D220" s="13">
        <f t="shared" si="19"/>
        <v>1.2</v>
      </c>
      <c r="E220" s="13">
        <f t="shared" si="20"/>
        <v>1.2</v>
      </c>
      <c r="F220" s="13">
        <f t="shared" si="21"/>
        <v>1.1000000000000001</v>
      </c>
      <c r="G220" s="13">
        <f t="shared" si="22"/>
        <v>1.1000000000000001</v>
      </c>
      <c r="H220" s="13">
        <f t="shared" si="23"/>
        <v>1</v>
      </c>
      <c r="I220" s="13">
        <v>1.3</v>
      </c>
      <c r="J220" s="13">
        <v>1.3</v>
      </c>
      <c r="K220" s="13">
        <v>1.2</v>
      </c>
      <c r="L220" s="13"/>
      <c r="M220" s="13"/>
      <c r="N220" s="13"/>
      <c r="O220" s="13"/>
      <c r="P220" s="13"/>
      <c r="Q220" s="13"/>
      <c r="R220" s="13"/>
      <c r="S220" s="13">
        <v>1.89</v>
      </c>
      <c r="T220" s="13"/>
      <c r="U220" s="13"/>
      <c r="V220" s="13"/>
      <c r="W220" s="13">
        <f>W219</f>
        <v>1.02</v>
      </c>
      <c r="X220" s="13"/>
      <c r="Y220" s="13"/>
      <c r="Z220" s="13">
        <f>Y219</f>
        <v>1.02</v>
      </c>
      <c r="AA220" s="13"/>
    </row>
    <row r="221" spans="1:27" x14ac:dyDescent="0.25">
      <c r="A221" s="4" t="s">
        <v>250</v>
      </c>
      <c r="B221" s="2" t="str" cm="1">
        <f t="array" ref="B221">User3($C$11:$ZX$11,C221:ZX221)</f>
        <v>1.05D+1.2SDL+1.2BW+1.1COL+1.1SOIL+1WATER+1.3Lr+1.3LLB+1.2LLE+1.89Wy-2+1.02CR14+1.02CR24</v>
      </c>
      <c r="C221" s="16">
        <f t="shared" si="18"/>
        <v>1.05</v>
      </c>
      <c r="D221" s="16">
        <f t="shared" si="19"/>
        <v>1.2</v>
      </c>
      <c r="E221" s="16">
        <f t="shared" si="20"/>
        <v>1.2</v>
      </c>
      <c r="F221" s="16">
        <f t="shared" si="21"/>
        <v>1.1000000000000001</v>
      </c>
      <c r="G221" s="16">
        <f t="shared" si="22"/>
        <v>1.1000000000000001</v>
      </c>
      <c r="H221" s="16">
        <f t="shared" si="23"/>
        <v>1</v>
      </c>
      <c r="I221" s="16">
        <v>1.3</v>
      </c>
      <c r="J221" s="16">
        <v>1.3</v>
      </c>
      <c r="K221" s="16">
        <v>1.2</v>
      </c>
      <c r="L221" s="16"/>
      <c r="M221" s="16"/>
      <c r="N221" s="16"/>
      <c r="O221" s="16"/>
      <c r="P221" s="16"/>
      <c r="Q221" s="16"/>
      <c r="R221" s="16"/>
      <c r="S221" s="16">
        <v>1.89</v>
      </c>
      <c r="T221" s="16"/>
      <c r="U221" s="16"/>
      <c r="V221" s="16"/>
      <c r="W221" s="16">
        <f>W220</f>
        <v>1.02</v>
      </c>
      <c r="X221" s="16"/>
      <c r="Y221" s="16"/>
      <c r="Z221" s="16"/>
      <c r="AA221" s="16">
        <f>Z220</f>
        <v>1.02</v>
      </c>
    </row>
    <row r="222" spans="1:27" x14ac:dyDescent="0.25">
      <c r="A222" s="4" t="s">
        <v>251</v>
      </c>
      <c r="B222" s="2" t="str" cm="1">
        <f t="array" ref="B222">User3($C$11:$ZX$11,C222:ZX222)</f>
        <v>1.05D+1.2SDL+1.2BW+1.1COL+1.1SOIL+1WATER+1.17Lr+1.17LLB+1.08LLE+2.1Wx+1+1.2CR11</v>
      </c>
      <c r="C222" s="13">
        <f t="shared" si="18"/>
        <v>1.05</v>
      </c>
      <c r="D222" s="13">
        <f t="shared" si="19"/>
        <v>1.2</v>
      </c>
      <c r="E222" s="13">
        <f t="shared" si="20"/>
        <v>1.2</v>
      </c>
      <c r="F222" s="13">
        <f t="shared" si="21"/>
        <v>1.1000000000000001</v>
      </c>
      <c r="G222" s="13">
        <f t="shared" si="22"/>
        <v>1.1000000000000001</v>
      </c>
      <c r="H222" s="13">
        <f t="shared" si="23"/>
        <v>1</v>
      </c>
      <c r="I222" s="10">
        <v>1.1700000000000002</v>
      </c>
      <c r="J222" s="10">
        <v>1.17</v>
      </c>
      <c r="K222" s="10">
        <v>1.08</v>
      </c>
      <c r="L222" s="10">
        <v>2.1</v>
      </c>
      <c r="M222" s="10"/>
      <c r="N222" s="10"/>
      <c r="O222" s="10"/>
      <c r="P222" s="10"/>
      <c r="Q222" s="10"/>
      <c r="R222" s="10"/>
      <c r="S222" s="10"/>
      <c r="T222" s="10">
        <v>1.2</v>
      </c>
      <c r="U222" s="10"/>
      <c r="V222" s="10"/>
      <c r="W222" s="10"/>
      <c r="X222" s="10"/>
      <c r="Y222" s="10"/>
      <c r="Z222" s="10"/>
      <c r="AA222" s="10"/>
    </row>
    <row r="223" spans="1:27" x14ac:dyDescent="0.25">
      <c r="A223" s="4" t="s">
        <v>252</v>
      </c>
      <c r="B223" s="2" t="str" cm="1">
        <f t="array" ref="B223">User3($C$11:$ZX$11,C223:ZX223)</f>
        <v>1.05D+1.2SDL+1.2BW+1.1COL+1.1SOIL+1WATER+1.17Lr+1.17LLB+1.08LLE+2.1Wx+1+1.2CR12</v>
      </c>
      <c r="C223" s="13">
        <f t="shared" si="18"/>
        <v>1.05</v>
      </c>
      <c r="D223" s="13">
        <f t="shared" si="19"/>
        <v>1.2</v>
      </c>
      <c r="E223" s="13">
        <f t="shared" si="20"/>
        <v>1.2</v>
      </c>
      <c r="F223" s="13">
        <f t="shared" si="21"/>
        <v>1.1000000000000001</v>
      </c>
      <c r="G223" s="13">
        <f t="shared" si="22"/>
        <v>1.1000000000000001</v>
      </c>
      <c r="H223" s="13">
        <f t="shared" si="23"/>
        <v>1</v>
      </c>
      <c r="I223" s="13">
        <v>1.1700000000000002</v>
      </c>
      <c r="J223" s="13">
        <v>1.17</v>
      </c>
      <c r="K223" s="13">
        <v>1.08</v>
      </c>
      <c r="L223" s="13">
        <v>2.1</v>
      </c>
      <c r="M223" s="13"/>
      <c r="N223" s="13"/>
      <c r="O223" s="13"/>
      <c r="P223" s="13"/>
      <c r="Q223" s="13"/>
      <c r="R223" s="13"/>
      <c r="S223" s="13"/>
      <c r="T223" s="13"/>
      <c r="U223" s="13">
        <v>1.2</v>
      </c>
      <c r="V223" s="13"/>
      <c r="W223" s="13"/>
      <c r="X223" s="13"/>
      <c r="Y223" s="13"/>
      <c r="Z223" s="13"/>
      <c r="AA223" s="13"/>
    </row>
    <row r="224" spans="1:27" x14ac:dyDescent="0.25">
      <c r="A224" s="4" t="s">
        <v>253</v>
      </c>
      <c r="B224" s="2" t="str" cm="1">
        <f t="array" ref="B224">User3($C$11:$ZX$11,C224:ZX224)</f>
        <v>1.05D+1.2SDL+1.2BW+1.1COL+1.1SOIL+1WATER+1.17Lr+1.17LLB+1.08LLE+2.1Wx+1+1.2CR13</v>
      </c>
      <c r="C224" s="13">
        <f t="shared" si="18"/>
        <v>1.05</v>
      </c>
      <c r="D224" s="13">
        <f t="shared" si="19"/>
        <v>1.2</v>
      </c>
      <c r="E224" s="13">
        <f t="shared" si="20"/>
        <v>1.2</v>
      </c>
      <c r="F224" s="13">
        <f t="shared" si="21"/>
        <v>1.1000000000000001</v>
      </c>
      <c r="G224" s="13">
        <f t="shared" si="22"/>
        <v>1.1000000000000001</v>
      </c>
      <c r="H224" s="13">
        <f t="shared" si="23"/>
        <v>1</v>
      </c>
      <c r="I224" s="13">
        <v>1.1700000000000002</v>
      </c>
      <c r="J224" s="13">
        <v>1.17</v>
      </c>
      <c r="K224" s="13">
        <v>1.08</v>
      </c>
      <c r="L224" s="13">
        <v>2.1</v>
      </c>
      <c r="M224" s="13"/>
      <c r="N224" s="13"/>
      <c r="O224" s="13"/>
      <c r="P224" s="13"/>
      <c r="Q224" s="13"/>
      <c r="R224" s="13"/>
      <c r="S224" s="13"/>
      <c r="T224" s="13"/>
      <c r="U224" s="13"/>
      <c r="V224" s="13">
        <v>1.2</v>
      </c>
      <c r="W224" s="13"/>
      <c r="X224" s="13"/>
      <c r="Y224" s="13"/>
      <c r="Z224" s="13"/>
      <c r="AA224" s="13"/>
    </row>
    <row r="225" spans="1:27" x14ac:dyDescent="0.25">
      <c r="A225" s="4" t="s">
        <v>254</v>
      </c>
      <c r="B225" s="2" t="str" cm="1">
        <f t="array" ref="B225">User3($C$11:$ZX$11,C225:ZX225)</f>
        <v>1.05D+1.2SDL+1.2BW+1.1COL+1.1SOIL+1WATER+1.17Lr+1.17LLB+1.08LLE+2.1Wx+1+1.2CR14</v>
      </c>
      <c r="C225" s="13">
        <f t="shared" si="18"/>
        <v>1.05</v>
      </c>
      <c r="D225" s="13">
        <f t="shared" si="19"/>
        <v>1.2</v>
      </c>
      <c r="E225" s="13">
        <f t="shared" si="20"/>
        <v>1.2</v>
      </c>
      <c r="F225" s="13">
        <f t="shared" si="21"/>
        <v>1.1000000000000001</v>
      </c>
      <c r="G225" s="13">
        <f t="shared" si="22"/>
        <v>1.1000000000000001</v>
      </c>
      <c r="H225" s="13">
        <f t="shared" si="23"/>
        <v>1</v>
      </c>
      <c r="I225" s="13">
        <v>1.1700000000000002</v>
      </c>
      <c r="J225" s="13">
        <v>1.17</v>
      </c>
      <c r="K225" s="13">
        <v>1.08</v>
      </c>
      <c r="L225" s="13">
        <v>2.1</v>
      </c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>
        <v>1.2</v>
      </c>
      <c r="X225" s="13"/>
      <c r="Y225" s="13"/>
      <c r="Z225" s="13"/>
      <c r="AA225" s="13"/>
    </row>
    <row r="226" spans="1:27" x14ac:dyDescent="0.25">
      <c r="A226" s="4" t="s">
        <v>255</v>
      </c>
      <c r="B226" s="2" t="str" cm="1">
        <f t="array" ref="B226">User3($C$11:$ZX$11,C226:ZX226)</f>
        <v>1.05D+1.2SDL+1.2BW+1.1COL+1.1SOIL+1WATER+1.17Lr+1.17LLB+1.08LLE+2.1Wx+1+1.2CR21</v>
      </c>
      <c r="C226" s="13">
        <f t="shared" si="18"/>
        <v>1.05</v>
      </c>
      <c r="D226" s="13">
        <f t="shared" si="19"/>
        <v>1.2</v>
      </c>
      <c r="E226" s="13">
        <f t="shared" si="20"/>
        <v>1.2</v>
      </c>
      <c r="F226" s="13">
        <f t="shared" si="21"/>
        <v>1.1000000000000001</v>
      </c>
      <c r="G226" s="13">
        <f t="shared" si="22"/>
        <v>1.1000000000000001</v>
      </c>
      <c r="H226" s="13">
        <f t="shared" si="23"/>
        <v>1</v>
      </c>
      <c r="I226" s="13">
        <v>1.1700000000000002</v>
      </c>
      <c r="J226" s="13">
        <v>1.17</v>
      </c>
      <c r="K226" s="13">
        <v>1.08</v>
      </c>
      <c r="L226" s="13">
        <v>2.1</v>
      </c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>
        <v>1.2</v>
      </c>
      <c r="Y226" s="13"/>
      <c r="Z226" s="13"/>
      <c r="AA226" s="13"/>
    </row>
    <row r="227" spans="1:27" x14ac:dyDescent="0.25">
      <c r="A227" s="4" t="s">
        <v>256</v>
      </c>
      <c r="B227" s="2" t="str" cm="1">
        <f t="array" ref="B227">User3($C$11:$ZX$11,C227:ZX227)</f>
        <v>1.05D+1.2SDL+1.2BW+1.1COL+1.1SOIL+1WATER+1.17Lr+1.17LLB+1.08LLE+2.1Wx+1+1.2CR22</v>
      </c>
      <c r="C227" s="13">
        <f t="shared" si="18"/>
        <v>1.05</v>
      </c>
      <c r="D227" s="13">
        <f t="shared" si="19"/>
        <v>1.2</v>
      </c>
      <c r="E227" s="13">
        <f t="shared" si="20"/>
        <v>1.2</v>
      </c>
      <c r="F227" s="13">
        <f t="shared" si="21"/>
        <v>1.1000000000000001</v>
      </c>
      <c r="G227" s="13">
        <f t="shared" si="22"/>
        <v>1.1000000000000001</v>
      </c>
      <c r="H227" s="13">
        <f t="shared" si="23"/>
        <v>1</v>
      </c>
      <c r="I227" s="13">
        <v>1.1700000000000002</v>
      </c>
      <c r="J227" s="13">
        <v>1.17</v>
      </c>
      <c r="K227" s="13">
        <v>1.08</v>
      </c>
      <c r="L227" s="13">
        <v>2.1</v>
      </c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>
        <v>1.2</v>
      </c>
      <c r="Z227" s="13"/>
      <c r="AA227" s="13"/>
    </row>
    <row r="228" spans="1:27" x14ac:dyDescent="0.25">
      <c r="A228" s="4" t="s">
        <v>257</v>
      </c>
      <c r="B228" s="2" t="str" cm="1">
        <f t="array" ref="B228">User3($C$11:$ZX$11,C228:ZX228)</f>
        <v>1.05D+1.2SDL+1.2BW+1.1COL+1.1SOIL+1WATER+1.17Lr+1.17LLB+1.08LLE+2.1Wx+1+1.2CR23</v>
      </c>
      <c r="C228" s="13">
        <f t="shared" si="18"/>
        <v>1.05</v>
      </c>
      <c r="D228" s="13">
        <f t="shared" si="19"/>
        <v>1.2</v>
      </c>
      <c r="E228" s="13">
        <f t="shared" si="20"/>
        <v>1.2</v>
      </c>
      <c r="F228" s="13">
        <f t="shared" si="21"/>
        <v>1.1000000000000001</v>
      </c>
      <c r="G228" s="13">
        <f t="shared" si="22"/>
        <v>1.1000000000000001</v>
      </c>
      <c r="H228" s="13">
        <f t="shared" si="23"/>
        <v>1</v>
      </c>
      <c r="I228" s="13">
        <v>1.1700000000000002</v>
      </c>
      <c r="J228" s="13">
        <v>1.17</v>
      </c>
      <c r="K228" s="13">
        <v>1.08</v>
      </c>
      <c r="L228" s="13">
        <v>2.1</v>
      </c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>
        <v>1.2</v>
      </c>
      <c r="AA228" s="13"/>
    </row>
    <row r="229" spans="1:27" x14ac:dyDescent="0.25">
      <c r="A229" s="4" t="s">
        <v>258</v>
      </c>
      <c r="B229" s="2" t="str" cm="1">
        <f t="array" ref="B229">User3($C$11:$ZX$11,C229:ZX229)</f>
        <v>1.05D+1.2SDL+1.2BW+1.1COL+1.1SOIL+1WATER+1.17Lr+1.17LLB+1.08LLE+2.1Wx+1+1.2CR24</v>
      </c>
      <c r="C229" s="16">
        <f t="shared" si="18"/>
        <v>1.05</v>
      </c>
      <c r="D229" s="16">
        <f t="shared" si="19"/>
        <v>1.2</v>
      </c>
      <c r="E229" s="16">
        <f t="shared" si="20"/>
        <v>1.2</v>
      </c>
      <c r="F229" s="16">
        <f t="shared" si="21"/>
        <v>1.1000000000000001</v>
      </c>
      <c r="G229" s="16">
        <f t="shared" si="22"/>
        <v>1.1000000000000001</v>
      </c>
      <c r="H229" s="16">
        <f t="shared" si="23"/>
        <v>1</v>
      </c>
      <c r="I229" s="16">
        <v>1.1700000000000002</v>
      </c>
      <c r="J229" s="16">
        <v>1.17</v>
      </c>
      <c r="K229" s="16">
        <v>1.08</v>
      </c>
      <c r="L229" s="16">
        <v>2.1</v>
      </c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>
        <v>1.2</v>
      </c>
    </row>
    <row r="230" spans="1:27" x14ac:dyDescent="0.25">
      <c r="A230" s="4" t="s">
        <v>259</v>
      </c>
      <c r="B230" s="2" t="str" cm="1">
        <f t="array" ref="B230">User3($C$11:$ZX$11,C230:ZX230)</f>
        <v>1.05D+1.2SDL+1.2BW+1.1COL+1.1SOIL+1WATER+1.17Lr+1.17LLB+1.08LLE+2.1Wx+2+1.2CR11</v>
      </c>
      <c r="C230" s="13">
        <f t="shared" si="18"/>
        <v>1.05</v>
      </c>
      <c r="D230" s="13">
        <f t="shared" si="19"/>
        <v>1.2</v>
      </c>
      <c r="E230" s="13">
        <f t="shared" si="20"/>
        <v>1.2</v>
      </c>
      <c r="F230" s="13">
        <f t="shared" si="21"/>
        <v>1.1000000000000001</v>
      </c>
      <c r="G230" s="13">
        <f t="shared" si="22"/>
        <v>1.1000000000000001</v>
      </c>
      <c r="H230" s="13">
        <f t="shared" si="23"/>
        <v>1</v>
      </c>
      <c r="I230" s="10">
        <v>1.1700000000000002</v>
      </c>
      <c r="J230" s="10">
        <v>1.17</v>
      </c>
      <c r="K230" s="10">
        <v>1.08</v>
      </c>
      <c r="L230" s="10"/>
      <c r="M230" s="10">
        <v>2.1</v>
      </c>
      <c r="N230" s="10"/>
      <c r="O230" s="10"/>
      <c r="P230" s="10"/>
      <c r="Q230" s="10"/>
      <c r="R230" s="10"/>
      <c r="S230" s="10"/>
      <c r="T230" s="10">
        <v>1.2</v>
      </c>
      <c r="U230" s="10"/>
      <c r="V230" s="10"/>
      <c r="W230" s="10"/>
      <c r="X230" s="10"/>
      <c r="Y230" s="10"/>
      <c r="Z230" s="10"/>
      <c r="AA230" s="10"/>
    </row>
    <row r="231" spans="1:27" x14ac:dyDescent="0.25">
      <c r="A231" s="4" t="s">
        <v>260</v>
      </c>
      <c r="B231" s="2" t="str" cm="1">
        <f t="array" ref="B231">User3($C$11:$ZX$11,C231:ZX231)</f>
        <v>1.05D+1.2SDL+1.2BW+1.1COL+1.1SOIL+1WATER+1.17Lr+1.17LLB+1.08LLE+2.1Wx+2+1.2CR12</v>
      </c>
      <c r="C231" s="13">
        <f t="shared" si="18"/>
        <v>1.05</v>
      </c>
      <c r="D231" s="13">
        <f t="shared" si="19"/>
        <v>1.2</v>
      </c>
      <c r="E231" s="13">
        <f t="shared" si="20"/>
        <v>1.2</v>
      </c>
      <c r="F231" s="13">
        <f t="shared" si="21"/>
        <v>1.1000000000000001</v>
      </c>
      <c r="G231" s="13">
        <f t="shared" si="22"/>
        <v>1.1000000000000001</v>
      </c>
      <c r="H231" s="13">
        <f t="shared" si="23"/>
        <v>1</v>
      </c>
      <c r="I231" s="13">
        <v>1.1700000000000002</v>
      </c>
      <c r="J231" s="13">
        <v>1.17</v>
      </c>
      <c r="K231" s="13">
        <v>1.08</v>
      </c>
      <c r="L231" s="13"/>
      <c r="M231" s="13">
        <v>2.1</v>
      </c>
      <c r="N231" s="13"/>
      <c r="O231" s="13"/>
      <c r="P231" s="13"/>
      <c r="Q231" s="13"/>
      <c r="R231" s="13"/>
      <c r="S231" s="13"/>
      <c r="T231" s="13"/>
      <c r="U231" s="13">
        <v>1.2</v>
      </c>
      <c r="V231" s="13"/>
      <c r="W231" s="13"/>
      <c r="X231" s="13"/>
      <c r="Y231" s="13"/>
      <c r="Z231" s="13"/>
      <c r="AA231" s="13"/>
    </row>
    <row r="232" spans="1:27" x14ac:dyDescent="0.25">
      <c r="A232" s="4" t="s">
        <v>261</v>
      </c>
      <c r="B232" s="2" t="str" cm="1">
        <f t="array" ref="B232">User3($C$11:$ZX$11,C232:ZX232)</f>
        <v>1.05D+1.2SDL+1.2BW+1.1COL+1.1SOIL+1WATER+1.17Lr+1.17LLB+1.08LLE+2.1Wx+2+1.2CR13</v>
      </c>
      <c r="C232" s="13">
        <f t="shared" si="18"/>
        <v>1.05</v>
      </c>
      <c r="D232" s="13">
        <f t="shared" si="19"/>
        <v>1.2</v>
      </c>
      <c r="E232" s="13">
        <f t="shared" si="20"/>
        <v>1.2</v>
      </c>
      <c r="F232" s="13">
        <f t="shared" si="21"/>
        <v>1.1000000000000001</v>
      </c>
      <c r="G232" s="13">
        <f t="shared" si="22"/>
        <v>1.1000000000000001</v>
      </c>
      <c r="H232" s="13">
        <f t="shared" si="23"/>
        <v>1</v>
      </c>
      <c r="I232" s="13">
        <v>1.1700000000000002</v>
      </c>
      <c r="J232" s="13">
        <v>1.17</v>
      </c>
      <c r="K232" s="13">
        <v>1.08</v>
      </c>
      <c r="L232" s="13"/>
      <c r="M232" s="13">
        <v>2.1</v>
      </c>
      <c r="N232" s="13"/>
      <c r="O232" s="13"/>
      <c r="P232" s="13"/>
      <c r="Q232" s="13"/>
      <c r="R232" s="13"/>
      <c r="S232" s="13"/>
      <c r="T232" s="13"/>
      <c r="U232" s="13"/>
      <c r="V232" s="13">
        <v>1.2</v>
      </c>
      <c r="W232" s="13"/>
      <c r="X232" s="13"/>
      <c r="Y232" s="13"/>
      <c r="Z232" s="13"/>
      <c r="AA232" s="13"/>
    </row>
    <row r="233" spans="1:27" x14ac:dyDescent="0.25">
      <c r="A233" s="4" t="s">
        <v>262</v>
      </c>
      <c r="B233" s="2" t="str" cm="1">
        <f t="array" ref="B233">User3($C$11:$ZX$11,C233:ZX233)</f>
        <v>1.05D+1.2SDL+1.2BW+1.1COL+1.1SOIL+1WATER+1.17Lr+1.17LLB+1.08LLE+2.1Wx+2+1.2CR14</v>
      </c>
      <c r="C233" s="13">
        <f t="shared" si="18"/>
        <v>1.05</v>
      </c>
      <c r="D233" s="13">
        <f t="shared" si="19"/>
        <v>1.2</v>
      </c>
      <c r="E233" s="13">
        <f t="shared" si="20"/>
        <v>1.2</v>
      </c>
      <c r="F233" s="13">
        <f t="shared" si="21"/>
        <v>1.1000000000000001</v>
      </c>
      <c r="G233" s="13">
        <f t="shared" si="22"/>
        <v>1.1000000000000001</v>
      </c>
      <c r="H233" s="13">
        <f t="shared" si="23"/>
        <v>1</v>
      </c>
      <c r="I233" s="13">
        <v>1.1700000000000002</v>
      </c>
      <c r="J233" s="13">
        <v>1.17</v>
      </c>
      <c r="K233" s="13">
        <v>1.08</v>
      </c>
      <c r="L233" s="13"/>
      <c r="M233" s="13">
        <v>2.1</v>
      </c>
      <c r="N233" s="13"/>
      <c r="O233" s="13"/>
      <c r="P233" s="13"/>
      <c r="Q233" s="13"/>
      <c r="R233" s="13"/>
      <c r="S233" s="13"/>
      <c r="T233" s="13"/>
      <c r="U233" s="13"/>
      <c r="V233" s="13"/>
      <c r="W233" s="13">
        <v>1.2</v>
      </c>
      <c r="X233" s="13"/>
      <c r="Y233" s="13"/>
      <c r="Z233" s="13"/>
      <c r="AA233" s="13"/>
    </row>
    <row r="234" spans="1:27" x14ac:dyDescent="0.25">
      <c r="A234" s="4" t="s">
        <v>263</v>
      </c>
      <c r="B234" s="2" t="str" cm="1">
        <f t="array" ref="B234">User3($C$11:$ZX$11,C234:ZX234)</f>
        <v>1.05D+1.2SDL+1.2BW+1.1COL+1.1SOIL+1WATER+1.17Lr+1.17LLB+1.08LLE+2.1Wx+2+1.2CR21</v>
      </c>
      <c r="C234" s="13">
        <f t="shared" si="18"/>
        <v>1.05</v>
      </c>
      <c r="D234" s="13">
        <f t="shared" si="19"/>
        <v>1.2</v>
      </c>
      <c r="E234" s="13">
        <f t="shared" si="20"/>
        <v>1.2</v>
      </c>
      <c r="F234" s="13">
        <f t="shared" si="21"/>
        <v>1.1000000000000001</v>
      </c>
      <c r="G234" s="13">
        <f t="shared" si="22"/>
        <v>1.1000000000000001</v>
      </c>
      <c r="H234" s="13">
        <f t="shared" si="23"/>
        <v>1</v>
      </c>
      <c r="I234" s="13">
        <v>1.1700000000000002</v>
      </c>
      <c r="J234" s="13">
        <v>1.17</v>
      </c>
      <c r="K234" s="13">
        <v>1.08</v>
      </c>
      <c r="L234" s="13"/>
      <c r="M234" s="13">
        <v>2.1</v>
      </c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>
        <v>1.2</v>
      </c>
      <c r="Y234" s="13"/>
      <c r="Z234" s="13"/>
      <c r="AA234" s="13"/>
    </row>
    <row r="235" spans="1:27" x14ac:dyDescent="0.25">
      <c r="A235" s="4" t="s">
        <v>264</v>
      </c>
      <c r="B235" s="2" t="str" cm="1">
        <f t="array" ref="B235">User3($C$11:$ZX$11,C235:ZX235)</f>
        <v>1.05D+1.2SDL+1.2BW+1.1COL+1.1SOIL+1WATER+1.17Lr+1.17LLB+1.08LLE+2.1Wx+2+1.2CR22</v>
      </c>
      <c r="C235" s="13">
        <f t="shared" si="18"/>
        <v>1.05</v>
      </c>
      <c r="D235" s="13">
        <f t="shared" si="19"/>
        <v>1.2</v>
      </c>
      <c r="E235" s="13">
        <f t="shared" si="20"/>
        <v>1.2</v>
      </c>
      <c r="F235" s="13">
        <f t="shared" si="21"/>
        <v>1.1000000000000001</v>
      </c>
      <c r="G235" s="13">
        <f t="shared" si="22"/>
        <v>1.1000000000000001</v>
      </c>
      <c r="H235" s="13">
        <f t="shared" si="23"/>
        <v>1</v>
      </c>
      <c r="I235" s="13">
        <v>1.1700000000000002</v>
      </c>
      <c r="J235" s="13">
        <v>1.17</v>
      </c>
      <c r="K235" s="13">
        <v>1.08</v>
      </c>
      <c r="L235" s="13"/>
      <c r="M235" s="13">
        <v>2.1</v>
      </c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>
        <v>1.2</v>
      </c>
      <c r="Z235" s="13"/>
      <c r="AA235" s="13"/>
    </row>
    <row r="236" spans="1:27" x14ac:dyDescent="0.25">
      <c r="A236" s="4" t="s">
        <v>265</v>
      </c>
      <c r="B236" s="2" t="str" cm="1">
        <f t="array" ref="B236">User3($C$11:$ZX$11,C236:ZX236)</f>
        <v>1.05D+1.2SDL+1.2BW+1.1COL+1.1SOIL+1WATER+1.17Lr+1.17LLB+1.08LLE+2.1Wx+2+1.2CR23</v>
      </c>
      <c r="C236" s="13">
        <f t="shared" si="18"/>
        <v>1.05</v>
      </c>
      <c r="D236" s="13">
        <f t="shared" si="19"/>
        <v>1.2</v>
      </c>
      <c r="E236" s="13">
        <f t="shared" si="20"/>
        <v>1.2</v>
      </c>
      <c r="F236" s="13">
        <f t="shared" si="21"/>
        <v>1.1000000000000001</v>
      </c>
      <c r="G236" s="13">
        <f t="shared" si="22"/>
        <v>1.1000000000000001</v>
      </c>
      <c r="H236" s="13">
        <f t="shared" si="23"/>
        <v>1</v>
      </c>
      <c r="I236" s="13">
        <v>1.1700000000000002</v>
      </c>
      <c r="J236" s="13">
        <v>1.17</v>
      </c>
      <c r="K236" s="13">
        <v>1.08</v>
      </c>
      <c r="L236" s="13"/>
      <c r="M236" s="13">
        <v>2.1</v>
      </c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>
        <v>1.2</v>
      </c>
      <c r="AA236" s="13"/>
    </row>
    <row r="237" spans="1:27" x14ac:dyDescent="0.25">
      <c r="A237" s="4" t="s">
        <v>266</v>
      </c>
      <c r="B237" s="2" t="str" cm="1">
        <f t="array" ref="B237">User3($C$11:$ZX$11,C237:ZX237)</f>
        <v>1.05D+1.2SDL+1.2BW+1.1COL+1.1SOIL+1WATER+1.17Lr+1.17LLB+1.08LLE+2.1Wx+2+1.2CR24</v>
      </c>
      <c r="C237" s="16">
        <f t="shared" si="18"/>
        <v>1.05</v>
      </c>
      <c r="D237" s="16">
        <f t="shared" si="19"/>
        <v>1.2</v>
      </c>
      <c r="E237" s="16">
        <f t="shared" si="20"/>
        <v>1.2</v>
      </c>
      <c r="F237" s="16">
        <f t="shared" si="21"/>
        <v>1.1000000000000001</v>
      </c>
      <c r="G237" s="16">
        <f t="shared" si="22"/>
        <v>1.1000000000000001</v>
      </c>
      <c r="H237" s="16">
        <f t="shared" si="23"/>
        <v>1</v>
      </c>
      <c r="I237" s="16">
        <v>1.1700000000000002</v>
      </c>
      <c r="J237" s="16">
        <v>1.17</v>
      </c>
      <c r="K237" s="16">
        <v>1.08</v>
      </c>
      <c r="L237" s="16"/>
      <c r="M237" s="16">
        <v>2.1</v>
      </c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  <c r="AA237" s="16">
        <v>1.2</v>
      </c>
    </row>
    <row r="238" spans="1:27" x14ac:dyDescent="0.25">
      <c r="A238" s="4" t="s">
        <v>267</v>
      </c>
      <c r="B238" s="2" t="str" cm="1">
        <f t="array" ref="B238">User3($C$11:$ZX$11,C238:ZX238)</f>
        <v>1.05D+1.2SDL+1.2BW+1.1COL+1.1SOIL+1WATER+1.17Lr+1.17LLB+1.08LLE+2.1Wx-1+1.2CR11</v>
      </c>
      <c r="C238" s="13">
        <f t="shared" si="18"/>
        <v>1.05</v>
      </c>
      <c r="D238" s="13">
        <f t="shared" si="19"/>
        <v>1.2</v>
      </c>
      <c r="E238" s="13">
        <f t="shared" si="20"/>
        <v>1.2</v>
      </c>
      <c r="F238" s="13">
        <f t="shared" si="21"/>
        <v>1.1000000000000001</v>
      </c>
      <c r="G238" s="13">
        <f t="shared" si="22"/>
        <v>1.1000000000000001</v>
      </c>
      <c r="H238" s="13">
        <f t="shared" si="23"/>
        <v>1</v>
      </c>
      <c r="I238" s="10">
        <v>1.1700000000000002</v>
      </c>
      <c r="J238" s="10">
        <v>1.17</v>
      </c>
      <c r="K238" s="10">
        <v>1.08</v>
      </c>
      <c r="L238" s="10"/>
      <c r="M238" s="10"/>
      <c r="N238" s="10">
        <v>2.1</v>
      </c>
      <c r="O238" s="10"/>
      <c r="P238" s="10"/>
      <c r="Q238" s="10"/>
      <c r="R238" s="10"/>
      <c r="S238" s="10"/>
      <c r="T238" s="10">
        <v>1.2</v>
      </c>
      <c r="U238" s="10"/>
      <c r="V238" s="10"/>
      <c r="W238" s="10"/>
      <c r="X238" s="10"/>
      <c r="Y238" s="10"/>
      <c r="Z238" s="10"/>
      <c r="AA238" s="10"/>
    </row>
    <row r="239" spans="1:27" x14ac:dyDescent="0.25">
      <c r="A239" s="4" t="s">
        <v>268</v>
      </c>
      <c r="B239" s="2" t="str" cm="1">
        <f t="array" ref="B239">User3($C$11:$ZX$11,C239:ZX239)</f>
        <v>1.05D+1.2SDL+1.2BW+1.1COL+1.1SOIL+1WATER+1.17Lr+1.17LLB+1.08LLE+2.1Wx-1+1.2CR12</v>
      </c>
      <c r="C239" s="13">
        <f t="shared" si="18"/>
        <v>1.05</v>
      </c>
      <c r="D239" s="13">
        <f t="shared" si="19"/>
        <v>1.2</v>
      </c>
      <c r="E239" s="13">
        <f t="shared" si="20"/>
        <v>1.2</v>
      </c>
      <c r="F239" s="13">
        <f t="shared" si="21"/>
        <v>1.1000000000000001</v>
      </c>
      <c r="G239" s="13">
        <f t="shared" si="22"/>
        <v>1.1000000000000001</v>
      </c>
      <c r="H239" s="13">
        <f t="shared" si="23"/>
        <v>1</v>
      </c>
      <c r="I239" s="13">
        <v>1.1700000000000002</v>
      </c>
      <c r="J239" s="13">
        <v>1.17</v>
      </c>
      <c r="K239" s="13">
        <v>1.08</v>
      </c>
      <c r="L239" s="13"/>
      <c r="M239" s="13"/>
      <c r="N239" s="13">
        <v>2.1</v>
      </c>
      <c r="O239" s="13"/>
      <c r="P239" s="13"/>
      <c r="Q239" s="13"/>
      <c r="R239" s="13"/>
      <c r="S239" s="13"/>
      <c r="T239" s="13"/>
      <c r="U239" s="13">
        <v>1.2</v>
      </c>
      <c r="V239" s="13"/>
      <c r="W239" s="13"/>
      <c r="X239" s="13"/>
      <c r="Y239" s="13"/>
      <c r="Z239" s="13"/>
      <c r="AA239" s="13"/>
    </row>
    <row r="240" spans="1:27" x14ac:dyDescent="0.25">
      <c r="A240" s="4" t="s">
        <v>269</v>
      </c>
      <c r="B240" s="2" t="str" cm="1">
        <f t="array" ref="B240">User3($C$11:$ZX$11,C240:ZX240)</f>
        <v>1.05D+1.2SDL+1.2BW+1.1COL+1.1SOIL+1WATER+1.17Lr+1.17LLB+1.08LLE+2.1Wx-1+1.2CR13</v>
      </c>
      <c r="C240" s="13">
        <f t="shared" si="18"/>
        <v>1.05</v>
      </c>
      <c r="D240" s="13">
        <f t="shared" si="19"/>
        <v>1.2</v>
      </c>
      <c r="E240" s="13">
        <f t="shared" si="20"/>
        <v>1.2</v>
      </c>
      <c r="F240" s="13">
        <f t="shared" si="21"/>
        <v>1.1000000000000001</v>
      </c>
      <c r="G240" s="13">
        <f t="shared" si="22"/>
        <v>1.1000000000000001</v>
      </c>
      <c r="H240" s="13">
        <f t="shared" si="23"/>
        <v>1</v>
      </c>
      <c r="I240" s="13">
        <v>1.1700000000000002</v>
      </c>
      <c r="J240" s="13">
        <v>1.17</v>
      </c>
      <c r="K240" s="13">
        <v>1.08</v>
      </c>
      <c r="L240" s="13"/>
      <c r="M240" s="13"/>
      <c r="N240" s="13">
        <v>2.1</v>
      </c>
      <c r="O240" s="13"/>
      <c r="P240" s="13"/>
      <c r="Q240" s="13"/>
      <c r="R240" s="13"/>
      <c r="S240" s="13"/>
      <c r="T240" s="13"/>
      <c r="U240" s="13"/>
      <c r="V240" s="13">
        <v>1.2</v>
      </c>
      <c r="W240" s="13"/>
      <c r="X240" s="13"/>
      <c r="Y240" s="13"/>
      <c r="Z240" s="13"/>
      <c r="AA240" s="13"/>
    </row>
    <row r="241" spans="1:27" x14ac:dyDescent="0.25">
      <c r="A241" s="4" t="s">
        <v>270</v>
      </c>
      <c r="B241" s="2" t="str" cm="1">
        <f t="array" ref="B241">User3($C$11:$ZX$11,C241:ZX241)</f>
        <v>1.05D+1.2SDL+1.2BW+1.1COL+1.1SOIL+1WATER+1.17Lr+1.17LLB+1.08LLE+2.1Wx-1+1.2CR14</v>
      </c>
      <c r="C241" s="13">
        <f t="shared" si="18"/>
        <v>1.05</v>
      </c>
      <c r="D241" s="13">
        <f t="shared" si="19"/>
        <v>1.2</v>
      </c>
      <c r="E241" s="13">
        <f t="shared" si="20"/>
        <v>1.2</v>
      </c>
      <c r="F241" s="13">
        <f t="shared" si="21"/>
        <v>1.1000000000000001</v>
      </c>
      <c r="G241" s="13">
        <f t="shared" si="22"/>
        <v>1.1000000000000001</v>
      </c>
      <c r="H241" s="13">
        <f t="shared" si="23"/>
        <v>1</v>
      </c>
      <c r="I241" s="13">
        <v>1.1700000000000002</v>
      </c>
      <c r="J241" s="13">
        <v>1.17</v>
      </c>
      <c r="K241" s="13">
        <v>1.08</v>
      </c>
      <c r="L241" s="13"/>
      <c r="M241" s="13"/>
      <c r="N241" s="13">
        <v>2.1</v>
      </c>
      <c r="O241" s="13"/>
      <c r="P241" s="13"/>
      <c r="Q241" s="13"/>
      <c r="R241" s="13"/>
      <c r="S241" s="13"/>
      <c r="T241" s="13"/>
      <c r="U241" s="13"/>
      <c r="V241" s="13"/>
      <c r="W241" s="13">
        <v>1.2</v>
      </c>
      <c r="X241" s="13"/>
      <c r="Y241" s="13"/>
      <c r="Z241" s="13"/>
      <c r="AA241" s="13"/>
    </row>
    <row r="242" spans="1:27" x14ac:dyDescent="0.25">
      <c r="A242" s="4" t="s">
        <v>271</v>
      </c>
      <c r="B242" s="2" t="str" cm="1">
        <f t="array" ref="B242">User3($C$11:$ZX$11,C242:ZX242)</f>
        <v>1.05D+1.2SDL+1.2BW+1.1COL+1.1SOIL+1WATER+1.17Lr+1.17LLB+1.08LLE+2.1Wx-1+1.2CR21</v>
      </c>
      <c r="C242" s="13">
        <f t="shared" si="18"/>
        <v>1.05</v>
      </c>
      <c r="D242" s="13">
        <f t="shared" si="19"/>
        <v>1.2</v>
      </c>
      <c r="E242" s="13">
        <f t="shared" si="20"/>
        <v>1.2</v>
      </c>
      <c r="F242" s="13">
        <f t="shared" si="21"/>
        <v>1.1000000000000001</v>
      </c>
      <c r="G242" s="13">
        <f t="shared" si="22"/>
        <v>1.1000000000000001</v>
      </c>
      <c r="H242" s="13">
        <f t="shared" si="23"/>
        <v>1</v>
      </c>
      <c r="I242" s="13">
        <v>1.1700000000000002</v>
      </c>
      <c r="J242" s="13">
        <v>1.17</v>
      </c>
      <c r="K242" s="13">
        <v>1.08</v>
      </c>
      <c r="L242" s="13"/>
      <c r="M242" s="13"/>
      <c r="N242" s="13">
        <v>2.1</v>
      </c>
      <c r="O242" s="13"/>
      <c r="P242" s="13"/>
      <c r="Q242" s="13"/>
      <c r="R242" s="13"/>
      <c r="S242" s="13"/>
      <c r="T242" s="13"/>
      <c r="U242" s="13"/>
      <c r="V242" s="13"/>
      <c r="W242" s="13"/>
      <c r="X242" s="13">
        <v>1.2</v>
      </c>
      <c r="Y242" s="13"/>
      <c r="Z242" s="13"/>
      <c r="AA242" s="13"/>
    </row>
    <row r="243" spans="1:27" x14ac:dyDescent="0.25">
      <c r="A243" s="4" t="s">
        <v>272</v>
      </c>
      <c r="B243" s="2" t="str" cm="1">
        <f t="array" ref="B243">User3($C$11:$ZX$11,C243:ZX243)</f>
        <v>1.05D+1.2SDL+1.2BW+1.1COL+1.1SOIL+1WATER+1.17Lr+1.17LLB+1.08LLE+2.1Wx-1+1.2CR22</v>
      </c>
      <c r="C243" s="13">
        <f t="shared" si="18"/>
        <v>1.05</v>
      </c>
      <c r="D243" s="13">
        <f t="shared" si="19"/>
        <v>1.2</v>
      </c>
      <c r="E243" s="13">
        <f t="shared" si="20"/>
        <v>1.2</v>
      </c>
      <c r="F243" s="13">
        <f t="shared" si="21"/>
        <v>1.1000000000000001</v>
      </c>
      <c r="G243" s="13">
        <f t="shared" si="22"/>
        <v>1.1000000000000001</v>
      </c>
      <c r="H243" s="13">
        <f t="shared" si="23"/>
        <v>1</v>
      </c>
      <c r="I243" s="13">
        <v>1.1700000000000002</v>
      </c>
      <c r="J243" s="13">
        <v>1.17</v>
      </c>
      <c r="K243" s="13">
        <v>1.08</v>
      </c>
      <c r="L243" s="13"/>
      <c r="M243" s="13"/>
      <c r="N243" s="13">
        <v>2.1</v>
      </c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>
        <v>1.2</v>
      </c>
      <c r="Z243" s="13"/>
      <c r="AA243" s="13"/>
    </row>
    <row r="244" spans="1:27" x14ac:dyDescent="0.25">
      <c r="A244" s="4" t="s">
        <v>273</v>
      </c>
      <c r="B244" s="2" t="str" cm="1">
        <f t="array" ref="B244">User3($C$11:$ZX$11,C244:ZX244)</f>
        <v>1.05D+1.2SDL+1.2BW+1.1COL+1.1SOIL+1WATER+1.17Lr+1.17LLB+1.08LLE+2.1Wx-1+1.2CR23</v>
      </c>
      <c r="C244" s="13">
        <f t="shared" si="18"/>
        <v>1.05</v>
      </c>
      <c r="D244" s="13">
        <f t="shared" si="19"/>
        <v>1.2</v>
      </c>
      <c r="E244" s="13">
        <f t="shared" si="20"/>
        <v>1.2</v>
      </c>
      <c r="F244" s="13">
        <f t="shared" si="21"/>
        <v>1.1000000000000001</v>
      </c>
      <c r="G244" s="13">
        <f t="shared" si="22"/>
        <v>1.1000000000000001</v>
      </c>
      <c r="H244" s="13">
        <f t="shared" si="23"/>
        <v>1</v>
      </c>
      <c r="I244" s="13">
        <v>1.1700000000000002</v>
      </c>
      <c r="J244" s="13">
        <v>1.17</v>
      </c>
      <c r="K244" s="13">
        <v>1.08</v>
      </c>
      <c r="L244" s="13"/>
      <c r="M244" s="13"/>
      <c r="N244" s="13">
        <v>2.1</v>
      </c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>
        <v>1.2</v>
      </c>
      <c r="AA244" s="13"/>
    </row>
    <row r="245" spans="1:27" x14ac:dyDescent="0.25">
      <c r="A245" s="4" t="s">
        <v>274</v>
      </c>
      <c r="B245" s="2" t="str" cm="1">
        <f t="array" ref="B245">User3($C$11:$ZX$11,C245:ZX245)</f>
        <v>1.05D+1.2SDL+1.2BW+1.1COL+1.1SOIL+1WATER+1.17Lr+1.17LLB+1.08LLE+2.1Wx-1+1.2CR24</v>
      </c>
      <c r="C245" s="16">
        <f t="shared" si="18"/>
        <v>1.05</v>
      </c>
      <c r="D245" s="16">
        <f t="shared" si="19"/>
        <v>1.2</v>
      </c>
      <c r="E245" s="16">
        <f t="shared" si="20"/>
        <v>1.2</v>
      </c>
      <c r="F245" s="16">
        <f t="shared" si="21"/>
        <v>1.1000000000000001</v>
      </c>
      <c r="G245" s="16">
        <f t="shared" si="22"/>
        <v>1.1000000000000001</v>
      </c>
      <c r="H245" s="16">
        <f t="shared" si="23"/>
        <v>1</v>
      </c>
      <c r="I245" s="16">
        <v>1.1700000000000002</v>
      </c>
      <c r="J245" s="16">
        <v>1.17</v>
      </c>
      <c r="K245" s="16">
        <v>1.08</v>
      </c>
      <c r="L245" s="16"/>
      <c r="M245" s="16"/>
      <c r="N245" s="16">
        <v>2.1</v>
      </c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>
        <v>1.2</v>
      </c>
    </row>
    <row r="246" spans="1:27" x14ac:dyDescent="0.25">
      <c r="A246" s="4" t="s">
        <v>275</v>
      </c>
      <c r="B246" s="2" t="str" cm="1">
        <f t="array" ref="B246">User3($C$11:$ZX$11,C246:ZX246)</f>
        <v>1.05D+1.2SDL+1.2BW+1.1COL+1.1SOIL+1WATER+1.17Lr+1.17LLB+1.08LLE+2.1Wx-2+1.2CR11</v>
      </c>
      <c r="C246" s="13">
        <f t="shared" si="18"/>
        <v>1.05</v>
      </c>
      <c r="D246" s="13">
        <f t="shared" si="19"/>
        <v>1.2</v>
      </c>
      <c r="E246" s="13">
        <f t="shared" si="20"/>
        <v>1.2</v>
      </c>
      <c r="F246" s="13">
        <f t="shared" si="21"/>
        <v>1.1000000000000001</v>
      </c>
      <c r="G246" s="13">
        <f t="shared" si="22"/>
        <v>1.1000000000000001</v>
      </c>
      <c r="H246" s="13">
        <f t="shared" si="23"/>
        <v>1</v>
      </c>
      <c r="I246" s="10">
        <v>1.1700000000000002</v>
      </c>
      <c r="J246" s="10">
        <v>1.17</v>
      </c>
      <c r="K246" s="10">
        <v>1.08</v>
      </c>
      <c r="L246" s="10"/>
      <c r="M246" s="10"/>
      <c r="N246" s="10"/>
      <c r="O246" s="10">
        <v>2.1</v>
      </c>
      <c r="P246" s="10"/>
      <c r="Q246" s="10"/>
      <c r="R246" s="10"/>
      <c r="S246" s="10"/>
      <c r="T246" s="10">
        <v>1.2</v>
      </c>
      <c r="U246" s="10"/>
      <c r="V246" s="10"/>
      <c r="W246" s="10"/>
      <c r="X246" s="10"/>
      <c r="Y246" s="10"/>
      <c r="Z246" s="10"/>
      <c r="AA246" s="10"/>
    </row>
    <row r="247" spans="1:27" x14ac:dyDescent="0.25">
      <c r="A247" s="4" t="s">
        <v>276</v>
      </c>
      <c r="B247" s="2" t="str" cm="1">
        <f t="array" ref="B247">User3($C$11:$ZX$11,C247:ZX247)</f>
        <v>1.05D+1.2SDL+1.2BW+1.1COL+1.1SOIL+1WATER+1.17Lr+1.17LLB+1.08LLE+2.1Wx-2+1.2CR12</v>
      </c>
      <c r="C247" s="13">
        <f t="shared" si="18"/>
        <v>1.05</v>
      </c>
      <c r="D247" s="13">
        <f t="shared" si="19"/>
        <v>1.2</v>
      </c>
      <c r="E247" s="13">
        <f t="shared" si="20"/>
        <v>1.2</v>
      </c>
      <c r="F247" s="13">
        <f t="shared" si="21"/>
        <v>1.1000000000000001</v>
      </c>
      <c r="G247" s="13">
        <f t="shared" si="22"/>
        <v>1.1000000000000001</v>
      </c>
      <c r="H247" s="13">
        <f t="shared" si="23"/>
        <v>1</v>
      </c>
      <c r="I247" s="13">
        <v>1.1700000000000002</v>
      </c>
      <c r="J247" s="13">
        <v>1.17</v>
      </c>
      <c r="K247" s="13">
        <v>1.08</v>
      </c>
      <c r="L247" s="13"/>
      <c r="M247" s="13"/>
      <c r="N247" s="13"/>
      <c r="O247" s="13">
        <v>2.1</v>
      </c>
      <c r="P247" s="13"/>
      <c r="Q247" s="13"/>
      <c r="R247" s="13"/>
      <c r="S247" s="13"/>
      <c r="T247" s="13"/>
      <c r="U247" s="13">
        <v>1.2</v>
      </c>
      <c r="V247" s="13"/>
      <c r="W247" s="13"/>
      <c r="X247" s="13"/>
      <c r="Y247" s="13"/>
      <c r="Z247" s="13"/>
      <c r="AA247" s="13"/>
    </row>
    <row r="248" spans="1:27" x14ac:dyDescent="0.25">
      <c r="A248" s="4" t="s">
        <v>277</v>
      </c>
      <c r="B248" s="2" t="str" cm="1">
        <f t="array" ref="B248">User3($C$11:$ZX$11,C248:ZX248)</f>
        <v>1.05D+1.2SDL+1.2BW+1.1COL+1.1SOIL+1WATER+1.17Lr+1.17LLB+1.08LLE+2.1Wx-2+1.2CR13</v>
      </c>
      <c r="C248" s="13">
        <f t="shared" si="18"/>
        <v>1.05</v>
      </c>
      <c r="D248" s="13">
        <f t="shared" si="19"/>
        <v>1.2</v>
      </c>
      <c r="E248" s="13">
        <f t="shared" si="20"/>
        <v>1.2</v>
      </c>
      <c r="F248" s="13">
        <f t="shared" si="21"/>
        <v>1.1000000000000001</v>
      </c>
      <c r="G248" s="13">
        <f t="shared" si="22"/>
        <v>1.1000000000000001</v>
      </c>
      <c r="H248" s="13">
        <f t="shared" si="23"/>
        <v>1</v>
      </c>
      <c r="I248" s="13">
        <v>1.1700000000000002</v>
      </c>
      <c r="J248" s="13">
        <v>1.17</v>
      </c>
      <c r="K248" s="13">
        <v>1.08</v>
      </c>
      <c r="L248" s="13"/>
      <c r="M248" s="13"/>
      <c r="N248" s="13"/>
      <c r="O248" s="13">
        <v>2.1</v>
      </c>
      <c r="P248" s="13"/>
      <c r="Q248" s="13"/>
      <c r="R248" s="13"/>
      <c r="S248" s="13"/>
      <c r="T248" s="13"/>
      <c r="U248" s="13"/>
      <c r="V248" s="13">
        <v>1.2</v>
      </c>
      <c r="W248" s="13"/>
      <c r="X248" s="13"/>
      <c r="Y248" s="13"/>
      <c r="Z248" s="13"/>
      <c r="AA248" s="13"/>
    </row>
    <row r="249" spans="1:27" x14ac:dyDescent="0.25">
      <c r="A249" s="4" t="s">
        <v>278</v>
      </c>
      <c r="B249" s="2" t="str" cm="1">
        <f t="array" ref="B249">User3($C$11:$ZX$11,C249:ZX249)</f>
        <v>1.05D+1.2SDL+1.2BW+1.1COL+1.1SOIL+1WATER+1.17Lr+1.17LLB+1.08LLE+2.1Wx-2+1.2CR14</v>
      </c>
      <c r="C249" s="13">
        <f t="shared" si="18"/>
        <v>1.05</v>
      </c>
      <c r="D249" s="13">
        <f t="shared" si="19"/>
        <v>1.2</v>
      </c>
      <c r="E249" s="13">
        <f t="shared" si="20"/>
        <v>1.2</v>
      </c>
      <c r="F249" s="13">
        <f t="shared" si="21"/>
        <v>1.1000000000000001</v>
      </c>
      <c r="G249" s="13">
        <f t="shared" si="22"/>
        <v>1.1000000000000001</v>
      </c>
      <c r="H249" s="13">
        <f t="shared" si="23"/>
        <v>1</v>
      </c>
      <c r="I249" s="13">
        <v>1.1700000000000002</v>
      </c>
      <c r="J249" s="13">
        <v>1.17</v>
      </c>
      <c r="K249" s="13">
        <v>1.08</v>
      </c>
      <c r="L249" s="13"/>
      <c r="M249" s="13"/>
      <c r="N249" s="13"/>
      <c r="O249" s="13">
        <v>2.1</v>
      </c>
      <c r="P249" s="13"/>
      <c r="Q249" s="13"/>
      <c r="R249" s="13"/>
      <c r="S249" s="13"/>
      <c r="T249" s="13"/>
      <c r="U249" s="13"/>
      <c r="V249" s="13"/>
      <c r="W249" s="13">
        <v>1.2</v>
      </c>
      <c r="X249" s="13"/>
      <c r="Y249" s="13"/>
      <c r="Z249" s="13"/>
      <c r="AA249" s="13"/>
    </row>
    <row r="250" spans="1:27" x14ac:dyDescent="0.25">
      <c r="A250" s="4" t="s">
        <v>279</v>
      </c>
      <c r="B250" s="2" t="str" cm="1">
        <f t="array" ref="B250">User3($C$11:$ZX$11,C250:ZX250)</f>
        <v>1.05D+1.2SDL+1.2BW+1.1COL+1.1SOIL+1WATER+1.17Lr+1.17LLB+1.08LLE+2.1Wx-2+1.2CR21</v>
      </c>
      <c r="C250" s="13">
        <f t="shared" si="18"/>
        <v>1.05</v>
      </c>
      <c r="D250" s="13">
        <f t="shared" si="19"/>
        <v>1.2</v>
      </c>
      <c r="E250" s="13">
        <f t="shared" si="20"/>
        <v>1.2</v>
      </c>
      <c r="F250" s="13">
        <f t="shared" si="21"/>
        <v>1.1000000000000001</v>
      </c>
      <c r="G250" s="13">
        <f t="shared" si="22"/>
        <v>1.1000000000000001</v>
      </c>
      <c r="H250" s="13">
        <f t="shared" si="23"/>
        <v>1</v>
      </c>
      <c r="I250" s="13">
        <v>1.1700000000000002</v>
      </c>
      <c r="J250" s="13">
        <v>1.17</v>
      </c>
      <c r="K250" s="13">
        <v>1.08</v>
      </c>
      <c r="L250" s="13"/>
      <c r="M250" s="13"/>
      <c r="N250" s="13"/>
      <c r="O250" s="13">
        <v>2.1</v>
      </c>
      <c r="P250" s="13"/>
      <c r="Q250" s="13"/>
      <c r="R250" s="13"/>
      <c r="S250" s="13"/>
      <c r="T250" s="13"/>
      <c r="U250" s="13"/>
      <c r="V250" s="13"/>
      <c r="W250" s="13"/>
      <c r="X250" s="13">
        <v>1.2</v>
      </c>
      <c r="Y250" s="13"/>
      <c r="Z250" s="13"/>
      <c r="AA250" s="13"/>
    </row>
    <row r="251" spans="1:27" x14ac:dyDescent="0.25">
      <c r="A251" s="4" t="s">
        <v>280</v>
      </c>
      <c r="B251" s="2" t="str" cm="1">
        <f t="array" ref="B251">User3($C$11:$ZX$11,C251:ZX251)</f>
        <v>1.05D+1.2SDL+1.2BW+1.1COL+1.1SOIL+1WATER+1.17Lr+1.17LLB+1.08LLE+2.1Wx-2+1.2CR22</v>
      </c>
      <c r="C251" s="13">
        <f t="shared" si="18"/>
        <v>1.05</v>
      </c>
      <c r="D251" s="13">
        <f t="shared" si="19"/>
        <v>1.2</v>
      </c>
      <c r="E251" s="13">
        <f t="shared" si="20"/>
        <v>1.2</v>
      </c>
      <c r="F251" s="13">
        <f t="shared" si="21"/>
        <v>1.1000000000000001</v>
      </c>
      <c r="G251" s="13">
        <f t="shared" si="22"/>
        <v>1.1000000000000001</v>
      </c>
      <c r="H251" s="13">
        <f t="shared" si="23"/>
        <v>1</v>
      </c>
      <c r="I251" s="13">
        <v>1.1700000000000002</v>
      </c>
      <c r="J251" s="13">
        <v>1.17</v>
      </c>
      <c r="K251" s="13">
        <v>1.08</v>
      </c>
      <c r="L251" s="13"/>
      <c r="M251" s="13"/>
      <c r="N251" s="13"/>
      <c r="O251" s="13">
        <v>2.1</v>
      </c>
      <c r="P251" s="13"/>
      <c r="Q251" s="13"/>
      <c r="R251" s="13"/>
      <c r="S251" s="13"/>
      <c r="T251" s="13"/>
      <c r="U251" s="13"/>
      <c r="V251" s="13"/>
      <c r="W251" s="13"/>
      <c r="X251" s="13"/>
      <c r="Y251" s="13">
        <v>1.2</v>
      </c>
      <c r="Z251" s="13"/>
      <c r="AA251" s="13"/>
    </row>
    <row r="252" spans="1:27" x14ac:dyDescent="0.25">
      <c r="A252" s="4" t="s">
        <v>281</v>
      </c>
      <c r="B252" s="2" t="str" cm="1">
        <f t="array" ref="B252">User3($C$11:$ZX$11,C252:ZX252)</f>
        <v>1.05D+1.2SDL+1.2BW+1.1COL+1.1SOIL+1WATER+1.17Lr+1.17LLB+1.08LLE+2.1Wx-2+1.2CR23</v>
      </c>
      <c r="C252" s="13">
        <f t="shared" si="18"/>
        <v>1.05</v>
      </c>
      <c r="D252" s="13">
        <f t="shared" si="19"/>
        <v>1.2</v>
      </c>
      <c r="E252" s="13">
        <f t="shared" si="20"/>
        <v>1.2</v>
      </c>
      <c r="F252" s="13">
        <f t="shared" si="21"/>
        <v>1.1000000000000001</v>
      </c>
      <c r="G252" s="13">
        <f t="shared" si="22"/>
        <v>1.1000000000000001</v>
      </c>
      <c r="H252" s="13">
        <f t="shared" si="23"/>
        <v>1</v>
      </c>
      <c r="I252" s="13">
        <v>1.1700000000000002</v>
      </c>
      <c r="J252" s="13">
        <v>1.17</v>
      </c>
      <c r="K252" s="13">
        <v>1.08</v>
      </c>
      <c r="L252" s="13"/>
      <c r="M252" s="13"/>
      <c r="N252" s="13"/>
      <c r="O252" s="13">
        <v>2.1</v>
      </c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>
        <v>1.2</v>
      </c>
      <c r="AA252" s="13"/>
    </row>
    <row r="253" spans="1:27" x14ac:dyDescent="0.25">
      <c r="A253" s="4" t="s">
        <v>282</v>
      </c>
      <c r="B253" s="2" t="str" cm="1">
        <f t="array" ref="B253">User3($C$11:$ZX$11,C253:ZX253)</f>
        <v>1.05D+1.2SDL+1.2BW+1.1COL+1.1SOIL+1WATER+1.17Lr+1.17LLB+1.08LLE+2.1Wx-2+1.2CR24</v>
      </c>
      <c r="C253" s="16">
        <f t="shared" si="18"/>
        <v>1.05</v>
      </c>
      <c r="D253" s="16">
        <f t="shared" si="19"/>
        <v>1.2</v>
      </c>
      <c r="E253" s="16">
        <f t="shared" si="20"/>
        <v>1.2</v>
      </c>
      <c r="F253" s="16">
        <f t="shared" si="21"/>
        <v>1.1000000000000001</v>
      </c>
      <c r="G253" s="16">
        <f t="shared" si="22"/>
        <v>1.1000000000000001</v>
      </c>
      <c r="H253" s="16">
        <f t="shared" si="23"/>
        <v>1</v>
      </c>
      <c r="I253" s="16">
        <v>1.1700000000000002</v>
      </c>
      <c r="J253" s="16">
        <v>1.17</v>
      </c>
      <c r="K253" s="16">
        <v>1.08</v>
      </c>
      <c r="L253" s="16"/>
      <c r="M253" s="16"/>
      <c r="N253" s="16"/>
      <c r="O253" s="16">
        <v>2.1</v>
      </c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  <c r="AA253" s="16">
        <v>1.2</v>
      </c>
    </row>
    <row r="254" spans="1:27" x14ac:dyDescent="0.25">
      <c r="A254" s="4" t="s">
        <v>283</v>
      </c>
      <c r="B254" s="2" t="str" cm="1">
        <f t="array" ref="B254">User3($C$11:$ZX$11,C254:ZX254)</f>
        <v>1.05D+1.2SDL+1.2BW+1.1COL+1.1SOIL+1WATER+1.17Lr+1.17LLB+1.08LLE+2.1Wy+1+1.2CR11</v>
      </c>
      <c r="C254" s="13">
        <f t="shared" si="18"/>
        <v>1.05</v>
      </c>
      <c r="D254" s="13">
        <f t="shared" si="19"/>
        <v>1.2</v>
      </c>
      <c r="E254" s="13">
        <f t="shared" si="20"/>
        <v>1.2</v>
      </c>
      <c r="F254" s="13">
        <f t="shared" si="21"/>
        <v>1.1000000000000001</v>
      </c>
      <c r="G254" s="13">
        <f t="shared" si="22"/>
        <v>1.1000000000000001</v>
      </c>
      <c r="H254" s="13">
        <f t="shared" si="23"/>
        <v>1</v>
      </c>
      <c r="I254" s="10">
        <v>1.1700000000000002</v>
      </c>
      <c r="J254" s="10">
        <v>1.17</v>
      </c>
      <c r="K254" s="10">
        <v>1.08</v>
      </c>
      <c r="L254" s="10"/>
      <c r="M254" s="10"/>
      <c r="N254" s="10"/>
      <c r="O254" s="10"/>
      <c r="P254" s="10">
        <v>2.1</v>
      </c>
      <c r="Q254" s="10"/>
      <c r="R254" s="10"/>
      <c r="S254" s="10"/>
      <c r="T254" s="10">
        <v>1.2</v>
      </c>
      <c r="U254" s="10"/>
      <c r="V254" s="10"/>
      <c r="W254" s="10"/>
      <c r="X254" s="10"/>
      <c r="Y254" s="10"/>
      <c r="Z254" s="10"/>
      <c r="AA254" s="10"/>
    </row>
    <row r="255" spans="1:27" x14ac:dyDescent="0.25">
      <c r="A255" s="4" t="s">
        <v>284</v>
      </c>
      <c r="B255" s="2" t="str" cm="1">
        <f t="array" ref="B255">User3($C$11:$ZX$11,C255:ZX255)</f>
        <v>1.05D+1.2SDL+1.2BW+1.1COL+1.1SOIL+1WATER+1.17Lr+1.17LLB+1.08LLE+2.1Wy+1+1.2CR12</v>
      </c>
      <c r="C255" s="13">
        <f t="shared" si="18"/>
        <v>1.05</v>
      </c>
      <c r="D255" s="13">
        <f t="shared" si="19"/>
        <v>1.2</v>
      </c>
      <c r="E255" s="13">
        <f t="shared" si="20"/>
        <v>1.2</v>
      </c>
      <c r="F255" s="13">
        <f t="shared" si="21"/>
        <v>1.1000000000000001</v>
      </c>
      <c r="G255" s="13">
        <f t="shared" si="22"/>
        <v>1.1000000000000001</v>
      </c>
      <c r="H255" s="13">
        <f t="shared" si="23"/>
        <v>1</v>
      </c>
      <c r="I255" s="13">
        <v>1.1700000000000002</v>
      </c>
      <c r="J255" s="13">
        <v>1.17</v>
      </c>
      <c r="K255" s="13">
        <v>1.08</v>
      </c>
      <c r="L255" s="13"/>
      <c r="M255" s="13"/>
      <c r="N255" s="13"/>
      <c r="O255" s="13"/>
      <c r="P255" s="13">
        <v>2.1</v>
      </c>
      <c r="Q255" s="13"/>
      <c r="R255" s="13"/>
      <c r="S255" s="13"/>
      <c r="T255" s="13"/>
      <c r="U255" s="13">
        <v>1.2</v>
      </c>
      <c r="V255" s="13"/>
      <c r="W255" s="13"/>
      <c r="X255" s="13"/>
      <c r="Y255" s="13"/>
      <c r="Z255" s="13"/>
      <c r="AA255" s="13"/>
    </row>
    <row r="256" spans="1:27" x14ac:dyDescent="0.25">
      <c r="A256" s="4" t="s">
        <v>285</v>
      </c>
      <c r="B256" s="2" t="str" cm="1">
        <f t="array" ref="B256">User3($C$11:$ZX$11,C256:ZX256)</f>
        <v>1.05D+1.2SDL+1.2BW+1.1COL+1.1SOIL+1WATER+1.17Lr+1.17LLB+1.08LLE+2.1Wy+1+1.2CR13</v>
      </c>
      <c r="C256" s="13">
        <f t="shared" si="18"/>
        <v>1.05</v>
      </c>
      <c r="D256" s="13">
        <f t="shared" si="19"/>
        <v>1.2</v>
      </c>
      <c r="E256" s="13">
        <f t="shared" si="20"/>
        <v>1.2</v>
      </c>
      <c r="F256" s="13">
        <f t="shared" si="21"/>
        <v>1.1000000000000001</v>
      </c>
      <c r="G256" s="13">
        <f t="shared" si="22"/>
        <v>1.1000000000000001</v>
      </c>
      <c r="H256" s="13">
        <f t="shared" si="23"/>
        <v>1</v>
      </c>
      <c r="I256" s="13">
        <v>1.1700000000000002</v>
      </c>
      <c r="J256" s="13">
        <v>1.17</v>
      </c>
      <c r="K256" s="13">
        <v>1.08</v>
      </c>
      <c r="L256" s="13"/>
      <c r="M256" s="13"/>
      <c r="N256" s="13"/>
      <c r="O256" s="13"/>
      <c r="P256" s="13">
        <v>2.1</v>
      </c>
      <c r="Q256" s="13"/>
      <c r="R256" s="13"/>
      <c r="S256" s="13"/>
      <c r="T256" s="13"/>
      <c r="U256" s="13"/>
      <c r="V256" s="13">
        <v>1.2</v>
      </c>
      <c r="W256" s="13"/>
      <c r="X256" s="13"/>
      <c r="Y256" s="13"/>
      <c r="Z256" s="13"/>
      <c r="AA256" s="13"/>
    </row>
    <row r="257" spans="1:27" x14ac:dyDescent="0.25">
      <c r="A257" s="4" t="s">
        <v>286</v>
      </c>
      <c r="B257" s="2" t="str" cm="1">
        <f t="array" ref="B257">User3($C$11:$ZX$11,C257:ZX257)</f>
        <v>1.05D+1.2SDL+1.2BW+1.1COL+1.1SOIL+1WATER+1.17Lr+1.17LLB+1.08LLE+2.1Wy+1+1.2CR14</v>
      </c>
      <c r="C257" s="13">
        <f t="shared" si="18"/>
        <v>1.05</v>
      </c>
      <c r="D257" s="13">
        <f t="shared" si="19"/>
        <v>1.2</v>
      </c>
      <c r="E257" s="13">
        <f t="shared" si="20"/>
        <v>1.2</v>
      </c>
      <c r="F257" s="13">
        <f t="shared" si="21"/>
        <v>1.1000000000000001</v>
      </c>
      <c r="G257" s="13">
        <f t="shared" si="22"/>
        <v>1.1000000000000001</v>
      </c>
      <c r="H257" s="13">
        <f t="shared" si="23"/>
        <v>1</v>
      </c>
      <c r="I257" s="13">
        <v>1.1700000000000002</v>
      </c>
      <c r="J257" s="13">
        <v>1.17</v>
      </c>
      <c r="K257" s="13">
        <v>1.08</v>
      </c>
      <c r="L257" s="13"/>
      <c r="M257" s="13"/>
      <c r="N257" s="13"/>
      <c r="O257" s="13"/>
      <c r="P257" s="13">
        <v>2.1</v>
      </c>
      <c r="Q257" s="13"/>
      <c r="R257" s="13"/>
      <c r="S257" s="13"/>
      <c r="T257" s="13"/>
      <c r="U257" s="13"/>
      <c r="V257" s="13"/>
      <c r="W257" s="13">
        <v>1.2</v>
      </c>
      <c r="X257" s="13"/>
      <c r="Y257" s="13"/>
      <c r="Z257" s="13"/>
      <c r="AA257" s="13"/>
    </row>
    <row r="258" spans="1:27" x14ac:dyDescent="0.25">
      <c r="A258" s="4" t="s">
        <v>287</v>
      </c>
      <c r="B258" s="2" t="str" cm="1">
        <f t="array" ref="B258">User3($C$11:$ZX$11,C258:ZX258)</f>
        <v>1.05D+1.2SDL+1.2BW+1.1COL+1.1SOIL+1WATER+1.17Lr+1.17LLB+1.08LLE+2.1Wy+1+1.2CR21</v>
      </c>
      <c r="C258" s="13">
        <f t="shared" si="18"/>
        <v>1.05</v>
      </c>
      <c r="D258" s="13">
        <f t="shared" si="19"/>
        <v>1.2</v>
      </c>
      <c r="E258" s="13">
        <f t="shared" si="20"/>
        <v>1.2</v>
      </c>
      <c r="F258" s="13">
        <f t="shared" si="21"/>
        <v>1.1000000000000001</v>
      </c>
      <c r="G258" s="13">
        <f t="shared" si="22"/>
        <v>1.1000000000000001</v>
      </c>
      <c r="H258" s="13">
        <f t="shared" si="23"/>
        <v>1</v>
      </c>
      <c r="I258" s="13">
        <v>1.1700000000000002</v>
      </c>
      <c r="J258" s="13">
        <v>1.17</v>
      </c>
      <c r="K258" s="13">
        <v>1.08</v>
      </c>
      <c r="L258" s="13"/>
      <c r="M258" s="13"/>
      <c r="N258" s="13"/>
      <c r="O258" s="13"/>
      <c r="P258" s="13">
        <v>2.1</v>
      </c>
      <c r="Q258" s="13"/>
      <c r="R258" s="13"/>
      <c r="S258" s="13"/>
      <c r="T258" s="13"/>
      <c r="U258" s="13"/>
      <c r="V258" s="13"/>
      <c r="W258" s="13"/>
      <c r="X258" s="13">
        <v>1.2</v>
      </c>
      <c r="Y258" s="13"/>
      <c r="Z258" s="13"/>
      <c r="AA258" s="13"/>
    </row>
    <row r="259" spans="1:27" x14ac:dyDescent="0.25">
      <c r="A259" s="4" t="s">
        <v>288</v>
      </c>
      <c r="B259" s="2" t="str" cm="1">
        <f t="array" ref="B259">User3($C$11:$ZX$11,C259:ZX259)</f>
        <v>1.05D+1.2SDL+1.2BW+1.1COL+1.1SOIL+1WATER+1.17Lr+1.17LLB+1.08LLE+2.1Wy+1+1.2CR22</v>
      </c>
      <c r="C259" s="13">
        <f t="shared" si="18"/>
        <v>1.05</v>
      </c>
      <c r="D259" s="13">
        <f t="shared" si="19"/>
        <v>1.2</v>
      </c>
      <c r="E259" s="13">
        <f t="shared" si="20"/>
        <v>1.2</v>
      </c>
      <c r="F259" s="13">
        <f t="shared" si="21"/>
        <v>1.1000000000000001</v>
      </c>
      <c r="G259" s="13">
        <f t="shared" si="22"/>
        <v>1.1000000000000001</v>
      </c>
      <c r="H259" s="13">
        <f t="shared" si="23"/>
        <v>1</v>
      </c>
      <c r="I259" s="13">
        <v>1.1700000000000002</v>
      </c>
      <c r="J259" s="13">
        <v>1.17</v>
      </c>
      <c r="K259" s="13">
        <v>1.08</v>
      </c>
      <c r="L259" s="13"/>
      <c r="M259" s="13"/>
      <c r="N259" s="13"/>
      <c r="O259" s="13"/>
      <c r="P259" s="13">
        <v>2.1</v>
      </c>
      <c r="Q259" s="13"/>
      <c r="R259" s="13"/>
      <c r="S259" s="13"/>
      <c r="T259" s="13"/>
      <c r="U259" s="13"/>
      <c r="V259" s="13"/>
      <c r="W259" s="13"/>
      <c r="X259" s="13"/>
      <c r="Y259" s="13">
        <v>1.2</v>
      </c>
      <c r="Z259" s="13"/>
      <c r="AA259" s="13"/>
    </row>
    <row r="260" spans="1:27" x14ac:dyDescent="0.25">
      <c r="A260" s="4" t="s">
        <v>289</v>
      </c>
      <c r="B260" s="2" t="str" cm="1">
        <f t="array" ref="B260">User3($C$11:$ZX$11,C260:ZX260)</f>
        <v>1.05D+1.2SDL+1.2BW+1.1COL+1.1SOIL+1WATER+1.17Lr+1.17LLB+1.08LLE+2.1Wy+1+1.2CR23</v>
      </c>
      <c r="C260" s="13">
        <f t="shared" si="18"/>
        <v>1.05</v>
      </c>
      <c r="D260" s="13">
        <f t="shared" si="19"/>
        <v>1.2</v>
      </c>
      <c r="E260" s="13">
        <f t="shared" si="20"/>
        <v>1.2</v>
      </c>
      <c r="F260" s="13">
        <f t="shared" si="21"/>
        <v>1.1000000000000001</v>
      </c>
      <c r="G260" s="13">
        <f t="shared" si="22"/>
        <v>1.1000000000000001</v>
      </c>
      <c r="H260" s="13">
        <f t="shared" si="23"/>
        <v>1</v>
      </c>
      <c r="I260" s="13">
        <v>1.1700000000000002</v>
      </c>
      <c r="J260" s="13">
        <v>1.17</v>
      </c>
      <c r="K260" s="13">
        <v>1.08</v>
      </c>
      <c r="L260" s="13"/>
      <c r="M260" s="13"/>
      <c r="N260" s="13"/>
      <c r="O260" s="13"/>
      <c r="P260" s="13">
        <v>2.1</v>
      </c>
      <c r="Q260" s="13"/>
      <c r="R260" s="13"/>
      <c r="S260" s="13"/>
      <c r="T260" s="13"/>
      <c r="U260" s="13"/>
      <c r="V260" s="13"/>
      <c r="W260" s="13"/>
      <c r="X260" s="13"/>
      <c r="Y260" s="13"/>
      <c r="Z260" s="13">
        <v>1.2</v>
      </c>
      <c r="AA260" s="13"/>
    </row>
    <row r="261" spans="1:27" x14ac:dyDescent="0.25">
      <c r="A261" s="4" t="s">
        <v>290</v>
      </c>
      <c r="B261" s="2" t="str" cm="1">
        <f t="array" ref="B261">User3($C$11:$ZX$11,C261:ZX261)</f>
        <v>1.05D+1.2SDL+1.2BW+1.1COL+1.1SOIL+1WATER+1.17Lr+1.17LLB+1.08LLE+2.1Wy+1+1.2CR24</v>
      </c>
      <c r="C261" s="16">
        <f t="shared" si="18"/>
        <v>1.05</v>
      </c>
      <c r="D261" s="16">
        <f t="shared" si="19"/>
        <v>1.2</v>
      </c>
      <c r="E261" s="16">
        <f t="shared" si="20"/>
        <v>1.2</v>
      </c>
      <c r="F261" s="16">
        <f t="shared" si="21"/>
        <v>1.1000000000000001</v>
      </c>
      <c r="G261" s="16">
        <f t="shared" si="22"/>
        <v>1.1000000000000001</v>
      </c>
      <c r="H261" s="16">
        <f t="shared" si="23"/>
        <v>1</v>
      </c>
      <c r="I261" s="16">
        <v>1.1700000000000002</v>
      </c>
      <c r="J261" s="16">
        <v>1.17</v>
      </c>
      <c r="K261" s="16">
        <v>1.08</v>
      </c>
      <c r="L261" s="16"/>
      <c r="M261" s="16"/>
      <c r="N261" s="16"/>
      <c r="O261" s="16"/>
      <c r="P261" s="16">
        <v>2.1</v>
      </c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>
        <v>1.2</v>
      </c>
    </row>
    <row r="262" spans="1:27" x14ac:dyDescent="0.25">
      <c r="A262" s="4" t="s">
        <v>291</v>
      </c>
      <c r="B262" s="2" t="str" cm="1">
        <f t="array" ref="B262">User3($C$11:$ZX$11,C262:ZX262)</f>
        <v>1.05D+1.2SDL+1.2BW+1.1COL+1.1SOIL+1WATER+1.17Lr+1.17LLB+1.08LLE+2.1Wy+2+1.2CR11</v>
      </c>
      <c r="C262" s="13">
        <f t="shared" si="18"/>
        <v>1.05</v>
      </c>
      <c r="D262" s="13">
        <f t="shared" si="19"/>
        <v>1.2</v>
      </c>
      <c r="E262" s="13">
        <f t="shared" si="20"/>
        <v>1.2</v>
      </c>
      <c r="F262" s="13">
        <f t="shared" si="21"/>
        <v>1.1000000000000001</v>
      </c>
      <c r="G262" s="13">
        <f t="shared" si="22"/>
        <v>1.1000000000000001</v>
      </c>
      <c r="H262" s="13">
        <f t="shared" si="23"/>
        <v>1</v>
      </c>
      <c r="I262" s="10">
        <v>1.1700000000000002</v>
      </c>
      <c r="J262" s="10">
        <v>1.17</v>
      </c>
      <c r="K262" s="10">
        <v>1.08</v>
      </c>
      <c r="L262" s="10"/>
      <c r="M262" s="10"/>
      <c r="N262" s="10"/>
      <c r="O262" s="10"/>
      <c r="P262" s="10"/>
      <c r="Q262" s="10">
        <v>2.1</v>
      </c>
      <c r="R262" s="10"/>
      <c r="S262" s="10"/>
      <c r="T262" s="10">
        <v>1.2</v>
      </c>
      <c r="U262" s="10"/>
      <c r="V262" s="10"/>
      <c r="W262" s="10"/>
      <c r="X262" s="10"/>
      <c r="Y262" s="10"/>
      <c r="Z262" s="10"/>
      <c r="AA262" s="10"/>
    </row>
    <row r="263" spans="1:27" x14ac:dyDescent="0.25">
      <c r="A263" s="4" t="s">
        <v>292</v>
      </c>
      <c r="B263" s="2" t="str" cm="1">
        <f t="array" ref="B263">User3($C$11:$ZX$11,C263:ZX263)</f>
        <v>1.05D+1.2SDL+1.2BW+1.1COL+1.1SOIL+1WATER+1.17Lr+1.17LLB+1.08LLE+2.1Wy+2+1.2CR12</v>
      </c>
      <c r="C263" s="13">
        <f t="shared" si="18"/>
        <v>1.05</v>
      </c>
      <c r="D263" s="13">
        <f t="shared" si="19"/>
        <v>1.2</v>
      </c>
      <c r="E263" s="13">
        <f t="shared" si="20"/>
        <v>1.2</v>
      </c>
      <c r="F263" s="13">
        <f t="shared" si="21"/>
        <v>1.1000000000000001</v>
      </c>
      <c r="G263" s="13">
        <f t="shared" si="22"/>
        <v>1.1000000000000001</v>
      </c>
      <c r="H263" s="13">
        <f t="shared" si="23"/>
        <v>1</v>
      </c>
      <c r="I263" s="13">
        <v>1.1700000000000002</v>
      </c>
      <c r="J263" s="13">
        <v>1.17</v>
      </c>
      <c r="K263" s="13">
        <v>1.08</v>
      </c>
      <c r="L263" s="13"/>
      <c r="M263" s="13"/>
      <c r="N263" s="13"/>
      <c r="O263" s="13"/>
      <c r="P263" s="13"/>
      <c r="Q263" s="13">
        <v>2.1</v>
      </c>
      <c r="R263" s="13"/>
      <c r="S263" s="13"/>
      <c r="T263" s="13"/>
      <c r="U263" s="13">
        <v>1.2</v>
      </c>
      <c r="V263" s="13"/>
      <c r="W263" s="13"/>
      <c r="X263" s="13"/>
      <c r="Y263" s="13"/>
      <c r="Z263" s="13"/>
      <c r="AA263" s="13"/>
    </row>
    <row r="264" spans="1:27" x14ac:dyDescent="0.25">
      <c r="A264" s="4" t="s">
        <v>293</v>
      </c>
      <c r="B264" s="2" t="str" cm="1">
        <f t="array" ref="B264">User3($C$11:$ZX$11,C264:ZX264)</f>
        <v>1.05D+1.2SDL+1.2BW+1.1COL+1.1SOIL+1WATER+1.17Lr+1.17LLB+1.08LLE+2.1Wy+2+1.2CR13</v>
      </c>
      <c r="C264" s="13">
        <f t="shared" si="18"/>
        <v>1.05</v>
      </c>
      <c r="D264" s="13">
        <f t="shared" si="19"/>
        <v>1.2</v>
      </c>
      <c r="E264" s="13">
        <f t="shared" si="20"/>
        <v>1.2</v>
      </c>
      <c r="F264" s="13">
        <f t="shared" si="21"/>
        <v>1.1000000000000001</v>
      </c>
      <c r="G264" s="13">
        <f t="shared" si="22"/>
        <v>1.1000000000000001</v>
      </c>
      <c r="H264" s="13">
        <f t="shared" si="23"/>
        <v>1</v>
      </c>
      <c r="I264" s="13">
        <v>1.1700000000000002</v>
      </c>
      <c r="J264" s="13">
        <v>1.17</v>
      </c>
      <c r="K264" s="13">
        <v>1.08</v>
      </c>
      <c r="L264" s="13"/>
      <c r="M264" s="13"/>
      <c r="N264" s="13"/>
      <c r="O264" s="13"/>
      <c r="P264" s="13"/>
      <c r="Q264" s="13">
        <v>2.1</v>
      </c>
      <c r="R264" s="13"/>
      <c r="S264" s="13"/>
      <c r="T264" s="13"/>
      <c r="U264" s="13"/>
      <c r="V264" s="13">
        <v>1.2</v>
      </c>
      <c r="W264" s="13"/>
      <c r="X264" s="13"/>
      <c r="Y264" s="13"/>
      <c r="Z264" s="13"/>
      <c r="AA264" s="13"/>
    </row>
    <row r="265" spans="1:27" x14ac:dyDescent="0.25">
      <c r="A265" s="4" t="s">
        <v>294</v>
      </c>
      <c r="B265" s="2" t="str" cm="1">
        <f t="array" ref="B265">User3($C$11:$ZX$11,C265:ZX265)</f>
        <v>1.05D+1.2SDL+1.2BW+1.1COL+1.1SOIL+1WATER+1.17Lr+1.17LLB+1.08LLE+2.1Wy+2+1.2CR14</v>
      </c>
      <c r="C265" s="13">
        <f t="shared" si="18"/>
        <v>1.05</v>
      </c>
      <c r="D265" s="13">
        <f t="shared" si="19"/>
        <v>1.2</v>
      </c>
      <c r="E265" s="13">
        <f t="shared" si="20"/>
        <v>1.2</v>
      </c>
      <c r="F265" s="13">
        <f t="shared" si="21"/>
        <v>1.1000000000000001</v>
      </c>
      <c r="G265" s="13">
        <f t="shared" si="22"/>
        <v>1.1000000000000001</v>
      </c>
      <c r="H265" s="13">
        <f t="shared" si="23"/>
        <v>1</v>
      </c>
      <c r="I265" s="13">
        <v>1.1700000000000002</v>
      </c>
      <c r="J265" s="13">
        <v>1.17</v>
      </c>
      <c r="K265" s="13">
        <v>1.08</v>
      </c>
      <c r="L265" s="13"/>
      <c r="M265" s="13"/>
      <c r="N265" s="13"/>
      <c r="O265" s="13"/>
      <c r="P265" s="13"/>
      <c r="Q265" s="13">
        <v>2.1</v>
      </c>
      <c r="R265" s="13"/>
      <c r="S265" s="13"/>
      <c r="T265" s="13"/>
      <c r="U265" s="13"/>
      <c r="V265" s="13"/>
      <c r="W265" s="13">
        <v>1.2</v>
      </c>
      <c r="X265" s="13"/>
      <c r="Y265" s="13"/>
      <c r="Z265" s="13"/>
      <c r="AA265" s="13"/>
    </row>
    <row r="266" spans="1:27" x14ac:dyDescent="0.25">
      <c r="A266" s="4" t="s">
        <v>295</v>
      </c>
      <c r="B266" s="2" t="str" cm="1">
        <f t="array" ref="B266">User3($C$11:$ZX$11,C266:ZX266)</f>
        <v>1.05D+1.2SDL+1.2BW+1.1COL+1.1SOIL+1WATER+1.17Lr+1.17LLB+1.08LLE+2.1Wy+2+1.2CR21</v>
      </c>
      <c r="C266" s="13">
        <f t="shared" si="18"/>
        <v>1.05</v>
      </c>
      <c r="D266" s="13">
        <f t="shared" si="19"/>
        <v>1.2</v>
      </c>
      <c r="E266" s="13">
        <f t="shared" si="20"/>
        <v>1.2</v>
      </c>
      <c r="F266" s="13">
        <f t="shared" si="21"/>
        <v>1.1000000000000001</v>
      </c>
      <c r="G266" s="13">
        <f t="shared" si="22"/>
        <v>1.1000000000000001</v>
      </c>
      <c r="H266" s="13">
        <f t="shared" si="23"/>
        <v>1</v>
      </c>
      <c r="I266" s="13">
        <v>1.1700000000000002</v>
      </c>
      <c r="J266" s="13">
        <v>1.17</v>
      </c>
      <c r="K266" s="13">
        <v>1.08</v>
      </c>
      <c r="L266" s="13"/>
      <c r="M266" s="13"/>
      <c r="N266" s="13"/>
      <c r="O266" s="13"/>
      <c r="P266" s="13"/>
      <c r="Q266" s="13">
        <v>2.1</v>
      </c>
      <c r="R266" s="13"/>
      <c r="S266" s="13"/>
      <c r="T266" s="13"/>
      <c r="U266" s="13"/>
      <c r="V266" s="13"/>
      <c r="W266" s="13"/>
      <c r="X266" s="13">
        <v>1.2</v>
      </c>
      <c r="Y266" s="13"/>
      <c r="Z266" s="13"/>
      <c r="AA266" s="13"/>
    </row>
    <row r="267" spans="1:27" x14ac:dyDescent="0.25">
      <c r="A267" s="4" t="s">
        <v>296</v>
      </c>
      <c r="B267" s="2" t="str" cm="1">
        <f t="array" ref="B267">User3($C$11:$ZX$11,C267:ZX267)</f>
        <v>1.05D+1.2SDL+1.2BW+1.1COL+1.1SOIL+1WATER+1.17Lr+1.17LLB+1.08LLE+2.1Wy+2+1.2CR22</v>
      </c>
      <c r="C267" s="13">
        <f t="shared" si="18"/>
        <v>1.05</v>
      </c>
      <c r="D267" s="13">
        <f t="shared" si="19"/>
        <v>1.2</v>
      </c>
      <c r="E267" s="13">
        <f t="shared" si="20"/>
        <v>1.2</v>
      </c>
      <c r="F267" s="13">
        <f t="shared" si="21"/>
        <v>1.1000000000000001</v>
      </c>
      <c r="G267" s="13">
        <f t="shared" si="22"/>
        <v>1.1000000000000001</v>
      </c>
      <c r="H267" s="13">
        <f t="shared" si="23"/>
        <v>1</v>
      </c>
      <c r="I267" s="13">
        <v>1.1700000000000002</v>
      </c>
      <c r="J267" s="13">
        <v>1.17</v>
      </c>
      <c r="K267" s="13">
        <v>1.08</v>
      </c>
      <c r="L267" s="13"/>
      <c r="M267" s="13"/>
      <c r="N267" s="13"/>
      <c r="O267" s="13"/>
      <c r="P267" s="13"/>
      <c r="Q267" s="13">
        <v>2.1</v>
      </c>
      <c r="R267" s="13"/>
      <c r="S267" s="13"/>
      <c r="T267" s="13"/>
      <c r="U267" s="13"/>
      <c r="V267" s="13"/>
      <c r="W267" s="13"/>
      <c r="X267" s="13"/>
      <c r="Y267" s="13">
        <v>1.2</v>
      </c>
      <c r="Z267" s="13"/>
      <c r="AA267" s="13"/>
    </row>
    <row r="268" spans="1:27" x14ac:dyDescent="0.25">
      <c r="A268" s="4" t="s">
        <v>297</v>
      </c>
      <c r="B268" s="2" t="str" cm="1">
        <f t="array" ref="B268">User3($C$11:$ZX$11,C268:ZX268)</f>
        <v>1.05D+1.2SDL+1.2BW+1.1COL+1.1SOIL+1WATER+1.17Lr+1.17LLB+1.08LLE+2.1Wy+2+1.2CR23</v>
      </c>
      <c r="C268" s="13">
        <f t="shared" si="18"/>
        <v>1.05</v>
      </c>
      <c r="D268" s="13">
        <f t="shared" si="19"/>
        <v>1.2</v>
      </c>
      <c r="E268" s="13">
        <f t="shared" si="20"/>
        <v>1.2</v>
      </c>
      <c r="F268" s="13">
        <f t="shared" si="21"/>
        <v>1.1000000000000001</v>
      </c>
      <c r="G268" s="13">
        <f t="shared" si="22"/>
        <v>1.1000000000000001</v>
      </c>
      <c r="H268" s="13">
        <f t="shared" si="23"/>
        <v>1</v>
      </c>
      <c r="I268" s="13">
        <v>1.1700000000000002</v>
      </c>
      <c r="J268" s="13">
        <v>1.17</v>
      </c>
      <c r="K268" s="13">
        <v>1.08</v>
      </c>
      <c r="L268" s="13"/>
      <c r="M268" s="13"/>
      <c r="N268" s="13"/>
      <c r="O268" s="13"/>
      <c r="P268" s="13"/>
      <c r="Q268" s="13">
        <v>2.1</v>
      </c>
      <c r="R268" s="13"/>
      <c r="S268" s="13"/>
      <c r="T268" s="13"/>
      <c r="U268" s="13"/>
      <c r="V268" s="13"/>
      <c r="W268" s="13"/>
      <c r="X268" s="13"/>
      <c r="Y268" s="13"/>
      <c r="Z268" s="13">
        <v>1.2</v>
      </c>
      <c r="AA268" s="13"/>
    </row>
    <row r="269" spans="1:27" x14ac:dyDescent="0.25">
      <c r="A269" s="4" t="s">
        <v>298</v>
      </c>
      <c r="B269" s="2" t="str" cm="1">
        <f t="array" ref="B269">User3($C$11:$ZX$11,C269:ZX269)</f>
        <v>1.05D+1.2SDL+1.2BW+1.1COL+1.1SOIL+1WATER+1.17Lr+1.17LLB+1.08LLE+2.1Wy+2+1.2CR24</v>
      </c>
      <c r="C269" s="16">
        <f t="shared" si="18"/>
        <v>1.05</v>
      </c>
      <c r="D269" s="16">
        <f t="shared" si="19"/>
        <v>1.2</v>
      </c>
      <c r="E269" s="16">
        <f t="shared" si="20"/>
        <v>1.2</v>
      </c>
      <c r="F269" s="16">
        <f t="shared" si="21"/>
        <v>1.1000000000000001</v>
      </c>
      <c r="G269" s="16">
        <f t="shared" si="22"/>
        <v>1.1000000000000001</v>
      </c>
      <c r="H269" s="16">
        <f t="shared" si="23"/>
        <v>1</v>
      </c>
      <c r="I269" s="16">
        <v>1.1700000000000002</v>
      </c>
      <c r="J269" s="16">
        <v>1.17</v>
      </c>
      <c r="K269" s="16">
        <v>1.08</v>
      </c>
      <c r="L269" s="16"/>
      <c r="M269" s="16"/>
      <c r="N269" s="16"/>
      <c r="O269" s="16"/>
      <c r="P269" s="16"/>
      <c r="Q269" s="16">
        <v>2.1</v>
      </c>
      <c r="R269" s="16"/>
      <c r="S269" s="16"/>
      <c r="T269" s="16"/>
      <c r="U269" s="16"/>
      <c r="V269" s="16"/>
      <c r="W269" s="16"/>
      <c r="X269" s="16"/>
      <c r="Y269" s="16"/>
      <c r="Z269" s="16"/>
      <c r="AA269" s="16">
        <v>1.2</v>
      </c>
    </row>
    <row r="270" spans="1:27" x14ac:dyDescent="0.25">
      <c r="A270" s="4" t="s">
        <v>299</v>
      </c>
      <c r="B270" s="2" t="str" cm="1">
        <f t="array" ref="B270">User3($C$11:$ZX$11,C270:ZX270)</f>
        <v>1.05D+1.2SDL+1.2BW+1.1COL+1.1SOIL+1WATER+1.17Lr+1.17LLB+1.08LLE+2.1Wy-1+1.2CR11</v>
      </c>
      <c r="C270" s="13">
        <f t="shared" si="18"/>
        <v>1.05</v>
      </c>
      <c r="D270" s="13">
        <f t="shared" si="19"/>
        <v>1.2</v>
      </c>
      <c r="E270" s="13">
        <f t="shared" si="20"/>
        <v>1.2</v>
      </c>
      <c r="F270" s="13">
        <f t="shared" si="21"/>
        <v>1.1000000000000001</v>
      </c>
      <c r="G270" s="13">
        <f t="shared" si="22"/>
        <v>1.1000000000000001</v>
      </c>
      <c r="H270" s="13">
        <f t="shared" si="23"/>
        <v>1</v>
      </c>
      <c r="I270" s="10">
        <v>1.1700000000000002</v>
      </c>
      <c r="J270" s="10">
        <v>1.17</v>
      </c>
      <c r="K270" s="10">
        <v>1.08</v>
      </c>
      <c r="L270" s="10"/>
      <c r="M270" s="10"/>
      <c r="N270" s="10"/>
      <c r="O270" s="10"/>
      <c r="P270" s="10"/>
      <c r="Q270" s="10"/>
      <c r="R270" s="10">
        <v>2.1</v>
      </c>
      <c r="S270" s="10"/>
      <c r="T270" s="10">
        <v>1.2</v>
      </c>
      <c r="U270" s="10"/>
      <c r="V270" s="10"/>
      <c r="W270" s="10"/>
      <c r="X270" s="10"/>
      <c r="Y270" s="10"/>
      <c r="Z270" s="10"/>
      <c r="AA270" s="10"/>
    </row>
    <row r="271" spans="1:27" x14ac:dyDescent="0.25">
      <c r="A271" s="4" t="s">
        <v>300</v>
      </c>
      <c r="B271" s="2" t="str" cm="1">
        <f t="array" ref="B271">User3($C$11:$ZX$11,C271:ZX271)</f>
        <v>1.05D+1.2SDL+1.2BW+1.1COL+1.1SOIL+1WATER+1.17Lr+1.17LLB+1.08LLE+2.1Wy-1+1.2CR12</v>
      </c>
      <c r="C271" s="13">
        <f t="shared" ref="C271:C334" si="24">$C$12</f>
        <v>1.05</v>
      </c>
      <c r="D271" s="13">
        <f t="shared" ref="D271:D334" si="25">$D$12</f>
        <v>1.2</v>
      </c>
      <c r="E271" s="13">
        <f t="shared" ref="E271:E334" si="26">$E$12</f>
        <v>1.2</v>
      </c>
      <c r="F271" s="13">
        <f t="shared" ref="F271:F334" si="27">$F$12</f>
        <v>1.1000000000000001</v>
      </c>
      <c r="G271" s="13">
        <f t="shared" ref="G271:G334" si="28">$G$12</f>
        <v>1.1000000000000001</v>
      </c>
      <c r="H271" s="13">
        <f t="shared" ref="H271:H334" si="29">$H$12</f>
        <v>1</v>
      </c>
      <c r="I271" s="13">
        <v>1.1700000000000002</v>
      </c>
      <c r="J271" s="13">
        <v>1.17</v>
      </c>
      <c r="K271" s="13">
        <v>1.08</v>
      </c>
      <c r="L271" s="13"/>
      <c r="M271" s="13"/>
      <c r="N271" s="13"/>
      <c r="O271" s="13"/>
      <c r="P271" s="13"/>
      <c r="Q271" s="13"/>
      <c r="R271" s="13">
        <v>2.1</v>
      </c>
      <c r="S271" s="13"/>
      <c r="T271" s="13"/>
      <c r="U271" s="13">
        <v>1.2</v>
      </c>
      <c r="V271" s="13"/>
      <c r="W271" s="13"/>
      <c r="X271" s="13"/>
      <c r="Y271" s="13"/>
      <c r="Z271" s="13"/>
      <c r="AA271" s="13"/>
    </row>
    <row r="272" spans="1:27" x14ac:dyDescent="0.25">
      <c r="A272" s="4" t="s">
        <v>301</v>
      </c>
      <c r="B272" s="2" t="str" cm="1">
        <f t="array" ref="B272">User3($C$11:$ZX$11,C272:ZX272)</f>
        <v>1.05D+1.2SDL+1.2BW+1.1COL+1.1SOIL+1WATER+1.17Lr+1.17LLB+1.08LLE+2.1Wy-1+1.2CR13</v>
      </c>
      <c r="C272" s="13">
        <f t="shared" si="24"/>
        <v>1.05</v>
      </c>
      <c r="D272" s="13">
        <f t="shared" si="25"/>
        <v>1.2</v>
      </c>
      <c r="E272" s="13">
        <f t="shared" si="26"/>
        <v>1.2</v>
      </c>
      <c r="F272" s="13">
        <f t="shared" si="27"/>
        <v>1.1000000000000001</v>
      </c>
      <c r="G272" s="13">
        <f t="shared" si="28"/>
        <v>1.1000000000000001</v>
      </c>
      <c r="H272" s="13">
        <f t="shared" si="29"/>
        <v>1</v>
      </c>
      <c r="I272" s="13">
        <v>1.1700000000000002</v>
      </c>
      <c r="J272" s="13">
        <v>1.17</v>
      </c>
      <c r="K272" s="13">
        <v>1.08</v>
      </c>
      <c r="L272" s="13"/>
      <c r="M272" s="13"/>
      <c r="N272" s="13"/>
      <c r="O272" s="13"/>
      <c r="P272" s="13"/>
      <c r="Q272" s="13"/>
      <c r="R272" s="13">
        <v>2.1</v>
      </c>
      <c r="S272" s="13"/>
      <c r="T272" s="13"/>
      <c r="U272" s="13"/>
      <c r="V272" s="13">
        <v>1.2</v>
      </c>
      <c r="W272" s="13"/>
      <c r="X272" s="13"/>
      <c r="Y272" s="13"/>
      <c r="Z272" s="13"/>
      <c r="AA272" s="13"/>
    </row>
    <row r="273" spans="1:27" x14ac:dyDescent="0.25">
      <c r="A273" s="4" t="s">
        <v>302</v>
      </c>
      <c r="B273" s="2" t="str" cm="1">
        <f t="array" ref="B273">User3($C$11:$ZX$11,C273:ZX273)</f>
        <v>1.05D+1.2SDL+1.2BW+1.1COL+1.1SOIL+1WATER+1.17Lr+1.17LLB+1.08LLE+2.1Wy-1+1.2CR14</v>
      </c>
      <c r="C273" s="13">
        <f t="shared" si="24"/>
        <v>1.05</v>
      </c>
      <c r="D273" s="13">
        <f t="shared" si="25"/>
        <v>1.2</v>
      </c>
      <c r="E273" s="13">
        <f t="shared" si="26"/>
        <v>1.2</v>
      </c>
      <c r="F273" s="13">
        <f t="shared" si="27"/>
        <v>1.1000000000000001</v>
      </c>
      <c r="G273" s="13">
        <f t="shared" si="28"/>
        <v>1.1000000000000001</v>
      </c>
      <c r="H273" s="13">
        <f t="shared" si="29"/>
        <v>1</v>
      </c>
      <c r="I273" s="13">
        <v>1.1700000000000002</v>
      </c>
      <c r="J273" s="13">
        <v>1.17</v>
      </c>
      <c r="K273" s="13">
        <v>1.08</v>
      </c>
      <c r="L273" s="13"/>
      <c r="M273" s="13"/>
      <c r="N273" s="13"/>
      <c r="O273" s="13"/>
      <c r="P273" s="13"/>
      <c r="Q273" s="13"/>
      <c r="R273" s="13">
        <v>2.1</v>
      </c>
      <c r="S273" s="13"/>
      <c r="T273" s="13"/>
      <c r="U273" s="13"/>
      <c r="V273" s="13"/>
      <c r="W273" s="13">
        <v>1.2</v>
      </c>
      <c r="X273" s="13"/>
      <c r="Y273" s="13"/>
      <c r="Z273" s="13"/>
      <c r="AA273" s="13"/>
    </row>
    <row r="274" spans="1:27" x14ac:dyDescent="0.25">
      <c r="A274" s="4" t="s">
        <v>303</v>
      </c>
      <c r="B274" s="2" t="str" cm="1">
        <f t="array" ref="B274">User3($C$11:$ZX$11,C274:ZX274)</f>
        <v>1.05D+1.2SDL+1.2BW+1.1COL+1.1SOIL+1WATER+1.17Lr+1.17LLB+1.08LLE+2.1Wy-1+1.2CR21</v>
      </c>
      <c r="C274" s="13">
        <f t="shared" si="24"/>
        <v>1.05</v>
      </c>
      <c r="D274" s="13">
        <f t="shared" si="25"/>
        <v>1.2</v>
      </c>
      <c r="E274" s="13">
        <f t="shared" si="26"/>
        <v>1.2</v>
      </c>
      <c r="F274" s="13">
        <f t="shared" si="27"/>
        <v>1.1000000000000001</v>
      </c>
      <c r="G274" s="13">
        <f t="shared" si="28"/>
        <v>1.1000000000000001</v>
      </c>
      <c r="H274" s="13">
        <f t="shared" si="29"/>
        <v>1</v>
      </c>
      <c r="I274" s="13">
        <v>1.1700000000000002</v>
      </c>
      <c r="J274" s="13">
        <v>1.17</v>
      </c>
      <c r="K274" s="13">
        <v>1.08</v>
      </c>
      <c r="L274" s="13"/>
      <c r="M274" s="13"/>
      <c r="N274" s="13"/>
      <c r="O274" s="13"/>
      <c r="P274" s="13"/>
      <c r="Q274" s="13"/>
      <c r="R274" s="13">
        <v>2.1</v>
      </c>
      <c r="S274" s="13"/>
      <c r="T274" s="13"/>
      <c r="U274" s="13"/>
      <c r="V274" s="13"/>
      <c r="W274" s="13"/>
      <c r="X274" s="13">
        <v>1.2</v>
      </c>
      <c r="Y274" s="13"/>
      <c r="Z274" s="13"/>
      <c r="AA274" s="13"/>
    </row>
    <row r="275" spans="1:27" x14ac:dyDescent="0.25">
      <c r="A275" s="4" t="s">
        <v>304</v>
      </c>
      <c r="B275" s="2" t="str" cm="1">
        <f t="array" ref="B275">User3($C$11:$ZX$11,C275:ZX275)</f>
        <v>1.05D+1.2SDL+1.2BW+1.1COL+1.1SOIL+1WATER+1.17Lr+1.17LLB+1.08LLE+2.1Wy-1+1.2CR22</v>
      </c>
      <c r="C275" s="13">
        <f t="shared" si="24"/>
        <v>1.05</v>
      </c>
      <c r="D275" s="13">
        <f t="shared" si="25"/>
        <v>1.2</v>
      </c>
      <c r="E275" s="13">
        <f t="shared" si="26"/>
        <v>1.2</v>
      </c>
      <c r="F275" s="13">
        <f t="shared" si="27"/>
        <v>1.1000000000000001</v>
      </c>
      <c r="G275" s="13">
        <f t="shared" si="28"/>
        <v>1.1000000000000001</v>
      </c>
      <c r="H275" s="13">
        <f t="shared" si="29"/>
        <v>1</v>
      </c>
      <c r="I275" s="13">
        <v>1.1700000000000002</v>
      </c>
      <c r="J275" s="13">
        <v>1.17</v>
      </c>
      <c r="K275" s="13">
        <v>1.08</v>
      </c>
      <c r="L275" s="13"/>
      <c r="M275" s="13"/>
      <c r="N275" s="13"/>
      <c r="O275" s="13"/>
      <c r="P275" s="13"/>
      <c r="Q275" s="13"/>
      <c r="R275" s="13">
        <v>2.1</v>
      </c>
      <c r="S275" s="13"/>
      <c r="T275" s="13"/>
      <c r="U275" s="13"/>
      <c r="V275" s="13"/>
      <c r="W275" s="13"/>
      <c r="X275" s="13"/>
      <c r="Y275" s="13">
        <v>1.2</v>
      </c>
      <c r="Z275" s="13"/>
      <c r="AA275" s="13"/>
    </row>
    <row r="276" spans="1:27" x14ac:dyDescent="0.25">
      <c r="A276" s="4" t="s">
        <v>305</v>
      </c>
      <c r="B276" s="2" t="str" cm="1">
        <f t="array" ref="B276">User3($C$11:$ZX$11,C276:ZX276)</f>
        <v>1.05D+1.2SDL+1.2BW+1.1COL+1.1SOIL+1WATER+1.17Lr+1.17LLB+1.08LLE+2.1Wy-1+1.2CR23</v>
      </c>
      <c r="C276" s="13">
        <f t="shared" si="24"/>
        <v>1.05</v>
      </c>
      <c r="D276" s="13">
        <f t="shared" si="25"/>
        <v>1.2</v>
      </c>
      <c r="E276" s="13">
        <f t="shared" si="26"/>
        <v>1.2</v>
      </c>
      <c r="F276" s="13">
        <f t="shared" si="27"/>
        <v>1.1000000000000001</v>
      </c>
      <c r="G276" s="13">
        <f t="shared" si="28"/>
        <v>1.1000000000000001</v>
      </c>
      <c r="H276" s="13">
        <f t="shared" si="29"/>
        <v>1</v>
      </c>
      <c r="I276" s="13">
        <v>1.1700000000000002</v>
      </c>
      <c r="J276" s="13">
        <v>1.17</v>
      </c>
      <c r="K276" s="13">
        <v>1.08</v>
      </c>
      <c r="L276" s="13"/>
      <c r="M276" s="13"/>
      <c r="N276" s="13"/>
      <c r="O276" s="13"/>
      <c r="P276" s="13"/>
      <c r="Q276" s="13"/>
      <c r="R276" s="13">
        <v>2.1</v>
      </c>
      <c r="S276" s="13"/>
      <c r="T276" s="13"/>
      <c r="U276" s="13"/>
      <c r="V276" s="13"/>
      <c r="W276" s="13"/>
      <c r="X276" s="13"/>
      <c r="Y276" s="13"/>
      <c r="Z276" s="13">
        <v>1.2</v>
      </c>
      <c r="AA276" s="13"/>
    </row>
    <row r="277" spans="1:27" x14ac:dyDescent="0.25">
      <c r="A277" s="4" t="s">
        <v>306</v>
      </c>
      <c r="B277" s="2" t="str" cm="1">
        <f t="array" ref="B277">User3($C$11:$ZX$11,C277:ZX277)</f>
        <v>1.05D+1.2SDL+1.2BW+1.1COL+1.1SOIL+1WATER+1.17Lr+1.17LLB+1.08LLE+2.1Wy-1+1.2CR24</v>
      </c>
      <c r="C277" s="16">
        <f t="shared" si="24"/>
        <v>1.05</v>
      </c>
      <c r="D277" s="16">
        <f t="shared" si="25"/>
        <v>1.2</v>
      </c>
      <c r="E277" s="16">
        <f t="shared" si="26"/>
        <v>1.2</v>
      </c>
      <c r="F277" s="16">
        <f t="shared" si="27"/>
        <v>1.1000000000000001</v>
      </c>
      <c r="G277" s="16">
        <f t="shared" si="28"/>
        <v>1.1000000000000001</v>
      </c>
      <c r="H277" s="16">
        <f t="shared" si="29"/>
        <v>1</v>
      </c>
      <c r="I277" s="16">
        <v>1.1700000000000002</v>
      </c>
      <c r="J277" s="16">
        <v>1.17</v>
      </c>
      <c r="K277" s="16">
        <v>1.08</v>
      </c>
      <c r="L277" s="16"/>
      <c r="M277" s="16"/>
      <c r="N277" s="16"/>
      <c r="O277" s="16"/>
      <c r="P277" s="16"/>
      <c r="Q277" s="16"/>
      <c r="R277" s="16">
        <v>2.1</v>
      </c>
      <c r="S277" s="16"/>
      <c r="T277" s="16"/>
      <c r="U277" s="16"/>
      <c r="V277" s="16"/>
      <c r="W277" s="16"/>
      <c r="X277" s="16"/>
      <c r="Y277" s="16"/>
      <c r="Z277" s="16"/>
      <c r="AA277" s="16">
        <v>1.2</v>
      </c>
    </row>
    <row r="278" spans="1:27" x14ac:dyDescent="0.25">
      <c r="A278" s="4" t="s">
        <v>307</v>
      </c>
      <c r="B278" s="2" t="str" cm="1">
        <f t="array" ref="B278">User3($C$11:$ZX$11,C278:ZX278)</f>
        <v>1.05D+1.2SDL+1.2BW+1.1COL+1.1SOIL+1WATER+1.17Lr+1.17LLB+1.08LLE+2.1Wy-2+1.2CR11</v>
      </c>
      <c r="C278" s="13">
        <f t="shared" si="24"/>
        <v>1.05</v>
      </c>
      <c r="D278" s="13">
        <f t="shared" si="25"/>
        <v>1.2</v>
      </c>
      <c r="E278" s="13">
        <f t="shared" si="26"/>
        <v>1.2</v>
      </c>
      <c r="F278" s="13">
        <f t="shared" si="27"/>
        <v>1.1000000000000001</v>
      </c>
      <c r="G278" s="13">
        <f t="shared" si="28"/>
        <v>1.1000000000000001</v>
      </c>
      <c r="H278" s="13">
        <f t="shared" si="29"/>
        <v>1</v>
      </c>
      <c r="I278" s="10">
        <v>1.1700000000000002</v>
      </c>
      <c r="J278" s="10">
        <v>1.17</v>
      </c>
      <c r="K278" s="10">
        <v>1.08</v>
      </c>
      <c r="L278" s="10"/>
      <c r="M278" s="10"/>
      <c r="N278" s="10"/>
      <c r="O278" s="10"/>
      <c r="P278" s="10"/>
      <c r="Q278" s="10"/>
      <c r="R278" s="10"/>
      <c r="S278" s="10">
        <v>2.1</v>
      </c>
      <c r="T278" s="10">
        <v>1.2</v>
      </c>
      <c r="U278" s="10"/>
      <c r="V278" s="10"/>
      <c r="W278" s="10"/>
      <c r="X278" s="10"/>
      <c r="Y278" s="10"/>
      <c r="Z278" s="10"/>
      <c r="AA278" s="10"/>
    </row>
    <row r="279" spans="1:27" x14ac:dyDescent="0.25">
      <c r="A279" s="4" t="s">
        <v>308</v>
      </c>
      <c r="B279" s="2" t="str" cm="1">
        <f t="array" ref="B279">User3($C$11:$ZX$11,C279:ZX279)</f>
        <v>1.05D+1.2SDL+1.2BW+1.1COL+1.1SOIL+1WATER+1.17Lr+1.17LLB+1.08LLE+2.1Wy-2+1.2CR12</v>
      </c>
      <c r="C279" s="13">
        <f t="shared" si="24"/>
        <v>1.05</v>
      </c>
      <c r="D279" s="13">
        <f t="shared" si="25"/>
        <v>1.2</v>
      </c>
      <c r="E279" s="13">
        <f t="shared" si="26"/>
        <v>1.2</v>
      </c>
      <c r="F279" s="13">
        <f t="shared" si="27"/>
        <v>1.1000000000000001</v>
      </c>
      <c r="G279" s="13">
        <f t="shared" si="28"/>
        <v>1.1000000000000001</v>
      </c>
      <c r="H279" s="13">
        <f t="shared" si="29"/>
        <v>1</v>
      </c>
      <c r="I279" s="13">
        <v>1.1700000000000002</v>
      </c>
      <c r="J279" s="13">
        <v>1.17</v>
      </c>
      <c r="K279" s="13">
        <v>1.08</v>
      </c>
      <c r="L279" s="13"/>
      <c r="M279" s="13"/>
      <c r="N279" s="13"/>
      <c r="O279" s="13"/>
      <c r="P279" s="13"/>
      <c r="Q279" s="13"/>
      <c r="R279" s="13"/>
      <c r="S279" s="13">
        <v>2.1</v>
      </c>
      <c r="T279" s="13"/>
      <c r="U279" s="13">
        <v>1.2</v>
      </c>
      <c r="V279" s="13"/>
      <c r="W279" s="13"/>
      <c r="X279" s="13"/>
      <c r="Y279" s="13"/>
      <c r="Z279" s="13"/>
      <c r="AA279" s="13"/>
    </row>
    <row r="280" spans="1:27" x14ac:dyDescent="0.25">
      <c r="A280" s="4" t="s">
        <v>309</v>
      </c>
      <c r="B280" s="2" t="str" cm="1">
        <f t="array" ref="B280">User3($C$11:$ZX$11,C280:ZX280)</f>
        <v>1.05D+1.2SDL+1.2BW+1.1COL+1.1SOIL+1WATER+1.17Lr+1.17LLB+1.08LLE+2.1Wy-2+1.2CR13</v>
      </c>
      <c r="C280" s="13">
        <f t="shared" si="24"/>
        <v>1.05</v>
      </c>
      <c r="D280" s="13">
        <f t="shared" si="25"/>
        <v>1.2</v>
      </c>
      <c r="E280" s="13">
        <f t="shared" si="26"/>
        <v>1.2</v>
      </c>
      <c r="F280" s="13">
        <f t="shared" si="27"/>
        <v>1.1000000000000001</v>
      </c>
      <c r="G280" s="13">
        <f t="shared" si="28"/>
        <v>1.1000000000000001</v>
      </c>
      <c r="H280" s="13">
        <f t="shared" si="29"/>
        <v>1</v>
      </c>
      <c r="I280" s="13">
        <v>1.1700000000000002</v>
      </c>
      <c r="J280" s="13">
        <v>1.17</v>
      </c>
      <c r="K280" s="13">
        <v>1.08</v>
      </c>
      <c r="L280" s="13"/>
      <c r="M280" s="13"/>
      <c r="N280" s="13"/>
      <c r="O280" s="13"/>
      <c r="P280" s="13"/>
      <c r="Q280" s="13"/>
      <c r="R280" s="13"/>
      <c r="S280" s="13">
        <v>2.1</v>
      </c>
      <c r="T280" s="13"/>
      <c r="U280" s="13"/>
      <c r="V280" s="13">
        <v>1.2</v>
      </c>
      <c r="W280" s="13"/>
      <c r="X280" s="13"/>
      <c r="Y280" s="13"/>
      <c r="Z280" s="13"/>
      <c r="AA280" s="13"/>
    </row>
    <row r="281" spans="1:27" x14ac:dyDescent="0.25">
      <c r="A281" s="4" t="s">
        <v>310</v>
      </c>
      <c r="B281" s="2" t="str" cm="1">
        <f t="array" ref="B281">User3($C$11:$ZX$11,C281:ZX281)</f>
        <v>1.05D+1.2SDL+1.2BW+1.1COL+1.1SOIL+1WATER+1.17Lr+1.17LLB+1.08LLE+2.1Wy-2+1.2CR14</v>
      </c>
      <c r="C281" s="13">
        <f t="shared" si="24"/>
        <v>1.05</v>
      </c>
      <c r="D281" s="13">
        <f t="shared" si="25"/>
        <v>1.2</v>
      </c>
      <c r="E281" s="13">
        <f t="shared" si="26"/>
        <v>1.2</v>
      </c>
      <c r="F281" s="13">
        <f t="shared" si="27"/>
        <v>1.1000000000000001</v>
      </c>
      <c r="G281" s="13">
        <f t="shared" si="28"/>
        <v>1.1000000000000001</v>
      </c>
      <c r="H281" s="13">
        <f t="shared" si="29"/>
        <v>1</v>
      </c>
      <c r="I281" s="13">
        <v>1.1700000000000002</v>
      </c>
      <c r="J281" s="13">
        <v>1.17</v>
      </c>
      <c r="K281" s="13">
        <v>1.08</v>
      </c>
      <c r="L281" s="13"/>
      <c r="M281" s="13"/>
      <c r="N281" s="13"/>
      <c r="O281" s="13"/>
      <c r="P281" s="13"/>
      <c r="Q281" s="13"/>
      <c r="R281" s="13"/>
      <c r="S281" s="13">
        <v>2.1</v>
      </c>
      <c r="T281" s="13"/>
      <c r="U281" s="13"/>
      <c r="V281" s="13"/>
      <c r="W281" s="13">
        <v>1.2</v>
      </c>
      <c r="X281" s="13"/>
      <c r="Y281" s="13"/>
      <c r="Z281" s="13"/>
      <c r="AA281" s="13"/>
    </row>
    <row r="282" spans="1:27" x14ac:dyDescent="0.25">
      <c r="A282" s="4" t="s">
        <v>311</v>
      </c>
      <c r="B282" s="2" t="str" cm="1">
        <f t="array" ref="B282">User3($C$11:$ZX$11,C282:ZX282)</f>
        <v>1.05D+1.2SDL+1.2BW+1.1COL+1.1SOIL+1WATER+1.17Lr+1.17LLB+1.08LLE+2.1Wy-2+1.2CR21</v>
      </c>
      <c r="C282" s="13">
        <f t="shared" si="24"/>
        <v>1.05</v>
      </c>
      <c r="D282" s="13">
        <f t="shared" si="25"/>
        <v>1.2</v>
      </c>
      <c r="E282" s="13">
        <f t="shared" si="26"/>
        <v>1.2</v>
      </c>
      <c r="F282" s="13">
        <f t="shared" si="27"/>
        <v>1.1000000000000001</v>
      </c>
      <c r="G282" s="13">
        <f t="shared" si="28"/>
        <v>1.1000000000000001</v>
      </c>
      <c r="H282" s="13">
        <f t="shared" si="29"/>
        <v>1</v>
      </c>
      <c r="I282" s="13">
        <v>1.1700000000000002</v>
      </c>
      <c r="J282" s="13">
        <v>1.17</v>
      </c>
      <c r="K282" s="13">
        <v>1.08</v>
      </c>
      <c r="L282" s="13"/>
      <c r="M282" s="13"/>
      <c r="N282" s="13"/>
      <c r="O282" s="13"/>
      <c r="P282" s="13"/>
      <c r="Q282" s="13"/>
      <c r="R282" s="13"/>
      <c r="S282" s="13">
        <v>2.1</v>
      </c>
      <c r="T282" s="13"/>
      <c r="U282" s="13"/>
      <c r="V282" s="13"/>
      <c r="W282" s="13"/>
      <c r="X282" s="13">
        <v>1.2</v>
      </c>
      <c r="Y282" s="13"/>
      <c r="Z282" s="13"/>
      <c r="AA282" s="13"/>
    </row>
    <row r="283" spans="1:27" x14ac:dyDescent="0.25">
      <c r="A283" s="4" t="s">
        <v>312</v>
      </c>
      <c r="B283" s="2" t="str" cm="1">
        <f t="array" ref="B283">User3($C$11:$ZX$11,C283:ZX283)</f>
        <v>1.05D+1.2SDL+1.2BW+1.1COL+1.1SOIL+1WATER+1.17Lr+1.17LLB+1.08LLE+2.1Wy-2+1.2CR22</v>
      </c>
      <c r="C283" s="13">
        <f t="shared" si="24"/>
        <v>1.05</v>
      </c>
      <c r="D283" s="13">
        <f t="shared" si="25"/>
        <v>1.2</v>
      </c>
      <c r="E283" s="13">
        <f t="shared" si="26"/>
        <v>1.2</v>
      </c>
      <c r="F283" s="13">
        <f t="shared" si="27"/>
        <v>1.1000000000000001</v>
      </c>
      <c r="G283" s="13">
        <f t="shared" si="28"/>
        <v>1.1000000000000001</v>
      </c>
      <c r="H283" s="13">
        <f t="shared" si="29"/>
        <v>1</v>
      </c>
      <c r="I283" s="13">
        <v>1.1700000000000002</v>
      </c>
      <c r="J283" s="13">
        <v>1.17</v>
      </c>
      <c r="K283" s="13">
        <v>1.08</v>
      </c>
      <c r="L283" s="13"/>
      <c r="M283" s="13"/>
      <c r="N283" s="13"/>
      <c r="O283" s="13"/>
      <c r="P283" s="13"/>
      <c r="Q283" s="13"/>
      <c r="R283" s="13"/>
      <c r="S283" s="13">
        <v>2.1</v>
      </c>
      <c r="T283" s="13"/>
      <c r="U283" s="13"/>
      <c r="V283" s="13"/>
      <c r="W283" s="13"/>
      <c r="X283" s="13"/>
      <c r="Y283" s="13">
        <v>1.2</v>
      </c>
      <c r="Z283" s="13"/>
      <c r="AA283" s="13"/>
    </row>
    <row r="284" spans="1:27" x14ac:dyDescent="0.25">
      <c r="A284" s="4" t="s">
        <v>313</v>
      </c>
      <c r="B284" s="2" t="str" cm="1">
        <f t="array" ref="B284">User3($C$11:$ZX$11,C284:ZX284)</f>
        <v>1.05D+1.2SDL+1.2BW+1.1COL+1.1SOIL+1WATER+1.17Lr+1.17LLB+1.08LLE+2.1Wy-2+1.2CR23</v>
      </c>
      <c r="C284" s="13">
        <f t="shared" si="24"/>
        <v>1.05</v>
      </c>
      <c r="D284" s="13">
        <f t="shared" si="25"/>
        <v>1.2</v>
      </c>
      <c r="E284" s="13">
        <f t="shared" si="26"/>
        <v>1.2</v>
      </c>
      <c r="F284" s="13">
        <f t="shared" si="27"/>
        <v>1.1000000000000001</v>
      </c>
      <c r="G284" s="13">
        <f t="shared" si="28"/>
        <v>1.1000000000000001</v>
      </c>
      <c r="H284" s="13">
        <f t="shared" si="29"/>
        <v>1</v>
      </c>
      <c r="I284" s="13">
        <v>1.1700000000000002</v>
      </c>
      <c r="J284" s="13">
        <v>1.17</v>
      </c>
      <c r="K284" s="13">
        <v>1.08</v>
      </c>
      <c r="L284" s="13"/>
      <c r="M284" s="13"/>
      <c r="N284" s="13"/>
      <c r="O284" s="13"/>
      <c r="P284" s="13"/>
      <c r="Q284" s="13"/>
      <c r="R284" s="13"/>
      <c r="S284" s="13">
        <v>2.1</v>
      </c>
      <c r="T284" s="13"/>
      <c r="U284" s="13"/>
      <c r="V284" s="13"/>
      <c r="W284" s="13"/>
      <c r="X284" s="13"/>
      <c r="Y284" s="13"/>
      <c r="Z284" s="13">
        <v>1.2</v>
      </c>
      <c r="AA284" s="13"/>
    </row>
    <row r="285" spans="1:27" x14ac:dyDescent="0.25">
      <c r="A285" s="4" t="s">
        <v>314</v>
      </c>
      <c r="B285" s="2" t="str" cm="1">
        <f t="array" ref="B285">User3($C$11:$ZX$11,C285:ZX285)</f>
        <v>1.05D+1.2SDL+1.2BW+1.1COL+1.1SOIL+1WATER+1.17Lr+1.17LLB+1.08LLE+2.1Wy-2+1.2CR24</v>
      </c>
      <c r="C285" s="16">
        <f t="shared" si="24"/>
        <v>1.05</v>
      </c>
      <c r="D285" s="16">
        <f t="shared" si="25"/>
        <v>1.2</v>
      </c>
      <c r="E285" s="16">
        <f t="shared" si="26"/>
        <v>1.2</v>
      </c>
      <c r="F285" s="16">
        <f t="shared" si="27"/>
        <v>1.1000000000000001</v>
      </c>
      <c r="G285" s="16">
        <f t="shared" si="28"/>
        <v>1.1000000000000001</v>
      </c>
      <c r="H285" s="16">
        <f t="shared" si="29"/>
        <v>1</v>
      </c>
      <c r="I285" s="16">
        <v>1.1700000000000002</v>
      </c>
      <c r="J285" s="16">
        <v>1.17</v>
      </c>
      <c r="K285" s="16">
        <v>1.08</v>
      </c>
      <c r="L285" s="16"/>
      <c r="M285" s="16"/>
      <c r="N285" s="16"/>
      <c r="O285" s="16"/>
      <c r="P285" s="16"/>
      <c r="Q285" s="16"/>
      <c r="R285" s="16"/>
      <c r="S285" s="16">
        <v>2.1</v>
      </c>
      <c r="T285" s="16"/>
      <c r="U285" s="16"/>
      <c r="V285" s="16"/>
      <c r="W285" s="16"/>
      <c r="X285" s="16"/>
      <c r="Y285" s="16"/>
      <c r="Z285" s="16"/>
      <c r="AA285" s="16">
        <v>1.2</v>
      </c>
    </row>
    <row r="286" spans="1:27" x14ac:dyDescent="0.25">
      <c r="A286" s="4" t="s">
        <v>315</v>
      </c>
      <c r="B286" s="2" t="str" cm="1">
        <f t="array" ref="B286">User3($C$11:$ZX$11,C286:ZX286)</f>
        <v>1.05D+1.2SDL+1.2BW+1.1COL+1.1SOIL+1WATER+1.17Lr+1.17LLB+1.08LLE+2.1Wx+1+1.02CR11+1.02CR21</v>
      </c>
      <c r="C286" s="13">
        <f t="shared" si="24"/>
        <v>1.05</v>
      </c>
      <c r="D286" s="13">
        <f t="shared" si="25"/>
        <v>1.2</v>
      </c>
      <c r="E286" s="13">
        <f t="shared" si="26"/>
        <v>1.2</v>
      </c>
      <c r="F286" s="13">
        <f t="shared" si="27"/>
        <v>1.1000000000000001</v>
      </c>
      <c r="G286" s="13">
        <f t="shared" si="28"/>
        <v>1.1000000000000001</v>
      </c>
      <c r="H286" s="13">
        <f t="shared" si="29"/>
        <v>1</v>
      </c>
      <c r="I286" s="10">
        <v>1.1700000000000002</v>
      </c>
      <c r="J286" s="10">
        <v>1.17</v>
      </c>
      <c r="K286" s="10">
        <v>1.08</v>
      </c>
      <c r="L286" s="10">
        <v>2.1</v>
      </c>
      <c r="M286" s="10"/>
      <c r="N286" s="10"/>
      <c r="O286" s="10"/>
      <c r="P286" s="10"/>
      <c r="Q286" s="10"/>
      <c r="R286" s="10"/>
      <c r="S286" s="10"/>
      <c r="T286" s="10">
        <f>T206</f>
        <v>1.02</v>
      </c>
      <c r="U286" s="10"/>
      <c r="V286" s="10"/>
      <c r="W286" s="10"/>
      <c r="X286" s="10">
        <f>T286</f>
        <v>1.02</v>
      </c>
      <c r="Y286" s="10"/>
      <c r="Z286" s="10"/>
      <c r="AA286" s="10"/>
    </row>
    <row r="287" spans="1:27" x14ac:dyDescent="0.25">
      <c r="A287" s="4" t="s">
        <v>316</v>
      </c>
      <c r="B287" s="2" t="str" cm="1">
        <f t="array" ref="B287">User3($C$11:$ZX$11,C287:ZX287)</f>
        <v>1.05D+1.2SDL+1.2BW+1.1COL+1.1SOIL+1WATER+1.17Lr+1.17LLB+1.08LLE+2.1Wx+1+1.02CR11+1.02CR22</v>
      </c>
      <c r="C287" s="13">
        <f t="shared" si="24"/>
        <v>1.05</v>
      </c>
      <c r="D287" s="13">
        <f t="shared" si="25"/>
        <v>1.2</v>
      </c>
      <c r="E287" s="13">
        <f t="shared" si="26"/>
        <v>1.2</v>
      </c>
      <c r="F287" s="13">
        <f t="shared" si="27"/>
        <v>1.1000000000000001</v>
      </c>
      <c r="G287" s="13">
        <f t="shared" si="28"/>
        <v>1.1000000000000001</v>
      </c>
      <c r="H287" s="13">
        <f t="shared" si="29"/>
        <v>1</v>
      </c>
      <c r="I287" s="13">
        <v>1.1700000000000002</v>
      </c>
      <c r="J287" s="13">
        <v>1.17</v>
      </c>
      <c r="K287" s="13">
        <v>1.08</v>
      </c>
      <c r="L287" s="13">
        <v>2.1</v>
      </c>
      <c r="M287" s="13"/>
      <c r="N287" s="13"/>
      <c r="O287" s="13"/>
      <c r="P287" s="13"/>
      <c r="Q287" s="13"/>
      <c r="R287" s="13"/>
      <c r="S287" s="13"/>
      <c r="T287" s="13">
        <f>T286</f>
        <v>1.02</v>
      </c>
      <c r="U287" s="13"/>
      <c r="V287" s="13"/>
      <c r="W287" s="13"/>
      <c r="X287" s="13"/>
      <c r="Y287" s="13">
        <f>X286</f>
        <v>1.02</v>
      </c>
      <c r="Z287" s="13"/>
      <c r="AA287" s="13"/>
    </row>
    <row r="288" spans="1:27" x14ac:dyDescent="0.25">
      <c r="A288" s="4" t="s">
        <v>317</v>
      </c>
      <c r="B288" s="2" t="str" cm="1">
        <f t="array" ref="B288">User3($C$11:$ZX$11,C288:ZX288)</f>
        <v>1.05D+1.2SDL+1.2BW+1.1COL+1.1SOIL+1WATER+1.17Lr+1.17LLB+1.08LLE+2.1Wx+1+1.02CR11+1.02CR23</v>
      </c>
      <c r="C288" s="13">
        <f t="shared" si="24"/>
        <v>1.05</v>
      </c>
      <c r="D288" s="13">
        <f t="shared" si="25"/>
        <v>1.2</v>
      </c>
      <c r="E288" s="13">
        <f t="shared" si="26"/>
        <v>1.2</v>
      </c>
      <c r="F288" s="13">
        <f t="shared" si="27"/>
        <v>1.1000000000000001</v>
      </c>
      <c r="G288" s="13">
        <f t="shared" si="28"/>
        <v>1.1000000000000001</v>
      </c>
      <c r="H288" s="13">
        <f t="shared" si="29"/>
        <v>1</v>
      </c>
      <c r="I288" s="13">
        <v>1.1700000000000002</v>
      </c>
      <c r="J288" s="13">
        <v>1.17</v>
      </c>
      <c r="K288" s="13">
        <v>1.08</v>
      </c>
      <c r="L288" s="13">
        <v>2.1</v>
      </c>
      <c r="M288" s="13"/>
      <c r="N288" s="13"/>
      <c r="O288" s="13"/>
      <c r="P288" s="13"/>
      <c r="Q288" s="13"/>
      <c r="R288" s="13"/>
      <c r="S288" s="13"/>
      <c r="T288" s="13">
        <f>T287</f>
        <v>1.02</v>
      </c>
      <c r="U288" s="13"/>
      <c r="V288" s="13"/>
      <c r="W288" s="13"/>
      <c r="X288" s="13"/>
      <c r="Y288" s="13"/>
      <c r="Z288" s="13">
        <f>Y287</f>
        <v>1.02</v>
      </c>
      <c r="AA288" s="13"/>
    </row>
    <row r="289" spans="1:27" x14ac:dyDescent="0.25">
      <c r="A289" s="4" t="s">
        <v>318</v>
      </c>
      <c r="B289" s="2" t="str" cm="1">
        <f t="array" ref="B289">User3($C$11:$ZX$11,C289:ZX289)</f>
        <v>1.05D+1.2SDL+1.2BW+1.1COL+1.1SOIL+1WATER+1.17Lr+1.17LLB+1.08LLE+2.1Wx+1+1.02CR11+1.02CR24</v>
      </c>
      <c r="C289" s="13">
        <f t="shared" si="24"/>
        <v>1.05</v>
      </c>
      <c r="D289" s="13">
        <f t="shared" si="25"/>
        <v>1.2</v>
      </c>
      <c r="E289" s="13">
        <f t="shared" si="26"/>
        <v>1.2</v>
      </c>
      <c r="F289" s="13">
        <f t="shared" si="27"/>
        <v>1.1000000000000001</v>
      </c>
      <c r="G289" s="13">
        <f t="shared" si="28"/>
        <v>1.1000000000000001</v>
      </c>
      <c r="H289" s="13">
        <f t="shared" si="29"/>
        <v>1</v>
      </c>
      <c r="I289" s="13">
        <v>1.1700000000000002</v>
      </c>
      <c r="J289" s="13">
        <v>1.17</v>
      </c>
      <c r="K289" s="13">
        <v>1.08</v>
      </c>
      <c r="L289" s="13">
        <v>2.1</v>
      </c>
      <c r="M289" s="13"/>
      <c r="N289" s="13"/>
      <c r="O289" s="13"/>
      <c r="P289" s="13"/>
      <c r="Q289" s="13"/>
      <c r="R289" s="13"/>
      <c r="S289" s="13"/>
      <c r="T289" s="13">
        <f>T288</f>
        <v>1.02</v>
      </c>
      <c r="U289" s="13"/>
      <c r="V289" s="13"/>
      <c r="W289" s="13"/>
      <c r="X289" s="13"/>
      <c r="Y289" s="13"/>
      <c r="Z289" s="13"/>
      <c r="AA289" s="13">
        <f>Z288</f>
        <v>1.02</v>
      </c>
    </row>
    <row r="290" spans="1:27" x14ac:dyDescent="0.25">
      <c r="A290" s="4" t="s">
        <v>319</v>
      </c>
      <c r="B290" s="2" t="str" cm="1">
        <f t="array" ref="B290">User3($C$11:$ZX$11,C290:ZX290)</f>
        <v>1.05D+1.2SDL+1.2BW+1.1COL+1.1SOIL+1WATER+1.17Lr+1.17LLB+1.08LLE+2.1Wx+1+1.02CR12+1.02CR21</v>
      </c>
      <c r="C290" s="13">
        <f t="shared" si="24"/>
        <v>1.05</v>
      </c>
      <c r="D290" s="13">
        <f t="shared" si="25"/>
        <v>1.2</v>
      </c>
      <c r="E290" s="13">
        <f t="shared" si="26"/>
        <v>1.2</v>
      </c>
      <c r="F290" s="13">
        <f t="shared" si="27"/>
        <v>1.1000000000000001</v>
      </c>
      <c r="G290" s="13">
        <f t="shared" si="28"/>
        <v>1.1000000000000001</v>
      </c>
      <c r="H290" s="13">
        <f t="shared" si="29"/>
        <v>1</v>
      </c>
      <c r="I290" s="13">
        <v>1.1700000000000002</v>
      </c>
      <c r="J290" s="13">
        <v>1.17</v>
      </c>
      <c r="K290" s="13">
        <v>1.08</v>
      </c>
      <c r="L290" s="13">
        <v>2.1</v>
      </c>
      <c r="M290" s="13"/>
      <c r="N290" s="13"/>
      <c r="O290" s="13"/>
      <c r="P290" s="13"/>
      <c r="Q290" s="13"/>
      <c r="R290" s="13"/>
      <c r="S290" s="13"/>
      <c r="T290" s="13"/>
      <c r="U290" s="13">
        <f>T286</f>
        <v>1.02</v>
      </c>
      <c r="V290" s="13"/>
      <c r="W290" s="13"/>
      <c r="X290" s="13">
        <f>X286</f>
        <v>1.02</v>
      </c>
      <c r="Y290" s="13"/>
      <c r="Z290" s="13"/>
      <c r="AA290" s="13"/>
    </row>
    <row r="291" spans="1:27" x14ac:dyDescent="0.25">
      <c r="A291" s="4" t="s">
        <v>320</v>
      </c>
      <c r="B291" s="2" t="str" cm="1">
        <f t="array" ref="B291">User3($C$11:$ZX$11,C291:ZX291)</f>
        <v>1.05D+1.2SDL+1.2BW+1.1COL+1.1SOIL+1WATER+1.17Lr+1.17LLB+1.08LLE+2.1Wx+1+1.02CR12+1.02CR22</v>
      </c>
      <c r="C291" s="13">
        <f t="shared" si="24"/>
        <v>1.05</v>
      </c>
      <c r="D291" s="13">
        <f t="shared" si="25"/>
        <v>1.2</v>
      </c>
      <c r="E291" s="13">
        <f t="shared" si="26"/>
        <v>1.2</v>
      </c>
      <c r="F291" s="13">
        <f t="shared" si="27"/>
        <v>1.1000000000000001</v>
      </c>
      <c r="G291" s="13">
        <f t="shared" si="28"/>
        <v>1.1000000000000001</v>
      </c>
      <c r="H291" s="13">
        <f t="shared" si="29"/>
        <v>1</v>
      </c>
      <c r="I291" s="13">
        <v>1.1700000000000002</v>
      </c>
      <c r="J291" s="13">
        <v>1.17</v>
      </c>
      <c r="K291" s="13">
        <v>1.08</v>
      </c>
      <c r="L291" s="13">
        <v>2.1</v>
      </c>
      <c r="M291" s="13"/>
      <c r="N291" s="13"/>
      <c r="O291" s="13"/>
      <c r="P291" s="13"/>
      <c r="Q291" s="13"/>
      <c r="R291" s="13"/>
      <c r="S291" s="13"/>
      <c r="T291" s="13"/>
      <c r="U291" s="13">
        <f>U290</f>
        <v>1.02</v>
      </c>
      <c r="V291" s="13"/>
      <c r="W291" s="13"/>
      <c r="X291" s="13"/>
      <c r="Y291" s="13">
        <f>Y287</f>
        <v>1.02</v>
      </c>
      <c r="Z291" s="13"/>
      <c r="AA291" s="13"/>
    </row>
    <row r="292" spans="1:27" x14ac:dyDescent="0.25">
      <c r="A292" s="4" t="s">
        <v>321</v>
      </c>
      <c r="B292" s="2" t="str" cm="1">
        <f t="array" ref="B292">User3($C$11:$ZX$11,C292:ZX292)</f>
        <v>1.05D+1.2SDL+1.2BW+1.1COL+1.1SOIL+1WATER+1.17Lr+1.17LLB+1.08LLE+2.1Wx+1+1.02CR12+1.02CR23</v>
      </c>
      <c r="C292" s="13">
        <f t="shared" si="24"/>
        <v>1.05</v>
      </c>
      <c r="D292" s="13">
        <f t="shared" si="25"/>
        <v>1.2</v>
      </c>
      <c r="E292" s="13">
        <f t="shared" si="26"/>
        <v>1.2</v>
      </c>
      <c r="F292" s="13">
        <f t="shared" si="27"/>
        <v>1.1000000000000001</v>
      </c>
      <c r="G292" s="13">
        <f t="shared" si="28"/>
        <v>1.1000000000000001</v>
      </c>
      <c r="H292" s="13">
        <f t="shared" si="29"/>
        <v>1</v>
      </c>
      <c r="I292" s="13">
        <v>1.1700000000000002</v>
      </c>
      <c r="J292" s="13">
        <v>1.17</v>
      </c>
      <c r="K292" s="13">
        <v>1.08</v>
      </c>
      <c r="L292" s="13">
        <v>2.1</v>
      </c>
      <c r="M292" s="13"/>
      <c r="N292" s="13"/>
      <c r="O292" s="13"/>
      <c r="P292" s="13"/>
      <c r="Q292" s="13"/>
      <c r="R292" s="13"/>
      <c r="S292" s="13"/>
      <c r="T292" s="13"/>
      <c r="U292" s="13">
        <f>U291</f>
        <v>1.02</v>
      </c>
      <c r="V292" s="13"/>
      <c r="W292" s="13"/>
      <c r="X292" s="13"/>
      <c r="Y292" s="13"/>
      <c r="Z292" s="13">
        <f>Z288</f>
        <v>1.02</v>
      </c>
      <c r="AA292" s="13"/>
    </row>
    <row r="293" spans="1:27" x14ac:dyDescent="0.25">
      <c r="A293" s="4" t="s">
        <v>322</v>
      </c>
      <c r="B293" s="2" t="str" cm="1">
        <f t="array" ref="B293">User3($C$11:$ZX$11,C293:ZX293)</f>
        <v>1.05D+1.2SDL+1.2BW+1.1COL+1.1SOIL+1WATER+1.17Lr+1.17LLB+1.08LLE+2.1Wx+1+1.02CR12+1.02CR24</v>
      </c>
      <c r="C293" s="16">
        <f t="shared" si="24"/>
        <v>1.05</v>
      </c>
      <c r="D293" s="16">
        <f t="shared" si="25"/>
        <v>1.2</v>
      </c>
      <c r="E293" s="16">
        <f t="shared" si="26"/>
        <v>1.2</v>
      </c>
      <c r="F293" s="16">
        <f t="shared" si="27"/>
        <v>1.1000000000000001</v>
      </c>
      <c r="G293" s="16">
        <f t="shared" si="28"/>
        <v>1.1000000000000001</v>
      </c>
      <c r="H293" s="16">
        <f t="shared" si="29"/>
        <v>1</v>
      </c>
      <c r="I293" s="16">
        <v>1.1700000000000002</v>
      </c>
      <c r="J293" s="16">
        <v>1.17</v>
      </c>
      <c r="K293" s="16">
        <v>1.08</v>
      </c>
      <c r="L293" s="16">
        <v>2.1</v>
      </c>
      <c r="M293" s="16"/>
      <c r="N293" s="16"/>
      <c r="O293" s="16"/>
      <c r="P293" s="16"/>
      <c r="Q293" s="16"/>
      <c r="R293" s="16"/>
      <c r="S293" s="16"/>
      <c r="T293" s="16"/>
      <c r="U293" s="16">
        <f>U292</f>
        <v>1.02</v>
      </c>
      <c r="V293" s="16"/>
      <c r="W293" s="16"/>
      <c r="X293" s="16"/>
      <c r="Y293" s="16"/>
      <c r="Z293" s="16"/>
      <c r="AA293" s="16">
        <f>AA289</f>
        <v>1.02</v>
      </c>
    </row>
    <row r="294" spans="1:27" x14ac:dyDescent="0.25">
      <c r="A294" s="4" t="s">
        <v>323</v>
      </c>
      <c r="B294" s="2" t="str" cm="1">
        <f t="array" ref="B294">User3($C$11:$ZX$11,C294:ZX294)</f>
        <v>1.05D+1.2SDL+1.2BW+1.1COL+1.1SOIL+1WATER+1.17Lr+1.17LLB+1.08LLE+2.1Wx+1+1.02CR13+1.02CR21</v>
      </c>
      <c r="C294" s="13">
        <f t="shared" si="24"/>
        <v>1.05</v>
      </c>
      <c r="D294" s="13">
        <f t="shared" si="25"/>
        <v>1.2</v>
      </c>
      <c r="E294" s="13">
        <f t="shared" si="26"/>
        <v>1.2</v>
      </c>
      <c r="F294" s="13">
        <f t="shared" si="27"/>
        <v>1.1000000000000001</v>
      </c>
      <c r="G294" s="13">
        <f t="shared" si="28"/>
        <v>1.1000000000000001</v>
      </c>
      <c r="H294" s="13">
        <f t="shared" si="29"/>
        <v>1</v>
      </c>
      <c r="I294" s="10">
        <v>1.1700000000000002</v>
      </c>
      <c r="J294" s="10">
        <v>1.17</v>
      </c>
      <c r="K294" s="10">
        <v>1.08</v>
      </c>
      <c r="L294" s="10">
        <v>2.1</v>
      </c>
      <c r="M294" s="10"/>
      <c r="N294" s="10"/>
      <c r="O294" s="10"/>
      <c r="P294" s="10"/>
      <c r="Q294" s="10"/>
      <c r="R294" s="10"/>
      <c r="S294" s="10"/>
      <c r="T294" s="10"/>
      <c r="U294" s="10"/>
      <c r="V294" s="10">
        <f>U293</f>
        <v>1.02</v>
      </c>
      <c r="W294" s="10"/>
      <c r="X294" s="10">
        <f>X290</f>
        <v>1.02</v>
      </c>
      <c r="Y294" s="10"/>
      <c r="Z294" s="10"/>
      <c r="AA294" s="10"/>
    </row>
    <row r="295" spans="1:27" x14ac:dyDescent="0.25">
      <c r="A295" s="4" t="s">
        <v>324</v>
      </c>
      <c r="B295" s="2" t="str" cm="1">
        <f t="array" ref="B295">User3($C$11:$ZX$11,C295:ZX295)</f>
        <v>1.05D+1.2SDL+1.2BW+1.1COL+1.1SOIL+1WATER+1.17Lr+1.17LLB+1.08LLE+2.1Wx+1+1.02CR13+1.02CR22</v>
      </c>
      <c r="C295" s="13">
        <f t="shared" si="24"/>
        <v>1.05</v>
      </c>
      <c r="D295" s="13">
        <f t="shared" si="25"/>
        <v>1.2</v>
      </c>
      <c r="E295" s="13">
        <f t="shared" si="26"/>
        <v>1.2</v>
      </c>
      <c r="F295" s="13">
        <f t="shared" si="27"/>
        <v>1.1000000000000001</v>
      </c>
      <c r="G295" s="13">
        <f t="shared" si="28"/>
        <v>1.1000000000000001</v>
      </c>
      <c r="H295" s="13">
        <f t="shared" si="29"/>
        <v>1</v>
      </c>
      <c r="I295" s="13">
        <v>1.1700000000000002</v>
      </c>
      <c r="J295" s="13">
        <v>1.17</v>
      </c>
      <c r="K295" s="13">
        <v>1.08</v>
      </c>
      <c r="L295" s="13">
        <v>2.1</v>
      </c>
      <c r="M295" s="13"/>
      <c r="N295" s="13"/>
      <c r="O295" s="13"/>
      <c r="P295" s="13"/>
      <c r="Q295" s="13"/>
      <c r="R295" s="13"/>
      <c r="S295" s="13"/>
      <c r="T295" s="13"/>
      <c r="U295" s="13"/>
      <c r="V295" s="13">
        <f>V294</f>
        <v>1.02</v>
      </c>
      <c r="W295" s="13"/>
      <c r="X295" s="13"/>
      <c r="Y295" s="13">
        <f>X294</f>
        <v>1.02</v>
      </c>
      <c r="Z295" s="13"/>
      <c r="AA295" s="13"/>
    </row>
    <row r="296" spans="1:27" x14ac:dyDescent="0.25">
      <c r="A296" s="4" t="s">
        <v>325</v>
      </c>
      <c r="B296" s="2" t="str" cm="1">
        <f t="array" ref="B296">User3($C$11:$ZX$11,C296:ZX296)</f>
        <v>1.05D+1.2SDL+1.2BW+1.1COL+1.1SOIL+1WATER+1.17Lr+1.17LLB+1.08LLE+2.1Wx+1+1.02CR13+1.02CR23</v>
      </c>
      <c r="C296" s="13">
        <f t="shared" si="24"/>
        <v>1.05</v>
      </c>
      <c r="D296" s="13">
        <f t="shared" si="25"/>
        <v>1.2</v>
      </c>
      <c r="E296" s="13">
        <f t="shared" si="26"/>
        <v>1.2</v>
      </c>
      <c r="F296" s="13">
        <f t="shared" si="27"/>
        <v>1.1000000000000001</v>
      </c>
      <c r="G296" s="13">
        <f t="shared" si="28"/>
        <v>1.1000000000000001</v>
      </c>
      <c r="H296" s="13">
        <f t="shared" si="29"/>
        <v>1</v>
      </c>
      <c r="I296" s="13">
        <v>1.1700000000000002</v>
      </c>
      <c r="J296" s="13">
        <v>1.17</v>
      </c>
      <c r="K296" s="13">
        <v>1.08</v>
      </c>
      <c r="L296" s="13">
        <v>2.1</v>
      </c>
      <c r="M296" s="13"/>
      <c r="N296" s="13"/>
      <c r="O296" s="13"/>
      <c r="P296" s="13"/>
      <c r="Q296" s="13"/>
      <c r="R296" s="13"/>
      <c r="S296" s="13"/>
      <c r="T296" s="13"/>
      <c r="U296" s="13"/>
      <c r="V296" s="13">
        <f>V295</f>
        <v>1.02</v>
      </c>
      <c r="W296" s="13"/>
      <c r="X296" s="13"/>
      <c r="Y296" s="13"/>
      <c r="Z296" s="13">
        <f>Y295</f>
        <v>1.02</v>
      </c>
      <c r="AA296" s="13"/>
    </row>
    <row r="297" spans="1:27" x14ac:dyDescent="0.25">
      <c r="A297" s="4" t="s">
        <v>326</v>
      </c>
      <c r="B297" s="2" t="str" cm="1">
        <f t="array" ref="B297">User3($C$11:$ZX$11,C297:ZX297)</f>
        <v>1.05D+1.2SDL+1.2BW+1.1COL+1.1SOIL+1WATER+1.17Lr+1.17LLB+1.08LLE+2.1Wx+1+1.02CR13+1.02CR24</v>
      </c>
      <c r="C297" s="13">
        <f t="shared" si="24"/>
        <v>1.05</v>
      </c>
      <c r="D297" s="13">
        <f t="shared" si="25"/>
        <v>1.2</v>
      </c>
      <c r="E297" s="13">
        <f t="shared" si="26"/>
        <v>1.2</v>
      </c>
      <c r="F297" s="13">
        <f t="shared" si="27"/>
        <v>1.1000000000000001</v>
      </c>
      <c r="G297" s="13">
        <f t="shared" si="28"/>
        <v>1.1000000000000001</v>
      </c>
      <c r="H297" s="13">
        <f t="shared" si="29"/>
        <v>1</v>
      </c>
      <c r="I297" s="13">
        <v>1.1700000000000002</v>
      </c>
      <c r="J297" s="13">
        <v>1.17</v>
      </c>
      <c r="K297" s="13">
        <v>1.08</v>
      </c>
      <c r="L297" s="13">
        <v>2.1</v>
      </c>
      <c r="M297" s="13"/>
      <c r="N297" s="13"/>
      <c r="O297" s="13"/>
      <c r="P297" s="13"/>
      <c r="Q297" s="13"/>
      <c r="R297" s="13"/>
      <c r="S297" s="13"/>
      <c r="T297" s="13"/>
      <c r="U297" s="13"/>
      <c r="V297" s="13">
        <f>V296</f>
        <v>1.02</v>
      </c>
      <c r="W297" s="13"/>
      <c r="X297" s="13"/>
      <c r="Y297" s="13"/>
      <c r="Z297" s="13"/>
      <c r="AA297" s="13">
        <f>Z296</f>
        <v>1.02</v>
      </c>
    </row>
    <row r="298" spans="1:27" x14ac:dyDescent="0.25">
      <c r="A298" s="4" t="s">
        <v>327</v>
      </c>
      <c r="B298" s="2" t="str" cm="1">
        <f t="array" ref="B298">User3($C$11:$ZX$11,C298:ZX298)</f>
        <v>1.05D+1.2SDL+1.2BW+1.1COL+1.1SOIL+1WATER+1.17Lr+1.17LLB+1.08LLE+2.1Wx+1+1.02CR14+1.02CR21</v>
      </c>
      <c r="C298" s="13">
        <f t="shared" si="24"/>
        <v>1.05</v>
      </c>
      <c r="D298" s="13">
        <f t="shared" si="25"/>
        <v>1.2</v>
      </c>
      <c r="E298" s="13">
        <f t="shared" si="26"/>
        <v>1.2</v>
      </c>
      <c r="F298" s="13">
        <f t="shared" si="27"/>
        <v>1.1000000000000001</v>
      </c>
      <c r="G298" s="13">
        <f t="shared" si="28"/>
        <v>1.1000000000000001</v>
      </c>
      <c r="H298" s="13">
        <f t="shared" si="29"/>
        <v>1</v>
      </c>
      <c r="I298" s="13">
        <v>1.1700000000000002</v>
      </c>
      <c r="J298" s="13">
        <v>1.17</v>
      </c>
      <c r="K298" s="13">
        <v>1.08</v>
      </c>
      <c r="L298" s="13">
        <v>2.1</v>
      </c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>
        <f>V297</f>
        <v>1.02</v>
      </c>
      <c r="X298" s="13">
        <f>X294</f>
        <v>1.02</v>
      </c>
      <c r="Y298" s="13"/>
      <c r="Z298" s="13"/>
      <c r="AA298" s="13"/>
    </row>
    <row r="299" spans="1:27" x14ac:dyDescent="0.25">
      <c r="A299" s="4" t="s">
        <v>328</v>
      </c>
      <c r="B299" s="2" t="str" cm="1">
        <f t="array" ref="B299">User3($C$11:$ZX$11,C299:ZX299)</f>
        <v>1.05D+1.2SDL+1.2BW+1.1COL+1.1SOIL+1WATER+1.17Lr+1.17LLB+1.08LLE+2.1Wx+1+1.02CR14+1.02CR22</v>
      </c>
      <c r="C299" s="13">
        <f t="shared" si="24"/>
        <v>1.05</v>
      </c>
      <c r="D299" s="13">
        <f t="shared" si="25"/>
        <v>1.2</v>
      </c>
      <c r="E299" s="13">
        <f t="shared" si="26"/>
        <v>1.2</v>
      </c>
      <c r="F299" s="13">
        <f t="shared" si="27"/>
        <v>1.1000000000000001</v>
      </c>
      <c r="G299" s="13">
        <f t="shared" si="28"/>
        <v>1.1000000000000001</v>
      </c>
      <c r="H299" s="13">
        <f t="shared" si="29"/>
        <v>1</v>
      </c>
      <c r="I299" s="13">
        <v>1.1700000000000002</v>
      </c>
      <c r="J299" s="13">
        <v>1.17</v>
      </c>
      <c r="K299" s="13">
        <v>1.08</v>
      </c>
      <c r="L299" s="13">
        <v>2.1</v>
      </c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>
        <f>W298</f>
        <v>1.02</v>
      </c>
      <c r="X299" s="13"/>
      <c r="Y299" s="13">
        <f>X298</f>
        <v>1.02</v>
      </c>
      <c r="Z299" s="13"/>
      <c r="AA299" s="13"/>
    </row>
    <row r="300" spans="1:27" x14ac:dyDescent="0.25">
      <c r="A300" s="4" t="s">
        <v>329</v>
      </c>
      <c r="B300" s="2" t="str" cm="1">
        <f t="array" ref="B300">User3($C$11:$ZX$11,C300:ZX300)</f>
        <v>1.05D+1.2SDL+1.2BW+1.1COL+1.1SOIL+1WATER+1.17Lr+1.17LLB+1.08LLE+2.1Wx+1+1.02CR14+1.02CR23</v>
      </c>
      <c r="C300" s="13">
        <f t="shared" si="24"/>
        <v>1.05</v>
      </c>
      <c r="D300" s="13">
        <f t="shared" si="25"/>
        <v>1.2</v>
      </c>
      <c r="E300" s="13">
        <f t="shared" si="26"/>
        <v>1.2</v>
      </c>
      <c r="F300" s="13">
        <f t="shared" si="27"/>
        <v>1.1000000000000001</v>
      </c>
      <c r="G300" s="13">
        <f t="shared" si="28"/>
        <v>1.1000000000000001</v>
      </c>
      <c r="H300" s="13">
        <f t="shared" si="29"/>
        <v>1</v>
      </c>
      <c r="I300" s="13">
        <v>1.1700000000000002</v>
      </c>
      <c r="J300" s="13">
        <v>1.17</v>
      </c>
      <c r="K300" s="13">
        <v>1.08</v>
      </c>
      <c r="L300" s="13">
        <v>2.1</v>
      </c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>
        <f>W299</f>
        <v>1.02</v>
      </c>
      <c r="X300" s="13"/>
      <c r="Y300" s="13"/>
      <c r="Z300" s="13">
        <f>Y299</f>
        <v>1.02</v>
      </c>
      <c r="AA300" s="13"/>
    </row>
    <row r="301" spans="1:27" x14ac:dyDescent="0.25">
      <c r="A301" s="4" t="s">
        <v>330</v>
      </c>
      <c r="B301" s="2" t="str" cm="1">
        <f t="array" ref="B301">User3($C$11:$ZX$11,C301:ZX301)</f>
        <v>1.05D+1.2SDL+1.2BW+1.1COL+1.1SOIL+1WATER+1.17Lr+1.17LLB+1.08LLE+2.1Wx+1+1.02CR14+1.02CR24</v>
      </c>
      <c r="C301" s="16">
        <f t="shared" si="24"/>
        <v>1.05</v>
      </c>
      <c r="D301" s="16">
        <f t="shared" si="25"/>
        <v>1.2</v>
      </c>
      <c r="E301" s="16">
        <f t="shared" si="26"/>
        <v>1.2</v>
      </c>
      <c r="F301" s="16">
        <f t="shared" si="27"/>
        <v>1.1000000000000001</v>
      </c>
      <c r="G301" s="16">
        <f t="shared" si="28"/>
        <v>1.1000000000000001</v>
      </c>
      <c r="H301" s="16">
        <f t="shared" si="29"/>
        <v>1</v>
      </c>
      <c r="I301" s="16">
        <v>1.1700000000000002</v>
      </c>
      <c r="J301" s="16">
        <v>1.17</v>
      </c>
      <c r="K301" s="16">
        <v>1.08</v>
      </c>
      <c r="L301" s="16">
        <v>2.1</v>
      </c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>
        <f>W300</f>
        <v>1.02</v>
      </c>
      <c r="X301" s="16"/>
      <c r="Y301" s="16"/>
      <c r="Z301" s="16"/>
      <c r="AA301" s="16">
        <f>Z300</f>
        <v>1.02</v>
      </c>
    </row>
    <row r="302" spans="1:27" x14ac:dyDescent="0.25">
      <c r="A302" s="4" t="s">
        <v>331</v>
      </c>
      <c r="B302" s="2" t="str" cm="1">
        <f t="array" ref="B302">User3($C$11:$ZX$11,C302:ZX302)</f>
        <v>1.05D+1.2SDL+1.2BW+1.1COL+1.1SOIL+1WATER+1.17Lr+1.17LLB+1.08LLE+2.1Wx+2+1.02CR11+1.02CR21</v>
      </c>
      <c r="C302" s="13">
        <f t="shared" si="24"/>
        <v>1.05</v>
      </c>
      <c r="D302" s="13">
        <f t="shared" si="25"/>
        <v>1.2</v>
      </c>
      <c r="E302" s="13">
        <f t="shared" si="26"/>
        <v>1.2</v>
      </c>
      <c r="F302" s="13">
        <f t="shared" si="27"/>
        <v>1.1000000000000001</v>
      </c>
      <c r="G302" s="13">
        <f t="shared" si="28"/>
        <v>1.1000000000000001</v>
      </c>
      <c r="H302" s="13">
        <f t="shared" si="29"/>
        <v>1</v>
      </c>
      <c r="I302" s="10">
        <v>1.1700000000000002</v>
      </c>
      <c r="J302" s="10">
        <v>1.17</v>
      </c>
      <c r="K302" s="10">
        <v>1.08</v>
      </c>
      <c r="L302" s="10"/>
      <c r="M302" s="10">
        <v>2.1</v>
      </c>
      <c r="N302" s="10"/>
      <c r="O302" s="10"/>
      <c r="P302" s="10"/>
      <c r="Q302" s="10"/>
      <c r="R302" s="10"/>
      <c r="S302" s="10"/>
      <c r="T302" s="10">
        <f>T286</f>
        <v>1.02</v>
      </c>
      <c r="U302" s="10"/>
      <c r="V302" s="10"/>
      <c r="W302" s="10"/>
      <c r="X302" s="10">
        <f>T302</f>
        <v>1.02</v>
      </c>
      <c r="Y302" s="10"/>
      <c r="Z302" s="10"/>
      <c r="AA302" s="10"/>
    </row>
    <row r="303" spans="1:27" x14ac:dyDescent="0.25">
      <c r="A303" s="4" t="s">
        <v>332</v>
      </c>
      <c r="B303" s="2" t="str" cm="1">
        <f t="array" ref="B303">User3($C$11:$ZX$11,C303:ZX303)</f>
        <v>1.05D+1.2SDL+1.2BW+1.1COL+1.1SOIL+1WATER+1.17Lr+1.17LLB+1.08LLE+2.1Wx+2+1.02CR11+1.02CR22</v>
      </c>
      <c r="C303" s="13">
        <f t="shared" si="24"/>
        <v>1.05</v>
      </c>
      <c r="D303" s="13">
        <f t="shared" si="25"/>
        <v>1.2</v>
      </c>
      <c r="E303" s="13">
        <f t="shared" si="26"/>
        <v>1.2</v>
      </c>
      <c r="F303" s="13">
        <f t="shared" si="27"/>
        <v>1.1000000000000001</v>
      </c>
      <c r="G303" s="13">
        <f t="shared" si="28"/>
        <v>1.1000000000000001</v>
      </c>
      <c r="H303" s="13">
        <f t="shared" si="29"/>
        <v>1</v>
      </c>
      <c r="I303" s="13">
        <v>1.1700000000000002</v>
      </c>
      <c r="J303" s="13">
        <v>1.17</v>
      </c>
      <c r="K303" s="13">
        <v>1.08</v>
      </c>
      <c r="L303" s="13"/>
      <c r="M303" s="13">
        <v>2.1</v>
      </c>
      <c r="N303" s="13"/>
      <c r="O303" s="13"/>
      <c r="P303" s="13"/>
      <c r="Q303" s="13"/>
      <c r="R303" s="13"/>
      <c r="S303" s="13"/>
      <c r="T303" s="13">
        <f>T302</f>
        <v>1.02</v>
      </c>
      <c r="U303" s="13"/>
      <c r="V303" s="13"/>
      <c r="W303" s="13"/>
      <c r="X303" s="13"/>
      <c r="Y303" s="13">
        <f>X302</f>
        <v>1.02</v>
      </c>
      <c r="Z303" s="13"/>
      <c r="AA303" s="13"/>
    </row>
    <row r="304" spans="1:27" x14ac:dyDescent="0.25">
      <c r="A304" s="4" t="s">
        <v>333</v>
      </c>
      <c r="B304" s="2" t="str" cm="1">
        <f t="array" ref="B304">User3($C$11:$ZX$11,C304:ZX304)</f>
        <v>1.05D+1.2SDL+1.2BW+1.1COL+1.1SOIL+1WATER+1.17Lr+1.17LLB+1.08LLE+2.1Wx+2+1.02CR11+1.02CR23</v>
      </c>
      <c r="C304" s="13">
        <f t="shared" si="24"/>
        <v>1.05</v>
      </c>
      <c r="D304" s="13">
        <f t="shared" si="25"/>
        <v>1.2</v>
      </c>
      <c r="E304" s="13">
        <f t="shared" si="26"/>
        <v>1.2</v>
      </c>
      <c r="F304" s="13">
        <f t="shared" si="27"/>
        <v>1.1000000000000001</v>
      </c>
      <c r="G304" s="13">
        <f t="shared" si="28"/>
        <v>1.1000000000000001</v>
      </c>
      <c r="H304" s="13">
        <f t="shared" si="29"/>
        <v>1</v>
      </c>
      <c r="I304" s="13">
        <v>1.1700000000000002</v>
      </c>
      <c r="J304" s="13">
        <v>1.17</v>
      </c>
      <c r="K304" s="13">
        <v>1.08</v>
      </c>
      <c r="L304" s="13"/>
      <c r="M304" s="13">
        <v>2.1</v>
      </c>
      <c r="N304" s="13"/>
      <c r="O304" s="13"/>
      <c r="P304" s="13"/>
      <c r="Q304" s="13"/>
      <c r="R304" s="13"/>
      <c r="S304" s="13"/>
      <c r="T304" s="13">
        <f>T303</f>
        <v>1.02</v>
      </c>
      <c r="U304" s="13"/>
      <c r="V304" s="13"/>
      <c r="W304" s="13"/>
      <c r="X304" s="13"/>
      <c r="Y304" s="13"/>
      <c r="Z304" s="13">
        <f>Y303</f>
        <v>1.02</v>
      </c>
      <c r="AA304" s="13"/>
    </row>
    <row r="305" spans="1:27" x14ac:dyDescent="0.25">
      <c r="A305" s="4" t="s">
        <v>334</v>
      </c>
      <c r="B305" s="2" t="str" cm="1">
        <f t="array" ref="B305">User3($C$11:$ZX$11,C305:ZX305)</f>
        <v>1.05D+1.2SDL+1.2BW+1.1COL+1.1SOIL+1WATER+1.17Lr+1.17LLB+1.08LLE+2.1Wx+2+1.02CR11+1.02CR24</v>
      </c>
      <c r="C305" s="13">
        <f t="shared" si="24"/>
        <v>1.05</v>
      </c>
      <c r="D305" s="13">
        <f t="shared" si="25"/>
        <v>1.2</v>
      </c>
      <c r="E305" s="13">
        <f t="shared" si="26"/>
        <v>1.2</v>
      </c>
      <c r="F305" s="13">
        <f t="shared" si="27"/>
        <v>1.1000000000000001</v>
      </c>
      <c r="G305" s="13">
        <f t="shared" si="28"/>
        <v>1.1000000000000001</v>
      </c>
      <c r="H305" s="13">
        <f t="shared" si="29"/>
        <v>1</v>
      </c>
      <c r="I305" s="13">
        <v>1.1700000000000002</v>
      </c>
      <c r="J305" s="13">
        <v>1.17</v>
      </c>
      <c r="K305" s="13">
        <v>1.08</v>
      </c>
      <c r="L305" s="13"/>
      <c r="M305" s="13">
        <v>2.1</v>
      </c>
      <c r="N305" s="13"/>
      <c r="O305" s="13"/>
      <c r="P305" s="13"/>
      <c r="Q305" s="13"/>
      <c r="R305" s="13"/>
      <c r="S305" s="13"/>
      <c r="T305" s="13">
        <f>T304</f>
        <v>1.02</v>
      </c>
      <c r="U305" s="13"/>
      <c r="V305" s="13"/>
      <c r="W305" s="13"/>
      <c r="X305" s="13"/>
      <c r="Y305" s="13"/>
      <c r="Z305" s="13"/>
      <c r="AA305" s="13">
        <f>Z304</f>
        <v>1.02</v>
      </c>
    </row>
    <row r="306" spans="1:27" x14ac:dyDescent="0.25">
      <c r="A306" s="4" t="s">
        <v>335</v>
      </c>
      <c r="B306" s="2" t="str" cm="1">
        <f t="array" ref="B306">User3($C$11:$ZX$11,C306:ZX306)</f>
        <v>1.05D+1.2SDL+1.2BW+1.1COL+1.1SOIL+1WATER+1.17Lr+1.17LLB+1.08LLE+2.1Wx+2+1.02CR12+1.02CR21</v>
      </c>
      <c r="C306" s="13">
        <f t="shared" si="24"/>
        <v>1.05</v>
      </c>
      <c r="D306" s="13">
        <f t="shared" si="25"/>
        <v>1.2</v>
      </c>
      <c r="E306" s="13">
        <f t="shared" si="26"/>
        <v>1.2</v>
      </c>
      <c r="F306" s="13">
        <f t="shared" si="27"/>
        <v>1.1000000000000001</v>
      </c>
      <c r="G306" s="13">
        <f t="shared" si="28"/>
        <v>1.1000000000000001</v>
      </c>
      <c r="H306" s="13">
        <f t="shared" si="29"/>
        <v>1</v>
      </c>
      <c r="I306" s="13">
        <v>1.1700000000000002</v>
      </c>
      <c r="J306" s="13">
        <v>1.17</v>
      </c>
      <c r="K306" s="13">
        <v>1.08</v>
      </c>
      <c r="L306" s="13"/>
      <c r="M306" s="13">
        <v>2.1</v>
      </c>
      <c r="N306" s="13"/>
      <c r="O306" s="13"/>
      <c r="P306" s="13"/>
      <c r="Q306" s="13"/>
      <c r="R306" s="13"/>
      <c r="S306" s="13"/>
      <c r="T306" s="13"/>
      <c r="U306" s="13">
        <f>T302</f>
        <v>1.02</v>
      </c>
      <c r="V306" s="13"/>
      <c r="W306" s="13"/>
      <c r="X306" s="13">
        <f>X302</f>
        <v>1.02</v>
      </c>
      <c r="Y306" s="13"/>
      <c r="Z306" s="13"/>
      <c r="AA306" s="13"/>
    </row>
    <row r="307" spans="1:27" x14ac:dyDescent="0.25">
      <c r="A307" s="4" t="s">
        <v>336</v>
      </c>
      <c r="B307" s="2" t="str" cm="1">
        <f t="array" ref="B307">User3($C$11:$ZX$11,C307:ZX307)</f>
        <v>1.05D+1.2SDL+1.2BW+1.1COL+1.1SOIL+1WATER+1.17Lr+1.17LLB+1.08LLE+2.1Wx+2+1.02CR12+1.02CR22</v>
      </c>
      <c r="C307" s="13">
        <f t="shared" si="24"/>
        <v>1.05</v>
      </c>
      <c r="D307" s="13">
        <f t="shared" si="25"/>
        <v>1.2</v>
      </c>
      <c r="E307" s="13">
        <f t="shared" si="26"/>
        <v>1.2</v>
      </c>
      <c r="F307" s="13">
        <f t="shared" si="27"/>
        <v>1.1000000000000001</v>
      </c>
      <c r="G307" s="13">
        <f t="shared" si="28"/>
        <v>1.1000000000000001</v>
      </c>
      <c r="H307" s="13">
        <f t="shared" si="29"/>
        <v>1</v>
      </c>
      <c r="I307" s="13">
        <v>1.1700000000000002</v>
      </c>
      <c r="J307" s="13">
        <v>1.17</v>
      </c>
      <c r="K307" s="13">
        <v>1.08</v>
      </c>
      <c r="L307" s="13"/>
      <c r="M307" s="13">
        <v>2.1</v>
      </c>
      <c r="N307" s="13"/>
      <c r="O307" s="13"/>
      <c r="P307" s="13"/>
      <c r="Q307" s="13"/>
      <c r="R307" s="13"/>
      <c r="S307" s="13"/>
      <c r="T307" s="13"/>
      <c r="U307" s="13">
        <f>U306</f>
        <v>1.02</v>
      </c>
      <c r="V307" s="13"/>
      <c r="W307" s="13"/>
      <c r="X307" s="13"/>
      <c r="Y307" s="13">
        <f>Y303</f>
        <v>1.02</v>
      </c>
      <c r="Z307" s="13"/>
      <c r="AA307" s="13"/>
    </row>
    <row r="308" spans="1:27" x14ac:dyDescent="0.25">
      <c r="A308" s="4" t="s">
        <v>337</v>
      </c>
      <c r="B308" s="2" t="str" cm="1">
        <f t="array" ref="B308">User3($C$11:$ZX$11,C308:ZX308)</f>
        <v>1.05D+1.2SDL+1.2BW+1.1COL+1.1SOIL+1WATER+1.17Lr+1.17LLB+1.08LLE+2.1Wx+2+1.02CR12+1.02CR23</v>
      </c>
      <c r="C308" s="13">
        <f t="shared" si="24"/>
        <v>1.05</v>
      </c>
      <c r="D308" s="13">
        <f t="shared" si="25"/>
        <v>1.2</v>
      </c>
      <c r="E308" s="13">
        <f t="shared" si="26"/>
        <v>1.2</v>
      </c>
      <c r="F308" s="13">
        <f t="shared" si="27"/>
        <v>1.1000000000000001</v>
      </c>
      <c r="G308" s="13">
        <f t="shared" si="28"/>
        <v>1.1000000000000001</v>
      </c>
      <c r="H308" s="13">
        <f t="shared" si="29"/>
        <v>1</v>
      </c>
      <c r="I308" s="13">
        <v>1.1700000000000002</v>
      </c>
      <c r="J308" s="13">
        <v>1.17</v>
      </c>
      <c r="K308" s="13">
        <v>1.08</v>
      </c>
      <c r="L308" s="13"/>
      <c r="M308" s="13">
        <v>2.1</v>
      </c>
      <c r="N308" s="13"/>
      <c r="O308" s="13"/>
      <c r="P308" s="13"/>
      <c r="Q308" s="13"/>
      <c r="R308" s="13"/>
      <c r="S308" s="13"/>
      <c r="T308" s="13"/>
      <c r="U308" s="13">
        <f>U307</f>
        <v>1.02</v>
      </c>
      <c r="V308" s="13"/>
      <c r="W308" s="13"/>
      <c r="X308" s="13"/>
      <c r="Y308" s="13"/>
      <c r="Z308" s="13">
        <f>Z304</f>
        <v>1.02</v>
      </c>
      <c r="AA308" s="13"/>
    </row>
    <row r="309" spans="1:27" x14ac:dyDescent="0.25">
      <c r="A309" s="4" t="s">
        <v>338</v>
      </c>
      <c r="B309" s="2" t="str" cm="1">
        <f t="array" ref="B309">User3($C$11:$ZX$11,C309:ZX309)</f>
        <v>1.05D+1.2SDL+1.2BW+1.1COL+1.1SOIL+1WATER+1.17Lr+1.17LLB+1.08LLE+2.1Wx+2+1.02CR12+1.02CR24</v>
      </c>
      <c r="C309" s="16">
        <f t="shared" si="24"/>
        <v>1.05</v>
      </c>
      <c r="D309" s="16">
        <f t="shared" si="25"/>
        <v>1.2</v>
      </c>
      <c r="E309" s="16">
        <f t="shared" si="26"/>
        <v>1.2</v>
      </c>
      <c r="F309" s="16">
        <f t="shared" si="27"/>
        <v>1.1000000000000001</v>
      </c>
      <c r="G309" s="16">
        <f t="shared" si="28"/>
        <v>1.1000000000000001</v>
      </c>
      <c r="H309" s="16">
        <f t="shared" si="29"/>
        <v>1</v>
      </c>
      <c r="I309" s="16">
        <v>1.1700000000000002</v>
      </c>
      <c r="J309" s="16">
        <v>1.17</v>
      </c>
      <c r="K309" s="16">
        <v>1.08</v>
      </c>
      <c r="L309" s="16"/>
      <c r="M309" s="16">
        <v>2.1</v>
      </c>
      <c r="N309" s="16"/>
      <c r="O309" s="16"/>
      <c r="P309" s="16"/>
      <c r="Q309" s="16"/>
      <c r="R309" s="16"/>
      <c r="S309" s="16"/>
      <c r="T309" s="16"/>
      <c r="U309" s="16">
        <f>U308</f>
        <v>1.02</v>
      </c>
      <c r="V309" s="16"/>
      <c r="W309" s="16"/>
      <c r="X309" s="16"/>
      <c r="Y309" s="16"/>
      <c r="Z309" s="16"/>
      <c r="AA309" s="16">
        <f>AA305</f>
        <v>1.02</v>
      </c>
    </row>
    <row r="310" spans="1:27" x14ac:dyDescent="0.25">
      <c r="A310" s="4" t="s">
        <v>339</v>
      </c>
      <c r="B310" s="2" t="str" cm="1">
        <f t="array" ref="B310">User3($C$11:$ZX$11,C310:ZX310)</f>
        <v>1.05D+1.2SDL+1.2BW+1.1COL+1.1SOIL+1WATER+1.17Lr+1.17LLB+1.08LLE+2.1Wx+2+1.02CR13+1.02CR21</v>
      </c>
      <c r="C310" s="13">
        <f t="shared" si="24"/>
        <v>1.05</v>
      </c>
      <c r="D310" s="13">
        <f t="shared" si="25"/>
        <v>1.2</v>
      </c>
      <c r="E310" s="13">
        <f t="shared" si="26"/>
        <v>1.2</v>
      </c>
      <c r="F310" s="13">
        <f t="shared" si="27"/>
        <v>1.1000000000000001</v>
      </c>
      <c r="G310" s="13">
        <f t="shared" si="28"/>
        <v>1.1000000000000001</v>
      </c>
      <c r="H310" s="13">
        <f t="shared" si="29"/>
        <v>1</v>
      </c>
      <c r="I310" s="10">
        <v>1.1700000000000002</v>
      </c>
      <c r="J310" s="10">
        <v>1.17</v>
      </c>
      <c r="K310" s="10">
        <v>1.08</v>
      </c>
      <c r="L310" s="10"/>
      <c r="M310" s="10">
        <v>2.1</v>
      </c>
      <c r="N310" s="10"/>
      <c r="O310" s="10"/>
      <c r="P310" s="10"/>
      <c r="Q310" s="10"/>
      <c r="R310" s="10"/>
      <c r="S310" s="10"/>
      <c r="T310" s="10"/>
      <c r="U310" s="10"/>
      <c r="V310" s="10">
        <f>U309</f>
        <v>1.02</v>
      </c>
      <c r="W310" s="10"/>
      <c r="X310" s="10">
        <f>X306</f>
        <v>1.02</v>
      </c>
      <c r="Y310" s="10"/>
      <c r="Z310" s="10"/>
      <c r="AA310" s="10"/>
    </row>
    <row r="311" spans="1:27" x14ac:dyDescent="0.25">
      <c r="A311" s="4" t="s">
        <v>340</v>
      </c>
      <c r="B311" s="2" t="str" cm="1">
        <f t="array" ref="B311">User3($C$11:$ZX$11,C311:ZX311)</f>
        <v>1.05D+1.2SDL+1.2BW+1.1COL+1.1SOIL+1WATER+1.17Lr+1.17LLB+1.08LLE+2.1Wx+2+1.02CR13+1.02CR22</v>
      </c>
      <c r="C311" s="13">
        <f t="shared" si="24"/>
        <v>1.05</v>
      </c>
      <c r="D311" s="13">
        <f t="shared" si="25"/>
        <v>1.2</v>
      </c>
      <c r="E311" s="13">
        <f t="shared" si="26"/>
        <v>1.2</v>
      </c>
      <c r="F311" s="13">
        <f t="shared" si="27"/>
        <v>1.1000000000000001</v>
      </c>
      <c r="G311" s="13">
        <f t="shared" si="28"/>
        <v>1.1000000000000001</v>
      </c>
      <c r="H311" s="13">
        <f t="shared" si="29"/>
        <v>1</v>
      </c>
      <c r="I311" s="13">
        <v>1.1700000000000002</v>
      </c>
      <c r="J311" s="13">
        <v>1.17</v>
      </c>
      <c r="K311" s="13">
        <v>1.08</v>
      </c>
      <c r="L311" s="13"/>
      <c r="M311" s="13">
        <v>2.1</v>
      </c>
      <c r="N311" s="13"/>
      <c r="O311" s="13"/>
      <c r="P311" s="13"/>
      <c r="Q311" s="13"/>
      <c r="R311" s="13"/>
      <c r="S311" s="13"/>
      <c r="T311" s="13"/>
      <c r="U311" s="13"/>
      <c r="V311" s="13">
        <f>V310</f>
        <v>1.02</v>
      </c>
      <c r="W311" s="13"/>
      <c r="X311" s="13"/>
      <c r="Y311" s="13">
        <f>X310</f>
        <v>1.02</v>
      </c>
      <c r="Z311" s="13"/>
      <c r="AA311" s="13"/>
    </row>
    <row r="312" spans="1:27" x14ac:dyDescent="0.25">
      <c r="A312" s="4" t="s">
        <v>341</v>
      </c>
      <c r="B312" s="2" t="str" cm="1">
        <f t="array" ref="B312">User3($C$11:$ZX$11,C312:ZX312)</f>
        <v>1.05D+1.2SDL+1.2BW+1.1COL+1.1SOIL+1WATER+1.17Lr+1.17LLB+1.08LLE+2.1Wx+2+1.02CR13+1.02CR23</v>
      </c>
      <c r="C312" s="13">
        <f t="shared" si="24"/>
        <v>1.05</v>
      </c>
      <c r="D312" s="13">
        <f t="shared" si="25"/>
        <v>1.2</v>
      </c>
      <c r="E312" s="13">
        <f t="shared" si="26"/>
        <v>1.2</v>
      </c>
      <c r="F312" s="13">
        <f t="shared" si="27"/>
        <v>1.1000000000000001</v>
      </c>
      <c r="G312" s="13">
        <f t="shared" si="28"/>
        <v>1.1000000000000001</v>
      </c>
      <c r="H312" s="13">
        <f t="shared" si="29"/>
        <v>1</v>
      </c>
      <c r="I312" s="13">
        <v>1.1700000000000002</v>
      </c>
      <c r="J312" s="13">
        <v>1.17</v>
      </c>
      <c r="K312" s="13">
        <v>1.08</v>
      </c>
      <c r="L312" s="13"/>
      <c r="M312" s="13">
        <v>2.1</v>
      </c>
      <c r="N312" s="13"/>
      <c r="O312" s="13"/>
      <c r="P312" s="13"/>
      <c r="Q312" s="13"/>
      <c r="R312" s="13"/>
      <c r="S312" s="13"/>
      <c r="T312" s="13"/>
      <c r="U312" s="13"/>
      <c r="V312" s="13">
        <f>V311</f>
        <v>1.02</v>
      </c>
      <c r="W312" s="13"/>
      <c r="X312" s="13"/>
      <c r="Y312" s="13"/>
      <c r="Z312" s="13">
        <f>Y311</f>
        <v>1.02</v>
      </c>
      <c r="AA312" s="13"/>
    </row>
    <row r="313" spans="1:27" x14ac:dyDescent="0.25">
      <c r="A313" s="4" t="s">
        <v>342</v>
      </c>
      <c r="B313" s="2" t="str" cm="1">
        <f t="array" ref="B313">User3($C$11:$ZX$11,C313:ZX313)</f>
        <v>1.05D+1.2SDL+1.2BW+1.1COL+1.1SOIL+1WATER+1.17Lr+1.17LLB+1.08LLE+2.1Wx+2+1.02CR13+1.02CR24</v>
      </c>
      <c r="C313" s="13">
        <f t="shared" si="24"/>
        <v>1.05</v>
      </c>
      <c r="D313" s="13">
        <f t="shared" si="25"/>
        <v>1.2</v>
      </c>
      <c r="E313" s="13">
        <f t="shared" si="26"/>
        <v>1.2</v>
      </c>
      <c r="F313" s="13">
        <f t="shared" si="27"/>
        <v>1.1000000000000001</v>
      </c>
      <c r="G313" s="13">
        <f t="shared" si="28"/>
        <v>1.1000000000000001</v>
      </c>
      <c r="H313" s="13">
        <f t="shared" si="29"/>
        <v>1</v>
      </c>
      <c r="I313" s="13">
        <v>1.1700000000000002</v>
      </c>
      <c r="J313" s="13">
        <v>1.17</v>
      </c>
      <c r="K313" s="13">
        <v>1.08</v>
      </c>
      <c r="L313" s="13"/>
      <c r="M313" s="13">
        <v>2.1</v>
      </c>
      <c r="N313" s="13"/>
      <c r="O313" s="13"/>
      <c r="P313" s="13"/>
      <c r="Q313" s="13"/>
      <c r="R313" s="13"/>
      <c r="S313" s="13"/>
      <c r="T313" s="13"/>
      <c r="U313" s="13"/>
      <c r="V313" s="13">
        <f>V312</f>
        <v>1.02</v>
      </c>
      <c r="W313" s="13"/>
      <c r="X313" s="13"/>
      <c r="Y313" s="13"/>
      <c r="Z313" s="13"/>
      <c r="AA313" s="13">
        <f>Z312</f>
        <v>1.02</v>
      </c>
    </row>
    <row r="314" spans="1:27" x14ac:dyDescent="0.25">
      <c r="A314" s="4" t="s">
        <v>343</v>
      </c>
      <c r="B314" s="2" t="str" cm="1">
        <f t="array" ref="B314">User3($C$11:$ZX$11,C314:ZX314)</f>
        <v>1.05D+1.2SDL+1.2BW+1.1COL+1.1SOIL+1WATER+1.17Lr+1.17LLB+1.08LLE+2.1Wx+2+1.02CR14+1.02CR21</v>
      </c>
      <c r="C314" s="13">
        <f t="shared" si="24"/>
        <v>1.05</v>
      </c>
      <c r="D314" s="13">
        <f t="shared" si="25"/>
        <v>1.2</v>
      </c>
      <c r="E314" s="13">
        <f t="shared" si="26"/>
        <v>1.2</v>
      </c>
      <c r="F314" s="13">
        <f t="shared" si="27"/>
        <v>1.1000000000000001</v>
      </c>
      <c r="G314" s="13">
        <f t="shared" si="28"/>
        <v>1.1000000000000001</v>
      </c>
      <c r="H314" s="13">
        <f t="shared" si="29"/>
        <v>1</v>
      </c>
      <c r="I314" s="13">
        <v>1.1700000000000002</v>
      </c>
      <c r="J314" s="13">
        <v>1.17</v>
      </c>
      <c r="K314" s="13">
        <v>1.08</v>
      </c>
      <c r="L314" s="13"/>
      <c r="M314" s="13">
        <v>2.1</v>
      </c>
      <c r="N314" s="13"/>
      <c r="O314" s="13"/>
      <c r="P314" s="13"/>
      <c r="Q314" s="13"/>
      <c r="R314" s="13"/>
      <c r="S314" s="13"/>
      <c r="T314" s="13"/>
      <c r="U314" s="13"/>
      <c r="V314" s="13"/>
      <c r="W314" s="13">
        <f>V313</f>
        <v>1.02</v>
      </c>
      <c r="X314" s="13">
        <f>X310</f>
        <v>1.02</v>
      </c>
      <c r="Y314" s="13"/>
      <c r="Z314" s="13"/>
      <c r="AA314" s="13"/>
    </row>
    <row r="315" spans="1:27" x14ac:dyDescent="0.25">
      <c r="A315" s="4" t="s">
        <v>344</v>
      </c>
      <c r="B315" s="2" t="str" cm="1">
        <f t="array" ref="B315">User3($C$11:$ZX$11,C315:ZX315)</f>
        <v>1.05D+1.2SDL+1.2BW+1.1COL+1.1SOIL+1WATER+1.17Lr+1.17LLB+1.08LLE+2.1Wx+2+1.02CR14+1.02CR22</v>
      </c>
      <c r="C315" s="13">
        <f t="shared" si="24"/>
        <v>1.05</v>
      </c>
      <c r="D315" s="13">
        <f t="shared" si="25"/>
        <v>1.2</v>
      </c>
      <c r="E315" s="13">
        <f t="shared" si="26"/>
        <v>1.2</v>
      </c>
      <c r="F315" s="13">
        <f t="shared" si="27"/>
        <v>1.1000000000000001</v>
      </c>
      <c r="G315" s="13">
        <f t="shared" si="28"/>
        <v>1.1000000000000001</v>
      </c>
      <c r="H315" s="13">
        <f t="shared" si="29"/>
        <v>1</v>
      </c>
      <c r="I315" s="13">
        <v>1.1700000000000002</v>
      </c>
      <c r="J315" s="13">
        <v>1.17</v>
      </c>
      <c r="K315" s="13">
        <v>1.08</v>
      </c>
      <c r="L315" s="13"/>
      <c r="M315" s="13">
        <v>2.1</v>
      </c>
      <c r="N315" s="13"/>
      <c r="O315" s="13"/>
      <c r="P315" s="13"/>
      <c r="Q315" s="13"/>
      <c r="R315" s="13"/>
      <c r="S315" s="13"/>
      <c r="T315" s="13"/>
      <c r="U315" s="13"/>
      <c r="V315" s="13"/>
      <c r="W315" s="13">
        <f>W314</f>
        <v>1.02</v>
      </c>
      <c r="X315" s="13"/>
      <c r="Y315" s="13">
        <f>X314</f>
        <v>1.02</v>
      </c>
      <c r="Z315" s="13"/>
      <c r="AA315" s="13"/>
    </row>
    <row r="316" spans="1:27" x14ac:dyDescent="0.25">
      <c r="A316" s="4" t="s">
        <v>345</v>
      </c>
      <c r="B316" s="2" t="str" cm="1">
        <f t="array" ref="B316">User3($C$11:$ZX$11,C316:ZX316)</f>
        <v>1.05D+1.2SDL+1.2BW+1.1COL+1.1SOIL+1WATER+1.17Lr+1.17LLB+1.08LLE+2.1Wx+2+1.02CR14+1.02CR23</v>
      </c>
      <c r="C316" s="13">
        <f t="shared" si="24"/>
        <v>1.05</v>
      </c>
      <c r="D316" s="13">
        <f t="shared" si="25"/>
        <v>1.2</v>
      </c>
      <c r="E316" s="13">
        <f t="shared" si="26"/>
        <v>1.2</v>
      </c>
      <c r="F316" s="13">
        <f t="shared" si="27"/>
        <v>1.1000000000000001</v>
      </c>
      <c r="G316" s="13">
        <f t="shared" si="28"/>
        <v>1.1000000000000001</v>
      </c>
      <c r="H316" s="13">
        <f t="shared" si="29"/>
        <v>1</v>
      </c>
      <c r="I316" s="13">
        <v>1.1700000000000002</v>
      </c>
      <c r="J316" s="13">
        <v>1.17</v>
      </c>
      <c r="K316" s="13">
        <v>1.08</v>
      </c>
      <c r="L316" s="13"/>
      <c r="M316" s="13">
        <v>2.1</v>
      </c>
      <c r="N316" s="13"/>
      <c r="O316" s="13"/>
      <c r="P316" s="13"/>
      <c r="Q316" s="13"/>
      <c r="R316" s="13"/>
      <c r="S316" s="13"/>
      <c r="T316" s="13"/>
      <c r="U316" s="13"/>
      <c r="V316" s="13"/>
      <c r="W316" s="13">
        <f>W315</f>
        <v>1.02</v>
      </c>
      <c r="X316" s="13"/>
      <c r="Y316" s="13"/>
      <c r="Z316" s="13">
        <f>Y315</f>
        <v>1.02</v>
      </c>
      <c r="AA316" s="13"/>
    </row>
    <row r="317" spans="1:27" x14ac:dyDescent="0.25">
      <c r="A317" s="4" t="s">
        <v>346</v>
      </c>
      <c r="B317" s="2" t="str" cm="1">
        <f t="array" ref="B317">User3($C$11:$ZX$11,C317:ZX317)</f>
        <v>1.05D+1.2SDL+1.2BW+1.1COL+1.1SOIL+1WATER+1.17Lr+1.17LLB+1.08LLE+2.1Wx+2+1.02CR14+1.02CR24</v>
      </c>
      <c r="C317" s="16">
        <f t="shared" si="24"/>
        <v>1.05</v>
      </c>
      <c r="D317" s="16">
        <f t="shared" si="25"/>
        <v>1.2</v>
      </c>
      <c r="E317" s="16">
        <f t="shared" si="26"/>
        <v>1.2</v>
      </c>
      <c r="F317" s="16">
        <f t="shared" si="27"/>
        <v>1.1000000000000001</v>
      </c>
      <c r="G317" s="16">
        <f t="shared" si="28"/>
        <v>1.1000000000000001</v>
      </c>
      <c r="H317" s="16">
        <f t="shared" si="29"/>
        <v>1</v>
      </c>
      <c r="I317" s="16">
        <v>1.1700000000000002</v>
      </c>
      <c r="J317" s="16">
        <v>1.17</v>
      </c>
      <c r="K317" s="16">
        <v>1.08</v>
      </c>
      <c r="L317" s="16"/>
      <c r="M317" s="16">
        <v>2.1</v>
      </c>
      <c r="N317" s="16"/>
      <c r="O317" s="16"/>
      <c r="P317" s="16"/>
      <c r="Q317" s="16"/>
      <c r="R317" s="16"/>
      <c r="S317" s="16"/>
      <c r="T317" s="16"/>
      <c r="U317" s="16"/>
      <c r="V317" s="16"/>
      <c r="W317" s="16">
        <f>W316</f>
        <v>1.02</v>
      </c>
      <c r="X317" s="16"/>
      <c r="Y317" s="16"/>
      <c r="Z317" s="16"/>
      <c r="AA317" s="16">
        <f>Z316</f>
        <v>1.02</v>
      </c>
    </row>
    <row r="318" spans="1:27" x14ac:dyDescent="0.25">
      <c r="A318" s="4" t="s">
        <v>347</v>
      </c>
      <c r="B318" s="2" t="str" cm="1">
        <f t="array" ref="B318">User3($C$11:$ZX$11,C318:ZX318)</f>
        <v>1.05D+1.2SDL+1.2BW+1.1COL+1.1SOIL+1WATER+1.17Lr+1.17LLB+1.08LLE+2.1Wx-1+1.02CR11+1.02CR21</v>
      </c>
      <c r="C318" s="13">
        <f t="shared" si="24"/>
        <v>1.05</v>
      </c>
      <c r="D318" s="13">
        <f t="shared" si="25"/>
        <v>1.2</v>
      </c>
      <c r="E318" s="13">
        <f t="shared" si="26"/>
        <v>1.2</v>
      </c>
      <c r="F318" s="13">
        <f t="shared" si="27"/>
        <v>1.1000000000000001</v>
      </c>
      <c r="G318" s="13">
        <f t="shared" si="28"/>
        <v>1.1000000000000001</v>
      </c>
      <c r="H318" s="13">
        <f t="shared" si="29"/>
        <v>1</v>
      </c>
      <c r="I318" s="10">
        <v>1.1700000000000002</v>
      </c>
      <c r="J318" s="10">
        <v>1.17</v>
      </c>
      <c r="K318" s="10">
        <v>1.08</v>
      </c>
      <c r="L318" s="10"/>
      <c r="M318" s="10"/>
      <c r="N318" s="10">
        <v>2.1</v>
      </c>
      <c r="O318" s="10"/>
      <c r="P318" s="10"/>
      <c r="Q318" s="10"/>
      <c r="R318" s="10"/>
      <c r="S318" s="10"/>
      <c r="T318" s="10">
        <f>T302</f>
        <v>1.02</v>
      </c>
      <c r="U318" s="10"/>
      <c r="V318" s="10"/>
      <c r="W318" s="10"/>
      <c r="X318" s="10">
        <f>T318</f>
        <v>1.02</v>
      </c>
      <c r="Y318" s="10"/>
      <c r="Z318" s="10"/>
      <c r="AA318" s="10"/>
    </row>
    <row r="319" spans="1:27" x14ac:dyDescent="0.25">
      <c r="A319" s="4" t="s">
        <v>348</v>
      </c>
      <c r="B319" s="2" t="str" cm="1">
        <f t="array" ref="B319">User3($C$11:$ZX$11,C319:ZX319)</f>
        <v>1.05D+1.2SDL+1.2BW+1.1COL+1.1SOIL+1WATER+1.17Lr+1.17LLB+1.08LLE+2.1Wx-1+1.02CR11+1.02CR22</v>
      </c>
      <c r="C319" s="13">
        <f t="shared" si="24"/>
        <v>1.05</v>
      </c>
      <c r="D319" s="13">
        <f t="shared" si="25"/>
        <v>1.2</v>
      </c>
      <c r="E319" s="13">
        <f t="shared" si="26"/>
        <v>1.2</v>
      </c>
      <c r="F319" s="13">
        <f t="shared" si="27"/>
        <v>1.1000000000000001</v>
      </c>
      <c r="G319" s="13">
        <f t="shared" si="28"/>
        <v>1.1000000000000001</v>
      </c>
      <c r="H319" s="13">
        <f t="shared" si="29"/>
        <v>1</v>
      </c>
      <c r="I319" s="13">
        <v>1.1700000000000002</v>
      </c>
      <c r="J319" s="13">
        <v>1.17</v>
      </c>
      <c r="K319" s="13">
        <v>1.08</v>
      </c>
      <c r="L319" s="13"/>
      <c r="M319" s="13"/>
      <c r="N319" s="13">
        <v>2.1</v>
      </c>
      <c r="O319" s="13"/>
      <c r="P319" s="13"/>
      <c r="Q319" s="13"/>
      <c r="R319" s="13"/>
      <c r="S319" s="13"/>
      <c r="T319" s="13">
        <f>T318</f>
        <v>1.02</v>
      </c>
      <c r="U319" s="13"/>
      <c r="V319" s="13"/>
      <c r="W319" s="13"/>
      <c r="X319" s="13"/>
      <c r="Y319" s="13">
        <f>X318</f>
        <v>1.02</v>
      </c>
      <c r="Z319" s="13"/>
      <c r="AA319" s="13"/>
    </row>
    <row r="320" spans="1:27" x14ac:dyDescent="0.25">
      <c r="A320" s="4" t="s">
        <v>349</v>
      </c>
      <c r="B320" s="2" t="str" cm="1">
        <f t="array" ref="B320">User3($C$11:$ZX$11,C320:ZX320)</f>
        <v>1.05D+1.2SDL+1.2BW+1.1COL+1.1SOIL+1WATER+1.17Lr+1.17LLB+1.08LLE+2.1Wx-1+1.02CR11+1.02CR23</v>
      </c>
      <c r="C320" s="13">
        <f t="shared" si="24"/>
        <v>1.05</v>
      </c>
      <c r="D320" s="13">
        <f t="shared" si="25"/>
        <v>1.2</v>
      </c>
      <c r="E320" s="13">
        <f t="shared" si="26"/>
        <v>1.2</v>
      </c>
      <c r="F320" s="13">
        <f t="shared" si="27"/>
        <v>1.1000000000000001</v>
      </c>
      <c r="G320" s="13">
        <f t="shared" si="28"/>
        <v>1.1000000000000001</v>
      </c>
      <c r="H320" s="13">
        <f t="shared" si="29"/>
        <v>1</v>
      </c>
      <c r="I320" s="13">
        <v>1.1700000000000002</v>
      </c>
      <c r="J320" s="13">
        <v>1.17</v>
      </c>
      <c r="K320" s="13">
        <v>1.08</v>
      </c>
      <c r="L320" s="13"/>
      <c r="M320" s="13"/>
      <c r="N320" s="13">
        <v>2.1</v>
      </c>
      <c r="O320" s="13"/>
      <c r="P320" s="13"/>
      <c r="Q320" s="13"/>
      <c r="R320" s="13"/>
      <c r="S320" s="13"/>
      <c r="T320" s="13">
        <f>T319</f>
        <v>1.02</v>
      </c>
      <c r="U320" s="13"/>
      <c r="V320" s="13"/>
      <c r="W320" s="13"/>
      <c r="X320" s="13"/>
      <c r="Y320" s="13"/>
      <c r="Z320" s="13">
        <f>Y319</f>
        <v>1.02</v>
      </c>
      <c r="AA320" s="13"/>
    </row>
    <row r="321" spans="1:27" x14ac:dyDescent="0.25">
      <c r="A321" s="4" t="s">
        <v>350</v>
      </c>
      <c r="B321" s="2" t="str" cm="1">
        <f t="array" ref="B321">User3($C$11:$ZX$11,C321:ZX321)</f>
        <v>1.05D+1.2SDL+1.2BW+1.1COL+1.1SOIL+1WATER+1.17Lr+1.17LLB+1.08LLE+2.1Wx-1+1.02CR11+1.02CR24</v>
      </c>
      <c r="C321" s="13">
        <f t="shared" si="24"/>
        <v>1.05</v>
      </c>
      <c r="D321" s="13">
        <f t="shared" si="25"/>
        <v>1.2</v>
      </c>
      <c r="E321" s="13">
        <f t="shared" si="26"/>
        <v>1.2</v>
      </c>
      <c r="F321" s="13">
        <f t="shared" si="27"/>
        <v>1.1000000000000001</v>
      </c>
      <c r="G321" s="13">
        <f t="shared" si="28"/>
        <v>1.1000000000000001</v>
      </c>
      <c r="H321" s="13">
        <f t="shared" si="29"/>
        <v>1</v>
      </c>
      <c r="I321" s="13">
        <v>1.1700000000000002</v>
      </c>
      <c r="J321" s="13">
        <v>1.17</v>
      </c>
      <c r="K321" s="13">
        <v>1.08</v>
      </c>
      <c r="L321" s="13"/>
      <c r="M321" s="13"/>
      <c r="N321" s="13">
        <v>2.1</v>
      </c>
      <c r="O321" s="13"/>
      <c r="P321" s="13"/>
      <c r="Q321" s="13"/>
      <c r="R321" s="13"/>
      <c r="S321" s="13"/>
      <c r="T321" s="13">
        <f>T320</f>
        <v>1.02</v>
      </c>
      <c r="U321" s="13"/>
      <c r="V321" s="13"/>
      <c r="W321" s="13"/>
      <c r="X321" s="13"/>
      <c r="Y321" s="13"/>
      <c r="Z321" s="13"/>
      <c r="AA321" s="13">
        <f>Z320</f>
        <v>1.02</v>
      </c>
    </row>
    <row r="322" spans="1:27" x14ac:dyDescent="0.25">
      <c r="A322" s="4" t="s">
        <v>351</v>
      </c>
      <c r="B322" s="2" t="str" cm="1">
        <f t="array" ref="B322">User3($C$11:$ZX$11,C322:ZX322)</f>
        <v>1.05D+1.2SDL+1.2BW+1.1COL+1.1SOIL+1WATER+1.17Lr+1.17LLB+1.08LLE+2.1Wx-1+1.02CR12+1.02CR21</v>
      </c>
      <c r="C322" s="13">
        <f t="shared" si="24"/>
        <v>1.05</v>
      </c>
      <c r="D322" s="13">
        <f t="shared" si="25"/>
        <v>1.2</v>
      </c>
      <c r="E322" s="13">
        <f t="shared" si="26"/>
        <v>1.2</v>
      </c>
      <c r="F322" s="13">
        <f t="shared" si="27"/>
        <v>1.1000000000000001</v>
      </c>
      <c r="G322" s="13">
        <f t="shared" si="28"/>
        <v>1.1000000000000001</v>
      </c>
      <c r="H322" s="13">
        <f t="shared" si="29"/>
        <v>1</v>
      </c>
      <c r="I322" s="13">
        <v>1.1700000000000002</v>
      </c>
      <c r="J322" s="13">
        <v>1.17</v>
      </c>
      <c r="K322" s="13">
        <v>1.08</v>
      </c>
      <c r="L322" s="13"/>
      <c r="M322" s="13"/>
      <c r="N322" s="13">
        <v>2.1</v>
      </c>
      <c r="O322" s="13"/>
      <c r="P322" s="13"/>
      <c r="Q322" s="13"/>
      <c r="R322" s="13"/>
      <c r="S322" s="13"/>
      <c r="T322" s="13"/>
      <c r="U322" s="13">
        <f>T318</f>
        <v>1.02</v>
      </c>
      <c r="V322" s="13"/>
      <c r="W322" s="13"/>
      <c r="X322" s="13">
        <f>X318</f>
        <v>1.02</v>
      </c>
      <c r="Y322" s="13"/>
      <c r="Z322" s="13"/>
      <c r="AA322" s="13"/>
    </row>
    <row r="323" spans="1:27" x14ac:dyDescent="0.25">
      <c r="A323" s="4" t="s">
        <v>352</v>
      </c>
      <c r="B323" s="2" t="str" cm="1">
        <f t="array" ref="B323">User3($C$11:$ZX$11,C323:ZX323)</f>
        <v>1.05D+1.2SDL+1.2BW+1.1COL+1.1SOIL+1WATER+1.17Lr+1.17LLB+1.08LLE+2.1Wx-1+1.02CR12+1.02CR22</v>
      </c>
      <c r="C323" s="13">
        <f t="shared" si="24"/>
        <v>1.05</v>
      </c>
      <c r="D323" s="13">
        <f t="shared" si="25"/>
        <v>1.2</v>
      </c>
      <c r="E323" s="13">
        <f t="shared" si="26"/>
        <v>1.2</v>
      </c>
      <c r="F323" s="13">
        <f t="shared" si="27"/>
        <v>1.1000000000000001</v>
      </c>
      <c r="G323" s="13">
        <f t="shared" si="28"/>
        <v>1.1000000000000001</v>
      </c>
      <c r="H323" s="13">
        <f t="shared" si="29"/>
        <v>1</v>
      </c>
      <c r="I323" s="13">
        <v>1.1700000000000002</v>
      </c>
      <c r="J323" s="13">
        <v>1.17</v>
      </c>
      <c r="K323" s="13">
        <v>1.08</v>
      </c>
      <c r="L323" s="13"/>
      <c r="M323" s="13"/>
      <c r="N323" s="13">
        <v>2.1</v>
      </c>
      <c r="O323" s="13"/>
      <c r="P323" s="13"/>
      <c r="Q323" s="13"/>
      <c r="R323" s="13"/>
      <c r="S323" s="13"/>
      <c r="T323" s="13"/>
      <c r="U323" s="13">
        <f>U322</f>
        <v>1.02</v>
      </c>
      <c r="V323" s="13"/>
      <c r="W323" s="13"/>
      <c r="X323" s="13"/>
      <c r="Y323" s="13">
        <f>Y319</f>
        <v>1.02</v>
      </c>
      <c r="Z323" s="13"/>
      <c r="AA323" s="13"/>
    </row>
    <row r="324" spans="1:27" x14ac:dyDescent="0.25">
      <c r="A324" s="4" t="s">
        <v>353</v>
      </c>
      <c r="B324" s="2" t="str" cm="1">
        <f t="array" ref="B324">User3($C$11:$ZX$11,C324:ZX324)</f>
        <v>1.05D+1.2SDL+1.2BW+1.1COL+1.1SOIL+1WATER+1.17Lr+1.17LLB+1.08LLE+2.1Wx-1+1.02CR12+1.02CR23</v>
      </c>
      <c r="C324" s="13">
        <f t="shared" si="24"/>
        <v>1.05</v>
      </c>
      <c r="D324" s="13">
        <f t="shared" si="25"/>
        <v>1.2</v>
      </c>
      <c r="E324" s="13">
        <f t="shared" si="26"/>
        <v>1.2</v>
      </c>
      <c r="F324" s="13">
        <f t="shared" si="27"/>
        <v>1.1000000000000001</v>
      </c>
      <c r="G324" s="13">
        <f t="shared" si="28"/>
        <v>1.1000000000000001</v>
      </c>
      <c r="H324" s="13">
        <f t="shared" si="29"/>
        <v>1</v>
      </c>
      <c r="I324" s="13">
        <v>1.1700000000000002</v>
      </c>
      <c r="J324" s="13">
        <v>1.17</v>
      </c>
      <c r="K324" s="13">
        <v>1.08</v>
      </c>
      <c r="L324" s="13"/>
      <c r="M324" s="13"/>
      <c r="N324" s="13">
        <v>2.1</v>
      </c>
      <c r="O324" s="13"/>
      <c r="P324" s="13"/>
      <c r="Q324" s="13"/>
      <c r="R324" s="13"/>
      <c r="S324" s="13"/>
      <c r="T324" s="13"/>
      <c r="U324" s="13">
        <f>U323</f>
        <v>1.02</v>
      </c>
      <c r="V324" s="13"/>
      <c r="W324" s="13"/>
      <c r="X324" s="13"/>
      <c r="Y324" s="13"/>
      <c r="Z324" s="13">
        <f>Z320</f>
        <v>1.02</v>
      </c>
      <c r="AA324" s="13"/>
    </row>
    <row r="325" spans="1:27" x14ac:dyDescent="0.25">
      <c r="A325" s="4" t="s">
        <v>354</v>
      </c>
      <c r="B325" s="2" t="str" cm="1">
        <f t="array" ref="B325">User3($C$11:$ZX$11,C325:ZX325)</f>
        <v>1.05D+1.2SDL+1.2BW+1.1COL+1.1SOIL+1WATER+1.17Lr+1.17LLB+1.08LLE+2.1Wx-1+1.02CR12+1.02CR24</v>
      </c>
      <c r="C325" s="16">
        <f t="shared" si="24"/>
        <v>1.05</v>
      </c>
      <c r="D325" s="16">
        <f t="shared" si="25"/>
        <v>1.2</v>
      </c>
      <c r="E325" s="16">
        <f t="shared" si="26"/>
        <v>1.2</v>
      </c>
      <c r="F325" s="16">
        <f t="shared" si="27"/>
        <v>1.1000000000000001</v>
      </c>
      <c r="G325" s="16">
        <f t="shared" si="28"/>
        <v>1.1000000000000001</v>
      </c>
      <c r="H325" s="16">
        <f t="shared" si="29"/>
        <v>1</v>
      </c>
      <c r="I325" s="16">
        <v>1.1700000000000002</v>
      </c>
      <c r="J325" s="16">
        <v>1.17</v>
      </c>
      <c r="K325" s="16">
        <v>1.08</v>
      </c>
      <c r="L325" s="16"/>
      <c r="M325" s="16"/>
      <c r="N325" s="16">
        <v>2.1</v>
      </c>
      <c r="O325" s="16"/>
      <c r="P325" s="16"/>
      <c r="Q325" s="16"/>
      <c r="R325" s="16"/>
      <c r="S325" s="16"/>
      <c r="T325" s="16"/>
      <c r="U325" s="16">
        <f>U324</f>
        <v>1.02</v>
      </c>
      <c r="V325" s="16"/>
      <c r="W325" s="16"/>
      <c r="X325" s="16"/>
      <c r="Y325" s="16"/>
      <c r="Z325" s="16"/>
      <c r="AA325" s="16">
        <f>AA321</f>
        <v>1.02</v>
      </c>
    </row>
    <row r="326" spans="1:27" x14ac:dyDescent="0.25">
      <c r="A326" s="4" t="s">
        <v>355</v>
      </c>
      <c r="B326" s="2" t="str" cm="1">
        <f t="array" ref="B326">User3($C$11:$ZX$11,C326:ZX326)</f>
        <v>1.05D+1.2SDL+1.2BW+1.1COL+1.1SOIL+1WATER+1.17Lr+1.17LLB+1.08LLE+2.1Wx-1+1.02CR13+1.02CR21</v>
      </c>
      <c r="C326" s="13">
        <f t="shared" si="24"/>
        <v>1.05</v>
      </c>
      <c r="D326" s="13">
        <f t="shared" si="25"/>
        <v>1.2</v>
      </c>
      <c r="E326" s="13">
        <f t="shared" si="26"/>
        <v>1.2</v>
      </c>
      <c r="F326" s="13">
        <f t="shared" si="27"/>
        <v>1.1000000000000001</v>
      </c>
      <c r="G326" s="13">
        <f t="shared" si="28"/>
        <v>1.1000000000000001</v>
      </c>
      <c r="H326" s="13">
        <f t="shared" si="29"/>
        <v>1</v>
      </c>
      <c r="I326" s="10">
        <v>1.1700000000000002</v>
      </c>
      <c r="J326" s="10">
        <v>1.17</v>
      </c>
      <c r="K326" s="10">
        <v>1.08</v>
      </c>
      <c r="L326" s="10"/>
      <c r="M326" s="10"/>
      <c r="N326" s="10">
        <v>2.1</v>
      </c>
      <c r="O326" s="10"/>
      <c r="P326" s="10"/>
      <c r="Q326" s="10"/>
      <c r="R326" s="10"/>
      <c r="S326" s="10"/>
      <c r="T326" s="10"/>
      <c r="U326" s="10"/>
      <c r="V326" s="10">
        <f>U325</f>
        <v>1.02</v>
      </c>
      <c r="W326" s="10"/>
      <c r="X326" s="10">
        <f>X322</f>
        <v>1.02</v>
      </c>
      <c r="Y326" s="10"/>
      <c r="Z326" s="10"/>
      <c r="AA326" s="10"/>
    </row>
    <row r="327" spans="1:27" x14ac:dyDescent="0.25">
      <c r="A327" s="4" t="s">
        <v>356</v>
      </c>
      <c r="B327" s="2" t="str" cm="1">
        <f t="array" ref="B327">User3($C$11:$ZX$11,C327:ZX327)</f>
        <v>1.05D+1.2SDL+1.2BW+1.1COL+1.1SOIL+1WATER+1.17Lr+1.17LLB+1.08LLE+2.1Wx-1+1.02CR13+1.02CR22</v>
      </c>
      <c r="C327" s="13">
        <f t="shared" si="24"/>
        <v>1.05</v>
      </c>
      <c r="D327" s="13">
        <f t="shared" si="25"/>
        <v>1.2</v>
      </c>
      <c r="E327" s="13">
        <f t="shared" si="26"/>
        <v>1.2</v>
      </c>
      <c r="F327" s="13">
        <f t="shared" si="27"/>
        <v>1.1000000000000001</v>
      </c>
      <c r="G327" s="13">
        <f t="shared" si="28"/>
        <v>1.1000000000000001</v>
      </c>
      <c r="H327" s="13">
        <f t="shared" si="29"/>
        <v>1</v>
      </c>
      <c r="I327" s="13">
        <v>1.1700000000000002</v>
      </c>
      <c r="J327" s="13">
        <v>1.17</v>
      </c>
      <c r="K327" s="13">
        <v>1.08</v>
      </c>
      <c r="L327" s="13"/>
      <c r="M327" s="13"/>
      <c r="N327" s="13">
        <v>2.1</v>
      </c>
      <c r="O327" s="13"/>
      <c r="P327" s="13"/>
      <c r="Q327" s="13"/>
      <c r="R327" s="13"/>
      <c r="S327" s="13"/>
      <c r="T327" s="13"/>
      <c r="U327" s="13"/>
      <c r="V327" s="13">
        <f>V326</f>
        <v>1.02</v>
      </c>
      <c r="W327" s="13"/>
      <c r="X327" s="13"/>
      <c r="Y327" s="13">
        <f>X326</f>
        <v>1.02</v>
      </c>
      <c r="Z327" s="13"/>
      <c r="AA327" s="13"/>
    </row>
    <row r="328" spans="1:27" x14ac:dyDescent="0.25">
      <c r="A328" s="4" t="s">
        <v>357</v>
      </c>
      <c r="B328" s="2" t="str" cm="1">
        <f t="array" ref="B328">User3($C$11:$ZX$11,C328:ZX328)</f>
        <v>1.05D+1.2SDL+1.2BW+1.1COL+1.1SOIL+1WATER+1.17Lr+1.17LLB+1.08LLE+2.1Wx-1+1.02CR13+1.02CR23</v>
      </c>
      <c r="C328" s="13">
        <f t="shared" si="24"/>
        <v>1.05</v>
      </c>
      <c r="D328" s="13">
        <f t="shared" si="25"/>
        <v>1.2</v>
      </c>
      <c r="E328" s="13">
        <f t="shared" si="26"/>
        <v>1.2</v>
      </c>
      <c r="F328" s="13">
        <f t="shared" si="27"/>
        <v>1.1000000000000001</v>
      </c>
      <c r="G328" s="13">
        <f t="shared" si="28"/>
        <v>1.1000000000000001</v>
      </c>
      <c r="H328" s="13">
        <f t="shared" si="29"/>
        <v>1</v>
      </c>
      <c r="I328" s="13">
        <v>1.1700000000000002</v>
      </c>
      <c r="J328" s="13">
        <v>1.17</v>
      </c>
      <c r="K328" s="13">
        <v>1.08</v>
      </c>
      <c r="L328" s="13"/>
      <c r="M328" s="13"/>
      <c r="N328" s="13">
        <v>2.1</v>
      </c>
      <c r="O328" s="13"/>
      <c r="P328" s="13"/>
      <c r="Q328" s="13"/>
      <c r="R328" s="13"/>
      <c r="S328" s="13"/>
      <c r="T328" s="13"/>
      <c r="U328" s="13"/>
      <c r="V328" s="13">
        <f>V327</f>
        <v>1.02</v>
      </c>
      <c r="W328" s="13"/>
      <c r="X328" s="13"/>
      <c r="Y328" s="13"/>
      <c r="Z328" s="13">
        <f>Y327</f>
        <v>1.02</v>
      </c>
      <c r="AA328" s="13"/>
    </row>
    <row r="329" spans="1:27" x14ac:dyDescent="0.25">
      <c r="A329" s="4" t="s">
        <v>358</v>
      </c>
      <c r="B329" s="2" t="str" cm="1">
        <f t="array" ref="B329">User3($C$11:$ZX$11,C329:ZX329)</f>
        <v>1.05D+1.2SDL+1.2BW+1.1COL+1.1SOIL+1WATER+1.17Lr+1.17LLB+1.08LLE+2.1Wx-1+1.02CR13+1.02CR24</v>
      </c>
      <c r="C329" s="13">
        <f t="shared" si="24"/>
        <v>1.05</v>
      </c>
      <c r="D329" s="13">
        <f t="shared" si="25"/>
        <v>1.2</v>
      </c>
      <c r="E329" s="13">
        <f t="shared" si="26"/>
        <v>1.2</v>
      </c>
      <c r="F329" s="13">
        <f t="shared" si="27"/>
        <v>1.1000000000000001</v>
      </c>
      <c r="G329" s="13">
        <f t="shared" si="28"/>
        <v>1.1000000000000001</v>
      </c>
      <c r="H329" s="13">
        <f t="shared" si="29"/>
        <v>1</v>
      </c>
      <c r="I329" s="13">
        <v>1.1700000000000002</v>
      </c>
      <c r="J329" s="13">
        <v>1.17</v>
      </c>
      <c r="K329" s="13">
        <v>1.08</v>
      </c>
      <c r="L329" s="13"/>
      <c r="M329" s="13"/>
      <c r="N329" s="13">
        <v>2.1</v>
      </c>
      <c r="O329" s="13"/>
      <c r="P329" s="13"/>
      <c r="Q329" s="13"/>
      <c r="R329" s="13"/>
      <c r="S329" s="13"/>
      <c r="T329" s="13"/>
      <c r="U329" s="13"/>
      <c r="V329" s="13">
        <f>V328</f>
        <v>1.02</v>
      </c>
      <c r="W329" s="13"/>
      <c r="X329" s="13"/>
      <c r="Y329" s="13"/>
      <c r="Z329" s="13"/>
      <c r="AA329" s="13">
        <f>Z328</f>
        <v>1.02</v>
      </c>
    </row>
    <row r="330" spans="1:27" x14ac:dyDescent="0.25">
      <c r="A330" s="4" t="s">
        <v>359</v>
      </c>
      <c r="B330" s="2" t="str" cm="1">
        <f t="array" ref="B330">User3($C$11:$ZX$11,C330:ZX330)</f>
        <v>1.05D+1.2SDL+1.2BW+1.1COL+1.1SOIL+1WATER+1.17Lr+1.17LLB+1.08LLE+2.1Wx-1+1.02CR14+1.02CR21</v>
      </c>
      <c r="C330" s="13">
        <f t="shared" si="24"/>
        <v>1.05</v>
      </c>
      <c r="D330" s="13">
        <f t="shared" si="25"/>
        <v>1.2</v>
      </c>
      <c r="E330" s="13">
        <f t="shared" si="26"/>
        <v>1.2</v>
      </c>
      <c r="F330" s="13">
        <f t="shared" si="27"/>
        <v>1.1000000000000001</v>
      </c>
      <c r="G330" s="13">
        <f t="shared" si="28"/>
        <v>1.1000000000000001</v>
      </c>
      <c r="H330" s="13">
        <f t="shared" si="29"/>
        <v>1</v>
      </c>
      <c r="I330" s="13">
        <v>1.1700000000000002</v>
      </c>
      <c r="J330" s="13">
        <v>1.17</v>
      </c>
      <c r="K330" s="13">
        <v>1.08</v>
      </c>
      <c r="L330" s="13"/>
      <c r="M330" s="13"/>
      <c r="N330" s="13">
        <v>2.1</v>
      </c>
      <c r="O330" s="13"/>
      <c r="P330" s="13"/>
      <c r="Q330" s="13"/>
      <c r="R330" s="13"/>
      <c r="S330" s="13"/>
      <c r="T330" s="13"/>
      <c r="U330" s="13"/>
      <c r="V330" s="13"/>
      <c r="W330" s="13">
        <f>V329</f>
        <v>1.02</v>
      </c>
      <c r="X330" s="13">
        <f>X326</f>
        <v>1.02</v>
      </c>
      <c r="Y330" s="13"/>
      <c r="Z330" s="13"/>
      <c r="AA330" s="13"/>
    </row>
    <row r="331" spans="1:27" x14ac:dyDescent="0.25">
      <c r="A331" s="4" t="s">
        <v>360</v>
      </c>
      <c r="B331" s="2" t="str" cm="1">
        <f t="array" ref="B331">User3($C$11:$ZX$11,C331:ZX331)</f>
        <v>1.05D+1.2SDL+1.2BW+1.1COL+1.1SOIL+1WATER+1.17Lr+1.17LLB+1.08LLE+2.1Wx-1+1.02CR14+1.02CR22</v>
      </c>
      <c r="C331" s="13">
        <f t="shared" si="24"/>
        <v>1.05</v>
      </c>
      <c r="D331" s="13">
        <f t="shared" si="25"/>
        <v>1.2</v>
      </c>
      <c r="E331" s="13">
        <f t="shared" si="26"/>
        <v>1.2</v>
      </c>
      <c r="F331" s="13">
        <f t="shared" si="27"/>
        <v>1.1000000000000001</v>
      </c>
      <c r="G331" s="13">
        <f t="shared" si="28"/>
        <v>1.1000000000000001</v>
      </c>
      <c r="H331" s="13">
        <f t="shared" si="29"/>
        <v>1</v>
      </c>
      <c r="I331" s="13">
        <v>1.1700000000000002</v>
      </c>
      <c r="J331" s="13">
        <v>1.17</v>
      </c>
      <c r="K331" s="13">
        <v>1.08</v>
      </c>
      <c r="L331" s="13"/>
      <c r="M331" s="13"/>
      <c r="N331" s="13">
        <v>2.1</v>
      </c>
      <c r="O331" s="13"/>
      <c r="P331" s="13"/>
      <c r="Q331" s="13"/>
      <c r="R331" s="13"/>
      <c r="S331" s="13"/>
      <c r="T331" s="13"/>
      <c r="U331" s="13"/>
      <c r="V331" s="13"/>
      <c r="W331" s="13">
        <f>W330</f>
        <v>1.02</v>
      </c>
      <c r="X331" s="13"/>
      <c r="Y331" s="13">
        <f>X330</f>
        <v>1.02</v>
      </c>
      <c r="Z331" s="13"/>
      <c r="AA331" s="13"/>
    </row>
    <row r="332" spans="1:27" x14ac:dyDescent="0.25">
      <c r="A332" s="4" t="s">
        <v>361</v>
      </c>
      <c r="B332" s="2" t="str" cm="1">
        <f t="array" ref="B332">User3($C$11:$ZX$11,C332:ZX332)</f>
        <v>1.05D+1.2SDL+1.2BW+1.1COL+1.1SOIL+1WATER+1.17Lr+1.17LLB+1.08LLE+2.1Wx-1+1.02CR14+1.02CR23</v>
      </c>
      <c r="C332" s="13">
        <f t="shared" si="24"/>
        <v>1.05</v>
      </c>
      <c r="D332" s="13">
        <f t="shared" si="25"/>
        <v>1.2</v>
      </c>
      <c r="E332" s="13">
        <f t="shared" si="26"/>
        <v>1.2</v>
      </c>
      <c r="F332" s="13">
        <f t="shared" si="27"/>
        <v>1.1000000000000001</v>
      </c>
      <c r="G332" s="13">
        <f t="shared" si="28"/>
        <v>1.1000000000000001</v>
      </c>
      <c r="H332" s="13">
        <f t="shared" si="29"/>
        <v>1</v>
      </c>
      <c r="I332" s="13">
        <v>1.1700000000000002</v>
      </c>
      <c r="J332" s="13">
        <v>1.17</v>
      </c>
      <c r="K332" s="13">
        <v>1.08</v>
      </c>
      <c r="L332" s="13"/>
      <c r="M332" s="13"/>
      <c r="N332" s="13">
        <v>2.1</v>
      </c>
      <c r="O332" s="13"/>
      <c r="P332" s="13"/>
      <c r="Q332" s="13"/>
      <c r="R332" s="13"/>
      <c r="S332" s="13"/>
      <c r="T332" s="13"/>
      <c r="U332" s="13"/>
      <c r="V332" s="13"/>
      <c r="W332" s="13">
        <f>W331</f>
        <v>1.02</v>
      </c>
      <c r="X332" s="13"/>
      <c r="Y332" s="13"/>
      <c r="Z332" s="13">
        <f>Y331</f>
        <v>1.02</v>
      </c>
      <c r="AA332" s="13"/>
    </row>
    <row r="333" spans="1:27" x14ac:dyDescent="0.25">
      <c r="A333" s="4" t="s">
        <v>362</v>
      </c>
      <c r="B333" s="2" t="str" cm="1">
        <f t="array" ref="B333">User3($C$11:$ZX$11,C333:ZX333)</f>
        <v>1.05D+1.2SDL+1.2BW+1.1COL+1.1SOIL+1WATER+1.17Lr+1.17LLB+1.08LLE+2.1Wx-1+1.02CR14+1.02CR24</v>
      </c>
      <c r="C333" s="16">
        <f t="shared" si="24"/>
        <v>1.05</v>
      </c>
      <c r="D333" s="16">
        <f t="shared" si="25"/>
        <v>1.2</v>
      </c>
      <c r="E333" s="16">
        <f t="shared" si="26"/>
        <v>1.2</v>
      </c>
      <c r="F333" s="16">
        <f t="shared" si="27"/>
        <v>1.1000000000000001</v>
      </c>
      <c r="G333" s="16">
        <f t="shared" si="28"/>
        <v>1.1000000000000001</v>
      </c>
      <c r="H333" s="16">
        <f t="shared" si="29"/>
        <v>1</v>
      </c>
      <c r="I333" s="16">
        <v>1.1700000000000002</v>
      </c>
      <c r="J333" s="16">
        <v>1.17</v>
      </c>
      <c r="K333" s="16">
        <v>1.08</v>
      </c>
      <c r="L333" s="16"/>
      <c r="M333" s="16"/>
      <c r="N333" s="16">
        <v>2.1</v>
      </c>
      <c r="O333" s="16"/>
      <c r="P333" s="16"/>
      <c r="Q333" s="16"/>
      <c r="R333" s="16"/>
      <c r="S333" s="16"/>
      <c r="T333" s="16"/>
      <c r="U333" s="16"/>
      <c r="V333" s="16"/>
      <c r="W333" s="16">
        <f>W332</f>
        <v>1.02</v>
      </c>
      <c r="X333" s="16"/>
      <c r="Y333" s="16"/>
      <c r="Z333" s="16"/>
      <c r="AA333" s="16">
        <f>Z332</f>
        <v>1.02</v>
      </c>
    </row>
    <row r="334" spans="1:27" x14ac:dyDescent="0.25">
      <c r="A334" s="4" t="s">
        <v>363</v>
      </c>
      <c r="B334" s="2" t="str" cm="1">
        <f t="array" ref="B334">User3($C$11:$ZX$11,C334:ZX334)</f>
        <v>1.05D+1.2SDL+1.2BW+1.1COL+1.1SOIL+1WATER+1.17Lr+1.17LLB+1.08LLE+2.1Wx-2+1.02CR11+1.02CR21</v>
      </c>
      <c r="C334" s="13">
        <f t="shared" si="24"/>
        <v>1.05</v>
      </c>
      <c r="D334" s="13">
        <f t="shared" si="25"/>
        <v>1.2</v>
      </c>
      <c r="E334" s="13">
        <f t="shared" si="26"/>
        <v>1.2</v>
      </c>
      <c r="F334" s="13">
        <f t="shared" si="27"/>
        <v>1.1000000000000001</v>
      </c>
      <c r="G334" s="13">
        <f t="shared" si="28"/>
        <v>1.1000000000000001</v>
      </c>
      <c r="H334" s="13">
        <f t="shared" si="29"/>
        <v>1</v>
      </c>
      <c r="I334" s="10">
        <v>1.1700000000000002</v>
      </c>
      <c r="J334" s="10">
        <v>1.17</v>
      </c>
      <c r="K334" s="10">
        <v>1.08</v>
      </c>
      <c r="L334" s="10"/>
      <c r="M334" s="10"/>
      <c r="N334" s="10"/>
      <c r="O334" s="10">
        <v>2.1</v>
      </c>
      <c r="P334" s="10"/>
      <c r="Q334" s="10"/>
      <c r="R334" s="10"/>
      <c r="S334" s="10"/>
      <c r="T334" s="10">
        <f>T318</f>
        <v>1.02</v>
      </c>
      <c r="U334" s="10"/>
      <c r="V334" s="10"/>
      <c r="W334" s="10"/>
      <c r="X334" s="10">
        <f>T334</f>
        <v>1.02</v>
      </c>
      <c r="Y334" s="10"/>
      <c r="Z334" s="10"/>
      <c r="AA334" s="10"/>
    </row>
    <row r="335" spans="1:27" x14ac:dyDescent="0.25">
      <c r="A335" s="4" t="s">
        <v>364</v>
      </c>
      <c r="B335" s="2" t="str" cm="1">
        <f t="array" ref="B335">User3($C$11:$ZX$11,C335:ZX335)</f>
        <v>1.05D+1.2SDL+1.2BW+1.1COL+1.1SOIL+1WATER+1.17Lr+1.17LLB+1.08LLE+2.1Wx-2+1.02CR11+1.02CR22</v>
      </c>
      <c r="C335" s="13">
        <f t="shared" ref="C335:C398" si="30">$C$12</f>
        <v>1.05</v>
      </c>
      <c r="D335" s="13">
        <f t="shared" ref="D335:D398" si="31">$D$12</f>
        <v>1.2</v>
      </c>
      <c r="E335" s="13">
        <f t="shared" ref="E335:E398" si="32">$E$12</f>
        <v>1.2</v>
      </c>
      <c r="F335" s="13">
        <f t="shared" ref="F335:F398" si="33">$F$12</f>
        <v>1.1000000000000001</v>
      </c>
      <c r="G335" s="13">
        <f t="shared" ref="G335:G398" si="34">$G$12</f>
        <v>1.1000000000000001</v>
      </c>
      <c r="H335" s="13">
        <f t="shared" ref="H335:H398" si="35">$H$12</f>
        <v>1</v>
      </c>
      <c r="I335" s="13">
        <v>1.1700000000000002</v>
      </c>
      <c r="J335" s="13">
        <v>1.17</v>
      </c>
      <c r="K335" s="13">
        <v>1.08</v>
      </c>
      <c r="L335" s="13"/>
      <c r="M335" s="13"/>
      <c r="N335" s="13"/>
      <c r="O335" s="13">
        <v>2.1</v>
      </c>
      <c r="P335" s="13"/>
      <c r="Q335" s="13"/>
      <c r="R335" s="13"/>
      <c r="S335" s="13"/>
      <c r="T335" s="13">
        <f>T334</f>
        <v>1.02</v>
      </c>
      <c r="U335" s="13"/>
      <c r="V335" s="13"/>
      <c r="W335" s="13"/>
      <c r="X335" s="13"/>
      <c r="Y335" s="13">
        <f>X334</f>
        <v>1.02</v>
      </c>
      <c r="Z335" s="13"/>
      <c r="AA335" s="13"/>
    </row>
    <row r="336" spans="1:27" x14ac:dyDescent="0.25">
      <c r="A336" s="4" t="s">
        <v>365</v>
      </c>
      <c r="B336" s="2" t="str" cm="1">
        <f t="array" ref="B336">User3($C$11:$ZX$11,C336:ZX336)</f>
        <v>1.05D+1.2SDL+1.2BW+1.1COL+1.1SOIL+1WATER+1.17Lr+1.17LLB+1.08LLE+2.1Wx-2+1.02CR11+1.02CR23</v>
      </c>
      <c r="C336" s="13">
        <f t="shared" si="30"/>
        <v>1.05</v>
      </c>
      <c r="D336" s="13">
        <f t="shared" si="31"/>
        <v>1.2</v>
      </c>
      <c r="E336" s="13">
        <f t="shared" si="32"/>
        <v>1.2</v>
      </c>
      <c r="F336" s="13">
        <f t="shared" si="33"/>
        <v>1.1000000000000001</v>
      </c>
      <c r="G336" s="13">
        <f t="shared" si="34"/>
        <v>1.1000000000000001</v>
      </c>
      <c r="H336" s="13">
        <f t="shared" si="35"/>
        <v>1</v>
      </c>
      <c r="I336" s="13">
        <v>1.1700000000000002</v>
      </c>
      <c r="J336" s="13">
        <v>1.17</v>
      </c>
      <c r="K336" s="13">
        <v>1.08</v>
      </c>
      <c r="L336" s="13"/>
      <c r="M336" s="13"/>
      <c r="N336" s="13"/>
      <c r="O336" s="13">
        <v>2.1</v>
      </c>
      <c r="P336" s="13"/>
      <c r="Q336" s="13"/>
      <c r="R336" s="13"/>
      <c r="S336" s="13"/>
      <c r="T336" s="13">
        <f>T335</f>
        <v>1.02</v>
      </c>
      <c r="U336" s="13"/>
      <c r="V336" s="13"/>
      <c r="W336" s="13"/>
      <c r="X336" s="13"/>
      <c r="Y336" s="13"/>
      <c r="Z336" s="13">
        <f>Y335</f>
        <v>1.02</v>
      </c>
      <c r="AA336" s="13"/>
    </row>
    <row r="337" spans="1:27" x14ac:dyDescent="0.25">
      <c r="A337" s="4" t="s">
        <v>366</v>
      </c>
      <c r="B337" s="2" t="str" cm="1">
        <f t="array" ref="B337">User3($C$11:$ZX$11,C337:ZX337)</f>
        <v>1.05D+1.2SDL+1.2BW+1.1COL+1.1SOIL+1WATER+1.17Lr+1.17LLB+1.08LLE+2.1Wx-2+1.02CR11+1.02CR24</v>
      </c>
      <c r="C337" s="13">
        <f t="shared" si="30"/>
        <v>1.05</v>
      </c>
      <c r="D337" s="13">
        <f t="shared" si="31"/>
        <v>1.2</v>
      </c>
      <c r="E337" s="13">
        <f t="shared" si="32"/>
        <v>1.2</v>
      </c>
      <c r="F337" s="13">
        <f t="shared" si="33"/>
        <v>1.1000000000000001</v>
      </c>
      <c r="G337" s="13">
        <f t="shared" si="34"/>
        <v>1.1000000000000001</v>
      </c>
      <c r="H337" s="13">
        <f t="shared" si="35"/>
        <v>1</v>
      </c>
      <c r="I337" s="13">
        <v>1.1700000000000002</v>
      </c>
      <c r="J337" s="13">
        <v>1.17</v>
      </c>
      <c r="K337" s="13">
        <v>1.08</v>
      </c>
      <c r="L337" s="13"/>
      <c r="M337" s="13"/>
      <c r="N337" s="13"/>
      <c r="O337" s="13">
        <v>2.1</v>
      </c>
      <c r="P337" s="13"/>
      <c r="Q337" s="13"/>
      <c r="R337" s="13"/>
      <c r="S337" s="13"/>
      <c r="T337" s="13">
        <f>T336</f>
        <v>1.02</v>
      </c>
      <c r="U337" s="13"/>
      <c r="V337" s="13"/>
      <c r="W337" s="13"/>
      <c r="X337" s="13"/>
      <c r="Y337" s="13"/>
      <c r="Z337" s="13"/>
      <c r="AA337" s="13">
        <f>Z336</f>
        <v>1.02</v>
      </c>
    </row>
    <row r="338" spans="1:27" x14ac:dyDescent="0.25">
      <c r="A338" s="4" t="s">
        <v>367</v>
      </c>
      <c r="B338" s="2" t="str" cm="1">
        <f t="array" ref="B338">User3($C$11:$ZX$11,C338:ZX338)</f>
        <v>1.05D+1.2SDL+1.2BW+1.1COL+1.1SOIL+1WATER+1.17Lr+1.17LLB+1.08LLE+2.1Wx-2+1.02CR12+1.02CR21</v>
      </c>
      <c r="C338" s="13">
        <f t="shared" si="30"/>
        <v>1.05</v>
      </c>
      <c r="D338" s="13">
        <f t="shared" si="31"/>
        <v>1.2</v>
      </c>
      <c r="E338" s="13">
        <f t="shared" si="32"/>
        <v>1.2</v>
      </c>
      <c r="F338" s="13">
        <f t="shared" si="33"/>
        <v>1.1000000000000001</v>
      </c>
      <c r="G338" s="13">
        <f t="shared" si="34"/>
        <v>1.1000000000000001</v>
      </c>
      <c r="H338" s="13">
        <f t="shared" si="35"/>
        <v>1</v>
      </c>
      <c r="I338" s="13">
        <v>1.1700000000000002</v>
      </c>
      <c r="J338" s="13">
        <v>1.17</v>
      </c>
      <c r="K338" s="13">
        <v>1.08</v>
      </c>
      <c r="L338" s="13"/>
      <c r="M338" s="13"/>
      <c r="N338" s="13"/>
      <c r="O338" s="13">
        <v>2.1</v>
      </c>
      <c r="P338" s="13"/>
      <c r="Q338" s="13"/>
      <c r="R338" s="13"/>
      <c r="S338" s="13"/>
      <c r="T338" s="13"/>
      <c r="U338" s="13">
        <f>T334</f>
        <v>1.02</v>
      </c>
      <c r="V338" s="13"/>
      <c r="W338" s="13"/>
      <c r="X338" s="13">
        <f>X334</f>
        <v>1.02</v>
      </c>
      <c r="Y338" s="13"/>
      <c r="Z338" s="13"/>
      <c r="AA338" s="13"/>
    </row>
    <row r="339" spans="1:27" x14ac:dyDescent="0.25">
      <c r="A339" s="4" t="s">
        <v>368</v>
      </c>
      <c r="B339" s="2" t="str" cm="1">
        <f t="array" ref="B339">User3($C$11:$ZX$11,C339:ZX339)</f>
        <v>1.05D+1.2SDL+1.2BW+1.1COL+1.1SOIL+1WATER+1.17Lr+1.17LLB+1.08LLE+2.1Wx-2+1.02CR12+1.02CR22</v>
      </c>
      <c r="C339" s="13">
        <f t="shared" si="30"/>
        <v>1.05</v>
      </c>
      <c r="D339" s="13">
        <f t="shared" si="31"/>
        <v>1.2</v>
      </c>
      <c r="E339" s="13">
        <f t="shared" si="32"/>
        <v>1.2</v>
      </c>
      <c r="F339" s="13">
        <f t="shared" si="33"/>
        <v>1.1000000000000001</v>
      </c>
      <c r="G339" s="13">
        <f t="shared" si="34"/>
        <v>1.1000000000000001</v>
      </c>
      <c r="H339" s="13">
        <f t="shared" si="35"/>
        <v>1</v>
      </c>
      <c r="I339" s="13">
        <v>1.1700000000000002</v>
      </c>
      <c r="J339" s="13">
        <v>1.17</v>
      </c>
      <c r="K339" s="13">
        <v>1.08</v>
      </c>
      <c r="L339" s="13"/>
      <c r="M339" s="13"/>
      <c r="N339" s="13"/>
      <c r="O339" s="13">
        <v>2.1</v>
      </c>
      <c r="P339" s="13"/>
      <c r="Q339" s="13"/>
      <c r="R339" s="13"/>
      <c r="S339" s="13"/>
      <c r="T339" s="13"/>
      <c r="U339" s="13">
        <f>U338</f>
        <v>1.02</v>
      </c>
      <c r="V339" s="13"/>
      <c r="W339" s="13"/>
      <c r="X339" s="13"/>
      <c r="Y339" s="13">
        <f>Y335</f>
        <v>1.02</v>
      </c>
      <c r="Z339" s="13"/>
      <c r="AA339" s="13"/>
    </row>
    <row r="340" spans="1:27" x14ac:dyDescent="0.25">
      <c r="A340" s="4" t="s">
        <v>369</v>
      </c>
      <c r="B340" s="2" t="str" cm="1">
        <f t="array" ref="B340">User3($C$11:$ZX$11,C340:ZX340)</f>
        <v>1.05D+1.2SDL+1.2BW+1.1COL+1.1SOIL+1WATER+1.17Lr+1.17LLB+1.08LLE+2.1Wx-2+1.02CR12+1.02CR23</v>
      </c>
      <c r="C340" s="13">
        <f t="shared" si="30"/>
        <v>1.05</v>
      </c>
      <c r="D340" s="13">
        <f t="shared" si="31"/>
        <v>1.2</v>
      </c>
      <c r="E340" s="13">
        <f t="shared" si="32"/>
        <v>1.2</v>
      </c>
      <c r="F340" s="13">
        <f t="shared" si="33"/>
        <v>1.1000000000000001</v>
      </c>
      <c r="G340" s="13">
        <f t="shared" si="34"/>
        <v>1.1000000000000001</v>
      </c>
      <c r="H340" s="13">
        <f t="shared" si="35"/>
        <v>1</v>
      </c>
      <c r="I340" s="13">
        <v>1.1700000000000002</v>
      </c>
      <c r="J340" s="13">
        <v>1.17</v>
      </c>
      <c r="K340" s="13">
        <v>1.08</v>
      </c>
      <c r="L340" s="13"/>
      <c r="M340" s="13"/>
      <c r="N340" s="13"/>
      <c r="O340" s="13">
        <v>2.1</v>
      </c>
      <c r="P340" s="13"/>
      <c r="Q340" s="13"/>
      <c r="R340" s="13"/>
      <c r="S340" s="13"/>
      <c r="T340" s="13"/>
      <c r="U340" s="13">
        <f>U339</f>
        <v>1.02</v>
      </c>
      <c r="V340" s="13"/>
      <c r="W340" s="13"/>
      <c r="X340" s="13"/>
      <c r="Y340" s="13"/>
      <c r="Z340" s="13">
        <f>Z336</f>
        <v>1.02</v>
      </c>
      <c r="AA340" s="13"/>
    </row>
    <row r="341" spans="1:27" x14ac:dyDescent="0.25">
      <c r="A341" s="4" t="s">
        <v>370</v>
      </c>
      <c r="B341" s="2" t="str" cm="1">
        <f t="array" ref="B341">User3($C$11:$ZX$11,C341:ZX341)</f>
        <v>1.05D+1.2SDL+1.2BW+1.1COL+1.1SOIL+1WATER+1.17Lr+1.17LLB+1.08LLE+2.1Wx-2+1.02CR12+1.02CR24</v>
      </c>
      <c r="C341" s="16">
        <f t="shared" si="30"/>
        <v>1.05</v>
      </c>
      <c r="D341" s="16">
        <f t="shared" si="31"/>
        <v>1.2</v>
      </c>
      <c r="E341" s="16">
        <f t="shared" si="32"/>
        <v>1.2</v>
      </c>
      <c r="F341" s="16">
        <f t="shared" si="33"/>
        <v>1.1000000000000001</v>
      </c>
      <c r="G341" s="16">
        <f t="shared" si="34"/>
        <v>1.1000000000000001</v>
      </c>
      <c r="H341" s="16">
        <f t="shared" si="35"/>
        <v>1</v>
      </c>
      <c r="I341" s="16">
        <v>1.1700000000000002</v>
      </c>
      <c r="J341" s="16">
        <v>1.17</v>
      </c>
      <c r="K341" s="16">
        <v>1.08</v>
      </c>
      <c r="L341" s="16"/>
      <c r="M341" s="16"/>
      <c r="N341" s="16"/>
      <c r="O341" s="16">
        <v>2.1</v>
      </c>
      <c r="P341" s="16"/>
      <c r="Q341" s="16"/>
      <c r="R341" s="16"/>
      <c r="S341" s="16"/>
      <c r="T341" s="16"/>
      <c r="U341" s="16">
        <f>U340</f>
        <v>1.02</v>
      </c>
      <c r="V341" s="16"/>
      <c r="W341" s="16"/>
      <c r="X341" s="16"/>
      <c r="Y341" s="16"/>
      <c r="Z341" s="16"/>
      <c r="AA341" s="16">
        <f>AA337</f>
        <v>1.02</v>
      </c>
    </row>
    <row r="342" spans="1:27" x14ac:dyDescent="0.25">
      <c r="A342" s="4" t="s">
        <v>371</v>
      </c>
      <c r="B342" s="2" t="str" cm="1">
        <f t="array" ref="B342">User3($C$11:$ZX$11,C342:ZX342)</f>
        <v>1.05D+1.2SDL+1.2BW+1.1COL+1.1SOIL+1WATER+1.17Lr+1.17LLB+1.08LLE+2.1Wx-2+1.02CR13+1.02CR21</v>
      </c>
      <c r="C342" s="13">
        <f t="shared" si="30"/>
        <v>1.05</v>
      </c>
      <c r="D342" s="13">
        <f t="shared" si="31"/>
        <v>1.2</v>
      </c>
      <c r="E342" s="13">
        <f t="shared" si="32"/>
        <v>1.2</v>
      </c>
      <c r="F342" s="13">
        <f t="shared" si="33"/>
        <v>1.1000000000000001</v>
      </c>
      <c r="G342" s="13">
        <f t="shared" si="34"/>
        <v>1.1000000000000001</v>
      </c>
      <c r="H342" s="13">
        <f t="shared" si="35"/>
        <v>1</v>
      </c>
      <c r="I342" s="10">
        <v>1.1700000000000002</v>
      </c>
      <c r="J342" s="10">
        <v>1.17</v>
      </c>
      <c r="K342" s="10">
        <v>1.08</v>
      </c>
      <c r="L342" s="10"/>
      <c r="M342" s="10"/>
      <c r="N342" s="10"/>
      <c r="O342" s="10">
        <v>2.1</v>
      </c>
      <c r="P342" s="10"/>
      <c r="Q342" s="10"/>
      <c r="R342" s="10"/>
      <c r="S342" s="10"/>
      <c r="T342" s="10"/>
      <c r="U342" s="10"/>
      <c r="V342" s="10">
        <f>U341</f>
        <v>1.02</v>
      </c>
      <c r="W342" s="10"/>
      <c r="X342" s="10">
        <f>X338</f>
        <v>1.02</v>
      </c>
      <c r="Y342" s="10"/>
      <c r="Z342" s="10"/>
      <c r="AA342" s="10"/>
    </row>
    <row r="343" spans="1:27" x14ac:dyDescent="0.25">
      <c r="A343" s="4" t="s">
        <v>372</v>
      </c>
      <c r="B343" s="2" t="str" cm="1">
        <f t="array" ref="B343">User3($C$11:$ZX$11,C343:ZX343)</f>
        <v>1.05D+1.2SDL+1.2BW+1.1COL+1.1SOIL+1WATER+1.17Lr+1.17LLB+1.08LLE+2.1Wx-2+1.02CR13+1.02CR22</v>
      </c>
      <c r="C343" s="13">
        <f t="shared" si="30"/>
        <v>1.05</v>
      </c>
      <c r="D343" s="13">
        <f t="shared" si="31"/>
        <v>1.2</v>
      </c>
      <c r="E343" s="13">
        <f t="shared" si="32"/>
        <v>1.2</v>
      </c>
      <c r="F343" s="13">
        <f t="shared" si="33"/>
        <v>1.1000000000000001</v>
      </c>
      <c r="G343" s="13">
        <f t="shared" si="34"/>
        <v>1.1000000000000001</v>
      </c>
      <c r="H343" s="13">
        <f t="shared" si="35"/>
        <v>1</v>
      </c>
      <c r="I343" s="13">
        <v>1.1700000000000002</v>
      </c>
      <c r="J343" s="13">
        <v>1.17</v>
      </c>
      <c r="K343" s="13">
        <v>1.08</v>
      </c>
      <c r="L343" s="13"/>
      <c r="M343" s="13"/>
      <c r="N343" s="13"/>
      <c r="O343" s="13">
        <v>2.1</v>
      </c>
      <c r="P343" s="13"/>
      <c r="Q343" s="13"/>
      <c r="R343" s="13"/>
      <c r="S343" s="13"/>
      <c r="T343" s="13"/>
      <c r="U343" s="13"/>
      <c r="V343" s="13">
        <f>V342</f>
        <v>1.02</v>
      </c>
      <c r="W343" s="13"/>
      <c r="X343" s="13"/>
      <c r="Y343" s="13">
        <f>X342</f>
        <v>1.02</v>
      </c>
      <c r="Z343" s="13"/>
      <c r="AA343" s="13"/>
    </row>
    <row r="344" spans="1:27" x14ac:dyDescent="0.25">
      <c r="A344" s="4" t="s">
        <v>373</v>
      </c>
      <c r="B344" s="2" t="str" cm="1">
        <f t="array" ref="B344">User3($C$11:$ZX$11,C344:ZX344)</f>
        <v>1.05D+1.2SDL+1.2BW+1.1COL+1.1SOIL+1WATER+1.17Lr+1.17LLB+1.08LLE+2.1Wx-2+1.02CR13+1.02CR23</v>
      </c>
      <c r="C344" s="13">
        <f t="shared" si="30"/>
        <v>1.05</v>
      </c>
      <c r="D344" s="13">
        <f t="shared" si="31"/>
        <v>1.2</v>
      </c>
      <c r="E344" s="13">
        <f t="shared" si="32"/>
        <v>1.2</v>
      </c>
      <c r="F344" s="13">
        <f t="shared" si="33"/>
        <v>1.1000000000000001</v>
      </c>
      <c r="G344" s="13">
        <f t="shared" si="34"/>
        <v>1.1000000000000001</v>
      </c>
      <c r="H344" s="13">
        <f t="shared" si="35"/>
        <v>1</v>
      </c>
      <c r="I344" s="13">
        <v>1.1700000000000002</v>
      </c>
      <c r="J344" s="13">
        <v>1.17</v>
      </c>
      <c r="K344" s="13">
        <v>1.08</v>
      </c>
      <c r="L344" s="13"/>
      <c r="M344" s="13"/>
      <c r="N344" s="13"/>
      <c r="O344" s="13">
        <v>2.1</v>
      </c>
      <c r="P344" s="13"/>
      <c r="Q344" s="13"/>
      <c r="R344" s="13"/>
      <c r="S344" s="13"/>
      <c r="T344" s="13"/>
      <c r="U344" s="13"/>
      <c r="V344" s="13">
        <f>V343</f>
        <v>1.02</v>
      </c>
      <c r="W344" s="13"/>
      <c r="X344" s="13"/>
      <c r="Y344" s="13"/>
      <c r="Z344" s="13">
        <f>Y343</f>
        <v>1.02</v>
      </c>
      <c r="AA344" s="13"/>
    </row>
    <row r="345" spans="1:27" x14ac:dyDescent="0.25">
      <c r="A345" s="4" t="s">
        <v>374</v>
      </c>
      <c r="B345" s="2" t="str" cm="1">
        <f t="array" ref="B345">User3($C$11:$ZX$11,C345:ZX345)</f>
        <v>1.05D+1.2SDL+1.2BW+1.1COL+1.1SOIL+1WATER+1.17Lr+1.17LLB+1.08LLE+2.1Wx-2+1.02CR13+1.02CR24</v>
      </c>
      <c r="C345" s="13">
        <f t="shared" si="30"/>
        <v>1.05</v>
      </c>
      <c r="D345" s="13">
        <f t="shared" si="31"/>
        <v>1.2</v>
      </c>
      <c r="E345" s="13">
        <f t="shared" si="32"/>
        <v>1.2</v>
      </c>
      <c r="F345" s="13">
        <f t="shared" si="33"/>
        <v>1.1000000000000001</v>
      </c>
      <c r="G345" s="13">
        <f t="shared" si="34"/>
        <v>1.1000000000000001</v>
      </c>
      <c r="H345" s="13">
        <f t="shared" si="35"/>
        <v>1</v>
      </c>
      <c r="I345" s="13">
        <v>1.1700000000000002</v>
      </c>
      <c r="J345" s="13">
        <v>1.17</v>
      </c>
      <c r="K345" s="13">
        <v>1.08</v>
      </c>
      <c r="L345" s="13"/>
      <c r="M345" s="13"/>
      <c r="N345" s="13"/>
      <c r="O345" s="13">
        <v>2.1</v>
      </c>
      <c r="P345" s="13"/>
      <c r="Q345" s="13"/>
      <c r="R345" s="13"/>
      <c r="S345" s="13"/>
      <c r="T345" s="13"/>
      <c r="U345" s="13"/>
      <c r="V345" s="13">
        <f>V344</f>
        <v>1.02</v>
      </c>
      <c r="W345" s="13"/>
      <c r="X345" s="13"/>
      <c r="Y345" s="13"/>
      <c r="Z345" s="13"/>
      <c r="AA345" s="13">
        <f>Z344</f>
        <v>1.02</v>
      </c>
    </row>
    <row r="346" spans="1:27" x14ac:dyDescent="0.25">
      <c r="A346" s="4" t="s">
        <v>375</v>
      </c>
      <c r="B346" s="2" t="str" cm="1">
        <f t="array" ref="B346">User3($C$11:$ZX$11,C346:ZX346)</f>
        <v>1.05D+1.2SDL+1.2BW+1.1COL+1.1SOIL+1WATER+1.17Lr+1.17LLB+1.08LLE+2.1Wx-2+1.02CR14+1.02CR21</v>
      </c>
      <c r="C346" s="13">
        <f t="shared" si="30"/>
        <v>1.05</v>
      </c>
      <c r="D346" s="13">
        <f t="shared" si="31"/>
        <v>1.2</v>
      </c>
      <c r="E346" s="13">
        <f t="shared" si="32"/>
        <v>1.2</v>
      </c>
      <c r="F346" s="13">
        <f t="shared" si="33"/>
        <v>1.1000000000000001</v>
      </c>
      <c r="G346" s="13">
        <f t="shared" si="34"/>
        <v>1.1000000000000001</v>
      </c>
      <c r="H346" s="13">
        <f t="shared" si="35"/>
        <v>1</v>
      </c>
      <c r="I346" s="13">
        <v>1.1700000000000002</v>
      </c>
      <c r="J346" s="13">
        <v>1.17</v>
      </c>
      <c r="K346" s="13">
        <v>1.08</v>
      </c>
      <c r="L346" s="13"/>
      <c r="M346" s="13"/>
      <c r="N346" s="13"/>
      <c r="O346" s="13">
        <v>2.1</v>
      </c>
      <c r="P346" s="13"/>
      <c r="Q346" s="13"/>
      <c r="R346" s="13"/>
      <c r="S346" s="13"/>
      <c r="T346" s="13"/>
      <c r="U346" s="13"/>
      <c r="V346" s="13"/>
      <c r="W346" s="13">
        <f>V345</f>
        <v>1.02</v>
      </c>
      <c r="X346" s="13">
        <f>X342</f>
        <v>1.02</v>
      </c>
      <c r="Y346" s="13"/>
      <c r="Z346" s="13"/>
      <c r="AA346" s="13"/>
    </row>
    <row r="347" spans="1:27" x14ac:dyDescent="0.25">
      <c r="A347" s="4" t="s">
        <v>376</v>
      </c>
      <c r="B347" s="2" t="str" cm="1">
        <f t="array" ref="B347">User3($C$11:$ZX$11,C347:ZX347)</f>
        <v>1.05D+1.2SDL+1.2BW+1.1COL+1.1SOIL+1WATER+1.17Lr+1.17LLB+1.08LLE+2.1Wx-2+1.02CR14+1.02CR22</v>
      </c>
      <c r="C347" s="13">
        <f t="shared" si="30"/>
        <v>1.05</v>
      </c>
      <c r="D347" s="13">
        <f t="shared" si="31"/>
        <v>1.2</v>
      </c>
      <c r="E347" s="13">
        <f t="shared" si="32"/>
        <v>1.2</v>
      </c>
      <c r="F347" s="13">
        <f t="shared" si="33"/>
        <v>1.1000000000000001</v>
      </c>
      <c r="G347" s="13">
        <f t="shared" si="34"/>
        <v>1.1000000000000001</v>
      </c>
      <c r="H347" s="13">
        <f t="shared" si="35"/>
        <v>1</v>
      </c>
      <c r="I347" s="13">
        <v>1.1700000000000002</v>
      </c>
      <c r="J347" s="13">
        <v>1.17</v>
      </c>
      <c r="K347" s="13">
        <v>1.08</v>
      </c>
      <c r="L347" s="13"/>
      <c r="M347" s="13"/>
      <c r="N347" s="13"/>
      <c r="O347" s="13">
        <v>2.1</v>
      </c>
      <c r="P347" s="13"/>
      <c r="Q347" s="13"/>
      <c r="R347" s="13"/>
      <c r="S347" s="13"/>
      <c r="T347" s="13"/>
      <c r="U347" s="13"/>
      <c r="V347" s="13"/>
      <c r="W347" s="13">
        <f>W346</f>
        <v>1.02</v>
      </c>
      <c r="X347" s="13"/>
      <c r="Y347" s="13">
        <f>X346</f>
        <v>1.02</v>
      </c>
      <c r="Z347" s="13"/>
      <c r="AA347" s="13"/>
    </row>
    <row r="348" spans="1:27" x14ac:dyDescent="0.25">
      <c r="A348" s="4" t="s">
        <v>377</v>
      </c>
      <c r="B348" s="2" t="str" cm="1">
        <f t="array" ref="B348">User3($C$11:$ZX$11,C348:ZX348)</f>
        <v>1.05D+1.2SDL+1.2BW+1.1COL+1.1SOIL+1WATER+1.17Lr+1.17LLB+1.08LLE+2.1Wx-2+1.02CR14+1.02CR23</v>
      </c>
      <c r="C348" s="13">
        <f t="shared" si="30"/>
        <v>1.05</v>
      </c>
      <c r="D348" s="13">
        <f t="shared" si="31"/>
        <v>1.2</v>
      </c>
      <c r="E348" s="13">
        <f t="shared" si="32"/>
        <v>1.2</v>
      </c>
      <c r="F348" s="13">
        <f t="shared" si="33"/>
        <v>1.1000000000000001</v>
      </c>
      <c r="G348" s="13">
        <f t="shared" si="34"/>
        <v>1.1000000000000001</v>
      </c>
      <c r="H348" s="13">
        <f t="shared" si="35"/>
        <v>1</v>
      </c>
      <c r="I348" s="13">
        <v>1.1700000000000002</v>
      </c>
      <c r="J348" s="13">
        <v>1.17</v>
      </c>
      <c r="K348" s="13">
        <v>1.08</v>
      </c>
      <c r="L348" s="13"/>
      <c r="M348" s="13"/>
      <c r="N348" s="13"/>
      <c r="O348" s="13">
        <v>2.1</v>
      </c>
      <c r="P348" s="13"/>
      <c r="Q348" s="13"/>
      <c r="R348" s="13"/>
      <c r="S348" s="13"/>
      <c r="T348" s="13"/>
      <c r="U348" s="13"/>
      <c r="V348" s="13"/>
      <c r="W348" s="13">
        <f>W347</f>
        <v>1.02</v>
      </c>
      <c r="X348" s="13"/>
      <c r="Y348" s="13"/>
      <c r="Z348" s="13">
        <f>Y347</f>
        <v>1.02</v>
      </c>
      <c r="AA348" s="13"/>
    </row>
    <row r="349" spans="1:27" x14ac:dyDescent="0.25">
      <c r="A349" s="4" t="s">
        <v>378</v>
      </c>
      <c r="B349" s="2" t="str" cm="1">
        <f t="array" ref="B349">User3($C$11:$ZX$11,C349:ZX349)</f>
        <v>1.05D+1.2SDL+1.2BW+1.1COL+1.1SOIL+1WATER+1.17Lr+1.17LLB+1.08LLE+2.1Wx-2+1.02CR14+1.02CR24</v>
      </c>
      <c r="C349" s="16">
        <f t="shared" si="30"/>
        <v>1.05</v>
      </c>
      <c r="D349" s="16">
        <f t="shared" si="31"/>
        <v>1.2</v>
      </c>
      <c r="E349" s="16">
        <f t="shared" si="32"/>
        <v>1.2</v>
      </c>
      <c r="F349" s="16">
        <f t="shared" si="33"/>
        <v>1.1000000000000001</v>
      </c>
      <c r="G349" s="16">
        <f t="shared" si="34"/>
        <v>1.1000000000000001</v>
      </c>
      <c r="H349" s="16">
        <f t="shared" si="35"/>
        <v>1</v>
      </c>
      <c r="I349" s="16">
        <v>1.1700000000000002</v>
      </c>
      <c r="J349" s="16">
        <v>1.17</v>
      </c>
      <c r="K349" s="16">
        <v>1.08</v>
      </c>
      <c r="L349" s="16"/>
      <c r="M349" s="16"/>
      <c r="N349" s="16"/>
      <c r="O349" s="16">
        <v>2.1</v>
      </c>
      <c r="P349" s="16"/>
      <c r="Q349" s="16"/>
      <c r="R349" s="16"/>
      <c r="S349" s="16"/>
      <c r="T349" s="16"/>
      <c r="U349" s="16"/>
      <c r="V349" s="16"/>
      <c r="W349" s="16">
        <f>W348</f>
        <v>1.02</v>
      </c>
      <c r="X349" s="16"/>
      <c r="Y349" s="16"/>
      <c r="Z349" s="16"/>
      <c r="AA349" s="16">
        <f>Z348</f>
        <v>1.02</v>
      </c>
    </row>
    <row r="350" spans="1:27" x14ac:dyDescent="0.25">
      <c r="A350" s="4" t="s">
        <v>379</v>
      </c>
      <c r="B350" s="2" t="str" cm="1">
        <f t="array" ref="B350">User3($C$11:$ZX$11,C350:ZX350)</f>
        <v>1.05D+1.2SDL+1.2BW+1.1COL+1.1SOIL+1WATER+1.17Lr+1.17LLB+1.08LLE+2.1Wy+1+1.02CR11+1.02CR21</v>
      </c>
      <c r="C350" s="13">
        <f t="shared" si="30"/>
        <v>1.05</v>
      </c>
      <c r="D350" s="13">
        <f t="shared" si="31"/>
        <v>1.2</v>
      </c>
      <c r="E350" s="13">
        <f t="shared" si="32"/>
        <v>1.2</v>
      </c>
      <c r="F350" s="13">
        <f t="shared" si="33"/>
        <v>1.1000000000000001</v>
      </c>
      <c r="G350" s="13">
        <f t="shared" si="34"/>
        <v>1.1000000000000001</v>
      </c>
      <c r="H350" s="13">
        <f t="shared" si="35"/>
        <v>1</v>
      </c>
      <c r="I350" s="10">
        <v>1.1700000000000002</v>
      </c>
      <c r="J350" s="10">
        <v>1.17</v>
      </c>
      <c r="K350" s="10">
        <v>1.08</v>
      </c>
      <c r="L350" s="10"/>
      <c r="M350" s="10"/>
      <c r="N350" s="10"/>
      <c r="O350" s="10"/>
      <c r="P350" s="10">
        <v>2.1</v>
      </c>
      <c r="Q350" s="10"/>
      <c r="R350" s="10"/>
      <c r="S350" s="10"/>
      <c r="T350" s="10">
        <f>T334</f>
        <v>1.02</v>
      </c>
      <c r="U350" s="10"/>
      <c r="V350" s="10"/>
      <c r="W350" s="10"/>
      <c r="X350" s="10">
        <f>T350</f>
        <v>1.02</v>
      </c>
      <c r="Y350" s="10"/>
      <c r="Z350" s="10"/>
      <c r="AA350" s="10"/>
    </row>
    <row r="351" spans="1:27" x14ac:dyDescent="0.25">
      <c r="A351" s="4" t="s">
        <v>380</v>
      </c>
      <c r="B351" s="2" t="str" cm="1">
        <f t="array" ref="B351">User3($C$11:$ZX$11,C351:ZX351)</f>
        <v>1.05D+1.2SDL+1.2BW+1.1COL+1.1SOIL+1WATER+1.17Lr+1.17LLB+1.08LLE+2.1Wy+1+1.02CR11+1.02CR22</v>
      </c>
      <c r="C351" s="13">
        <f t="shared" si="30"/>
        <v>1.05</v>
      </c>
      <c r="D351" s="13">
        <f t="shared" si="31"/>
        <v>1.2</v>
      </c>
      <c r="E351" s="13">
        <f t="shared" si="32"/>
        <v>1.2</v>
      </c>
      <c r="F351" s="13">
        <f t="shared" si="33"/>
        <v>1.1000000000000001</v>
      </c>
      <c r="G351" s="13">
        <f t="shared" si="34"/>
        <v>1.1000000000000001</v>
      </c>
      <c r="H351" s="13">
        <f t="shared" si="35"/>
        <v>1</v>
      </c>
      <c r="I351" s="13">
        <v>1.1700000000000002</v>
      </c>
      <c r="J351" s="13">
        <v>1.17</v>
      </c>
      <c r="K351" s="13">
        <v>1.08</v>
      </c>
      <c r="L351" s="13"/>
      <c r="M351" s="13"/>
      <c r="N351" s="13"/>
      <c r="O351" s="13"/>
      <c r="P351" s="13">
        <v>2.1</v>
      </c>
      <c r="Q351" s="13"/>
      <c r="R351" s="13"/>
      <c r="S351" s="13"/>
      <c r="T351" s="13">
        <f>T350</f>
        <v>1.02</v>
      </c>
      <c r="U351" s="13"/>
      <c r="V351" s="13"/>
      <c r="W351" s="13"/>
      <c r="X351" s="13"/>
      <c r="Y351" s="13">
        <f>X350</f>
        <v>1.02</v>
      </c>
      <c r="Z351" s="13"/>
      <c r="AA351" s="13"/>
    </row>
    <row r="352" spans="1:27" x14ac:dyDescent="0.25">
      <c r="A352" s="4" t="s">
        <v>381</v>
      </c>
      <c r="B352" s="2" t="str" cm="1">
        <f t="array" ref="B352">User3($C$11:$ZX$11,C352:ZX352)</f>
        <v>1.05D+1.2SDL+1.2BW+1.1COL+1.1SOIL+1WATER+1.17Lr+1.17LLB+1.08LLE+2.1Wy+1+1.02CR11+1.02CR23</v>
      </c>
      <c r="C352" s="13">
        <f t="shared" si="30"/>
        <v>1.05</v>
      </c>
      <c r="D352" s="13">
        <f t="shared" si="31"/>
        <v>1.2</v>
      </c>
      <c r="E352" s="13">
        <f t="shared" si="32"/>
        <v>1.2</v>
      </c>
      <c r="F352" s="13">
        <f t="shared" si="33"/>
        <v>1.1000000000000001</v>
      </c>
      <c r="G352" s="13">
        <f t="shared" si="34"/>
        <v>1.1000000000000001</v>
      </c>
      <c r="H352" s="13">
        <f t="shared" si="35"/>
        <v>1</v>
      </c>
      <c r="I352" s="13">
        <v>1.1700000000000002</v>
      </c>
      <c r="J352" s="13">
        <v>1.17</v>
      </c>
      <c r="K352" s="13">
        <v>1.08</v>
      </c>
      <c r="L352" s="13"/>
      <c r="M352" s="13"/>
      <c r="N352" s="13"/>
      <c r="O352" s="13"/>
      <c r="P352" s="13">
        <v>2.1</v>
      </c>
      <c r="Q352" s="13"/>
      <c r="R352" s="13"/>
      <c r="S352" s="13"/>
      <c r="T352" s="13">
        <f>T351</f>
        <v>1.02</v>
      </c>
      <c r="U352" s="13"/>
      <c r="V352" s="13"/>
      <c r="W352" s="13"/>
      <c r="X352" s="13"/>
      <c r="Y352" s="13"/>
      <c r="Z352" s="13">
        <f>Y351</f>
        <v>1.02</v>
      </c>
      <c r="AA352" s="13"/>
    </row>
    <row r="353" spans="1:27" x14ac:dyDescent="0.25">
      <c r="A353" s="4" t="s">
        <v>382</v>
      </c>
      <c r="B353" s="2" t="str" cm="1">
        <f t="array" ref="B353">User3($C$11:$ZX$11,C353:ZX353)</f>
        <v>1.05D+1.2SDL+1.2BW+1.1COL+1.1SOIL+1WATER+1.17Lr+1.17LLB+1.08LLE+2.1Wy+1+1.02CR11+1.02CR24</v>
      </c>
      <c r="C353" s="13">
        <f t="shared" si="30"/>
        <v>1.05</v>
      </c>
      <c r="D353" s="13">
        <f t="shared" si="31"/>
        <v>1.2</v>
      </c>
      <c r="E353" s="13">
        <f t="shared" si="32"/>
        <v>1.2</v>
      </c>
      <c r="F353" s="13">
        <f t="shared" si="33"/>
        <v>1.1000000000000001</v>
      </c>
      <c r="G353" s="13">
        <f t="shared" si="34"/>
        <v>1.1000000000000001</v>
      </c>
      <c r="H353" s="13">
        <f t="shared" si="35"/>
        <v>1</v>
      </c>
      <c r="I353" s="13">
        <v>1.1700000000000002</v>
      </c>
      <c r="J353" s="13">
        <v>1.17</v>
      </c>
      <c r="K353" s="13">
        <v>1.08</v>
      </c>
      <c r="L353" s="13"/>
      <c r="M353" s="13"/>
      <c r="N353" s="13"/>
      <c r="O353" s="13"/>
      <c r="P353" s="13">
        <v>2.1</v>
      </c>
      <c r="Q353" s="13"/>
      <c r="R353" s="13"/>
      <c r="S353" s="13"/>
      <c r="T353" s="13">
        <f>T352</f>
        <v>1.02</v>
      </c>
      <c r="U353" s="13"/>
      <c r="V353" s="13"/>
      <c r="W353" s="13"/>
      <c r="X353" s="13"/>
      <c r="Y353" s="13"/>
      <c r="Z353" s="13"/>
      <c r="AA353" s="13">
        <f>Z352</f>
        <v>1.02</v>
      </c>
    </row>
    <row r="354" spans="1:27" x14ac:dyDescent="0.25">
      <c r="A354" s="4" t="s">
        <v>383</v>
      </c>
      <c r="B354" s="2" t="str" cm="1">
        <f t="array" ref="B354">User3($C$11:$ZX$11,C354:ZX354)</f>
        <v>1.05D+1.2SDL+1.2BW+1.1COL+1.1SOIL+1WATER+1.17Lr+1.17LLB+1.08LLE+2.1Wy+1+1.02CR12+1.02CR21</v>
      </c>
      <c r="C354" s="13">
        <f t="shared" si="30"/>
        <v>1.05</v>
      </c>
      <c r="D354" s="13">
        <f t="shared" si="31"/>
        <v>1.2</v>
      </c>
      <c r="E354" s="13">
        <f t="shared" si="32"/>
        <v>1.2</v>
      </c>
      <c r="F354" s="13">
        <f t="shared" si="33"/>
        <v>1.1000000000000001</v>
      </c>
      <c r="G354" s="13">
        <f t="shared" si="34"/>
        <v>1.1000000000000001</v>
      </c>
      <c r="H354" s="13">
        <f t="shared" si="35"/>
        <v>1</v>
      </c>
      <c r="I354" s="13">
        <v>1.1700000000000002</v>
      </c>
      <c r="J354" s="13">
        <v>1.17</v>
      </c>
      <c r="K354" s="13">
        <v>1.08</v>
      </c>
      <c r="L354" s="13"/>
      <c r="M354" s="13"/>
      <c r="N354" s="13"/>
      <c r="O354" s="13"/>
      <c r="P354" s="13">
        <v>2.1</v>
      </c>
      <c r="Q354" s="13"/>
      <c r="R354" s="13"/>
      <c r="S354" s="13"/>
      <c r="T354" s="13"/>
      <c r="U354" s="13">
        <f>T350</f>
        <v>1.02</v>
      </c>
      <c r="V354" s="13"/>
      <c r="W354" s="13"/>
      <c r="X354" s="13">
        <f>X350</f>
        <v>1.02</v>
      </c>
      <c r="Y354" s="13"/>
      <c r="Z354" s="13"/>
      <c r="AA354" s="13"/>
    </row>
    <row r="355" spans="1:27" x14ac:dyDescent="0.25">
      <c r="A355" s="4" t="s">
        <v>384</v>
      </c>
      <c r="B355" s="2" t="str" cm="1">
        <f t="array" ref="B355">User3($C$11:$ZX$11,C355:ZX355)</f>
        <v>1.05D+1.2SDL+1.2BW+1.1COL+1.1SOIL+1WATER+1.17Lr+1.17LLB+1.08LLE+2.1Wy+1+1.02CR12+1.02CR22</v>
      </c>
      <c r="C355" s="13">
        <f t="shared" si="30"/>
        <v>1.05</v>
      </c>
      <c r="D355" s="13">
        <f t="shared" si="31"/>
        <v>1.2</v>
      </c>
      <c r="E355" s="13">
        <f t="shared" si="32"/>
        <v>1.2</v>
      </c>
      <c r="F355" s="13">
        <f t="shared" si="33"/>
        <v>1.1000000000000001</v>
      </c>
      <c r="G355" s="13">
        <f t="shared" si="34"/>
        <v>1.1000000000000001</v>
      </c>
      <c r="H355" s="13">
        <f t="shared" si="35"/>
        <v>1</v>
      </c>
      <c r="I355" s="13">
        <v>1.1700000000000002</v>
      </c>
      <c r="J355" s="13">
        <v>1.17</v>
      </c>
      <c r="K355" s="13">
        <v>1.08</v>
      </c>
      <c r="L355" s="13"/>
      <c r="M355" s="13"/>
      <c r="N355" s="13"/>
      <c r="O355" s="13"/>
      <c r="P355" s="13">
        <v>2.1</v>
      </c>
      <c r="Q355" s="13"/>
      <c r="R355" s="13"/>
      <c r="S355" s="13"/>
      <c r="T355" s="13"/>
      <c r="U355" s="13">
        <f>U354</f>
        <v>1.02</v>
      </c>
      <c r="V355" s="13"/>
      <c r="W355" s="13"/>
      <c r="X355" s="13"/>
      <c r="Y355" s="13">
        <f>Y351</f>
        <v>1.02</v>
      </c>
      <c r="Z355" s="13"/>
      <c r="AA355" s="13"/>
    </row>
    <row r="356" spans="1:27" x14ac:dyDescent="0.25">
      <c r="A356" s="4" t="s">
        <v>385</v>
      </c>
      <c r="B356" s="2" t="str" cm="1">
        <f t="array" ref="B356">User3($C$11:$ZX$11,C356:ZX356)</f>
        <v>1.05D+1.2SDL+1.2BW+1.1COL+1.1SOIL+1WATER+1.17Lr+1.17LLB+1.08LLE+2.1Wy+1+1.02CR12+1.02CR23</v>
      </c>
      <c r="C356" s="13">
        <f t="shared" si="30"/>
        <v>1.05</v>
      </c>
      <c r="D356" s="13">
        <f t="shared" si="31"/>
        <v>1.2</v>
      </c>
      <c r="E356" s="13">
        <f t="shared" si="32"/>
        <v>1.2</v>
      </c>
      <c r="F356" s="13">
        <f t="shared" si="33"/>
        <v>1.1000000000000001</v>
      </c>
      <c r="G356" s="13">
        <f t="shared" si="34"/>
        <v>1.1000000000000001</v>
      </c>
      <c r="H356" s="13">
        <f t="shared" si="35"/>
        <v>1</v>
      </c>
      <c r="I356" s="13">
        <v>1.1700000000000002</v>
      </c>
      <c r="J356" s="13">
        <v>1.17</v>
      </c>
      <c r="K356" s="13">
        <v>1.08</v>
      </c>
      <c r="L356" s="13"/>
      <c r="M356" s="13"/>
      <c r="N356" s="13"/>
      <c r="O356" s="13"/>
      <c r="P356" s="13">
        <v>2.1</v>
      </c>
      <c r="Q356" s="13"/>
      <c r="R356" s="13"/>
      <c r="S356" s="13"/>
      <c r="T356" s="13"/>
      <c r="U356" s="13">
        <f>U355</f>
        <v>1.02</v>
      </c>
      <c r="V356" s="13"/>
      <c r="W356" s="13"/>
      <c r="X356" s="13"/>
      <c r="Y356" s="13"/>
      <c r="Z356" s="13">
        <f>Z352</f>
        <v>1.02</v>
      </c>
      <c r="AA356" s="13"/>
    </row>
    <row r="357" spans="1:27" x14ac:dyDescent="0.25">
      <c r="A357" s="4" t="s">
        <v>386</v>
      </c>
      <c r="B357" s="2" t="str" cm="1">
        <f t="array" ref="B357">User3($C$11:$ZX$11,C357:ZX357)</f>
        <v>1.05D+1.2SDL+1.2BW+1.1COL+1.1SOIL+1WATER+1.17Lr+1.17LLB+1.08LLE+2.1Wy+1+1.02CR12+1.02CR24</v>
      </c>
      <c r="C357" s="16">
        <f t="shared" si="30"/>
        <v>1.05</v>
      </c>
      <c r="D357" s="16">
        <f t="shared" si="31"/>
        <v>1.2</v>
      </c>
      <c r="E357" s="16">
        <f t="shared" si="32"/>
        <v>1.2</v>
      </c>
      <c r="F357" s="16">
        <f t="shared" si="33"/>
        <v>1.1000000000000001</v>
      </c>
      <c r="G357" s="16">
        <f t="shared" si="34"/>
        <v>1.1000000000000001</v>
      </c>
      <c r="H357" s="16">
        <f t="shared" si="35"/>
        <v>1</v>
      </c>
      <c r="I357" s="16">
        <v>1.1700000000000002</v>
      </c>
      <c r="J357" s="16">
        <v>1.17</v>
      </c>
      <c r="K357" s="16">
        <v>1.08</v>
      </c>
      <c r="L357" s="16"/>
      <c r="M357" s="16"/>
      <c r="N357" s="16"/>
      <c r="O357" s="16"/>
      <c r="P357" s="16">
        <v>2.1</v>
      </c>
      <c r="Q357" s="16"/>
      <c r="R357" s="16"/>
      <c r="S357" s="16"/>
      <c r="T357" s="16"/>
      <c r="U357" s="16">
        <f>U356</f>
        <v>1.02</v>
      </c>
      <c r="V357" s="16"/>
      <c r="W357" s="16"/>
      <c r="X357" s="16"/>
      <c r="Y357" s="16"/>
      <c r="Z357" s="16"/>
      <c r="AA357" s="16">
        <f>AA353</f>
        <v>1.02</v>
      </c>
    </row>
    <row r="358" spans="1:27" x14ac:dyDescent="0.25">
      <c r="A358" s="4" t="s">
        <v>387</v>
      </c>
      <c r="B358" s="2" t="str" cm="1">
        <f t="array" ref="B358">User3($C$11:$ZX$11,C358:ZX358)</f>
        <v>1.05D+1.2SDL+1.2BW+1.1COL+1.1SOIL+1WATER+1.17Lr+1.17LLB+1.08LLE+2.1Wy+1+1.02CR13+1.02CR21</v>
      </c>
      <c r="C358" s="13">
        <f t="shared" si="30"/>
        <v>1.05</v>
      </c>
      <c r="D358" s="13">
        <f t="shared" si="31"/>
        <v>1.2</v>
      </c>
      <c r="E358" s="13">
        <f t="shared" si="32"/>
        <v>1.2</v>
      </c>
      <c r="F358" s="13">
        <f t="shared" si="33"/>
        <v>1.1000000000000001</v>
      </c>
      <c r="G358" s="13">
        <f t="shared" si="34"/>
        <v>1.1000000000000001</v>
      </c>
      <c r="H358" s="13">
        <f t="shared" si="35"/>
        <v>1</v>
      </c>
      <c r="I358" s="10">
        <v>1.1700000000000002</v>
      </c>
      <c r="J358" s="10">
        <v>1.17</v>
      </c>
      <c r="K358" s="10">
        <v>1.08</v>
      </c>
      <c r="L358" s="10"/>
      <c r="M358" s="10"/>
      <c r="N358" s="10"/>
      <c r="O358" s="10"/>
      <c r="P358" s="10">
        <v>2.1</v>
      </c>
      <c r="Q358" s="10"/>
      <c r="R358" s="10"/>
      <c r="S358" s="10"/>
      <c r="T358" s="10"/>
      <c r="U358" s="10"/>
      <c r="V358" s="10">
        <f>U357</f>
        <v>1.02</v>
      </c>
      <c r="W358" s="10"/>
      <c r="X358" s="10">
        <f>X354</f>
        <v>1.02</v>
      </c>
      <c r="Y358" s="10"/>
      <c r="Z358" s="10"/>
      <c r="AA358" s="10"/>
    </row>
    <row r="359" spans="1:27" x14ac:dyDescent="0.25">
      <c r="A359" s="4" t="s">
        <v>388</v>
      </c>
      <c r="B359" s="2" t="str" cm="1">
        <f t="array" ref="B359">User3($C$11:$ZX$11,C359:ZX359)</f>
        <v>1.05D+1.2SDL+1.2BW+1.1COL+1.1SOIL+1WATER+1.17Lr+1.17LLB+1.08LLE+2.1Wy+1+1.02CR13+1.02CR22</v>
      </c>
      <c r="C359" s="13">
        <f t="shared" si="30"/>
        <v>1.05</v>
      </c>
      <c r="D359" s="13">
        <f t="shared" si="31"/>
        <v>1.2</v>
      </c>
      <c r="E359" s="13">
        <f t="shared" si="32"/>
        <v>1.2</v>
      </c>
      <c r="F359" s="13">
        <f t="shared" si="33"/>
        <v>1.1000000000000001</v>
      </c>
      <c r="G359" s="13">
        <f t="shared" si="34"/>
        <v>1.1000000000000001</v>
      </c>
      <c r="H359" s="13">
        <f t="shared" si="35"/>
        <v>1</v>
      </c>
      <c r="I359" s="13">
        <v>1.1700000000000002</v>
      </c>
      <c r="J359" s="13">
        <v>1.17</v>
      </c>
      <c r="K359" s="13">
        <v>1.08</v>
      </c>
      <c r="L359" s="13"/>
      <c r="M359" s="13"/>
      <c r="N359" s="13"/>
      <c r="O359" s="13"/>
      <c r="P359" s="13">
        <v>2.1</v>
      </c>
      <c r="Q359" s="13"/>
      <c r="R359" s="13"/>
      <c r="S359" s="13"/>
      <c r="T359" s="13"/>
      <c r="U359" s="13"/>
      <c r="V359" s="13">
        <f>V358</f>
        <v>1.02</v>
      </c>
      <c r="W359" s="13"/>
      <c r="X359" s="13"/>
      <c r="Y359" s="13">
        <f>X358</f>
        <v>1.02</v>
      </c>
      <c r="Z359" s="13"/>
      <c r="AA359" s="13"/>
    </row>
    <row r="360" spans="1:27" x14ac:dyDescent="0.25">
      <c r="A360" s="4" t="s">
        <v>389</v>
      </c>
      <c r="B360" s="2" t="str" cm="1">
        <f t="array" ref="B360">User3($C$11:$ZX$11,C360:ZX360)</f>
        <v>1.05D+1.2SDL+1.2BW+1.1COL+1.1SOIL+1WATER+1.17Lr+1.17LLB+1.08LLE+2.1Wy+1+1.02CR13+1.02CR23</v>
      </c>
      <c r="C360" s="13">
        <f t="shared" si="30"/>
        <v>1.05</v>
      </c>
      <c r="D360" s="13">
        <f t="shared" si="31"/>
        <v>1.2</v>
      </c>
      <c r="E360" s="13">
        <f t="shared" si="32"/>
        <v>1.2</v>
      </c>
      <c r="F360" s="13">
        <f t="shared" si="33"/>
        <v>1.1000000000000001</v>
      </c>
      <c r="G360" s="13">
        <f t="shared" si="34"/>
        <v>1.1000000000000001</v>
      </c>
      <c r="H360" s="13">
        <f t="shared" si="35"/>
        <v>1</v>
      </c>
      <c r="I360" s="13">
        <v>1.1700000000000002</v>
      </c>
      <c r="J360" s="13">
        <v>1.17</v>
      </c>
      <c r="K360" s="13">
        <v>1.08</v>
      </c>
      <c r="L360" s="13"/>
      <c r="M360" s="13"/>
      <c r="N360" s="13"/>
      <c r="O360" s="13"/>
      <c r="P360" s="13">
        <v>2.1</v>
      </c>
      <c r="Q360" s="13"/>
      <c r="R360" s="13"/>
      <c r="S360" s="13"/>
      <c r="T360" s="13"/>
      <c r="U360" s="13"/>
      <c r="V360" s="13">
        <f>V359</f>
        <v>1.02</v>
      </c>
      <c r="W360" s="13"/>
      <c r="X360" s="13"/>
      <c r="Y360" s="13"/>
      <c r="Z360" s="13">
        <f>Y359</f>
        <v>1.02</v>
      </c>
      <c r="AA360" s="13"/>
    </row>
    <row r="361" spans="1:27" x14ac:dyDescent="0.25">
      <c r="A361" s="4" t="s">
        <v>390</v>
      </c>
      <c r="B361" s="2" t="str" cm="1">
        <f t="array" ref="B361">User3($C$11:$ZX$11,C361:ZX361)</f>
        <v>1.05D+1.2SDL+1.2BW+1.1COL+1.1SOIL+1WATER+1.17Lr+1.17LLB+1.08LLE+2.1Wy+1+1.02CR13+1.02CR24</v>
      </c>
      <c r="C361" s="13">
        <f t="shared" si="30"/>
        <v>1.05</v>
      </c>
      <c r="D361" s="13">
        <f t="shared" si="31"/>
        <v>1.2</v>
      </c>
      <c r="E361" s="13">
        <f t="shared" si="32"/>
        <v>1.2</v>
      </c>
      <c r="F361" s="13">
        <f t="shared" si="33"/>
        <v>1.1000000000000001</v>
      </c>
      <c r="G361" s="13">
        <f t="shared" si="34"/>
        <v>1.1000000000000001</v>
      </c>
      <c r="H361" s="13">
        <f t="shared" si="35"/>
        <v>1</v>
      </c>
      <c r="I361" s="13">
        <v>1.1700000000000002</v>
      </c>
      <c r="J361" s="13">
        <v>1.17</v>
      </c>
      <c r="K361" s="13">
        <v>1.08</v>
      </c>
      <c r="L361" s="13"/>
      <c r="M361" s="13"/>
      <c r="N361" s="13"/>
      <c r="O361" s="13"/>
      <c r="P361" s="13">
        <v>2.1</v>
      </c>
      <c r="Q361" s="13"/>
      <c r="R361" s="13"/>
      <c r="S361" s="13"/>
      <c r="T361" s="13"/>
      <c r="U361" s="13"/>
      <c r="V361" s="13">
        <f>V360</f>
        <v>1.02</v>
      </c>
      <c r="W361" s="13"/>
      <c r="X361" s="13"/>
      <c r="Y361" s="13"/>
      <c r="Z361" s="13"/>
      <c r="AA361" s="13">
        <f>Z360</f>
        <v>1.02</v>
      </c>
    </row>
    <row r="362" spans="1:27" x14ac:dyDescent="0.25">
      <c r="A362" s="4" t="s">
        <v>391</v>
      </c>
      <c r="B362" s="2" t="str" cm="1">
        <f t="array" ref="B362">User3($C$11:$ZX$11,C362:ZX362)</f>
        <v>1.05D+1.2SDL+1.2BW+1.1COL+1.1SOIL+1WATER+1.17Lr+1.17LLB+1.08LLE+2.1Wy+1+1.02CR14+1.02CR21</v>
      </c>
      <c r="C362" s="13">
        <f t="shared" si="30"/>
        <v>1.05</v>
      </c>
      <c r="D362" s="13">
        <f t="shared" si="31"/>
        <v>1.2</v>
      </c>
      <c r="E362" s="13">
        <f t="shared" si="32"/>
        <v>1.2</v>
      </c>
      <c r="F362" s="13">
        <f t="shared" si="33"/>
        <v>1.1000000000000001</v>
      </c>
      <c r="G362" s="13">
        <f t="shared" si="34"/>
        <v>1.1000000000000001</v>
      </c>
      <c r="H362" s="13">
        <f t="shared" si="35"/>
        <v>1</v>
      </c>
      <c r="I362" s="13">
        <v>1.1700000000000002</v>
      </c>
      <c r="J362" s="13">
        <v>1.17</v>
      </c>
      <c r="K362" s="13">
        <v>1.08</v>
      </c>
      <c r="L362" s="13"/>
      <c r="M362" s="13"/>
      <c r="N362" s="13"/>
      <c r="O362" s="13"/>
      <c r="P362" s="13">
        <v>2.1</v>
      </c>
      <c r="Q362" s="13"/>
      <c r="R362" s="13"/>
      <c r="S362" s="13"/>
      <c r="T362" s="13"/>
      <c r="U362" s="13"/>
      <c r="V362" s="13"/>
      <c r="W362" s="13">
        <f>V361</f>
        <v>1.02</v>
      </c>
      <c r="X362" s="13">
        <f>X358</f>
        <v>1.02</v>
      </c>
      <c r="Y362" s="13"/>
      <c r="Z362" s="13"/>
      <c r="AA362" s="13"/>
    </row>
    <row r="363" spans="1:27" x14ac:dyDescent="0.25">
      <c r="A363" s="4" t="s">
        <v>392</v>
      </c>
      <c r="B363" s="2" t="str" cm="1">
        <f t="array" ref="B363">User3($C$11:$ZX$11,C363:ZX363)</f>
        <v>1.05D+1.2SDL+1.2BW+1.1COL+1.1SOIL+1WATER+1.17Lr+1.17LLB+1.08LLE+2.1Wy+1+1.02CR14+1.02CR22</v>
      </c>
      <c r="C363" s="13">
        <f t="shared" si="30"/>
        <v>1.05</v>
      </c>
      <c r="D363" s="13">
        <f t="shared" si="31"/>
        <v>1.2</v>
      </c>
      <c r="E363" s="13">
        <f t="shared" si="32"/>
        <v>1.2</v>
      </c>
      <c r="F363" s="13">
        <f t="shared" si="33"/>
        <v>1.1000000000000001</v>
      </c>
      <c r="G363" s="13">
        <f t="shared" si="34"/>
        <v>1.1000000000000001</v>
      </c>
      <c r="H363" s="13">
        <f t="shared" si="35"/>
        <v>1</v>
      </c>
      <c r="I363" s="13">
        <v>1.1700000000000002</v>
      </c>
      <c r="J363" s="13">
        <v>1.17</v>
      </c>
      <c r="K363" s="13">
        <v>1.08</v>
      </c>
      <c r="L363" s="13"/>
      <c r="M363" s="13"/>
      <c r="N363" s="13"/>
      <c r="O363" s="13"/>
      <c r="P363" s="13">
        <v>2.1</v>
      </c>
      <c r="Q363" s="13"/>
      <c r="R363" s="13"/>
      <c r="S363" s="13"/>
      <c r="T363" s="13"/>
      <c r="U363" s="13"/>
      <c r="V363" s="13"/>
      <c r="W363" s="13">
        <f>W362</f>
        <v>1.02</v>
      </c>
      <c r="X363" s="13"/>
      <c r="Y363" s="13">
        <f>X362</f>
        <v>1.02</v>
      </c>
      <c r="Z363" s="13"/>
      <c r="AA363" s="13"/>
    </row>
    <row r="364" spans="1:27" x14ac:dyDescent="0.25">
      <c r="A364" s="4" t="s">
        <v>393</v>
      </c>
      <c r="B364" s="2" t="str" cm="1">
        <f t="array" ref="B364">User3($C$11:$ZX$11,C364:ZX364)</f>
        <v>1.05D+1.2SDL+1.2BW+1.1COL+1.1SOIL+1WATER+1.17Lr+1.17LLB+1.08LLE+2.1Wy+1+1.02CR14+1.02CR23</v>
      </c>
      <c r="C364" s="13">
        <f t="shared" si="30"/>
        <v>1.05</v>
      </c>
      <c r="D364" s="13">
        <f t="shared" si="31"/>
        <v>1.2</v>
      </c>
      <c r="E364" s="13">
        <f t="shared" si="32"/>
        <v>1.2</v>
      </c>
      <c r="F364" s="13">
        <f t="shared" si="33"/>
        <v>1.1000000000000001</v>
      </c>
      <c r="G364" s="13">
        <f t="shared" si="34"/>
        <v>1.1000000000000001</v>
      </c>
      <c r="H364" s="13">
        <f t="shared" si="35"/>
        <v>1</v>
      </c>
      <c r="I364" s="13">
        <v>1.1700000000000002</v>
      </c>
      <c r="J364" s="13">
        <v>1.17</v>
      </c>
      <c r="K364" s="13">
        <v>1.08</v>
      </c>
      <c r="L364" s="13"/>
      <c r="M364" s="13"/>
      <c r="N364" s="13"/>
      <c r="O364" s="13"/>
      <c r="P364" s="13">
        <v>2.1</v>
      </c>
      <c r="Q364" s="13"/>
      <c r="R364" s="13"/>
      <c r="S364" s="13"/>
      <c r="T364" s="13"/>
      <c r="U364" s="13"/>
      <c r="V364" s="13"/>
      <c r="W364" s="13">
        <f>W363</f>
        <v>1.02</v>
      </c>
      <c r="X364" s="13"/>
      <c r="Y364" s="13"/>
      <c r="Z364" s="13">
        <f>Y363</f>
        <v>1.02</v>
      </c>
      <c r="AA364" s="13"/>
    </row>
    <row r="365" spans="1:27" x14ac:dyDescent="0.25">
      <c r="A365" s="4" t="s">
        <v>394</v>
      </c>
      <c r="B365" s="2" t="str" cm="1">
        <f t="array" ref="B365">User3($C$11:$ZX$11,C365:ZX365)</f>
        <v>1.05D+1.2SDL+1.2BW+1.1COL+1.1SOIL+1WATER+1.17Lr+1.17LLB+1.08LLE+2.1Wy+1+1.02CR14+1.02CR24</v>
      </c>
      <c r="C365" s="16">
        <f t="shared" si="30"/>
        <v>1.05</v>
      </c>
      <c r="D365" s="16">
        <f t="shared" si="31"/>
        <v>1.2</v>
      </c>
      <c r="E365" s="16">
        <f t="shared" si="32"/>
        <v>1.2</v>
      </c>
      <c r="F365" s="16">
        <f t="shared" si="33"/>
        <v>1.1000000000000001</v>
      </c>
      <c r="G365" s="16">
        <f t="shared" si="34"/>
        <v>1.1000000000000001</v>
      </c>
      <c r="H365" s="16">
        <f t="shared" si="35"/>
        <v>1</v>
      </c>
      <c r="I365" s="16">
        <v>1.1700000000000002</v>
      </c>
      <c r="J365" s="16">
        <v>1.17</v>
      </c>
      <c r="K365" s="16">
        <v>1.08</v>
      </c>
      <c r="L365" s="16"/>
      <c r="M365" s="16"/>
      <c r="N365" s="16"/>
      <c r="O365" s="16"/>
      <c r="P365" s="16">
        <v>2.1</v>
      </c>
      <c r="Q365" s="16"/>
      <c r="R365" s="16"/>
      <c r="S365" s="16"/>
      <c r="T365" s="16"/>
      <c r="U365" s="16"/>
      <c r="V365" s="16"/>
      <c r="W365" s="16">
        <f>W364</f>
        <v>1.02</v>
      </c>
      <c r="X365" s="16"/>
      <c r="Y365" s="16"/>
      <c r="Z365" s="16"/>
      <c r="AA365" s="16">
        <f>Z364</f>
        <v>1.02</v>
      </c>
    </row>
    <row r="366" spans="1:27" x14ac:dyDescent="0.25">
      <c r="A366" s="4" t="s">
        <v>395</v>
      </c>
      <c r="B366" s="2" t="str" cm="1">
        <f t="array" ref="B366">User3($C$11:$ZX$11,C366:ZX366)</f>
        <v>1.05D+1.2SDL+1.2BW+1.1COL+1.1SOIL+1WATER+1.17Lr+1.17LLB+1.08LLE+2.1Wy+2+1.02CR11+1.02CR21</v>
      </c>
      <c r="C366" s="13">
        <f t="shared" si="30"/>
        <v>1.05</v>
      </c>
      <c r="D366" s="13">
        <f t="shared" si="31"/>
        <v>1.2</v>
      </c>
      <c r="E366" s="13">
        <f t="shared" si="32"/>
        <v>1.2</v>
      </c>
      <c r="F366" s="13">
        <f t="shared" si="33"/>
        <v>1.1000000000000001</v>
      </c>
      <c r="G366" s="13">
        <f t="shared" si="34"/>
        <v>1.1000000000000001</v>
      </c>
      <c r="H366" s="13">
        <f t="shared" si="35"/>
        <v>1</v>
      </c>
      <c r="I366" s="10">
        <v>1.1700000000000002</v>
      </c>
      <c r="J366" s="10">
        <v>1.17</v>
      </c>
      <c r="K366" s="10">
        <v>1.08</v>
      </c>
      <c r="L366" s="10"/>
      <c r="M366" s="10"/>
      <c r="N366" s="10"/>
      <c r="O366" s="10"/>
      <c r="P366" s="10"/>
      <c r="Q366" s="10">
        <v>2.1</v>
      </c>
      <c r="R366" s="10"/>
      <c r="S366" s="10"/>
      <c r="T366" s="10">
        <f>T350</f>
        <v>1.02</v>
      </c>
      <c r="U366" s="10"/>
      <c r="V366" s="10"/>
      <c r="W366" s="10"/>
      <c r="X366" s="10">
        <f>T366</f>
        <v>1.02</v>
      </c>
      <c r="Y366" s="10"/>
      <c r="Z366" s="10"/>
      <c r="AA366" s="10"/>
    </row>
    <row r="367" spans="1:27" x14ac:dyDescent="0.25">
      <c r="A367" s="4" t="s">
        <v>396</v>
      </c>
      <c r="B367" s="2" t="str" cm="1">
        <f t="array" ref="B367">User3($C$11:$ZX$11,C367:ZX367)</f>
        <v>1.05D+1.2SDL+1.2BW+1.1COL+1.1SOIL+1WATER+1.17Lr+1.17LLB+1.08LLE+2.1Wy+2+1.02CR11+1.02CR22</v>
      </c>
      <c r="C367" s="13">
        <f t="shared" si="30"/>
        <v>1.05</v>
      </c>
      <c r="D367" s="13">
        <f t="shared" si="31"/>
        <v>1.2</v>
      </c>
      <c r="E367" s="13">
        <f t="shared" si="32"/>
        <v>1.2</v>
      </c>
      <c r="F367" s="13">
        <f t="shared" si="33"/>
        <v>1.1000000000000001</v>
      </c>
      <c r="G367" s="13">
        <f t="shared" si="34"/>
        <v>1.1000000000000001</v>
      </c>
      <c r="H367" s="13">
        <f t="shared" si="35"/>
        <v>1</v>
      </c>
      <c r="I367" s="13">
        <v>1.1700000000000002</v>
      </c>
      <c r="J367" s="13">
        <v>1.17</v>
      </c>
      <c r="K367" s="13">
        <v>1.08</v>
      </c>
      <c r="L367" s="13"/>
      <c r="M367" s="13"/>
      <c r="N367" s="13"/>
      <c r="O367" s="13"/>
      <c r="P367" s="13"/>
      <c r="Q367" s="13">
        <v>2.1</v>
      </c>
      <c r="R367" s="13"/>
      <c r="S367" s="13"/>
      <c r="T367" s="13">
        <f>T366</f>
        <v>1.02</v>
      </c>
      <c r="U367" s="13"/>
      <c r="V367" s="13"/>
      <c r="W367" s="13"/>
      <c r="X367" s="13"/>
      <c r="Y367" s="13">
        <f>X366</f>
        <v>1.02</v>
      </c>
      <c r="Z367" s="13"/>
      <c r="AA367" s="13"/>
    </row>
    <row r="368" spans="1:27" x14ac:dyDescent="0.25">
      <c r="A368" s="4" t="s">
        <v>397</v>
      </c>
      <c r="B368" s="2" t="str" cm="1">
        <f t="array" ref="B368">User3($C$11:$ZX$11,C368:ZX368)</f>
        <v>1.05D+1.2SDL+1.2BW+1.1COL+1.1SOIL+1WATER+1.17Lr+1.17LLB+1.08LLE+2.1Wy+2+1.02CR11+1.02CR23</v>
      </c>
      <c r="C368" s="13">
        <f t="shared" si="30"/>
        <v>1.05</v>
      </c>
      <c r="D368" s="13">
        <f t="shared" si="31"/>
        <v>1.2</v>
      </c>
      <c r="E368" s="13">
        <f t="shared" si="32"/>
        <v>1.2</v>
      </c>
      <c r="F368" s="13">
        <f t="shared" si="33"/>
        <v>1.1000000000000001</v>
      </c>
      <c r="G368" s="13">
        <f t="shared" si="34"/>
        <v>1.1000000000000001</v>
      </c>
      <c r="H368" s="13">
        <f t="shared" si="35"/>
        <v>1</v>
      </c>
      <c r="I368" s="13">
        <v>1.1700000000000002</v>
      </c>
      <c r="J368" s="13">
        <v>1.17</v>
      </c>
      <c r="K368" s="13">
        <v>1.08</v>
      </c>
      <c r="L368" s="13"/>
      <c r="M368" s="13"/>
      <c r="N368" s="13"/>
      <c r="O368" s="13"/>
      <c r="P368" s="13"/>
      <c r="Q368" s="13">
        <v>2.1</v>
      </c>
      <c r="R368" s="13"/>
      <c r="S368" s="13"/>
      <c r="T368" s="13">
        <f>T367</f>
        <v>1.02</v>
      </c>
      <c r="U368" s="13"/>
      <c r="V368" s="13"/>
      <c r="W368" s="13"/>
      <c r="X368" s="13"/>
      <c r="Y368" s="13"/>
      <c r="Z368" s="13">
        <f>Y367</f>
        <v>1.02</v>
      </c>
      <c r="AA368" s="13"/>
    </row>
    <row r="369" spans="1:27" x14ac:dyDescent="0.25">
      <c r="A369" s="4" t="s">
        <v>398</v>
      </c>
      <c r="B369" s="2" t="str" cm="1">
        <f t="array" ref="B369">User3($C$11:$ZX$11,C369:ZX369)</f>
        <v>1.05D+1.2SDL+1.2BW+1.1COL+1.1SOIL+1WATER+1.17Lr+1.17LLB+1.08LLE+2.1Wy+2+1.02CR11+1.02CR24</v>
      </c>
      <c r="C369" s="13">
        <f t="shared" si="30"/>
        <v>1.05</v>
      </c>
      <c r="D369" s="13">
        <f t="shared" si="31"/>
        <v>1.2</v>
      </c>
      <c r="E369" s="13">
        <f t="shared" si="32"/>
        <v>1.2</v>
      </c>
      <c r="F369" s="13">
        <f t="shared" si="33"/>
        <v>1.1000000000000001</v>
      </c>
      <c r="G369" s="13">
        <f t="shared" si="34"/>
        <v>1.1000000000000001</v>
      </c>
      <c r="H369" s="13">
        <f t="shared" si="35"/>
        <v>1</v>
      </c>
      <c r="I369" s="13">
        <v>1.1700000000000002</v>
      </c>
      <c r="J369" s="13">
        <v>1.17</v>
      </c>
      <c r="K369" s="13">
        <v>1.08</v>
      </c>
      <c r="L369" s="13"/>
      <c r="M369" s="13"/>
      <c r="N369" s="13"/>
      <c r="O369" s="13"/>
      <c r="P369" s="13"/>
      <c r="Q369" s="13">
        <v>2.1</v>
      </c>
      <c r="R369" s="13"/>
      <c r="S369" s="13"/>
      <c r="T369" s="13">
        <f>T368</f>
        <v>1.02</v>
      </c>
      <c r="U369" s="13"/>
      <c r="V369" s="13"/>
      <c r="W369" s="13"/>
      <c r="X369" s="13"/>
      <c r="Y369" s="13"/>
      <c r="Z369" s="13"/>
      <c r="AA369" s="13">
        <f>Z368</f>
        <v>1.02</v>
      </c>
    </row>
    <row r="370" spans="1:27" x14ac:dyDescent="0.25">
      <c r="A370" s="4" t="s">
        <v>399</v>
      </c>
      <c r="B370" s="2" t="str" cm="1">
        <f t="array" ref="B370">User3($C$11:$ZX$11,C370:ZX370)</f>
        <v>1.05D+1.2SDL+1.2BW+1.1COL+1.1SOIL+1WATER+1.17Lr+1.17LLB+1.08LLE+2.1Wy+2+1.02CR12+1.02CR21</v>
      </c>
      <c r="C370" s="13">
        <f t="shared" si="30"/>
        <v>1.05</v>
      </c>
      <c r="D370" s="13">
        <f t="shared" si="31"/>
        <v>1.2</v>
      </c>
      <c r="E370" s="13">
        <f t="shared" si="32"/>
        <v>1.2</v>
      </c>
      <c r="F370" s="13">
        <f t="shared" si="33"/>
        <v>1.1000000000000001</v>
      </c>
      <c r="G370" s="13">
        <f t="shared" si="34"/>
        <v>1.1000000000000001</v>
      </c>
      <c r="H370" s="13">
        <f t="shared" si="35"/>
        <v>1</v>
      </c>
      <c r="I370" s="13">
        <v>1.1700000000000002</v>
      </c>
      <c r="J370" s="13">
        <v>1.17</v>
      </c>
      <c r="K370" s="13">
        <v>1.08</v>
      </c>
      <c r="L370" s="13"/>
      <c r="M370" s="13"/>
      <c r="N370" s="13"/>
      <c r="O370" s="13"/>
      <c r="P370" s="13"/>
      <c r="Q370" s="13">
        <v>2.1</v>
      </c>
      <c r="R370" s="13"/>
      <c r="S370" s="13"/>
      <c r="T370" s="13"/>
      <c r="U370" s="13">
        <f>T366</f>
        <v>1.02</v>
      </c>
      <c r="V370" s="13"/>
      <c r="W370" s="13"/>
      <c r="X370" s="13">
        <f>X366</f>
        <v>1.02</v>
      </c>
      <c r="Y370" s="13"/>
      <c r="Z370" s="13"/>
      <c r="AA370" s="13"/>
    </row>
    <row r="371" spans="1:27" x14ac:dyDescent="0.25">
      <c r="A371" s="4" t="s">
        <v>400</v>
      </c>
      <c r="B371" s="2" t="str" cm="1">
        <f t="array" ref="B371">User3($C$11:$ZX$11,C371:ZX371)</f>
        <v>1.05D+1.2SDL+1.2BW+1.1COL+1.1SOIL+1WATER+1.17Lr+1.17LLB+1.08LLE+2.1Wy+2+1.02CR12+1.02CR22</v>
      </c>
      <c r="C371" s="13">
        <f t="shared" si="30"/>
        <v>1.05</v>
      </c>
      <c r="D371" s="13">
        <f t="shared" si="31"/>
        <v>1.2</v>
      </c>
      <c r="E371" s="13">
        <f t="shared" si="32"/>
        <v>1.2</v>
      </c>
      <c r="F371" s="13">
        <f t="shared" si="33"/>
        <v>1.1000000000000001</v>
      </c>
      <c r="G371" s="13">
        <f t="shared" si="34"/>
        <v>1.1000000000000001</v>
      </c>
      <c r="H371" s="13">
        <f t="shared" si="35"/>
        <v>1</v>
      </c>
      <c r="I371" s="13">
        <v>1.1700000000000002</v>
      </c>
      <c r="J371" s="13">
        <v>1.17</v>
      </c>
      <c r="K371" s="13">
        <v>1.08</v>
      </c>
      <c r="L371" s="13"/>
      <c r="M371" s="13"/>
      <c r="N371" s="13"/>
      <c r="O371" s="13"/>
      <c r="P371" s="13"/>
      <c r="Q371" s="13">
        <v>2.1</v>
      </c>
      <c r="R371" s="13"/>
      <c r="S371" s="13"/>
      <c r="T371" s="13"/>
      <c r="U371" s="13">
        <f>U370</f>
        <v>1.02</v>
      </c>
      <c r="V371" s="13"/>
      <c r="W371" s="13"/>
      <c r="X371" s="13"/>
      <c r="Y371" s="13">
        <f>Y367</f>
        <v>1.02</v>
      </c>
      <c r="Z371" s="13"/>
      <c r="AA371" s="13"/>
    </row>
    <row r="372" spans="1:27" x14ac:dyDescent="0.25">
      <c r="A372" s="4" t="s">
        <v>401</v>
      </c>
      <c r="B372" s="2" t="str" cm="1">
        <f t="array" ref="B372">User3($C$11:$ZX$11,C372:ZX372)</f>
        <v>1.05D+1.2SDL+1.2BW+1.1COL+1.1SOIL+1WATER+1.17Lr+1.17LLB+1.08LLE+2.1Wy+2+1.02CR12+1.02CR23</v>
      </c>
      <c r="C372" s="13">
        <f t="shared" si="30"/>
        <v>1.05</v>
      </c>
      <c r="D372" s="13">
        <f t="shared" si="31"/>
        <v>1.2</v>
      </c>
      <c r="E372" s="13">
        <f t="shared" si="32"/>
        <v>1.2</v>
      </c>
      <c r="F372" s="13">
        <f t="shared" si="33"/>
        <v>1.1000000000000001</v>
      </c>
      <c r="G372" s="13">
        <f t="shared" si="34"/>
        <v>1.1000000000000001</v>
      </c>
      <c r="H372" s="13">
        <f t="shared" si="35"/>
        <v>1</v>
      </c>
      <c r="I372" s="13">
        <v>1.1700000000000002</v>
      </c>
      <c r="J372" s="13">
        <v>1.17</v>
      </c>
      <c r="K372" s="13">
        <v>1.08</v>
      </c>
      <c r="L372" s="13"/>
      <c r="M372" s="13"/>
      <c r="N372" s="13"/>
      <c r="O372" s="13"/>
      <c r="P372" s="13"/>
      <c r="Q372" s="13">
        <v>2.1</v>
      </c>
      <c r="R372" s="13"/>
      <c r="S372" s="13"/>
      <c r="T372" s="13"/>
      <c r="U372" s="13">
        <f>U371</f>
        <v>1.02</v>
      </c>
      <c r="V372" s="13"/>
      <c r="W372" s="13"/>
      <c r="X372" s="13"/>
      <c r="Y372" s="13"/>
      <c r="Z372" s="13">
        <f>Z368</f>
        <v>1.02</v>
      </c>
      <c r="AA372" s="13"/>
    </row>
    <row r="373" spans="1:27" x14ac:dyDescent="0.25">
      <c r="A373" s="4" t="s">
        <v>402</v>
      </c>
      <c r="B373" s="2" t="str" cm="1">
        <f t="array" ref="B373">User3($C$11:$ZX$11,C373:ZX373)</f>
        <v>1.05D+1.2SDL+1.2BW+1.1COL+1.1SOIL+1WATER+1.17Lr+1.17LLB+1.08LLE+2.1Wy+2+1.02CR12+1.02CR24</v>
      </c>
      <c r="C373" s="16">
        <f t="shared" si="30"/>
        <v>1.05</v>
      </c>
      <c r="D373" s="16">
        <f t="shared" si="31"/>
        <v>1.2</v>
      </c>
      <c r="E373" s="16">
        <f t="shared" si="32"/>
        <v>1.2</v>
      </c>
      <c r="F373" s="16">
        <f t="shared" si="33"/>
        <v>1.1000000000000001</v>
      </c>
      <c r="G373" s="16">
        <f t="shared" si="34"/>
        <v>1.1000000000000001</v>
      </c>
      <c r="H373" s="16">
        <f t="shared" si="35"/>
        <v>1</v>
      </c>
      <c r="I373" s="16">
        <v>1.1700000000000002</v>
      </c>
      <c r="J373" s="16">
        <v>1.17</v>
      </c>
      <c r="K373" s="16">
        <v>1.08</v>
      </c>
      <c r="L373" s="16"/>
      <c r="M373" s="16"/>
      <c r="N373" s="16"/>
      <c r="O373" s="16"/>
      <c r="P373" s="16"/>
      <c r="Q373" s="16">
        <v>2.1</v>
      </c>
      <c r="R373" s="16"/>
      <c r="S373" s="16"/>
      <c r="T373" s="16"/>
      <c r="U373" s="16">
        <f>U372</f>
        <v>1.02</v>
      </c>
      <c r="V373" s="16"/>
      <c r="W373" s="16"/>
      <c r="X373" s="16"/>
      <c r="Y373" s="16"/>
      <c r="Z373" s="16"/>
      <c r="AA373" s="16">
        <f>AA369</f>
        <v>1.02</v>
      </c>
    </row>
    <row r="374" spans="1:27" x14ac:dyDescent="0.25">
      <c r="A374" s="4" t="s">
        <v>403</v>
      </c>
      <c r="B374" s="2" t="str" cm="1">
        <f t="array" ref="B374">User3($C$11:$ZX$11,C374:ZX374)</f>
        <v>1.05D+1.2SDL+1.2BW+1.1COL+1.1SOIL+1WATER+1.17Lr+1.17LLB+1.08LLE+2.1Wy+2+1.02CR13+1.02CR21</v>
      </c>
      <c r="C374" s="13">
        <f t="shared" si="30"/>
        <v>1.05</v>
      </c>
      <c r="D374" s="13">
        <f t="shared" si="31"/>
        <v>1.2</v>
      </c>
      <c r="E374" s="13">
        <f t="shared" si="32"/>
        <v>1.2</v>
      </c>
      <c r="F374" s="13">
        <f t="shared" si="33"/>
        <v>1.1000000000000001</v>
      </c>
      <c r="G374" s="13">
        <f t="shared" si="34"/>
        <v>1.1000000000000001</v>
      </c>
      <c r="H374" s="13">
        <f t="shared" si="35"/>
        <v>1</v>
      </c>
      <c r="I374" s="10">
        <v>1.1700000000000002</v>
      </c>
      <c r="J374" s="10">
        <v>1.17</v>
      </c>
      <c r="K374" s="10">
        <v>1.08</v>
      </c>
      <c r="L374" s="10"/>
      <c r="M374" s="10"/>
      <c r="N374" s="10"/>
      <c r="O374" s="10"/>
      <c r="P374" s="10"/>
      <c r="Q374" s="10">
        <v>2.1</v>
      </c>
      <c r="R374" s="10"/>
      <c r="S374" s="10"/>
      <c r="T374" s="10"/>
      <c r="U374" s="10"/>
      <c r="V374" s="10">
        <f>U373</f>
        <v>1.02</v>
      </c>
      <c r="W374" s="10"/>
      <c r="X374" s="10">
        <f>X370</f>
        <v>1.02</v>
      </c>
      <c r="Y374" s="10"/>
      <c r="Z374" s="10"/>
      <c r="AA374" s="10"/>
    </row>
    <row r="375" spans="1:27" x14ac:dyDescent="0.25">
      <c r="A375" s="4" t="s">
        <v>404</v>
      </c>
      <c r="B375" s="2" t="str" cm="1">
        <f t="array" ref="B375">User3($C$11:$ZX$11,C375:ZX375)</f>
        <v>1.05D+1.2SDL+1.2BW+1.1COL+1.1SOIL+1WATER+1.17Lr+1.17LLB+1.08LLE+2.1Wy+2+1.02CR13+1.02CR22</v>
      </c>
      <c r="C375" s="13">
        <f t="shared" si="30"/>
        <v>1.05</v>
      </c>
      <c r="D375" s="13">
        <f t="shared" si="31"/>
        <v>1.2</v>
      </c>
      <c r="E375" s="13">
        <f t="shared" si="32"/>
        <v>1.2</v>
      </c>
      <c r="F375" s="13">
        <f t="shared" si="33"/>
        <v>1.1000000000000001</v>
      </c>
      <c r="G375" s="13">
        <f t="shared" si="34"/>
        <v>1.1000000000000001</v>
      </c>
      <c r="H375" s="13">
        <f t="shared" si="35"/>
        <v>1</v>
      </c>
      <c r="I375" s="13">
        <v>1.1700000000000002</v>
      </c>
      <c r="J375" s="13">
        <v>1.17</v>
      </c>
      <c r="K375" s="13">
        <v>1.08</v>
      </c>
      <c r="L375" s="13"/>
      <c r="M375" s="13"/>
      <c r="N375" s="13"/>
      <c r="O375" s="13"/>
      <c r="P375" s="13"/>
      <c r="Q375" s="13">
        <v>2.1</v>
      </c>
      <c r="R375" s="13"/>
      <c r="S375" s="13"/>
      <c r="T375" s="13"/>
      <c r="U375" s="13"/>
      <c r="V375" s="13">
        <f>V374</f>
        <v>1.02</v>
      </c>
      <c r="W375" s="13"/>
      <c r="X375" s="13"/>
      <c r="Y375" s="13">
        <f>X374</f>
        <v>1.02</v>
      </c>
      <c r="Z375" s="13"/>
      <c r="AA375" s="13"/>
    </row>
    <row r="376" spans="1:27" x14ac:dyDescent="0.25">
      <c r="A376" s="4" t="s">
        <v>405</v>
      </c>
      <c r="B376" s="2" t="str" cm="1">
        <f t="array" ref="B376">User3($C$11:$ZX$11,C376:ZX376)</f>
        <v>1.05D+1.2SDL+1.2BW+1.1COL+1.1SOIL+1WATER+1.17Lr+1.17LLB+1.08LLE+2.1Wy+2+1.02CR13+1.02CR23</v>
      </c>
      <c r="C376" s="13">
        <f t="shared" si="30"/>
        <v>1.05</v>
      </c>
      <c r="D376" s="13">
        <f t="shared" si="31"/>
        <v>1.2</v>
      </c>
      <c r="E376" s="13">
        <f t="shared" si="32"/>
        <v>1.2</v>
      </c>
      <c r="F376" s="13">
        <f t="shared" si="33"/>
        <v>1.1000000000000001</v>
      </c>
      <c r="G376" s="13">
        <f t="shared" si="34"/>
        <v>1.1000000000000001</v>
      </c>
      <c r="H376" s="13">
        <f t="shared" si="35"/>
        <v>1</v>
      </c>
      <c r="I376" s="13">
        <v>1.1700000000000002</v>
      </c>
      <c r="J376" s="13">
        <v>1.17</v>
      </c>
      <c r="K376" s="13">
        <v>1.08</v>
      </c>
      <c r="L376" s="13"/>
      <c r="M376" s="13"/>
      <c r="N376" s="13"/>
      <c r="O376" s="13"/>
      <c r="P376" s="13"/>
      <c r="Q376" s="13">
        <v>2.1</v>
      </c>
      <c r="R376" s="13"/>
      <c r="S376" s="13"/>
      <c r="T376" s="13"/>
      <c r="U376" s="13"/>
      <c r="V376" s="13">
        <f>V375</f>
        <v>1.02</v>
      </c>
      <c r="W376" s="13"/>
      <c r="X376" s="13"/>
      <c r="Y376" s="13"/>
      <c r="Z376" s="13">
        <f>Y375</f>
        <v>1.02</v>
      </c>
      <c r="AA376" s="13"/>
    </row>
    <row r="377" spans="1:27" x14ac:dyDescent="0.25">
      <c r="A377" s="4" t="s">
        <v>406</v>
      </c>
      <c r="B377" s="2" t="str" cm="1">
        <f t="array" ref="B377">User3($C$11:$ZX$11,C377:ZX377)</f>
        <v>1.05D+1.2SDL+1.2BW+1.1COL+1.1SOIL+1WATER+1.17Lr+1.17LLB+1.08LLE+2.1Wy+2+1.02CR13+1.02CR24</v>
      </c>
      <c r="C377" s="13">
        <f t="shared" si="30"/>
        <v>1.05</v>
      </c>
      <c r="D377" s="13">
        <f t="shared" si="31"/>
        <v>1.2</v>
      </c>
      <c r="E377" s="13">
        <f t="shared" si="32"/>
        <v>1.2</v>
      </c>
      <c r="F377" s="13">
        <f t="shared" si="33"/>
        <v>1.1000000000000001</v>
      </c>
      <c r="G377" s="13">
        <f t="shared" si="34"/>
        <v>1.1000000000000001</v>
      </c>
      <c r="H377" s="13">
        <f t="shared" si="35"/>
        <v>1</v>
      </c>
      <c r="I377" s="13">
        <v>1.1700000000000002</v>
      </c>
      <c r="J377" s="13">
        <v>1.17</v>
      </c>
      <c r="K377" s="13">
        <v>1.08</v>
      </c>
      <c r="L377" s="13"/>
      <c r="M377" s="13"/>
      <c r="N377" s="13"/>
      <c r="O377" s="13"/>
      <c r="P377" s="13"/>
      <c r="Q377" s="13">
        <v>2.1</v>
      </c>
      <c r="R377" s="13"/>
      <c r="S377" s="13"/>
      <c r="T377" s="13"/>
      <c r="U377" s="13"/>
      <c r="V377" s="13">
        <f>V376</f>
        <v>1.02</v>
      </c>
      <c r="W377" s="13"/>
      <c r="X377" s="13"/>
      <c r="Y377" s="13"/>
      <c r="Z377" s="13"/>
      <c r="AA377" s="13">
        <f>Z376</f>
        <v>1.02</v>
      </c>
    </row>
    <row r="378" spans="1:27" x14ac:dyDescent="0.25">
      <c r="A378" s="4" t="s">
        <v>407</v>
      </c>
      <c r="B378" s="2" t="str" cm="1">
        <f t="array" ref="B378">User3($C$11:$ZX$11,C378:ZX378)</f>
        <v>1.05D+1.2SDL+1.2BW+1.1COL+1.1SOIL+1WATER+1.17Lr+1.17LLB+1.08LLE+2.1Wy+2+1.02CR14+1.02CR21</v>
      </c>
      <c r="C378" s="13">
        <f t="shared" si="30"/>
        <v>1.05</v>
      </c>
      <c r="D378" s="13">
        <f t="shared" si="31"/>
        <v>1.2</v>
      </c>
      <c r="E378" s="13">
        <f t="shared" si="32"/>
        <v>1.2</v>
      </c>
      <c r="F378" s="13">
        <f t="shared" si="33"/>
        <v>1.1000000000000001</v>
      </c>
      <c r="G378" s="13">
        <f t="shared" si="34"/>
        <v>1.1000000000000001</v>
      </c>
      <c r="H378" s="13">
        <f t="shared" si="35"/>
        <v>1</v>
      </c>
      <c r="I378" s="13">
        <v>1.1700000000000002</v>
      </c>
      <c r="J378" s="13">
        <v>1.17</v>
      </c>
      <c r="K378" s="13">
        <v>1.08</v>
      </c>
      <c r="L378" s="13"/>
      <c r="M378" s="13"/>
      <c r="N378" s="13"/>
      <c r="O378" s="13"/>
      <c r="P378" s="13"/>
      <c r="Q378" s="13">
        <v>2.1</v>
      </c>
      <c r="R378" s="13"/>
      <c r="S378" s="13"/>
      <c r="T378" s="13"/>
      <c r="U378" s="13"/>
      <c r="V378" s="13"/>
      <c r="W378" s="13">
        <f>V377</f>
        <v>1.02</v>
      </c>
      <c r="X378" s="13">
        <f>X374</f>
        <v>1.02</v>
      </c>
      <c r="Y378" s="13"/>
      <c r="Z378" s="13"/>
      <c r="AA378" s="13"/>
    </row>
    <row r="379" spans="1:27" x14ac:dyDescent="0.25">
      <c r="A379" s="4" t="s">
        <v>408</v>
      </c>
      <c r="B379" s="2" t="str" cm="1">
        <f t="array" ref="B379">User3($C$11:$ZX$11,C379:ZX379)</f>
        <v>1.05D+1.2SDL+1.2BW+1.1COL+1.1SOIL+1WATER+1.17Lr+1.17LLB+1.08LLE+2.1Wy+2+1.02CR14+1.02CR22</v>
      </c>
      <c r="C379" s="13">
        <f t="shared" si="30"/>
        <v>1.05</v>
      </c>
      <c r="D379" s="13">
        <f t="shared" si="31"/>
        <v>1.2</v>
      </c>
      <c r="E379" s="13">
        <f t="shared" si="32"/>
        <v>1.2</v>
      </c>
      <c r="F379" s="13">
        <f t="shared" si="33"/>
        <v>1.1000000000000001</v>
      </c>
      <c r="G379" s="13">
        <f t="shared" si="34"/>
        <v>1.1000000000000001</v>
      </c>
      <c r="H379" s="13">
        <f t="shared" si="35"/>
        <v>1</v>
      </c>
      <c r="I379" s="13">
        <v>1.1700000000000002</v>
      </c>
      <c r="J379" s="13">
        <v>1.17</v>
      </c>
      <c r="K379" s="13">
        <v>1.08</v>
      </c>
      <c r="L379" s="13"/>
      <c r="M379" s="13"/>
      <c r="N379" s="13"/>
      <c r="O379" s="13"/>
      <c r="P379" s="13"/>
      <c r="Q379" s="13">
        <v>2.1</v>
      </c>
      <c r="R379" s="13"/>
      <c r="S379" s="13"/>
      <c r="T379" s="13"/>
      <c r="U379" s="13"/>
      <c r="V379" s="13"/>
      <c r="W379" s="13">
        <f>W378</f>
        <v>1.02</v>
      </c>
      <c r="X379" s="13"/>
      <c r="Y379" s="13">
        <f>X378</f>
        <v>1.02</v>
      </c>
      <c r="Z379" s="13"/>
      <c r="AA379" s="13"/>
    </row>
    <row r="380" spans="1:27" x14ac:dyDescent="0.25">
      <c r="A380" s="4" t="s">
        <v>409</v>
      </c>
      <c r="B380" s="2" t="str" cm="1">
        <f t="array" ref="B380">User3($C$11:$ZX$11,C380:ZX380)</f>
        <v>1.05D+1.2SDL+1.2BW+1.1COL+1.1SOIL+1WATER+1.17Lr+1.17LLB+1.08LLE+2.1Wy+2+1.02CR14+1.02CR23</v>
      </c>
      <c r="C380" s="13">
        <f t="shared" si="30"/>
        <v>1.05</v>
      </c>
      <c r="D380" s="13">
        <f t="shared" si="31"/>
        <v>1.2</v>
      </c>
      <c r="E380" s="13">
        <f t="shared" si="32"/>
        <v>1.2</v>
      </c>
      <c r="F380" s="13">
        <f t="shared" si="33"/>
        <v>1.1000000000000001</v>
      </c>
      <c r="G380" s="13">
        <f t="shared" si="34"/>
        <v>1.1000000000000001</v>
      </c>
      <c r="H380" s="13">
        <f t="shared" si="35"/>
        <v>1</v>
      </c>
      <c r="I380" s="13">
        <v>1.1700000000000002</v>
      </c>
      <c r="J380" s="13">
        <v>1.17</v>
      </c>
      <c r="K380" s="13">
        <v>1.08</v>
      </c>
      <c r="L380" s="13"/>
      <c r="M380" s="13"/>
      <c r="N380" s="13"/>
      <c r="O380" s="13"/>
      <c r="P380" s="13"/>
      <c r="Q380" s="13">
        <v>2.1</v>
      </c>
      <c r="R380" s="13"/>
      <c r="S380" s="13"/>
      <c r="T380" s="13"/>
      <c r="U380" s="13"/>
      <c r="V380" s="13"/>
      <c r="W380" s="13">
        <f>W379</f>
        <v>1.02</v>
      </c>
      <c r="X380" s="13"/>
      <c r="Y380" s="13"/>
      <c r="Z380" s="13">
        <f>Y379</f>
        <v>1.02</v>
      </c>
      <c r="AA380" s="13"/>
    </row>
    <row r="381" spans="1:27" x14ac:dyDescent="0.25">
      <c r="A381" s="4" t="s">
        <v>410</v>
      </c>
      <c r="B381" s="2" t="str" cm="1">
        <f t="array" ref="B381">User3($C$11:$ZX$11,C381:ZX381)</f>
        <v>1.05D+1.2SDL+1.2BW+1.1COL+1.1SOIL+1WATER+1.17Lr+1.17LLB+1.08LLE+2.1Wy+2+1.02CR14+1.02CR24</v>
      </c>
      <c r="C381" s="16">
        <f t="shared" si="30"/>
        <v>1.05</v>
      </c>
      <c r="D381" s="16">
        <f t="shared" si="31"/>
        <v>1.2</v>
      </c>
      <c r="E381" s="16">
        <f t="shared" si="32"/>
        <v>1.2</v>
      </c>
      <c r="F381" s="16">
        <f t="shared" si="33"/>
        <v>1.1000000000000001</v>
      </c>
      <c r="G381" s="16">
        <f t="shared" si="34"/>
        <v>1.1000000000000001</v>
      </c>
      <c r="H381" s="16">
        <f t="shared" si="35"/>
        <v>1</v>
      </c>
      <c r="I381" s="16">
        <v>1.1700000000000002</v>
      </c>
      <c r="J381" s="16">
        <v>1.17</v>
      </c>
      <c r="K381" s="16">
        <v>1.08</v>
      </c>
      <c r="L381" s="16"/>
      <c r="M381" s="16"/>
      <c r="N381" s="16"/>
      <c r="O381" s="16"/>
      <c r="P381" s="16"/>
      <c r="Q381" s="16">
        <v>2.1</v>
      </c>
      <c r="R381" s="16"/>
      <c r="S381" s="16"/>
      <c r="T381" s="16"/>
      <c r="U381" s="16"/>
      <c r="V381" s="16"/>
      <c r="W381" s="16">
        <f>W380</f>
        <v>1.02</v>
      </c>
      <c r="X381" s="16"/>
      <c r="Y381" s="16"/>
      <c r="Z381" s="16"/>
      <c r="AA381" s="16">
        <f>Z380</f>
        <v>1.02</v>
      </c>
    </row>
    <row r="382" spans="1:27" x14ac:dyDescent="0.25">
      <c r="A382" s="4" t="s">
        <v>411</v>
      </c>
      <c r="B382" s="2" t="str" cm="1">
        <f t="array" ref="B382">User3($C$11:$ZX$11,C382:ZX382)</f>
        <v>1.05D+1.2SDL+1.2BW+1.1COL+1.1SOIL+1WATER+1.17Lr+1.17LLB+1.08LLE+2.1Wy-1+1.02CR11+1.02CR21</v>
      </c>
      <c r="C382" s="13">
        <f t="shared" si="30"/>
        <v>1.05</v>
      </c>
      <c r="D382" s="13">
        <f t="shared" si="31"/>
        <v>1.2</v>
      </c>
      <c r="E382" s="13">
        <f t="shared" si="32"/>
        <v>1.2</v>
      </c>
      <c r="F382" s="13">
        <f t="shared" si="33"/>
        <v>1.1000000000000001</v>
      </c>
      <c r="G382" s="13">
        <f t="shared" si="34"/>
        <v>1.1000000000000001</v>
      </c>
      <c r="H382" s="13">
        <f t="shared" si="35"/>
        <v>1</v>
      </c>
      <c r="I382" s="10">
        <v>1.1700000000000002</v>
      </c>
      <c r="J382" s="10">
        <v>1.17</v>
      </c>
      <c r="K382" s="10">
        <v>1.08</v>
      </c>
      <c r="L382" s="10"/>
      <c r="M382" s="10"/>
      <c r="N382" s="10"/>
      <c r="O382" s="10"/>
      <c r="P382" s="10"/>
      <c r="Q382" s="10"/>
      <c r="R382" s="10">
        <v>2.1</v>
      </c>
      <c r="S382" s="10"/>
      <c r="T382" s="10">
        <f>T366</f>
        <v>1.02</v>
      </c>
      <c r="U382" s="10"/>
      <c r="V382" s="10"/>
      <c r="W382" s="10"/>
      <c r="X382" s="10">
        <f>T382</f>
        <v>1.02</v>
      </c>
      <c r="Y382" s="10"/>
      <c r="Z382" s="10"/>
      <c r="AA382" s="10"/>
    </row>
    <row r="383" spans="1:27" x14ac:dyDescent="0.25">
      <c r="A383" s="4" t="s">
        <v>412</v>
      </c>
      <c r="B383" s="2" t="str" cm="1">
        <f t="array" ref="B383">User3($C$11:$ZX$11,C383:ZX383)</f>
        <v>1.05D+1.2SDL+1.2BW+1.1COL+1.1SOIL+1WATER+1.17Lr+1.17LLB+1.08LLE+2.1Wy-1+1.02CR11+1.02CR22</v>
      </c>
      <c r="C383" s="13">
        <f t="shared" si="30"/>
        <v>1.05</v>
      </c>
      <c r="D383" s="13">
        <f t="shared" si="31"/>
        <v>1.2</v>
      </c>
      <c r="E383" s="13">
        <f t="shared" si="32"/>
        <v>1.2</v>
      </c>
      <c r="F383" s="13">
        <f t="shared" si="33"/>
        <v>1.1000000000000001</v>
      </c>
      <c r="G383" s="13">
        <f t="shared" si="34"/>
        <v>1.1000000000000001</v>
      </c>
      <c r="H383" s="13">
        <f t="shared" si="35"/>
        <v>1</v>
      </c>
      <c r="I383" s="13">
        <v>1.1700000000000002</v>
      </c>
      <c r="J383" s="13">
        <v>1.17</v>
      </c>
      <c r="K383" s="13">
        <v>1.08</v>
      </c>
      <c r="L383" s="13"/>
      <c r="M383" s="13"/>
      <c r="N383" s="13"/>
      <c r="O383" s="13"/>
      <c r="P383" s="13"/>
      <c r="Q383" s="13"/>
      <c r="R383" s="13">
        <v>2.1</v>
      </c>
      <c r="S383" s="13"/>
      <c r="T383" s="13">
        <f>T382</f>
        <v>1.02</v>
      </c>
      <c r="U383" s="13"/>
      <c r="V383" s="13"/>
      <c r="W383" s="13"/>
      <c r="X383" s="13"/>
      <c r="Y383" s="13">
        <f>X382</f>
        <v>1.02</v>
      </c>
      <c r="Z383" s="13"/>
      <c r="AA383" s="13"/>
    </row>
    <row r="384" spans="1:27" x14ac:dyDescent="0.25">
      <c r="A384" s="4" t="s">
        <v>413</v>
      </c>
      <c r="B384" s="2" t="str" cm="1">
        <f t="array" ref="B384">User3($C$11:$ZX$11,C384:ZX384)</f>
        <v>1.05D+1.2SDL+1.2BW+1.1COL+1.1SOIL+1WATER+1.17Lr+1.17LLB+1.08LLE+2.1Wy-1+1.02CR11+1.02CR23</v>
      </c>
      <c r="C384" s="13">
        <f t="shared" si="30"/>
        <v>1.05</v>
      </c>
      <c r="D384" s="13">
        <f t="shared" si="31"/>
        <v>1.2</v>
      </c>
      <c r="E384" s="13">
        <f t="shared" si="32"/>
        <v>1.2</v>
      </c>
      <c r="F384" s="13">
        <f t="shared" si="33"/>
        <v>1.1000000000000001</v>
      </c>
      <c r="G384" s="13">
        <f t="shared" si="34"/>
        <v>1.1000000000000001</v>
      </c>
      <c r="H384" s="13">
        <f t="shared" si="35"/>
        <v>1</v>
      </c>
      <c r="I384" s="13">
        <v>1.1700000000000002</v>
      </c>
      <c r="J384" s="13">
        <v>1.17</v>
      </c>
      <c r="K384" s="13">
        <v>1.08</v>
      </c>
      <c r="L384" s="13"/>
      <c r="M384" s="13"/>
      <c r="N384" s="13"/>
      <c r="O384" s="13"/>
      <c r="P384" s="13"/>
      <c r="Q384" s="13"/>
      <c r="R384" s="13">
        <v>2.1</v>
      </c>
      <c r="S384" s="13"/>
      <c r="T384" s="13">
        <f>T383</f>
        <v>1.02</v>
      </c>
      <c r="U384" s="13"/>
      <c r="V384" s="13"/>
      <c r="W384" s="13"/>
      <c r="X384" s="13"/>
      <c r="Y384" s="13"/>
      <c r="Z384" s="13">
        <f>Y383</f>
        <v>1.02</v>
      </c>
      <c r="AA384" s="13"/>
    </row>
    <row r="385" spans="1:27" x14ac:dyDescent="0.25">
      <c r="A385" s="4" t="s">
        <v>414</v>
      </c>
      <c r="B385" s="2" t="str" cm="1">
        <f t="array" ref="B385">User3($C$11:$ZX$11,C385:ZX385)</f>
        <v>1.05D+1.2SDL+1.2BW+1.1COL+1.1SOIL+1WATER+1.17Lr+1.17LLB+1.08LLE+2.1Wy-1+1.02CR11+1.02CR24</v>
      </c>
      <c r="C385" s="13">
        <f t="shared" si="30"/>
        <v>1.05</v>
      </c>
      <c r="D385" s="13">
        <f t="shared" si="31"/>
        <v>1.2</v>
      </c>
      <c r="E385" s="13">
        <f t="shared" si="32"/>
        <v>1.2</v>
      </c>
      <c r="F385" s="13">
        <f t="shared" si="33"/>
        <v>1.1000000000000001</v>
      </c>
      <c r="G385" s="13">
        <f t="shared" si="34"/>
        <v>1.1000000000000001</v>
      </c>
      <c r="H385" s="13">
        <f t="shared" si="35"/>
        <v>1</v>
      </c>
      <c r="I385" s="13">
        <v>1.1700000000000002</v>
      </c>
      <c r="J385" s="13">
        <v>1.17</v>
      </c>
      <c r="K385" s="13">
        <v>1.08</v>
      </c>
      <c r="L385" s="13"/>
      <c r="M385" s="13"/>
      <c r="N385" s="13"/>
      <c r="O385" s="13"/>
      <c r="P385" s="13"/>
      <c r="Q385" s="13"/>
      <c r="R385" s="13">
        <v>2.1</v>
      </c>
      <c r="S385" s="13"/>
      <c r="T385" s="13">
        <f>T384</f>
        <v>1.02</v>
      </c>
      <c r="U385" s="13"/>
      <c r="V385" s="13"/>
      <c r="W385" s="13"/>
      <c r="X385" s="13"/>
      <c r="Y385" s="13"/>
      <c r="Z385" s="13"/>
      <c r="AA385" s="13">
        <f>Z384</f>
        <v>1.02</v>
      </c>
    </row>
    <row r="386" spans="1:27" x14ac:dyDescent="0.25">
      <c r="A386" s="4" t="s">
        <v>415</v>
      </c>
      <c r="B386" s="2" t="str" cm="1">
        <f t="array" ref="B386">User3($C$11:$ZX$11,C386:ZX386)</f>
        <v>1.05D+1.2SDL+1.2BW+1.1COL+1.1SOIL+1WATER+1.17Lr+1.17LLB+1.08LLE+2.1Wy-1+1.02CR12+1.02CR21</v>
      </c>
      <c r="C386" s="13">
        <f t="shared" si="30"/>
        <v>1.05</v>
      </c>
      <c r="D386" s="13">
        <f t="shared" si="31"/>
        <v>1.2</v>
      </c>
      <c r="E386" s="13">
        <f t="shared" si="32"/>
        <v>1.2</v>
      </c>
      <c r="F386" s="13">
        <f t="shared" si="33"/>
        <v>1.1000000000000001</v>
      </c>
      <c r="G386" s="13">
        <f t="shared" si="34"/>
        <v>1.1000000000000001</v>
      </c>
      <c r="H386" s="13">
        <f t="shared" si="35"/>
        <v>1</v>
      </c>
      <c r="I386" s="13">
        <v>1.1700000000000002</v>
      </c>
      <c r="J386" s="13">
        <v>1.17</v>
      </c>
      <c r="K386" s="13">
        <v>1.08</v>
      </c>
      <c r="L386" s="13"/>
      <c r="M386" s="13"/>
      <c r="N386" s="13"/>
      <c r="O386" s="13"/>
      <c r="P386" s="13"/>
      <c r="Q386" s="13"/>
      <c r="R386" s="13">
        <v>2.1</v>
      </c>
      <c r="S386" s="13"/>
      <c r="T386" s="13"/>
      <c r="U386" s="13">
        <f>T382</f>
        <v>1.02</v>
      </c>
      <c r="V386" s="13"/>
      <c r="W386" s="13"/>
      <c r="X386" s="13">
        <f>X382</f>
        <v>1.02</v>
      </c>
      <c r="Y386" s="13"/>
      <c r="Z386" s="13"/>
      <c r="AA386" s="13"/>
    </row>
    <row r="387" spans="1:27" x14ac:dyDescent="0.25">
      <c r="A387" s="4" t="s">
        <v>416</v>
      </c>
      <c r="B387" s="2" t="str" cm="1">
        <f t="array" ref="B387">User3($C$11:$ZX$11,C387:ZX387)</f>
        <v>1.05D+1.2SDL+1.2BW+1.1COL+1.1SOIL+1WATER+1.17Lr+1.17LLB+1.08LLE+2.1Wy-1+1.02CR12+1.02CR22</v>
      </c>
      <c r="C387" s="13">
        <f t="shared" si="30"/>
        <v>1.05</v>
      </c>
      <c r="D387" s="13">
        <f t="shared" si="31"/>
        <v>1.2</v>
      </c>
      <c r="E387" s="13">
        <f t="shared" si="32"/>
        <v>1.2</v>
      </c>
      <c r="F387" s="13">
        <f t="shared" si="33"/>
        <v>1.1000000000000001</v>
      </c>
      <c r="G387" s="13">
        <f t="shared" si="34"/>
        <v>1.1000000000000001</v>
      </c>
      <c r="H387" s="13">
        <f t="shared" si="35"/>
        <v>1</v>
      </c>
      <c r="I387" s="13">
        <v>1.1700000000000002</v>
      </c>
      <c r="J387" s="13">
        <v>1.17</v>
      </c>
      <c r="K387" s="13">
        <v>1.08</v>
      </c>
      <c r="L387" s="13"/>
      <c r="M387" s="13"/>
      <c r="N387" s="13"/>
      <c r="O387" s="13"/>
      <c r="P387" s="13"/>
      <c r="Q387" s="13"/>
      <c r="R387" s="13">
        <v>2.1</v>
      </c>
      <c r="S387" s="13"/>
      <c r="T387" s="13"/>
      <c r="U387" s="13">
        <f>U386</f>
        <v>1.02</v>
      </c>
      <c r="V387" s="13"/>
      <c r="W387" s="13"/>
      <c r="X387" s="13"/>
      <c r="Y387" s="13">
        <f>Y383</f>
        <v>1.02</v>
      </c>
      <c r="Z387" s="13"/>
      <c r="AA387" s="13"/>
    </row>
    <row r="388" spans="1:27" x14ac:dyDescent="0.25">
      <c r="A388" s="4" t="s">
        <v>417</v>
      </c>
      <c r="B388" s="2" t="str" cm="1">
        <f t="array" ref="B388">User3($C$11:$ZX$11,C388:ZX388)</f>
        <v>1.05D+1.2SDL+1.2BW+1.1COL+1.1SOIL+1WATER+1.17Lr+1.17LLB+1.08LLE+2.1Wy-1+1.02CR12+1.02CR23</v>
      </c>
      <c r="C388" s="13">
        <f t="shared" si="30"/>
        <v>1.05</v>
      </c>
      <c r="D388" s="13">
        <f t="shared" si="31"/>
        <v>1.2</v>
      </c>
      <c r="E388" s="13">
        <f t="shared" si="32"/>
        <v>1.2</v>
      </c>
      <c r="F388" s="13">
        <f t="shared" si="33"/>
        <v>1.1000000000000001</v>
      </c>
      <c r="G388" s="13">
        <f t="shared" si="34"/>
        <v>1.1000000000000001</v>
      </c>
      <c r="H388" s="13">
        <f t="shared" si="35"/>
        <v>1</v>
      </c>
      <c r="I388" s="13">
        <v>1.1700000000000002</v>
      </c>
      <c r="J388" s="13">
        <v>1.17</v>
      </c>
      <c r="K388" s="13">
        <v>1.08</v>
      </c>
      <c r="L388" s="13"/>
      <c r="M388" s="13"/>
      <c r="N388" s="13"/>
      <c r="O388" s="13"/>
      <c r="P388" s="13"/>
      <c r="Q388" s="13"/>
      <c r="R388" s="13">
        <v>2.1</v>
      </c>
      <c r="S388" s="13"/>
      <c r="T388" s="13"/>
      <c r="U388" s="13">
        <f>U387</f>
        <v>1.02</v>
      </c>
      <c r="V388" s="13"/>
      <c r="W388" s="13"/>
      <c r="X388" s="13"/>
      <c r="Y388" s="13"/>
      <c r="Z388" s="13">
        <f>Z384</f>
        <v>1.02</v>
      </c>
      <c r="AA388" s="13"/>
    </row>
    <row r="389" spans="1:27" x14ac:dyDescent="0.25">
      <c r="A389" s="4" t="s">
        <v>418</v>
      </c>
      <c r="B389" s="2" t="str" cm="1">
        <f t="array" ref="B389">User3($C$11:$ZX$11,C389:ZX389)</f>
        <v>1.05D+1.2SDL+1.2BW+1.1COL+1.1SOIL+1WATER+1.17Lr+1.17LLB+1.08LLE+2.1Wy-1+1.02CR12+1.02CR24</v>
      </c>
      <c r="C389" s="16">
        <f t="shared" si="30"/>
        <v>1.05</v>
      </c>
      <c r="D389" s="16">
        <f t="shared" si="31"/>
        <v>1.2</v>
      </c>
      <c r="E389" s="16">
        <f t="shared" si="32"/>
        <v>1.2</v>
      </c>
      <c r="F389" s="16">
        <f t="shared" si="33"/>
        <v>1.1000000000000001</v>
      </c>
      <c r="G389" s="16">
        <f t="shared" si="34"/>
        <v>1.1000000000000001</v>
      </c>
      <c r="H389" s="16">
        <f t="shared" si="35"/>
        <v>1</v>
      </c>
      <c r="I389" s="16">
        <v>1.1700000000000002</v>
      </c>
      <c r="J389" s="16">
        <v>1.17</v>
      </c>
      <c r="K389" s="16">
        <v>1.08</v>
      </c>
      <c r="L389" s="16"/>
      <c r="M389" s="16"/>
      <c r="N389" s="16"/>
      <c r="O389" s="16"/>
      <c r="P389" s="16"/>
      <c r="Q389" s="16"/>
      <c r="R389" s="16">
        <v>2.1</v>
      </c>
      <c r="S389" s="16"/>
      <c r="T389" s="16"/>
      <c r="U389" s="16">
        <f>U388</f>
        <v>1.02</v>
      </c>
      <c r="V389" s="16"/>
      <c r="W389" s="16"/>
      <c r="X389" s="16"/>
      <c r="Y389" s="16"/>
      <c r="Z389" s="16"/>
      <c r="AA389" s="16">
        <f>AA385</f>
        <v>1.02</v>
      </c>
    </row>
    <row r="390" spans="1:27" x14ac:dyDescent="0.25">
      <c r="A390" s="4" t="s">
        <v>419</v>
      </c>
      <c r="B390" s="2" t="str" cm="1">
        <f t="array" ref="B390">User3($C$11:$ZX$11,C390:ZX390)</f>
        <v>1.05D+1.2SDL+1.2BW+1.1COL+1.1SOIL+1WATER+1.17Lr+1.17LLB+1.08LLE+2.1Wy-1+1.02CR13+1.02CR21</v>
      </c>
      <c r="C390" s="13">
        <f t="shared" si="30"/>
        <v>1.05</v>
      </c>
      <c r="D390" s="13">
        <f t="shared" si="31"/>
        <v>1.2</v>
      </c>
      <c r="E390" s="13">
        <f t="shared" si="32"/>
        <v>1.2</v>
      </c>
      <c r="F390" s="13">
        <f t="shared" si="33"/>
        <v>1.1000000000000001</v>
      </c>
      <c r="G390" s="13">
        <f t="shared" si="34"/>
        <v>1.1000000000000001</v>
      </c>
      <c r="H390" s="13">
        <f t="shared" si="35"/>
        <v>1</v>
      </c>
      <c r="I390" s="10">
        <v>1.1700000000000002</v>
      </c>
      <c r="J390" s="10">
        <v>1.17</v>
      </c>
      <c r="K390" s="10">
        <v>1.08</v>
      </c>
      <c r="L390" s="10"/>
      <c r="M390" s="10"/>
      <c r="N390" s="10"/>
      <c r="O390" s="10"/>
      <c r="P390" s="10"/>
      <c r="Q390" s="10"/>
      <c r="R390" s="10">
        <v>2.1</v>
      </c>
      <c r="S390" s="10"/>
      <c r="T390" s="10"/>
      <c r="U390" s="10"/>
      <c r="V390" s="10">
        <f>U389</f>
        <v>1.02</v>
      </c>
      <c r="W390" s="10"/>
      <c r="X390" s="10">
        <f>X386</f>
        <v>1.02</v>
      </c>
      <c r="Y390" s="10"/>
      <c r="Z390" s="10"/>
      <c r="AA390" s="10"/>
    </row>
    <row r="391" spans="1:27" x14ac:dyDescent="0.25">
      <c r="A391" s="4" t="s">
        <v>420</v>
      </c>
      <c r="B391" s="2" t="str" cm="1">
        <f t="array" ref="B391">User3($C$11:$ZX$11,C391:ZX391)</f>
        <v>1.05D+1.2SDL+1.2BW+1.1COL+1.1SOIL+1WATER+1.17Lr+1.17LLB+1.08LLE+2.1Wy-1+1.02CR13+1.02CR22</v>
      </c>
      <c r="C391" s="13">
        <f t="shared" si="30"/>
        <v>1.05</v>
      </c>
      <c r="D391" s="13">
        <f t="shared" si="31"/>
        <v>1.2</v>
      </c>
      <c r="E391" s="13">
        <f t="shared" si="32"/>
        <v>1.2</v>
      </c>
      <c r="F391" s="13">
        <f t="shared" si="33"/>
        <v>1.1000000000000001</v>
      </c>
      <c r="G391" s="13">
        <f t="shared" si="34"/>
        <v>1.1000000000000001</v>
      </c>
      <c r="H391" s="13">
        <f t="shared" si="35"/>
        <v>1</v>
      </c>
      <c r="I391" s="13">
        <v>1.1700000000000002</v>
      </c>
      <c r="J391" s="13">
        <v>1.17</v>
      </c>
      <c r="K391" s="13">
        <v>1.08</v>
      </c>
      <c r="L391" s="13"/>
      <c r="M391" s="13"/>
      <c r="N391" s="13"/>
      <c r="O391" s="13"/>
      <c r="P391" s="13"/>
      <c r="Q391" s="13"/>
      <c r="R391" s="13">
        <v>2.1</v>
      </c>
      <c r="S391" s="13"/>
      <c r="T391" s="13"/>
      <c r="U391" s="13"/>
      <c r="V391" s="13">
        <f>V390</f>
        <v>1.02</v>
      </c>
      <c r="W391" s="13"/>
      <c r="X391" s="13"/>
      <c r="Y391" s="13">
        <f>X390</f>
        <v>1.02</v>
      </c>
      <c r="Z391" s="13"/>
      <c r="AA391" s="13"/>
    </row>
    <row r="392" spans="1:27" x14ac:dyDescent="0.25">
      <c r="A392" s="4" t="s">
        <v>421</v>
      </c>
      <c r="B392" s="2" t="str" cm="1">
        <f t="array" ref="B392">User3($C$11:$ZX$11,C392:ZX392)</f>
        <v>1.05D+1.2SDL+1.2BW+1.1COL+1.1SOIL+1WATER+1.17Lr+1.17LLB+1.08LLE+2.1Wy-1+1.02CR13+1.02CR23</v>
      </c>
      <c r="C392" s="13">
        <f t="shared" si="30"/>
        <v>1.05</v>
      </c>
      <c r="D392" s="13">
        <f t="shared" si="31"/>
        <v>1.2</v>
      </c>
      <c r="E392" s="13">
        <f t="shared" si="32"/>
        <v>1.2</v>
      </c>
      <c r="F392" s="13">
        <f t="shared" si="33"/>
        <v>1.1000000000000001</v>
      </c>
      <c r="G392" s="13">
        <f t="shared" si="34"/>
        <v>1.1000000000000001</v>
      </c>
      <c r="H392" s="13">
        <f t="shared" si="35"/>
        <v>1</v>
      </c>
      <c r="I392" s="13">
        <v>1.1700000000000002</v>
      </c>
      <c r="J392" s="13">
        <v>1.17</v>
      </c>
      <c r="K392" s="13">
        <v>1.08</v>
      </c>
      <c r="L392" s="13"/>
      <c r="M392" s="13"/>
      <c r="N392" s="13"/>
      <c r="O392" s="13"/>
      <c r="P392" s="13"/>
      <c r="Q392" s="13"/>
      <c r="R392" s="13">
        <v>2.1</v>
      </c>
      <c r="S392" s="13"/>
      <c r="T392" s="13"/>
      <c r="U392" s="13"/>
      <c r="V392" s="13">
        <f>V391</f>
        <v>1.02</v>
      </c>
      <c r="W392" s="13"/>
      <c r="X392" s="13"/>
      <c r="Y392" s="13"/>
      <c r="Z392" s="13">
        <f>Y391</f>
        <v>1.02</v>
      </c>
      <c r="AA392" s="13"/>
    </row>
    <row r="393" spans="1:27" x14ac:dyDescent="0.25">
      <c r="A393" s="4" t="s">
        <v>422</v>
      </c>
      <c r="B393" s="2" t="str" cm="1">
        <f t="array" ref="B393">User3($C$11:$ZX$11,C393:ZX393)</f>
        <v>1.05D+1.2SDL+1.2BW+1.1COL+1.1SOIL+1WATER+1.17Lr+1.17LLB+1.08LLE+2.1Wy-1+1.02CR13+1.02CR24</v>
      </c>
      <c r="C393" s="13">
        <f t="shared" si="30"/>
        <v>1.05</v>
      </c>
      <c r="D393" s="13">
        <f t="shared" si="31"/>
        <v>1.2</v>
      </c>
      <c r="E393" s="13">
        <f t="shared" si="32"/>
        <v>1.2</v>
      </c>
      <c r="F393" s="13">
        <f t="shared" si="33"/>
        <v>1.1000000000000001</v>
      </c>
      <c r="G393" s="13">
        <f t="shared" si="34"/>
        <v>1.1000000000000001</v>
      </c>
      <c r="H393" s="13">
        <f t="shared" si="35"/>
        <v>1</v>
      </c>
      <c r="I393" s="13">
        <v>1.1700000000000002</v>
      </c>
      <c r="J393" s="13">
        <v>1.17</v>
      </c>
      <c r="K393" s="13">
        <v>1.08</v>
      </c>
      <c r="L393" s="13"/>
      <c r="M393" s="13"/>
      <c r="N393" s="13"/>
      <c r="O393" s="13"/>
      <c r="P393" s="13"/>
      <c r="Q393" s="13"/>
      <c r="R393" s="13">
        <v>2.1</v>
      </c>
      <c r="S393" s="13"/>
      <c r="T393" s="13"/>
      <c r="U393" s="13"/>
      <c r="V393" s="13">
        <f>V392</f>
        <v>1.02</v>
      </c>
      <c r="W393" s="13"/>
      <c r="X393" s="13"/>
      <c r="Y393" s="13"/>
      <c r="Z393" s="13"/>
      <c r="AA393" s="13">
        <f>Z392</f>
        <v>1.02</v>
      </c>
    </row>
    <row r="394" spans="1:27" x14ac:dyDescent="0.25">
      <c r="A394" s="4" t="s">
        <v>423</v>
      </c>
      <c r="B394" s="2" t="str" cm="1">
        <f t="array" ref="B394">User3($C$11:$ZX$11,C394:ZX394)</f>
        <v>1.05D+1.2SDL+1.2BW+1.1COL+1.1SOIL+1WATER+1.17Lr+1.17LLB+1.08LLE+2.1Wy-1+1.02CR14+1.02CR21</v>
      </c>
      <c r="C394" s="13">
        <f t="shared" si="30"/>
        <v>1.05</v>
      </c>
      <c r="D394" s="13">
        <f t="shared" si="31"/>
        <v>1.2</v>
      </c>
      <c r="E394" s="13">
        <f t="shared" si="32"/>
        <v>1.2</v>
      </c>
      <c r="F394" s="13">
        <f t="shared" si="33"/>
        <v>1.1000000000000001</v>
      </c>
      <c r="G394" s="13">
        <f t="shared" si="34"/>
        <v>1.1000000000000001</v>
      </c>
      <c r="H394" s="13">
        <f t="shared" si="35"/>
        <v>1</v>
      </c>
      <c r="I394" s="13">
        <v>1.1700000000000002</v>
      </c>
      <c r="J394" s="13">
        <v>1.17</v>
      </c>
      <c r="K394" s="13">
        <v>1.08</v>
      </c>
      <c r="L394" s="13"/>
      <c r="M394" s="13"/>
      <c r="N394" s="13"/>
      <c r="O394" s="13"/>
      <c r="P394" s="13"/>
      <c r="Q394" s="13"/>
      <c r="R394" s="13">
        <v>2.1</v>
      </c>
      <c r="S394" s="13"/>
      <c r="T394" s="13"/>
      <c r="U394" s="13"/>
      <c r="V394" s="13"/>
      <c r="W394" s="13">
        <f>V393</f>
        <v>1.02</v>
      </c>
      <c r="X394" s="13">
        <f>X390</f>
        <v>1.02</v>
      </c>
      <c r="Y394" s="13"/>
      <c r="Z394" s="13"/>
      <c r="AA394" s="13"/>
    </row>
    <row r="395" spans="1:27" x14ac:dyDescent="0.25">
      <c r="A395" s="4" t="s">
        <v>424</v>
      </c>
      <c r="B395" s="2" t="str" cm="1">
        <f t="array" ref="B395">User3($C$11:$ZX$11,C395:ZX395)</f>
        <v>1.05D+1.2SDL+1.2BW+1.1COL+1.1SOIL+1WATER+1.17Lr+1.17LLB+1.08LLE+2.1Wy-1+1.02CR14+1.02CR22</v>
      </c>
      <c r="C395" s="13">
        <f t="shared" si="30"/>
        <v>1.05</v>
      </c>
      <c r="D395" s="13">
        <f t="shared" si="31"/>
        <v>1.2</v>
      </c>
      <c r="E395" s="13">
        <f t="shared" si="32"/>
        <v>1.2</v>
      </c>
      <c r="F395" s="13">
        <f t="shared" si="33"/>
        <v>1.1000000000000001</v>
      </c>
      <c r="G395" s="13">
        <f t="shared" si="34"/>
        <v>1.1000000000000001</v>
      </c>
      <c r="H395" s="13">
        <f t="shared" si="35"/>
        <v>1</v>
      </c>
      <c r="I395" s="13">
        <v>1.1700000000000002</v>
      </c>
      <c r="J395" s="13">
        <v>1.17</v>
      </c>
      <c r="K395" s="13">
        <v>1.08</v>
      </c>
      <c r="L395" s="13"/>
      <c r="M395" s="13"/>
      <c r="N395" s="13"/>
      <c r="O395" s="13"/>
      <c r="P395" s="13"/>
      <c r="Q395" s="13"/>
      <c r="R395" s="13">
        <v>2.1</v>
      </c>
      <c r="S395" s="13"/>
      <c r="T395" s="13"/>
      <c r="U395" s="13"/>
      <c r="V395" s="13"/>
      <c r="W395" s="13">
        <f>W394</f>
        <v>1.02</v>
      </c>
      <c r="X395" s="13"/>
      <c r="Y395" s="13">
        <f>X394</f>
        <v>1.02</v>
      </c>
      <c r="Z395" s="13"/>
      <c r="AA395" s="13"/>
    </row>
    <row r="396" spans="1:27" x14ac:dyDescent="0.25">
      <c r="A396" s="4" t="s">
        <v>425</v>
      </c>
      <c r="B396" s="2" t="str" cm="1">
        <f t="array" ref="B396">User3($C$11:$ZX$11,C396:ZX396)</f>
        <v>1.05D+1.2SDL+1.2BW+1.1COL+1.1SOIL+1WATER+1.17Lr+1.17LLB+1.08LLE+2.1Wy-1+1.02CR14+1.02CR23</v>
      </c>
      <c r="C396" s="13">
        <f t="shared" si="30"/>
        <v>1.05</v>
      </c>
      <c r="D396" s="13">
        <f t="shared" si="31"/>
        <v>1.2</v>
      </c>
      <c r="E396" s="13">
        <f t="shared" si="32"/>
        <v>1.2</v>
      </c>
      <c r="F396" s="13">
        <f t="shared" si="33"/>
        <v>1.1000000000000001</v>
      </c>
      <c r="G396" s="13">
        <f t="shared" si="34"/>
        <v>1.1000000000000001</v>
      </c>
      <c r="H396" s="13">
        <f t="shared" si="35"/>
        <v>1</v>
      </c>
      <c r="I396" s="13">
        <v>1.1700000000000002</v>
      </c>
      <c r="J396" s="13">
        <v>1.17</v>
      </c>
      <c r="K396" s="13">
        <v>1.08</v>
      </c>
      <c r="L396" s="13"/>
      <c r="M396" s="13"/>
      <c r="N396" s="13"/>
      <c r="O396" s="13"/>
      <c r="P396" s="13"/>
      <c r="Q396" s="13"/>
      <c r="R396" s="13">
        <v>2.1</v>
      </c>
      <c r="S396" s="13"/>
      <c r="T396" s="13"/>
      <c r="U396" s="13"/>
      <c r="V396" s="13"/>
      <c r="W396" s="13">
        <f>W395</f>
        <v>1.02</v>
      </c>
      <c r="X396" s="13"/>
      <c r="Y396" s="13"/>
      <c r="Z396" s="13">
        <f>Y395</f>
        <v>1.02</v>
      </c>
      <c r="AA396" s="13"/>
    </row>
    <row r="397" spans="1:27" x14ac:dyDescent="0.25">
      <c r="A397" s="4" t="s">
        <v>426</v>
      </c>
      <c r="B397" s="2" t="str" cm="1">
        <f t="array" ref="B397">User3($C$11:$ZX$11,C397:ZX397)</f>
        <v>1.05D+1.2SDL+1.2BW+1.1COL+1.1SOIL+1WATER+1.17Lr+1.17LLB+1.08LLE+2.1Wy-1+1.02CR14+1.02CR24</v>
      </c>
      <c r="C397" s="16">
        <f t="shared" si="30"/>
        <v>1.05</v>
      </c>
      <c r="D397" s="16">
        <f t="shared" si="31"/>
        <v>1.2</v>
      </c>
      <c r="E397" s="16">
        <f t="shared" si="32"/>
        <v>1.2</v>
      </c>
      <c r="F397" s="16">
        <f t="shared" si="33"/>
        <v>1.1000000000000001</v>
      </c>
      <c r="G397" s="16">
        <f t="shared" si="34"/>
        <v>1.1000000000000001</v>
      </c>
      <c r="H397" s="16">
        <f t="shared" si="35"/>
        <v>1</v>
      </c>
      <c r="I397" s="16">
        <v>1.1700000000000002</v>
      </c>
      <c r="J397" s="16">
        <v>1.17</v>
      </c>
      <c r="K397" s="16">
        <v>1.08</v>
      </c>
      <c r="L397" s="16"/>
      <c r="M397" s="16"/>
      <c r="N397" s="16"/>
      <c r="O397" s="16"/>
      <c r="P397" s="16"/>
      <c r="Q397" s="16"/>
      <c r="R397" s="16">
        <v>2.1</v>
      </c>
      <c r="S397" s="16"/>
      <c r="T397" s="16"/>
      <c r="U397" s="16"/>
      <c r="V397" s="16"/>
      <c r="W397" s="16">
        <f>W396</f>
        <v>1.02</v>
      </c>
      <c r="X397" s="16"/>
      <c r="Y397" s="16"/>
      <c r="Z397" s="16"/>
      <c r="AA397" s="16">
        <f>Z396</f>
        <v>1.02</v>
      </c>
    </row>
    <row r="398" spans="1:27" x14ac:dyDescent="0.25">
      <c r="A398" s="4" t="s">
        <v>427</v>
      </c>
      <c r="B398" s="2" t="str" cm="1">
        <f t="array" ref="B398">User3($C$11:$ZX$11,C398:ZX398)</f>
        <v>1.05D+1.2SDL+1.2BW+1.1COL+1.1SOIL+1WATER+1.17Lr+1.17LLB+1.08LLE+2.1Wy-2+1.02CR11+1.02CR21</v>
      </c>
      <c r="C398" s="13">
        <f t="shared" si="30"/>
        <v>1.05</v>
      </c>
      <c r="D398" s="13">
        <f t="shared" si="31"/>
        <v>1.2</v>
      </c>
      <c r="E398" s="13">
        <f t="shared" si="32"/>
        <v>1.2</v>
      </c>
      <c r="F398" s="13">
        <f t="shared" si="33"/>
        <v>1.1000000000000001</v>
      </c>
      <c r="G398" s="13">
        <f t="shared" si="34"/>
        <v>1.1000000000000001</v>
      </c>
      <c r="H398" s="13">
        <f t="shared" si="35"/>
        <v>1</v>
      </c>
      <c r="I398" s="10">
        <v>1.1700000000000002</v>
      </c>
      <c r="J398" s="10">
        <v>1.17</v>
      </c>
      <c r="K398" s="10">
        <v>1.08</v>
      </c>
      <c r="L398" s="10"/>
      <c r="M398" s="10"/>
      <c r="N398" s="10"/>
      <c r="O398" s="10"/>
      <c r="P398" s="10"/>
      <c r="Q398" s="10"/>
      <c r="R398" s="10"/>
      <c r="S398" s="10">
        <v>2.1</v>
      </c>
      <c r="T398" s="10">
        <f>T382</f>
        <v>1.02</v>
      </c>
      <c r="U398" s="10"/>
      <c r="V398" s="10"/>
      <c r="W398" s="10"/>
      <c r="X398" s="10">
        <f>T398</f>
        <v>1.02</v>
      </c>
      <c r="Y398" s="10"/>
      <c r="Z398" s="10"/>
      <c r="AA398" s="10"/>
    </row>
    <row r="399" spans="1:27" x14ac:dyDescent="0.25">
      <c r="A399" s="4" t="s">
        <v>428</v>
      </c>
      <c r="B399" s="2" t="str" cm="1">
        <f t="array" ref="B399">User3($C$11:$ZX$11,C399:ZX399)</f>
        <v>1.05D+1.2SDL+1.2BW+1.1COL+1.1SOIL+1WATER+1.17Lr+1.17LLB+1.08LLE+2.1Wy-2+1.02CR11+1.02CR22</v>
      </c>
      <c r="C399" s="13">
        <f t="shared" ref="C399:C413" si="36">$C$12</f>
        <v>1.05</v>
      </c>
      <c r="D399" s="13">
        <f t="shared" ref="D399:D413" si="37">$D$12</f>
        <v>1.2</v>
      </c>
      <c r="E399" s="13">
        <f t="shared" ref="E399:E413" si="38">$E$12</f>
        <v>1.2</v>
      </c>
      <c r="F399" s="13">
        <f t="shared" ref="F399:F413" si="39">$F$12</f>
        <v>1.1000000000000001</v>
      </c>
      <c r="G399" s="13">
        <f t="shared" ref="G399:G413" si="40">$G$12</f>
        <v>1.1000000000000001</v>
      </c>
      <c r="H399" s="13">
        <f t="shared" ref="H399:H413" si="41">$H$12</f>
        <v>1</v>
      </c>
      <c r="I399" s="13">
        <v>1.1700000000000002</v>
      </c>
      <c r="J399" s="13">
        <v>1.17</v>
      </c>
      <c r="K399" s="13">
        <v>1.08</v>
      </c>
      <c r="L399" s="13"/>
      <c r="M399" s="13"/>
      <c r="N399" s="13"/>
      <c r="O399" s="13"/>
      <c r="P399" s="13"/>
      <c r="Q399" s="13"/>
      <c r="R399" s="13"/>
      <c r="S399" s="13">
        <v>2.1</v>
      </c>
      <c r="T399" s="13">
        <f>T398</f>
        <v>1.02</v>
      </c>
      <c r="U399" s="13"/>
      <c r="V399" s="13"/>
      <c r="W399" s="13"/>
      <c r="X399" s="13"/>
      <c r="Y399" s="13">
        <f>X398</f>
        <v>1.02</v>
      </c>
      <c r="Z399" s="13"/>
      <c r="AA399" s="13"/>
    </row>
    <row r="400" spans="1:27" x14ac:dyDescent="0.25">
      <c r="A400" s="4" t="s">
        <v>429</v>
      </c>
      <c r="B400" s="2" t="str" cm="1">
        <f t="array" ref="B400">User3($C$11:$ZX$11,C400:ZX400)</f>
        <v>1.05D+1.2SDL+1.2BW+1.1COL+1.1SOIL+1WATER+1.17Lr+1.17LLB+1.08LLE+2.1Wy-2+1.02CR11+1.02CR23</v>
      </c>
      <c r="C400" s="13">
        <f t="shared" si="36"/>
        <v>1.05</v>
      </c>
      <c r="D400" s="13">
        <f t="shared" si="37"/>
        <v>1.2</v>
      </c>
      <c r="E400" s="13">
        <f t="shared" si="38"/>
        <v>1.2</v>
      </c>
      <c r="F400" s="13">
        <f t="shared" si="39"/>
        <v>1.1000000000000001</v>
      </c>
      <c r="G400" s="13">
        <f t="shared" si="40"/>
        <v>1.1000000000000001</v>
      </c>
      <c r="H400" s="13">
        <f t="shared" si="41"/>
        <v>1</v>
      </c>
      <c r="I400" s="13">
        <v>1.1700000000000002</v>
      </c>
      <c r="J400" s="13">
        <v>1.17</v>
      </c>
      <c r="K400" s="13">
        <v>1.08</v>
      </c>
      <c r="L400" s="13"/>
      <c r="M400" s="13"/>
      <c r="N400" s="13"/>
      <c r="O400" s="13"/>
      <c r="P400" s="13"/>
      <c r="Q400" s="13"/>
      <c r="R400" s="13"/>
      <c r="S400" s="13">
        <v>2.1</v>
      </c>
      <c r="T400" s="13">
        <f>T399</f>
        <v>1.02</v>
      </c>
      <c r="U400" s="13"/>
      <c r="V400" s="13"/>
      <c r="W400" s="13"/>
      <c r="X400" s="13"/>
      <c r="Y400" s="13"/>
      <c r="Z400" s="13">
        <f>Y399</f>
        <v>1.02</v>
      </c>
      <c r="AA400" s="13"/>
    </row>
    <row r="401" spans="1:27" x14ac:dyDescent="0.25">
      <c r="A401" s="4" t="s">
        <v>430</v>
      </c>
      <c r="B401" s="2" t="str" cm="1">
        <f t="array" ref="B401">User3($C$11:$ZX$11,C401:ZX401)</f>
        <v>1.05D+1.2SDL+1.2BW+1.1COL+1.1SOIL+1WATER+1.17Lr+1.17LLB+1.08LLE+2.1Wy-2+1.02CR11+1.02CR24</v>
      </c>
      <c r="C401" s="13">
        <f t="shared" si="36"/>
        <v>1.05</v>
      </c>
      <c r="D401" s="13">
        <f t="shared" si="37"/>
        <v>1.2</v>
      </c>
      <c r="E401" s="13">
        <f t="shared" si="38"/>
        <v>1.2</v>
      </c>
      <c r="F401" s="13">
        <f t="shared" si="39"/>
        <v>1.1000000000000001</v>
      </c>
      <c r="G401" s="13">
        <f t="shared" si="40"/>
        <v>1.1000000000000001</v>
      </c>
      <c r="H401" s="13">
        <f t="shared" si="41"/>
        <v>1</v>
      </c>
      <c r="I401" s="13">
        <v>1.1700000000000002</v>
      </c>
      <c r="J401" s="13">
        <v>1.17</v>
      </c>
      <c r="K401" s="13">
        <v>1.08</v>
      </c>
      <c r="L401" s="13"/>
      <c r="M401" s="13"/>
      <c r="N401" s="13"/>
      <c r="O401" s="13"/>
      <c r="P401" s="13"/>
      <c r="Q401" s="13"/>
      <c r="R401" s="13"/>
      <c r="S401" s="13">
        <v>2.1</v>
      </c>
      <c r="T401" s="13">
        <f>T400</f>
        <v>1.02</v>
      </c>
      <c r="U401" s="13"/>
      <c r="V401" s="13"/>
      <c r="W401" s="13"/>
      <c r="X401" s="13"/>
      <c r="Y401" s="13"/>
      <c r="Z401" s="13"/>
      <c r="AA401" s="13">
        <f>Z400</f>
        <v>1.02</v>
      </c>
    </row>
    <row r="402" spans="1:27" x14ac:dyDescent="0.25">
      <c r="A402" s="4" t="s">
        <v>431</v>
      </c>
      <c r="B402" s="2" t="str" cm="1">
        <f t="array" ref="B402">User3($C$11:$ZX$11,C402:ZX402)</f>
        <v>1.05D+1.2SDL+1.2BW+1.1COL+1.1SOIL+1WATER+1.17Lr+1.17LLB+1.08LLE+2.1Wy-2+1.02CR12+1.02CR21</v>
      </c>
      <c r="C402" s="13">
        <f t="shared" si="36"/>
        <v>1.05</v>
      </c>
      <c r="D402" s="13">
        <f t="shared" si="37"/>
        <v>1.2</v>
      </c>
      <c r="E402" s="13">
        <f t="shared" si="38"/>
        <v>1.2</v>
      </c>
      <c r="F402" s="13">
        <f t="shared" si="39"/>
        <v>1.1000000000000001</v>
      </c>
      <c r="G402" s="13">
        <f t="shared" si="40"/>
        <v>1.1000000000000001</v>
      </c>
      <c r="H402" s="13">
        <f t="shared" si="41"/>
        <v>1</v>
      </c>
      <c r="I402" s="13">
        <v>1.1700000000000002</v>
      </c>
      <c r="J402" s="13">
        <v>1.17</v>
      </c>
      <c r="K402" s="13">
        <v>1.08</v>
      </c>
      <c r="L402" s="13"/>
      <c r="M402" s="13"/>
      <c r="N402" s="13"/>
      <c r="O402" s="13"/>
      <c r="P402" s="13"/>
      <c r="Q402" s="13"/>
      <c r="R402" s="13"/>
      <c r="S402" s="13">
        <v>2.1</v>
      </c>
      <c r="T402" s="13"/>
      <c r="U402" s="13">
        <f>T398</f>
        <v>1.02</v>
      </c>
      <c r="V402" s="13"/>
      <c r="W402" s="13"/>
      <c r="X402" s="13">
        <f>X398</f>
        <v>1.02</v>
      </c>
      <c r="Y402" s="13"/>
      <c r="Z402" s="13"/>
      <c r="AA402" s="13"/>
    </row>
    <row r="403" spans="1:27" x14ac:dyDescent="0.25">
      <c r="A403" s="4" t="s">
        <v>432</v>
      </c>
      <c r="B403" s="2" t="str" cm="1">
        <f t="array" ref="B403">User3($C$11:$ZX$11,C403:ZX403)</f>
        <v>1.05D+1.2SDL+1.2BW+1.1COL+1.1SOIL+1WATER+1.17Lr+1.17LLB+1.08LLE+2.1Wy-2+1.02CR12+1.02CR22</v>
      </c>
      <c r="C403" s="13">
        <f t="shared" si="36"/>
        <v>1.05</v>
      </c>
      <c r="D403" s="13">
        <f t="shared" si="37"/>
        <v>1.2</v>
      </c>
      <c r="E403" s="13">
        <f t="shared" si="38"/>
        <v>1.2</v>
      </c>
      <c r="F403" s="13">
        <f t="shared" si="39"/>
        <v>1.1000000000000001</v>
      </c>
      <c r="G403" s="13">
        <f t="shared" si="40"/>
        <v>1.1000000000000001</v>
      </c>
      <c r="H403" s="13">
        <f t="shared" si="41"/>
        <v>1</v>
      </c>
      <c r="I403" s="13">
        <v>1.1700000000000002</v>
      </c>
      <c r="J403" s="13">
        <v>1.17</v>
      </c>
      <c r="K403" s="13">
        <v>1.08</v>
      </c>
      <c r="L403" s="13"/>
      <c r="M403" s="13"/>
      <c r="N403" s="13"/>
      <c r="O403" s="13"/>
      <c r="P403" s="13"/>
      <c r="Q403" s="13"/>
      <c r="R403" s="13"/>
      <c r="S403" s="13">
        <v>2.1</v>
      </c>
      <c r="T403" s="13"/>
      <c r="U403" s="13">
        <f>U402</f>
        <v>1.02</v>
      </c>
      <c r="V403" s="13"/>
      <c r="W403" s="13"/>
      <c r="X403" s="13"/>
      <c r="Y403" s="13">
        <f>Y399</f>
        <v>1.02</v>
      </c>
      <c r="Z403" s="13"/>
      <c r="AA403" s="13"/>
    </row>
    <row r="404" spans="1:27" x14ac:dyDescent="0.25">
      <c r="A404" s="4" t="s">
        <v>433</v>
      </c>
      <c r="B404" s="2" t="str" cm="1">
        <f t="array" ref="B404">User3($C$11:$ZX$11,C404:ZX404)</f>
        <v>1.05D+1.2SDL+1.2BW+1.1COL+1.1SOIL+1WATER+1.17Lr+1.17LLB+1.08LLE+2.1Wy-2+1.02CR12+1.02CR23</v>
      </c>
      <c r="C404" s="13">
        <f t="shared" si="36"/>
        <v>1.05</v>
      </c>
      <c r="D404" s="13">
        <f t="shared" si="37"/>
        <v>1.2</v>
      </c>
      <c r="E404" s="13">
        <f t="shared" si="38"/>
        <v>1.2</v>
      </c>
      <c r="F404" s="13">
        <f t="shared" si="39"/>
        <v>1.1000000000000001</v>
      </c>
      <c r="G404" s="13">
        <f t="shared" si="40"/>
        <v>1.1000000000000001</v>
      </c>
      <c r="H404" s="13">
        <f t="shared" si="41"/>
        <v>1</v>
      </c>
      <c r="I404" s="13">
        <v>1.1700000000000002</v>
      </c>
      <c r="J404" s="13">
        <v>1.17</v>
      </c>
      <c r="K404" s="13">
        <v>1.08</v>
      </c>
      <c r="L404" s="13"/>
      <c r="M404" s="13"/>
      <c r="N404" s="13"/>
      <c r="O404" s="13"/>
      <c r="P404" s="13"/>
      <c r="Q404" s="13"/>
      <c r="R404" s="13"/>
      <c r="S404" s="13">
        <v>2.1</v>
      </c>
      <c r="T404" s="13"/>
      <c r="U404" s="13">
        <f>U403</f>
        <v>1.02</v>
      </c>
      <c r="V404" s="13"/>
      <c r="W404" s="13"/>
      <c r="X404" s="13"/>
      <c r="Y404" s="13"/>
      <c r="Z404" s="13">
        <f>Z400</f>
        <v>1.02</v>
      </c>
      <c r="AA404" s="13"/>
    </row>
    <row r="405" spans="1:27" x14ac:dyDescent="0.25">
      <c r="A405" s="4" t="s">
        <v>434</v>
      </c>
      <c r="B405" s="2" t="str" cm="1">
        <f t="array" ref="B405">User3($C$11:$ZX$11,C405:ZX405)</f>
        <v>1.05D+1.2SDL+1.2BW+1.1COL+1.1SOIL+1WATER+1.17Lr+1.17LLB+1.08LLE+2.1Wy-2+1.02CR12+1.02CR24</v>
      </c>
      <c r="C405" s="16">
        <f t="shared" si="36"/>
        <v>1.05</v>
      </c>
      <c r="D405" s="16">
        <f t="shared" si="37"/>
        <v>1.2</v>
      </c>
      <c r="E405" s="16">
        <f t="shared" si="38"/>
        <v>1.2</v>
      </c>
      <c r="F405" s="16">
        <f t="shared" si="39"/>
        <v>1.1000000000000001</v>
      </c>
      <c r="G405" s="16">
        <f t="shared" si="40"/>
        <v>1.1000000000000001</v>
      </c>
      <c r="H405" s="16">
        <f t="shared" si="41"/>
        <v>1</v>
      </c>
      <c r="I405" s="16">
        <v>1.1700000000000002</v>
      </c>
      <c r="J405" s="16">
        <v>1.17</v>
      </c>
      <c r="K405" s="16">
        <v>1.08</v>
      </c>
      <c r="L405" s="16"/>
      <c r="M405" s="16"/>
      <c r="N405" s="16"/>
      <c r="O405" s="16"/>
      <c r="P405" s="16"/>
      <c r="Q405" s="16"/>
      <c r="R405" s="16"/>
      <c r="S405" s="16">
        <v>2.1</v>
      </c>
      <c r="T405" s="16"/>
      <c r="U405" s="16">
        <f>U404</f>
        <v>1.02</v>
      </c>
      <c r="V405" s="16"/>
      <c r="W405" s="16"/>
      <c r="X405" s="16"/>
      <c r="Y405" s="16"/>
      <c r="Z405" s="16"/>
      <c r="AA405" s="16">
        <f>AA401</f>
        <v>1.02</v>
      </c>
    </row>
    <row r="406" spans="1:27" x14ac:dyDescent="0.25">
      <c r="A406" s="4" t="s">
        <v>435</v>
      </c>
      <c r="B406" s="2" t="str" cm="1">
        <f t="array" ref="B406">User3($C$11:$ZX$11,C406:ZX406)</f>
        <v>1.05D+1.2SDL+1.2BW+1.1COL+1.1SOIL+1WATER+1.17Lr+1.17LLB+1.08LLE+2.1Wy-2+1.02CR13+1.02CR21</v>
      </c>
      <c r="C406" s="13">
        <f t="shared" si="36"/>
        <v>1.05</v>
      </c>
      <c r="D406" s="13">
        <f t="shared" si="37"/>
        <v>1.2</v>
      </c>
      <c r="E406" s="13">
        <f t="shared" si="38"/>
        <v>1.2</v>
      </c>
      <c r="F406" s="13">
        <f t="shared" si="39"/>
        <v>1.1000000000000001</v>
      </c>
      <c r="G406" s="13">
        <f t="shared" si="40"/>
        <v>1.1000000000000001</v>
      </c>
      <c r="H406" s="13">
        <f t="shared" si="41"/>
        <v>1</v>
      </c>
      <c r="I406" s="10">
        <v>1.1700000000000002</v>
      </c>
      <c r="J406" s="10">
        <v>1.17</v>
      </c>
      <c r="K406" s="10">
        <v>1.08</v>
      </c>
      <c r="L406" s="10"/>
      <c r="M406" s="10"/>
      <c r="N406" s="10"/>
      <c r="O406" s="10"/>
      <c r="P406" s="10"/>
      <c r="Q406" s="10"/>
      <c r="R406" s="10"/>
      <c r="S406" s="10">
        <v>2.1</v>
      </c>
      <c r="T406" s="10"/>
      <c r="U406" s="10"/>
      <c r="V406" s="10">
        <f>U405</f>
        <v>1.02</v>
      </c>
      <c r="W406" s="10"/>
      <c r="X406" s="10">
        <f>X402</f>
        <v>1.02</v>
      </c>
      <c r="Y406" s="10"/>
      <c r="Z406" s="10"/>
      <c r="AA406" s="10"/>
    </row>
    <row r="407" spans="1:27" x14ac:dyDescent="0.25">
      <c r="A407" s="4" t="s">
        <v>436</v>
      </c>
      <c r="B407" s="2" t="str" cm="1">
        <f t="array" ref="B407">User3($C$11:$ZX$11,C407:ZX407)</f>
        <v>1.05D+1.2SDL+1.2BW+1.1COL+1.1SOIL+1WATER+1.17Lr+1.17LLB+1.08LLE+2.1Wy-2+1.02CR13+1.02CR22</v>
      </c>
      <c r="C407" s="13">
        <f t="shared" si="36"/>
        <v>1.05</v>
      </c>
      <c r="D407" s="13">
        <f t="shared" si="37"/>
        <v>1.2</v>
      </c>
      <c r="E407" s="13">
        <f t="shared" si="38"/>
        <v>1.2</v>
      </c>
      <c r="F407" s="13">
        <f t="shared" si="39"/>
        <v>1.1000000000000001</v>
      </c>
      <c r="G407" s="13">
        <f t="shared" si="40"/>
        <v>1.1000000000000001</v>
      </c>
      <c r="H407" s="13">
        <f t="shared" si="41"/>
        <v>1</v>
      </c>
      <c r="I407" s="13">
        <v>1.1700000000000002</v>
      </c>
      <c r="J407" s="13">
        <v>1.17</v>
      </c>
      <c r="K407" s="13">
        <v>1.08</v>
      </c>
      <c r="L407" s="13"/>
      <c r="M407" s="13"/>
      <c r="N407" s="13"/>
      <c r="O407" s="13"/>
      <c r="P407" s="13"/>
      <c r="Q407" s="13"/>
      <c r="R407" s="13"/>
      <c r="S407" s="13">
        <v>2.1</v>
      </c>
      <c r="T407" s="13"/>
      <c r="U407" s="13"/>
      <c r="V407" s="13">
        <f>V406</f>
        <v>1.02</v>
      </c>
      <c r="W407" s="13"/>
      <c r="X407" s="13"/>
      <c r="Y407" s="13">
        <f>X406</f>
        <v>1.02</v>
      </c>
      <c r="Z407" s="13"/>
      <c r="AA407" s="13"/>
    </row>
    <row r="408" spans="1:27" x14ac:dyDescent="0.25">
      <c r="A408" s="4" t="s">
        <v>437</v>
      </c>
      <c r="B408" s="2" t="str" cm="1">
        <f t="array" ref="B408">User3($C$11:$ZX$11,C408:ZX408)</f>
        <v>1.05D+1.2SDL+1.2BW+1.1COL+1.1SOIL+1WATER+1.17Lr+1.17LLB+1.08LLE+2.1Wy-2+1.02CR13+1.02CR23</v>
      </c>
      <c r="C408" s="13">
        <f t="shared" si="36"/>
        <v>1.05</v>
      </c>
      <c r="D408" s="13">
        <f t="shared" si="37"/>
        <v>1.2</v>
      </c>
      <c r="E408" s="13">
        <f t="shared" si="38"/>
        <v>1.2</v>
      </c>
      <c r="F408" s="13">
        <f t="shared" si="39"/>
        <v>1.1000000000000001</v>
      </c>
      <c r="G408" s="13">
        <f t="shared" si="40"/>
        <v>1.1000000000000001</v>
      </c>
      <c r="H408" s="13">
        <f t="shared" si="41"/>
        <v>1</v>
      </c>
      <c r="I408" s="13">
        <v>1.1700000000000002</v>
      </c>
      <c r="J408" s="13">
        <v>1.17</v>
      </c>
      <c r="K408" s="13">
        <v>1.08</v>
      </c>
      <c r="L408" s="13"/>
      <c r="M408" s="13"/>
      <c r="N408" s="13"/>
      <c r="O408" s="13"/>
      <c r="P408" s="13"/>
      <c r="Q408" s="13"/>
      <c r="R408" s="13"/>
      <c r="S408" s="13">
        <v>2.1</v>
      </c>
      <c r="T408" s="13"/>
      <c r="U408" s="13"/>
      <c r="V408" s="13">
        <f>V407</f>
        <v>1.02</v>
      </c>
      <c r="W408" s="13"/>
      <c r="X408" s="13"/>
      <c r="Y408" s="13"/>
      <c r="Z408" s="13">
        <f>Y407</f>
        <v>1.02</v>
      </c>
      <c r="AA408" s="13"/>
    </row>
    <row r="409" spans="1:27" x14ac:dyDescent="0.25">
      <c r="A409" s="4" t="s">
        <v>438</v>
      </c>
      <c r="B409" s="2" t="str" cm="1">
        <f t="array" ref="B409">User3($C$11:$ZX$11,C409:ZX409)</f>
        <v>1.05D+1.2SDL+1.2BW+1.1COL+1.1SOIL+1WATER+1.17Lr+1.17LLB+1.08LLE+2.1Wy-2+1.02CR13+1.02CR24</v>
      </c>
      <c r="C409" s="13">
        <f t="shared" si="36"/>
        <v>1.05</v>
      </c>
      <c r="D409" s="13">
        <f t="shared" si="37"/>
        <v>1.2</v>
      </c>
      <c r="E409" s="13">
        <f t="shared" si="38"/>
        <v>1.2</v>
      </c>
      <c r="F409" s="13">
        <f t="shared" si="39"/>
        <v>1.1000000000000001</v>
      </c>
      <c r="G409" s="13">
        <f t="shared" si="40"/>
        <v>1.1000000000000001</v>
      </c>
      <c r="H409" s="13">
        <f t="shared" si="41"/>
        <v>1</v>
      </c>
      <c r="I409" s="13">
        <v>1.1700000000000002</v>
      </c>
      <c r="J409" s="13">
        <v>1.17</v>
      </c>
      <c r="K409" s="13">
        <v>1.08</v>
      </c>
      <c r="L409" s="13"/>
      <c r="M409" s="13"/>
      <c r="N409" s="13"/>
      <c r="O409" s="13"/>
      <c r="P409" s="13"/>
      <c r="Q409" s="13"/>
      <c r="R409" s="13"/>
      <c r="S409" s="13">
        <v>2.1</v>
      </c>
      <c r="T409" s="13"/>
      <c r="U409" s="13"/>
      <c r="V409" s="13">
        <f>V408</f>
        <v>1.02</v>
      </c>
      <c r="W409" s="13"/>
      <c r="X409" s="13"/>
      <c r="Y409" s="13"/>
      <c r="Z409" s="13"/>
      <c r="AA409" s="13">
        <f>Z408</f>
        <v>1.02</v>
      </c>
    </row>
    <row r="410" spans="1:27" x14ac:dyDescent="0.25">
      <c r="A410" s="4" t="s">
        <v>439</v>
      </c>
      <c r="B410" s="2" t="str" cm="1">
        <f t="array" ref="B410">User3($C$11:$ZX$11,C410:ZX410)</f>
        <v>1.05D+1.2SDL+1.2BW+1.1COL+1.1SOIL+1WATER+1.17Lr+1.17LLB+1.08LLE+2.1Wy-2+1.02CR14+1.02CR21</v>
      </c>
      <c r="C410" s="13">
        <f t="shared" si="36"/>
        <v>1.05</v>
      </c>
      <c r="D410" s="13">
        <f t="shared" si="37"/>
        <v>1.2</v>
      </c>
      <c r="E410" s="13">
        <f t="shared" si="38"/>
        <v>1.2</v>
      </c>
      <c r="F410" s="13">
        <f t="shared" si="39"/>
        <v>1.1000000000000001</v>
      </c>
      <c r="G410" s="13">
        <f t="shared" si="40"/>
        <v>1.1000000000000001</v>
      </c>
      <c r="H410" s="13">
        <f t="shared" si="41"/>
        <v>1</v>
      </c>
      <c r="I410" s="13">
        <v>1.1700000000000002</v>
      </c>
      <c r="J410" s="13">
        <v>1.17</v>
      </c>
      <c r="K410" s="13">
        <v>1.08</v>
      </c>
      <c r="L410" s="13"/>
      <c r="M410" s="13"/>
      <c r="N410" s="13"/>
      <c r="O410" s="13"/>
      <c r="P410" s="13"/>
      <c r="Q410" s="13"/>
      <c r="R410" s="13"/>
      <c r="S410" s="13">
        <v>2.1</v>
      </c>
      <c r="T410" s="13"/>
      <c r="U410" s="13"/>
      <c r="V410" s="13"/>
      <c r="W410" s="13">
        <f>V409</f>
        <v>1.02</v>
      </c>
      <c r="X410" s="13">
        <f>X406</f>
        <v>1.02</v>
      </c>
      <c r="Y410" s="13"/>
      <c r="Z410" s="13"/>
      <c r="AA410" s="13"/>
    </row>
    <row r="411" spans="1:27" x14ac:dyDescent="0.25">
      <c r="A411" s="4" t="s">
        <v>440</v>
      </c>
      <c r="B411" s="2" t="str" cm="1">
        <f t="array" ref="B411">User3($C$11:$ZX$11,C411:ZX411)</f>
        <v>1.05D+1.2SDL+1.2BW+1.1COL+1.1SOIL+1WATER+1.17Lr+1.17LLB+1.08LLE+2.1Wy-2+1.02CR14+1.02CR22</v>
      </c>
      <c r="C411" s="13">
        <f t="shared" si="36"/>
        <v>1.05</v>
      </c>
      <c r="D411" s="13">
        <f t="shared" si="37"/>
        <v>1.2</v>
      </c>
      <c r="E411" s="13">
        <f t="shared" si="38"/>
        <v>1.2</v>
      </c>
      <c r="F411" s="13">
        <f t="shared" si="39"/>
        <v>1.1000000000000001</v>
      </c>
      <c r="G411" s="13">
        <f t="shared" si="40"/>
        <v>1.1000000000000001</v>
      </c>
      <c r="H411" s="13">
        <f t="shared" si="41"/>
        <v>1</v>
      </c>
      <c r="I411" s="13">
        <v>1.1700000000000002</v>
      </c>
      <c r="J411" s="13">
        <v>1.17</v>
      </c>
      <c r="K411" s="13">
        <v>1.08</v>
      </c>
      <c r="L411" s="13"/>
      <c r="M411" s="13"/>
      <c r="N411" s="13"/>
      <c r="O411" s="13"/>
      <c r="P411" s="13"/>
      <c r="Q411" s="13"/>
      <c r="R411" s="13"/>
      <c r="S411" s="13">
        <v>2.1</v>
      </c>
      <c r="T411" s="13"/>
      <c r="U411" s="13"/>
      <c r="V411" s="13"/>
      <c r="W411" s="13">
        <f>W410</f>
        <v>1.02</v>
      </c>
      <c r="X411" s="13"/>
      <c r="Y411" s="13">
        <f>X410</f>
        <v>1.02</v>
      </c>
      <c r="Z411" s="13"/>
      <c r="AA411" s="13"/>
    </row>
    <row r="412" spans="1:27" x14ac:dyDescent="0.25">
      <c r="A412" s="4" t="s">
        <v>441</v>
      </c>
      <c r="B412" s="2" t="str" cm="1">
        <f t="array" ref="B412">User3($C$11:$ZX$11,C412:ZX412)</f>
        <v>1.05D+1.2SDL+1.2BW+1.1COL+1.1SOIL+1WATER+1.17Lr+1.17LLB+1.08LLE+2.1Wy-2+1.02CR14+1.02CR23</v>
      </c>
      <c r="C412" s="13">
        <f t="shared" si="36"/>
        <v>1.05</v>
      </c>
      <c r="D412" s="13">
        <f t="shared" si="37"/>
        <v>1.2</v>
      </c>
      <c r="E412" s="13">
        <f t="shared" si="38"/>
        <v>1.2</v>
      </c>
      <c r="F412" s="13">
        <f t="shared" si="39"/>
        <v>1.1000000000000001</v>
      </c>
      <c r="G412" s="13">
        <f t="shared" si="40"/>
        <v>1.1000000000000001</v>
      </c>
      <c r="H412" s="13">
        <f t="shared" si="41"/>
        <v>1</v>
      </c>
      <c r="I412" s="13">
        <v>1.1700000000000002</v>
      </c>
      <c r="J412" s="13">
        <v>1.17</v>
      </c>
      <c r="K412" s="13">
        <v>1.08</v>
      </c>
      <c r="L412" s="13"/>
      <c r="M412" s="13"/>
      <c r="N412" s="13"/>
      <c r="O412" s="13"/>
      <c r="P412" s="13"/>
      <c r="Q412" s="13"/>
      <c r="R412" s="13"/>
      <c r="S412" s="13">
        <v>2.1</v>
      </c>
      <c r="T412" s="13"/>
      <c r="U412" s="13"/>
      <c r="V412" s="13"/>
      <c r="W412" s="13">
        <f>W411</f>
        <v>1.02</v>
      </c>
      <c r="X412" s="13"/>
      <c r="Y412" s="13"/>
      <c r="Z412" s="13">
        <f>Y411</f>
        <v>1.02</v>
      </c>
      <c r="AA412" s="13"/>
    </row>
    <row r="413" spans="1:27" x14ac:dyDescent="0.25">
      <c r="A413" s="4" t="s">
        <v>442</v>
      </c>
      <c r="B413" s="2" t="str" cm="1">
        <f t="array" ref="B413">User3($C$11:$ZX$11,C413:ZX413)</f>
        <v>1.05D+1.2SDL+1.2BW+1.1COL+1.1SOIL+1WATER+1.17Lr+1.17LLB+1.08LLE+2.1Wy-2+1.02CR14+1.02CR24</v>
      </c>
      <c r="C413" s="16">
        <f t="shared" si="36"/>
        <v>1.05</v>
      </c>
      <c r="D413" s="16">
        <f t="shared" si="37"/>
        <v>1.2</v>
      </c>
      <c r="E413" s="16">
        <f t="shared" si="38"/>
        <v>1.2</v>
      </c>
      <c r="F413" s="16">
        <f t="shared" si="39"/>
        <v>1.1000000000000001</v>
      </c>
      <c r="G413" s="16">
        <f t="shared" si="40"/>
        <v>1.1000000000000001</v>
      </c>
      <c r="H413" s="16">
        <f t="shared" si="41"/>
        <v>1</v>
      </c>
      <c r="I413" s="16">
        <v>1.1700000000000002</v>
      </c>
      <c r="J413" s="16">
        <v>1.17</v>
      </c>
      <c r="K413" s="16">
        <v>1.08</v>
      </c>
      <c r="L413" s="16"/>
      <c r="M413" s="16"/>
      <c r="N413" s="16"/>
      <c r="O413" s="16"/>
      <c r="P413" s="16"/>
      <c r="Q413" s="16"/>
      <c r="R413" s="16"/>
      <c r="S413" s="16">
        <v>2.1</v>
      </c>
      <c r="T413" s="16"/>
      <c r="U413" s="16"/>
      <c r="V413" s="16"/>
      <c r="W413" s="16">
        <f>W412</f>
        <v>1.02</v>
      </c>
      <c r="X413" s="16"/>
      <c r="Y413" s="16"/>
      <c r="Z413" s="16"/>
      <c r="AA413" s="16">
        <f>Z412</f>
        <v>1.02</v>
      </c>
    </row>
  </sheetData>
  <mergeCells count="3">
    <mergeCell ref="A10:B10"/>
    <mergeCell ref="T1:W1"/>
    <mergeCell ref="X1:AA1"/>
  </mergeCells>
  <phoneticPr fontId="2" type="noConversion"/>
  <conditionalFormatting sqref="C414:DA1048576 C12:DA20 I21:DA413">
    <cfRule type="cellIs" dxfId="121" priority="327" operator="lessThan">
      <formula>0</formula>
    </cfRule>
    <cfRule type="cellIs" dxfId="120" priority="328" operator="greaterThan">
      <formula>0</formula>
    </cfRule>
  </conditionalFormatting>
  <conditionalFormatting sqref="C21:H21">
    <cfRule type="cellIs" dxfId="119" priority="323" operator="lessThan">
      <formula>0</formula>
    </cfRule>
    <cfRule type="cellIs" dxfId="118" priority="324" operator="greaterThan">
      <formula>0</formula>
    </cfRule>
  </conditionalFormatting>
  <conditionalFormatting sqref="C22:H22">
    <cfRule type="cellIs" dxfId="117" priority="321" operator="lessThan">
      <formula>0</formula>
    </cfRule>
    <cfRule type="cellIs" dxfId="116" priority="322" operator="greaterThan">
      <formula>0</formula>
    </cfRule>
  </conditionalFormatting>
  <conditionalFormatting sqref="C23:H25 C27:H29">
    <cfRule type="cellIs" dxfId="115" priority="319" operator="lessThan">
      <formula>0</formula>
    </cfRule>
    <cfRule type="cellIs" dxfId="114" priority="320" operator="greaterThan">
      <formula>0</formula>
    </cfRule>
  </conditionalFormatting>
  <conditionalFormatting sqref="C94:H94">
    <cfRule type="cellIs" dxfId="113" priority="317" operator="lessThan">
      <formula>0</formula>
    </cfRule>
    <cfRule type="cellIs" dxfId="112" priority="318" operator="greaterThan">
      <formula>0</formula>
    </cfRule>
  </conditionalFormatting>
  <conditionalFormatting sqref="C95:H101">
    <cfRule type="cellIs" dxfId="111" priority="315" operator="lessThan">
      <formula>0</formula>
    </cfRule>
    <cfRule type="cellIs" dxfId="110" priority="316" operator="greaterThan">
      <formula>0</formula>
    </cfRule>
  </conditionalFormatting>
  <conditionalFormatting sqref="C102:H102">
    <cfRule type="cellIs" dxfId="109" priority="313" operator="lessThan">
      <formula>0</formula>
    </cfRule>
    <cfRule type="cellIs" dxfId="108" priority="314" operator="greaterThan">
      <formula>0</formula>
    </cfRule>
  </conditionalFormatting>
  <conditionalFormatting sqref="C103:H109">
    <cfRule type="cellIs" dxfId="107" priority="311" operator="lessThan">
      <formula>0</formula>
    </cfRule>
    <cfRule type="cellIs" dxfId="106" priority="312" operator="greaterThan">
      <formula>0</formula>
    </cfRule>
  </conditionalFormatting>
  <conditionalFormatting sqref="C110:E125">
    <cfRule type="cellIs" dxfId="105" priority="301" operator="lessThan">
      <formula>0</formula>
    </cfRule>
    <cfRule type="cellIs" dxfId="104" priority="302" operator="greaterThan">
      <formula>0</formula>
    </cfRule>
  </conditionalFormatting>
  <conditionalFormatting sqref="C126:E133">
    <cfRule type="cellIs" dxfId="103" priority="295" operator="lessThan">
      <formula>0</formula>
    </cfRule>
    <cfRule type="cellIs" dxfId="102" priority="296" operator="greaterThan">
      <formula>0</formula>
    </cfRule>
  </conditionalFormatting>
  <conditionalFormatting sqref="C134:E141">
    <cfRule type="cellIs" dxfId="101" priority="289" operator="lessThan">
      <formula>0</formula>
    </cfRule>
    <cfRule type="cellIs" dxfId="100" priority="290" operator="greaterThan">
      <formula>0</formula>
    </cfRule>
  </conditionalFormatting>
  <conditionalFormatting sqref="C142:E149">
    <cfRule type="cellIs" dxfId="99" priority="283" operator="lessThan">
      <formula>0</formula>
    </cfRule>
    <cfRule type="cellIs" dxfId="98" priority="284" operator="greaterThan">
      <formula>0</formula>
    </cfRule>
  </conditionalFormatting>
  <conditionalFormatting sqref="C150:E157">
    <cfRule type="cellIs" dxfId="97" priority="277" operator="lessThan">
      <formula>0</formula>
    </cfRule>
    <cfRule type="cellIs" dxfId="96" priority="278" operator="greaterThan">
      <formula>0</formula>
    </cfRule>
  </conditionalFormatting>
  <conditionalFormatting sqref="C26:H26">
    <cfRule type="cellIs" dxfId="95" priority="227" operator="lessThan">
      <formula>0</formula>
    </cfRule>
    <cfRule type="cellIs" dxfId="94" priority="228" operator="greaterThan">
      <formula>0</formula>
    </cfRule>
  </conditionalFormatting>
  <conditionalFormatting sqref="F110:H110">
    <cfRule type="cellIs" dxfId="93" priority="225" operator="lessThan">
      <formula>0</formula>
    </cfRule>
    <cfRule type="cellIs" dxfId="92" priority="226" operator="greaterThan">
      <formula>0</formula>
    </cfRule>
  </conditionalFormatting>
  <conditionalFormatting sqref="F111:H117">
    <cfRule type="cellIs" dxfId="91" priority="223" operator="lessThan">
      <formula>0</formula>
    </cfRule>
    <cfRule type="cellIs" dxfId="90" priority="224" operator="greaterThan">
      <formula>0</formula>
    </cfRule>
  </conditionalFormatting>
  <conditionalFormatting sqref="F118:H118">
    <cfRule type="cellIs" dxfId="89" priority="221" operator="lessThan">
      <formula>0</formula>
    </cfRule>
    <cfRule type="cellIs" dxfId="88" priority="222" operator="greaterThan">
      <formula>0</formula>
    </cfRule>
  </conditionalFormatting>
  <conditionalFormatting sqref="F119:H125">
    <cfRule type="cellIs" dxfId="87" priority="219" operator="lessThan">
      <formula>0</formula>
    </cfRule>
    <cfRule type="cellIs" dxfId="86" priority="220" operator="greaterThan">
      <formula>0</formula>
    </cfRule>
  </conditionalFormatting>
  <conditionalFormatting sqref="F126:H126">
    <cfRule type="cellIs" dxfId="85" priority="217" operator="lessThan">
      <formula>0</formula>
    </cfRule>
    <cfRule type="cellIs" dxfId="84" priority="218" operator="greaterThan">
      <formula>0</formula>
    </cfRule>
  </conditionalFormatting>
  <conditionalFormatting sqref="F127:H133">
    <cfRule type="cellIs" dxfId="83" priority="215" operator="lessThan">
      <formula>0</formula>
    </cfRule>
    <cfRule type="cellIs" dxfId="82" priority="216" operator="greaterThan">
      <formula>0</formula>
    </cfRule>
  </conditionalFormatting>
  <conditionalFormatting sqref="F134:H134">
    <cfRule type="cellIs" dxfId="81" priority="213" operator="lessThan">
      <formula>0</formula>
    </cfRule>
    <cfRule type="cellIs" dxfId="80" priority="214" operator="greaterThan">
      <formula>0</formula>
    </cfRule>
  </conditionalFormatting>
  <conditionalFormatting sqref="F135:H141">
    <cfRule type="cellIs" dxfId="79" priority="211" operator="lessThan">
      <formula>0</formula>
    </cfRule>
    <cfRule type="cellIs" dxfId="78" priority="212" operator="greaterThan">
      <formula>0</formula>
    </cfRule>
  </conditionalFormatting>
  <conditionalFormatting sqref="F142:H142">
    <cfRule type="cellIs" dxfId="77" priority="209" operator="lessThan">
      <formula>0</formula>
    </cfRule>
    <cfRule type="cellIs" dxfId="76" priority="210" operator="greaterThan">
      <formula>0</formula>
    </cfRule>
  </conditionalFormatting>
  <conditionalFormatting sqref="F143:H149">
    <cfRule type="cellIs" dxfId="75" priority="207" operator="lessThan">
      <formula>0</formula>
    </cfRule>
    <cfRule type="cellIs" dxfId="74" priority="208" operator="greaterThan">
      <formula>0</formula>
    </cfRule>
  </conditionalFormatting>
  <conditionalFormatting sqref="F150:H150">
    <cfRule type="cellIs" dxfId="73" priority="205" operator="lessThan">
      <formula>0</formula>
    </cfRule>
    <cfRule type="cellIs" dxfId="72" priority="206" operator="greaterThan">
      <formula>0</formula>
    </cfRule>
  </conditionalFormatting>
  <conditionalFormatting sqref="F151:H157">
    <cfRule type="cellIs" dxfId="71" priority="203" operator="lessThan">
      <formula>0</formula>
    </cfRule>
    <cfRule type="cellIs" dxfId="70" priority="204" operator="greaterThan">
      <formula>0</formula>
    </cfRule>
  </conditionalFormatting>
  <conditionalFormatting sqref="C30:H30">
    <cfRule type="cellIs" dxfId="69" priority="105" operator="lessThan">
      <formula>0</formula>
    </cfRule>
    <cfRule type="cellIs" dxfId="68" priority="106" operator="greaterThan">
      <formula>0</formula>
    </cfRule>
  </conditionalFormatting>
  <conditionalFormatting sqref="C31:H37">
    <cfRule type="cellIs" dxfId="67" priority="103" operator="lessThan">
      <formula>0</formula>
    </cfRule>
    <cfRule type="cellIs" dxfId="66" priority="104" operator="greaterThan">
      <formula>0</formula>
    </cfRule>
  </conditionalFormatting>
  <conditionalFormatting sqref="C38:H38">
    <cfRule type="cellIs" dxfId="65" priority="101" operator="lessThan">
      <formula>0</formula>
    </cfRule>
    <cfRule type="cellIs" dxfId="64" priority="102" operator="greaterThan">
      <formula>0</formula>
    </cfRule>
  </conditionalFormatting>
  <conditionalFormatting sqref="C39:H45 C55:H61 C63:H69 C71:H77 C79:H85 C87:H93">
    <cfRule type="cellIs" dxfId="63" priority="99" operator="lessThan">
      <formula>0</formula>
    </cfRule>
    <cfRule type="cellIs" dxfId="62" priority="100" operator="greaterThan">
      <formula>0</formula>
    </cfRule>
  </conditionalFormatting>
  <conditionalFormatting sqref="C46:H46">
    <cfRule type="cellIs" dxfId="61" priority="97" operator="lessThan">
      <formula>0</formula>
    </cfRule>
    <cfRule type="cellIs" dxfId="60" priority="98" operator="greaterThan">
      <formula>0</formula>
    </cfRule>
  </conditionalFormatting>
  <conditionalFormatting sqref="C47:H53">
    <cfRule type="cellIs" dxfId="59" priority="95" operator="lessThan">
      <formula>0</formula>
    </cfRule>
    <cfRule type="cellIs" dxfId="58" priority="96" operator="greaterThan">
      <formula>0</formula>
    </cfRule>
  </conditionalFormatting>
  <conditionalFormatting sqref="C54:H54">
    <cfRule type="cellIs" dxfId="57" priority="93" operator="lessThan">
      <formula>0</formula>
    </cfRule>
    <cfRule type="cellIs" dxfId="56" priority="94" operator="greaterThan">
      <formula>0</formula>
    </cfRule>
  </conditionalFormatting>
  <conditionalFormatting sqref="C62:H62">
    <cfRule type="cellIs" dxfId="55" priority="91" operator="lessThan">
      <formula>0</formula>
    </cfRule>
    <cfRule type="cellIs" dxfId="54" priority="92" operator="greaterThan">
      <formula>0</formula>
    </cfRule>
  </conditionalFormatting>
  <conditionalFormatting sqref="C70:H70">
    <cfRule type="cellIs" dxfId="53" priority="89" operator="lessThan">
      <formula>0</formula>
    </cfRule>
    <cfRule type="cellIs" dxfId="52" priority="90" operator="greaterThan">
      <formula>0</formula>
    </cfRule>
  </conditionalFormatting>
  <conditionalFormatting sqref="C78:H78">
    <cfRule type="cellIs" dxfId="51" priority="87" operator="lessThan">
      <formula>0</formula>
    </cfRule>
    <cfRule type="cellIs" dxfId="50" priority="88" operator="greaterThan">
      <formula>0</formula>
    </cfRule>
  </conditionalFormatting>
  <conditionalFormatting sqref="C86:H86">
    <cfRule type="cellIs" dxfId="49" priority="85" operator="lessThan">
      <formula>0</formula>
    </cfRule>
    <cfRule type="cellIs" dxfId="48" priority="86" operator="greaterThan">
      <formula>0</formula>
    </cfRule>
  </conditionalFormatting>
  <conditionalFormatting sqref="C158:E165">
    <cfRule type="cellIs" dxfId="47" priority="47" operator="lessThan">
      <formula>0</formula>
    </cfRule>
    <cfRule type="cellIs" dxfId="46" priority="48" operator="greaterThan">
      <formula>0</formula>
    </cfRule>
  </conditionalFormatting>
  <conditionalFormatting sqref="F158:H158">
    <cfRule type="cellIs" dxfId="45" priority="45" operator="lessThan">
      <formula>0</formula>
    </cfRule>
    <cfRule type="cellIs" dxfId="44" priority="46" operator="greaterThan">
      <formula>0</formula>
    </cfRule>
  </conditionalFormatting>
  <conditionalFormatting sqref="F159:H165">
    <cfRule type="cellIs" dxfId="43" priority="43" operator="lessThan">
      <formula>0</formula>
    </cfRule>
    <cfRule type="cellIs" dxfId="42" priority="44" operator="greaterThan">
      <formula>0</formula>
    </cfRule>
  </conditionalFormatting>
  <conditionalFormatting sqref="C166:E173">
    <cfRule type="cellIs" dxfId="41" priority="41" operator="lessThan">
      <formula>0</formula>
    </cfRule>
    <cfRule type="cellIs" dxfId="40" priority="42" operator="greaterThan">
      <formula>0</formula>
    </cfRule>
  </conditionalFormatting>
  <conditionalFormatting sqref="F166:H166">
    <cfRule type="cellIs" dxfId="39" priority="39" operator="lessThan">
      <formula>0</formula>
    </cfRule>
    <cfRule type="cellIs" dxfId="38" priority="40" operator="greaterThan">
      <formula>0</formula>
    </cfRule>
  </conditionalFormatting>
  <conditionalFormatting sqref="F167:H173">
    <cfRule type="cellIs" dxfId="37" priority="37" operator="lessThan">
      <formula>0</formula>
    </cfRule>
    <cfRule type="cellIs" dxfId="36" priority="38" operator="greaterThan">
      <formula>0</formula>
    </cfRule>
  </conditionalFormatting>
  <conditionalFormatting sqref="C174:E181">
    <cfRule type="cellIs" dxfId="35" priority="35" operator="lessThan">
      <formula>0</formula>
    </cfRule>
    <cfRule type="cellIs" dxfId="34" priority="36" operator="greaterThan">
      <formula>0</formula>
    </cfRule>
  </conditionalFormatting>
  <conditionalFormatting sqref="F174:H174">
    <cfRule type="cellIs" dxfId="33" priority="33" operator="lessThan">
      <formula>0</formula>
    </cfRule>
    <cfRule type="cellIs" dxfId="32" priority="34" operator="greaterThan">
      <formula>0</formula>
    </cfRule>
  </conditionalFormatting>
  <conditionalFormatting sqref="F175:H181">
    <cfRule type="cellIs" dxfId="31" priority="31" operator="lessThan">
      <formula>0</formula>
    </cfRule>
    <cfRule type="cellIs" dxfId="30" priority="32" operator="greaterThan">
      <formula>0</formula>
    </cfRule>
  </conditionalFormatting>
  <conditionalFormatting sqref="C182:E189">
    <cfRule type="cellIs" dxfId="29" priority="29" operator="lessThan">
      <formula>0</formula>
    </cfRule>
    <cfRule type="cellIs" dxfId="28" priority="30" operator="greaterThan">
      <formula>0</formula>
    </cfRule>
  </conditionalFormatting>
  <conditionalFormatting sqref="F182:H182">
    <cfRule type="cellIs" dxfId="27" priority="27" operator="lessThan">
      <formula>0</formula>
    </cfRule>
    <cfRule type="cellIs" dxfId="26" priority="28" operator="greaterThan">
      <formula>0</formula>
    </cfRule>
  </conditionalFormatting>
  <conditionalFormatting sqref="F183:H189">
    <cfRule type="cellIs" dxfId="25" priority="25" operator="lessThan">
      <formula>0</formula>
    </cfRule>
    <cfRule type="cellIs" dxfId="24" priority="26" operator="greaterThan">
      <formula>0</formula>
    </cfRule>
  </conditionalFormatting>
  <conditionalFormatting sqref="C190:E197">
    <cfRule type="cellIs" dxfId="23" priority="23" operator="lessThan">
      <formula>0</formula>
    </cfRule>
    <cfRule type="cellIs" dxfId="22" priority="24" operator="greaterThan">
      <formula>0</formula>
    </cfRule>
  </conditionalFormatting>
  <conditionalFormatting sqref="F190:H190">
    <cfRule type="cellIs" dxfId="21" priority="21" operator="lessThan">
      <formula>0</formula>
    </cfRule>
    <cfRule type="cellIs" dxfId="20" priority="22" operator="greaterThan">
      <formula>0</formula>
    </cfRule>
  </conditionalFormatting>
  <conditionalFormatting sqref="F191:H197">
    <cfRule type="cellIs" dxfId="19" priority="19" operator="lessThan">
      <formula>0</formula>
    </cfRule>
    <cfRule type="cellIs" dxfId="18" priority="20" operator="greaterThan">
      <formula>0</formula>
    </cfRule>
  </conditionalFormatting>
  <conditionalFormatting sqref="C198:E205">
    <cfRule type="cellIs" dxfId="17" priority="17" operator="lessThan">
      <formula>0</formula>
    </cfRule>
    <cfRule type="cellIs" dxfId="16" priority="18" operator="greaterThan">
      <formula>0</formula>
    </cfRule>
  </conditionalFormatting>
  <conditionalFormatting sqref="F198:H198">
    <cfRule type="cellIs" dxfId="15" priority="15" operator="lessThan">
      <formula>0</formula>
    </cfRule>
    <cfRule type="cellIs" dxfId="14" priority="16" operator="greaterThan">
      <formula>0</formula>
    </cfRule>
  </conditionalFormatting>
  <conditionalFormatting sqref="F199:H205">
    <cfRule type="cellIs" dxfId="13" priority="13" operator="lessThan">
      <formula>0</formula>
    </cfRule>
    <cfRule type="cellIs" dxfId="12" priority="14" operator="greaterThan">
      <formula>0</formula>
    </cfRule>
  </conditionalFormatting>
  <conditionalFormatting sqref="C206:E213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F206:H206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F207:H21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C214:E413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F214:H214 F222:H222 F230:H230 F238:H238 F246:H246 F254:H254 F262:H262 F270:H270 F278:H278 F286:H286 F294:H294 F302:H302 F310:H310 F318:H318 F326:H326 F334:H334 F342:H342 F350:H350 F358:H358 F366:H366 F374:H374 F382:H382 F390:H390 F398:H398 F406:H406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F215:H221 F223:H229 F231:H237 F239:H245 F247:H253 F255:H261 F263:H269 F271:H277 F279:H285 F287:H293 F295:H301 F303:H309 F311:H317 F319:H325 F327:H333 F335:H341 F343:H349 F351:H357 F359:H365 F367:H373 F375:H381 F383:H389 F391:H397 F399:H405 F407:H413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BC5E872C-3754-4FAA-9F2A-96625DFF8EC3}">
          <x14:formula1>
            <xm:f>Data!$A:$A</xm:f>
          </x14:formula1>
          <xm:sqref>C10:CY10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325F2-AC34-45E7-AC59-D7D1A89FE4C0}">
  <dimension ref="A1"/>
  <sheetViews>
    <sheetView showGridLines="0" workbookViewId="0">
      <selection activeCell="F33" sqref="F33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User3</vt:lpstr>
      <vt:lpstr>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toan huynh vu minh</cp:lastModifiedBy>
  <dcterms:created xsi:type="dcterms:W3CDTF">2015-06-05T18:17:20Z</dcterms:created>
  <dcterms:modified xsi:type="dcterms:W3CDTF">2025-09-28T03:56:24Z</dcterms:modified>
</cp:coreProperties>
</file>