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F1A43DA7-2EE8-4877-9D84-FD6A8569C79C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Input" sheetId="5" r:id="rId1"/>
    <sheet name="Loading" sheetId="4" r:id="rId2"/>
    <sheet name="Combo" sheetId="7" r:id="rId3"/>
  </sheets>
  <definedNames>
    <definedName name="_xlnm._FilterDatabase" localSheetId="0" hidden="1">Input!$A$10:$K$26</definedName>
    <definedName name="_xlnm.Print_Area" localSheetId="1">Loading!$B$1:$K$202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5" l="1"/>
  <c r="I3" i="4"/>
  <c r="G3" i="4"/>
  <c r="E3" i="4"/>
  <c r="K23" i="5"/>
  <c r="K22" i="5"/>
  <c r="K12" i="5"/>
  <c r="J12" i="5"/>
  <c r="I12" i="5"/>
  <c r="H12" i="5"/>
  <c r="G12" i="5"/>
  <c r="F12" i="5"/>
  <c r="E12" i="5"/>
  <c r="D12" i="5"/>
  <c r="C12" i="5"/>
  <c r="B12" i="5"/>
  <c r="A12" i="5"/>
  <c r="F23" i="5"/>
  <c r="F24" i="5"/>
  <c r="F25" i="5"/>
  <c r="F26" i="5"/>
  <c r="F22" i="5"/>
  <c r="F64" i="4" l="1"/>
  <c r="F65" i="4" s="1"/>
  <c r="M176" i="4"/>
  <c r="M159" i="4"/>
  <c r="M142" i="4"/>
  <c r="M108" i="4"/>
  <c r="L108" i="4" s="1"/>
  <c r="L90" i="4"/>
  <c r="M74" i="4"/>
  <c r="L158" i="4" l="1"/>
  <c r="L141" i="4"/>
  <c r="L142" i="4"/>
  <c r="M143" i="4"/>
  <c r="L159" i="4"/>
  <c r="M160" i="4"/>
  <c r="L176" i="4"/>
  <c r="M177" i="4"/>
  <c r="L175" i="4"/>
  <c r="L107" i="4"/>
  <c r="M109" i="4"/>
  <c r="L109" i="4" s="1"/>
  <c r="L73" i="4"/>
  <c r="M91" i="4"/>
  <c r="L91" i="4" s="1"/>
  <c r="M75" i="4"/>
  <c r="L74" i="4"/>
  <c r="D3" i="4"/>
  <c r="L177" i="4" l="1"/>
  <c r="M178" i="4"/>
  <c r="L160" i="4"/>
  <c r="M161" i="4"/>
  <c r="L143" i="4"/>
  <c r="M144" i="4"/>
  <c r="M110" i="4"/>
  <c r="L110" i="4" s="1"/>
  <c r="M92" i="4"/>
  <c r="L92" i="4" s="1"/>
  <c r="M76" i="4"/>
  <c r="L75" i="4"/>
  <c r="M145" i="4" l="1"/>
  <c r="L144" i="4"/>
  <c r="M162" i="4"/>
  <c r="L161" i="4"/>
  <c r="M179" i="4"/>
  <c r="L178" i="4"/>
  <c r="M111" i="4"/>
  <c r="L111" i="4" s="1"/>
  <c r="M93" i="4"/>
  <c r="L93" i="4" s="1"/>
  <c r="M77" i="4"/>
  <c r="L76" i="4"/>
  <c r="M180" i="4" l="1"/>
  <c r="L179" i="4"/>
  <c r="M163" i="4"/>
  <c r="L162" i="4"/>
  <c r="M146" i="4"/>
  <c r="L145" i="4"/>
  <c r="M112" i="4"/>
  <c r="L112" i="4" s="1"/>
  <c r="M94" i="4"/>
  <c r="L94" i="4" s="1"/>
  <c r="M78" i="4"/>
  <c r="L77" i="4"/>
  <c r="M147" i="4" l="1"/>
  <c r="L146" i="4"/>
  <c r="M164" i="4"/>
  <c r="L163" i="4"/>
  <c r="M181" i="4"/>
  <c r="L180" i="4"/>
  <c r="M113" i="4"/>
  <c r="L113" i="4" s="1"/>
  <c r="M95" i="4"/>
  <c r="L95" i="4" s="1"/>
  <c r="M79" i="4"/>
  <c r="L78" i="4"/>
  <c r="M165" i="4" l="1"/>
  <c r="L164" i="4"/>
  <c r="M182" i="4"/>
  <c r="L181" i="4"/>
  <c r="M148" i="4"/>
  <c r="L147" i="4"/>
  <c r="M114" i="4"/>
  <c r="L114" i="4" s="1"/>
  <c r="M96" i="4"/>
  <c r="L96" i="4" s="1"/>
  <c r="M80" i="4"/>
  <c r="L79" i="4"/>
  <c r="L148" i="4" l="1"/>
  <c r="M149" i="4"/>
  <c r="M183" i="4"/>
  <c r="L182" i="4"/>
  <c r="L165" i="4"/>
  <c r="M166" i="4"/>
  <c r="M115" i="4"/>
  <c r="L115" i="4" s="1"/>
  <c r="M97" i="4"/>
  <c r="L97" i="4" s="1"/>
  <c r="M81" i="4"/>
  <c r="L80" i="4"/>
  <c r="M184" i="4" l="1"/>
  <c r="L183" i="4"/>
  <c r="L166" i="4"/>
  <c r="M167" i="4"/>
  <c r="L149" i="4"/>
  <c r="M150" i="4"/>
  <c r="M116" i="4"/>
  <c r="L116" i="4" s="1"/>
  <c r="M98" i="4"/>
  <c r="L98" i="4" s="1"/>
  <c r="M82" i="4"/>
  <c r="L81" i="4"/>
  <c r="L150" i="4" l="1"/>
  <c r="M151" i="4"/>
  <c r="L167" i="4"/>
  <c r="M168" i="4"/>
  <c r="M185" i="4"/>
  <c r="L184" i="4"/>
  <c r="M117" i="4"/>
  <c r="L117" i="4" s="1"/>
  <c r="M99" i="4"/>
  <c r="L99" i="4" s="1"/>
  <c r="M83" i="4"/>
  <c r="L82" i="4"/>
  <c r="L185" i="4" l="1"/>
  <c r="M186" i="4"/>
  <c r="M169" i="4"/>
  <c r="L168" i="4"/>
  <c r="L151" i="4"/>
  <c r="M152" i="4"/>
  <c r="M118" i="4"/>
  <c r="L118" i="4" s="1"/>
  <c r="M100" i="4"/>
  <c r="L100" i="4" s="1"/>
  <c r="M84" i="4"/>
  <c r="L83" i="4"/>
  <c r="M170" i="4" l="1"/>
  <c r="L169" i="4"/>
  <c r="M153" i="4"/>
  <c r="L152" i="4"/>
  <c r="M187" i="4"/>
  <c r="L186" i="4"/>
  <c r="M119" i="4"/>
  <c r="L119" i="4" s="1"/>
  <c r="M101" i="4"/>
  <c r="L101" i="4" s="1"/>
  <c r="M85" i="4"/>
  <c r="L84" i="4"/>
  <c r="M188" i="4" l="1"/>
  <c r="L187" i="4"/>
  <c r="M154" i="4"/>
  <c r="L153" i="4"/>
  <c r="M171" i="4"/>
  <c r="L170" i="4"/>
  <c r="M120" i="4"/>
  <c r="L120" i="4" s="1"/>
  <c r="M102" i="4"/>
  <c r="L102" i="4" s="1"/>
  <c r="M86" i="4"/>
  <c r="L85" i="4"/>
  <c r="L154" i="4" l="1"/>
  <c r="M155" i="4"/>
  <c r="M172" i="4"/>
  <c r="L171" i="4"/>
  <c r="M189" i="4"/>
  <c r="L188" i="4"/>
  <c r="M121" i="4"/>
  <c r="L121" i="4" s="1"/>
  <c r="M103" i="4"/>
  <c r="L103" i="4" s="1"/>
  <c r="M87" i="4"/>
  <c r="L86" i="4"/>
  <c r="M190" i="4" l="1"/>
  <c r="L190" i="4" s="1"/>
  <c r="L189" i="4"/>
  <c r="M173" i="4"/>
  <c r="L173" i="4" s="1"/>
  <c r="L172" i="4"/>
  <c r="M156" i="4"/>
  <c r="L156" i="4" s="1"/>
  <c r="L155" i="4"/>
  <c r="M122" i="4"/>
  <c r="L122" i="4" s="1"/>
  <c r="M104" i="4"/>
  <c r="L104" i="4" s="1"/>
  <c r="M88" i="4"/>
  <c r="L88" i="4" s="1"/>
  <c r="L87" i="4"/>
  <c r="M105" i="4" l="1"/>
  <c r="L105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Q4" authorId="0" shapeId="0" xr:uid="{0E133DE0-7936-4320-94BC-E18377C66EE0}">
      <text>
        <r>
          <rPr>
            <b/>
            <sz val="9"/>
            <color indexed="81"/>
            <rFont val="Tahoma"/>
            <charset val="1"/>
          </rPr>
          <t>[HVMT]
- Xét gió gán vào thanh, mái, chọn số 1
- Xét gió gán vào tâm  Dia chọn số 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D3" authorId="0" shapeId="0" xr:uid="{C352750B-42B3-4968-A1F7-BEC0ED29DFC8}">
      <text>
        <r>
          <rPr>
            <b/>
            <sz val="9"/>
            <color indexed="81"/>
            <rFont val="Tahoma"/>
            <family val="2"/>
          </rPr>
          <t>HVMT</t>
        </r>
        <r>
          <rPr>
            <sz val="9"/>
            <color indexed="81"/>
            <rFont val="Tahoma"/>
            <family val="2"/>
          </rPr>
          <t xml:space="preserve">
Tĩnh tải: Hàng thứ 15</t>
        </r>
      </text>
    </comment>
    <comment ref="E3" authorId="0" shapeId="0" xr:uid="{30AD1C71-6DD6-4B34-A0FB-D5B662B8E0ED}">
      <text>
        <r>
          <rPr>
            <b/>
            <sz val="9"/>
            <color indexed="81"/>
            <rFont val="Tahoma"/>
            <family val="2"/>
          </rPr>
          <t>HVMT:</t>
        </r>
        <r>
          <rPr>
            <sz val="9"/>
            <color indexed="81"/>
            <rFont val="Tahoma"/>
            <family val="2"/>
          </rPr>
          <t xml:space="preserve">
Hoạt tải: Hàng thứ 25</t>
        </r>
      </text>
    </comment>
    <comment ref="F3" authorId="0" shapeId="0" xr:uid="{CEF825A9-2ADE-4BB9-A606-F13A037F3032}">
      <text>
        <r>
          <rPr>
            <b/>
            <sz val="9"/>
            <color indexed="81"/>
            <rFont val="Tahoma"/>
            <family val="2"/>
          </rPr>
          <t>HVMT:
Số lượng tải trọng gió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 xr:uid="{94996BFE-4FB7-484D-937E-FAE82B18FFB4}">
      <text>
        <r>
          <rPr>
            <b/>
            <sz val="9"/>
            <color indexed="81"/>
            <rFont val="Tahoma"/>
            <family val="2"/>
          </rPr>
          <t>HVMT</t>
        </r>
        <r>
          <rPr>
            <sz val="9"/>
            <color indexed="81"/>
            <rFont val="Tahoma"/>
            <family val="2"/>
          </rPr>
          <t xml:space="preserve">
Gió: Hàng thứ 35</t>
        </r>
      </text>
    </comment>
    <comment ref="H3" authorId="0" shapeId="0" xr:uid="{98BA5162-04A6-4337-9ED2-F6B9B6FA1DF2}">
      <text>
        <r>
          <rPr>
            <b/>
            <sz val="9"/>
            <color indexed="81"/>
            <rFont val="Tahoma"/>
            <family val="2"/>
          </rPr>
          <t>HVMT</t>
        </r>
        <r>
          <rPr>
            <sz val="9"/>
            <color indexed="81"/>
            <rFont val="Tahoma"/>
            <family val="2"/>
          </rPr>
          <t xml:space="preserve">
Kiểm tra có khai báo động đất hay không</t>
        </r>
      </text>
    </comment>
    <comment ref="I3" authorId="0" shapeId="0" xr:uid="{406E1801-D5A8-4E07-811C-F7CDAAFF0E0F}">
      <text>
        <r>
          <rPr>
            <b/>
            <sz val="9"/>
            <color indexed="81"/>
            <rFont val="Tahoma"/>
            <family val="2"/>
          </rPr>
          <t>HVMT:
Khai báo động đất ở hàng 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 shapeId="0" xr:uid="{264CD5A4-C7C3-4493-A279-B602B36F370C}">
      <text>
        <r>
          <rPr>
            <b/>
            <sz val="9"/>
            <color indexed="81"/>
            <rFont val="Tahoma"/>
            <family val="2"/>
          </rPr>
          <t>HVMT:
Trạng thái giới hạn 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 shapeId="0" xr:uid="{738AF055-EF9C-4A18-9514-7601D69953E0}">
      <text>
        <r>
          <rPr>
            <b/>
            <sz val="9"/>
            <color indexed="81"/>
            <rFont val="Tahoma"/>
            <family val="2"/>
          </rPr>
          <t>HVMT:
Trạng thái giới hạn 2</t>
        </r>
      </text>
    </comment>
  </commentList>
</comments>
</file>

<file path=xl/sharedStrings.xml><?xml version="1.0" encoding="utf-8"?>
<sst xmlns="http://schemas.openxmlformats.org/spreadsheetml/2006/main" count="278" uniqueCount="190">
  <si>
    <t>SDL</t>
  </si>
  <si>
    <t>Tên tổ hợp</t>
  </si>
  <si>
    <t>Ký hiệu</t>
  </si>
  <si>
    <t>Tĩnh tải</t>
  </si>
  <si>
    <t>Tiêu chuẩn áp dụng:</t>
  </si>
  <si>
    <t>TCVN 2737:2023 Tải trọng và tác động - Tiêu chuẩn thiết kế</t>
  </si>
  <si>
    <t>THUYẾT MINH TẢI TRỌNG VÀ TỔ HỢP TẢI TRỌNG</t>
  </si>
  <si>
    <t>1. Phân loại tải trọng</t>
  </si>
  <si>
    <t>2. Tổ hợp tải trọng</t>
  </si>
  <si>
    <t>Mô tả</t>
  </si>
  <si>
    <t>h</t>
  </si>
  <si>
    <t>Tải trọng bản thân kết cấu</t>
  </si>
  <si>
    <t>BW</t>
  </si>
  <si>
    <t>a. Tĩnh tải</t>
  </si>
  <si>
    <t>b. Hoạt tải</t>
  </si>
  <si>
    <t>c. Tải trọng gió</t>
  </si>
  <si>
    <t>LLB</t>
  </si>
  <si>
    <t>LLE</t>
  </si>
  <si>
    <t>Wx+1</t>
  </si>
  <si>
    <t>Khu vực A: Khu vực ở</t>
  </si>
  <si>
    <t>Khu vực B: Khu làm việc, văn phòng, kỹ thuật</t>
  </si>
  <si>
    <t>Khu vực C: Khu vực có thể tập trung đông người</t>
  </si>
  <si>
    <t>Khu vực D: Khu vực thương mại</t>
  </si>
  <si>
    <t>Khu vực I: Mái có sử dụng</t>
  </si>
  <si>
    <t>Khu vực E: Khu vực kho</t>
  </si>
  <si>
    <t>Khu vực</t>
  </si>
  <si>
    <r>
      <rPr>
        <b/>
        <sz val="11"/>
        <color theme="1"/>
        <rFont val="Symbol"/>
        <family val="1"/>
        <charset val="2"/>
      </rPr>
      <t>g</t>
    </r>
    <r>
      <rPr>
        <b/>
        <vertAlign val="subscript"/>
        <sz val="11"/>
        <color theme="1"/>
        <rFont val="Calibri"/>
        <family val="2"/>
      </rPr>
      <t>f</t>
    </r>
  </si>
  <si>
    <t>LLA</t>
  </si>
  <si>
    <t>LLC</t>
  </si>
  <si>
    <t>LLD</t>
  </si>
  <si>
    <t>LLI</t>
  </si>
  <si>
    <t>LLR</t>
  </si>
  <si>
    <t>Khu vực F: Bãi đỗ xe</t>
  </si>
  <si>
    <t>LLF</t>
  </si>
  <si>
    <t>Khu vực H: Mái không sử dụng, chỉ có sữa chữa</t>
  </si>
  <si>
    <t>Wx+2</t>
  </si>
  <si>
    <t>Wx-1</t>
  </si>
  <si>
    <t>Wx-2</t>
  </si>
  <si>
    <t>Wy+1</t>
  </si>
  <si>
    <t>Wy+2</t>
  </si>
  <si>
    <t>Wy-1</t>
  </si>
  <si>
    <t>Wy-2</t>
  </si>
  <si>
    <t>KIỂM TRA HÀNG ĐỂ ĐỒNG BỘ PHẦN MỀM VÀ THUYẾT MINH</t>
  </si>
  <si>
    <t>Hoạt tải</t>
  </si>
  <si>
    <t>Tải gió</t>
  </si>
  <si>
    <t>Tên tiền tố TTGH1, 2)</t>
  </si>
  <si>
    <t>Tổ hợp</t>
  </si>
  <si>
    <t>CỤM TỔ HỢP (TĨNH TẢI + 100% GIÓ)</t>
  </si>
  <si>
    <t>CỤM TỔ HỢP (TĨNH TẢI + HOẠT TẢI + 0.9 GIÓ)</t>
  </si>
  <si>
    <t>CỤM TỔ HỢP (TĨNH TẢI + 0.9 HOẠT TẢI + GIÓ)</t>
  </si>
  <si>
    <r>
      <rPr>
        <b/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f</t>
    </r>
  </si>
  <si>
    <t>Cấp hậu quả công trình</t>
  </si>
  <si>
    <t>(Áp dụng khi tính toán theo trạng thái giới hạn thứ nhất và lấy bằng 1.0 khi tính toán theo trạng thái giới hạn thứ 2)</t>
  </si>
  <si>
    <r>
      <t xml:space="preserve">Hệ số tầm quan trọng công trình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 xml:space="preserve"> =</t>
    </r>
  </si>
  <si>
    <t>Tổ hợp cơ bản của tải trọng được tổ hợp theo Mục 6.2, công thức (1) theo TCVN 2737-2023</t>
  </si>
  <si>
    <t>Tải thứ 4</t>
  </si>
  <si>
    <t>Động đất</t>
  </si>
  <si>
    <t>d. Tải động đất</t>
  </si>
  <si>
    <t>Y</t>
  </si>
  <si>
    <t>Động đất theo phương X</t>
  </si>
  <si>
    <t>Động đất theo phương Y</t>
  </si>
  <si>
    <t>EQx</t>
  </si>
  <si>
    <t>EQy</t>
  </si>
  <si>
    <t>CỤM TỔ HỢP (TĨNH TẢI + ĐỘNG ĐẤT)</t>
  </si>
  <si>
    <t>CỤM TỔ HỢP (TĨNH TẢI + HOẠT TẢI + ĐỘNG ĐẤT)</t>
  </si>
  <si>
    <t>Cấp công trình</t>
  </si>
  <si>
    <t>Tổ hợp tải trọng theo trạng thái giới hạn 1</t>
  </si>
  <si>
    <t>Tổ hợp tải trọng theo trạng thái giới hạn 2</t>
  </si>
  <si>
    <t>C2</t>
  </si>
  <si>
    <t>COL</t>
  </si>
  <si>
    <t>SOIL</t>
  </si>
  <si>
    <t>Tải thứ 1</t>
  </si>
  <si>
    <t>Tải thứ 2</t>
  </si>
  <si>
    <t>Tải thứ 3</t>
  </si>
  <si>
    <t>SW</t>
  </si>
  <si>
    <t>1_ULS</t>
  </si>
  <si>
    <t>2_SLS</t>
  </si>
  <si>
    <t>Phân loại</t>
  </si>
  <si>
    <t>Dead</t>
  </si>
  <si>
    <t>Loại</t>
  </si>
  <si>
    <t>Hệ số</t>
  </si>
  <si>
    <t>Nhóm</t>
  </si>
  <si>
    <t>Super Dead</t>
  </si>
  <si>
    <t>Roof live</t>
  </si>
  <si>
    <t>Lr</t>
  </si>
  <si>
    <t>Live</t>
  </si>
  <si>
    <t>Dài hạn</t>
  </si>
  <si>
    <t>Ngắn hạn</t>
  </si>
  <si>
    <t>Mass source áp dụng trường hợp gió</t>
  </si>
  <si>
    <t>Mass source áp dụng trường hợp động đất</t>
  </si>
  <si>
    <t>MassWind</t>
  </si>
  <si>
    <t>Mass source 
gió</t>
  </si>
  <si>
    <t>Mass source 
động đất</t>
  </si>
  <si>
    <t>Có xem xét tải động đất</t>
  </si>
  <si>
    <t>Ghi chú:</t>
  </si>
  <si>
    <t>Nếu không khai báo hết, vui lòng để trống ô</t>
  </si>
  <si>
    <t>Gió theo phương X+</t>
  </si>
  <si>
    <t>Gió theo phương Y+</t>
  </si>
  <si>
    <t>Gió theo phương X-</t>
  </si>
  <si>
    <t>Gió theo phương Y-</t>
  </si>
  <si>
    <t>Gió phương X</t>
  </si>
  <si>
    <t>Gió phương Y</t>
  </si>
  <si>
    <t>Chọn phương pháp khai báo</t>
  </si>
  <si>
    <t>Phương pháp 1: gán gió vô thanh, mái</t>
  </si>
  <si>
    <t>Phương pháp 2: gán gió vô tâm</t>
  </si>
  <si>
    <t>Khai báo động đất</t>
  </si>
  <si>
    <t>Wx</t>
  </si>
  <si>
    <t>Wy</t>
  </si>
  <si>
    <r>
      <t xml:space="preserve">Hệ số
</t>
    </r>
    <r>
      <rPr>
        <b/>
        <sz val="11"/>
        <rFont val="Symbol"/>
        <family val="1"/>
        <charset val="2"/>
      </rPr>
      <t>y</t>
    </r>
    <r>
      <rPr>
        <b/>
        <vertAlign val="subscript"/>
        <sz val="11"/>
        <rFont val="Calibri"/>
        <family val="2"/>
        <scheme val="minor"/>
      </rPr>
      <t>2,i</t>
    </r>
  </si>
  <si>
    <t>BẢNG TỔNG HỢP DỮ LIỆU THEO TCVN 2737 - 2023 ĐỂ LOAD VÀO PHẦN MỀM</t>
  </si>
  <si>
    <r>
      <t xml:space="preserve">Cột số (9) là hệ số </t>
    </r>
    <r>
      <rPr>
        <sz val="11"/>
        <color theme="1"/>
        <rFont val="Symbol"/>
        <family val="1"/>
        <charset val="2"/>
      </rPr>
      <t>y</t>
    </r>
    <r>
      <rPr>
        <vertAlign val="subscript"/>
        <sz val="11"/>
        <color theme="1"/>
        <rFont val="Calibri"/>
        <family val="2"/>
        <scheme val="minor"/>
      </rPr>
      <t>2,i</t>
    </r>
    <r>
      <rPr>
        <sz val="11"/>
        <color theme="1"/>
        <rFont val="Calibri"/>
        <family val="2"/>
        <scheme val="minor"/>
      </rPr>
      <t xml:space="preserve"> để tố hợp khi xét động đất</t>
    </r>
  </si>
  <si>
    <t>Cột số (11) là khối lượng tham gia dao động công trình khi xem xét trường hợp động đất</t>
  </si>
  <si>
    <t>MassEQ</t>
  </si>
  <si>
    <t>Tên combo có thêm chú thích
Ví dụ ULS2 (D+L)</t>
  </si>
  <si>
    <t>Mass source áp dụng cho wind như sau: 100% cho tĩnh tải + 50% cho hoạt tải (kể cả tải trọng mái)</t>
  </si>
  <si>
    <t>Mass source áp dụng cho động đất (Theo bảng hệ số)</t>
  </si>
  <si>
    <t>Water</t>
  </si>
  <si>
    <t>Tên combo</t>
  </si>
  <si>
    <t>Tên tiền tố TTGH1</t>
  </si>
  <si>
    <t>Tên tiền tố TTGH2</t>
  </si>
  <si>
    <t>Phần Mass source sẽ được update sau</t>
  </si>
  <si>
    <t>C3</t>
  </si>
  <si>
    <t>Tải thứ 5</t>
  </si>
  <si>
    <t>WATER</t>
  </si>
  <si>
    <t>Hoạt tải mái</t>
  </si>
  <si>
    <t>ULS1</t>
  </si>
  <si>
    <t>ULS2</t>
  </si>
  <si>
    <t>ULS31</t>
  </si>
  <si>
    <t>ULS32</t>
  </si>
  <si>
    <t>ULS33</t>
  </si>
  <si>
    <t>ULS34</t>
  </si>
  <si>
    <t>ULS41</t>
  </si>
  <si>
    <t>ULS42</t>
  </si>
  <si>
    <t>ULS43</t>
  </si>
  <si>
    <t>ULS44</t>
  </si>
  <si>
    <t>ULS51</t>
  </si>
  <si>
    <t>ULS52</t>
  </si>
  <si>
    <t>ULS53</t>
  </si>
  <si>
    <t>ULS54</t>
  </si>
  <si>
    <t>SLS1</t>
  </si>
  <si>
    <t>SW+SDL+BW+COL+SOIL+WATER</t>
  </si>
  <si>
    <t>SLS2</t>
  </si>
  <si>
    <t>SW+SDL+BW+COL+SOIL+WATER+LLA+LLB+LLC+LLD+LLE+LLF+Lr</t>
  </si>
  <si>
    <t>SLS21 (LongTerm)</t>
  </si>
  <si>
    <t>SW+SDL+BW+COL+SOIL+WATER+0.35LLA+0.35LLB+0.35LLC+0.35LLD+LLE+0.6LLF</t>
  </si>
  <si>
    <t>SLS31</t>
  </si>
  <si>
    <t>SW+SDL+BW+COL+SOIL+WATER+Wx</t>
  </si>
  <si>
    <t>SLS32</t>
  </si>
  <si>
    <t>SW+SDL+BW+COL+SOIL+WATER-Wx</t>
  </si>
  <si>
    <t>SLS33</t>
  </si>
  <si>
    <t>SW+SDL+BW+COL+SOIL+WATER+Wy</t>
  </si>
  <si>
    <t>SLS34</t>
  </si>
  <si>
    <t>SW+SDL+BW+COL+SOIL+WATER-Wy</t>
  </si>
  <si>
    <t>SLS41</t>
  </si>
  <si>
    <t>SW+SDL+BW+COL+SOIL+WATER+LLA+LLB+LLC+LLD+LLE+LLF+Lr+0.9Wx</t>
  </si>
  <si>
    <t>SLS42</t>
  </si>
  <si>
    <t>SW+SDL+BW+COL+SOIL+WATER+LLA+LLB+LLC+LLD+LLE+LLF+Lr-0.9Wx</t>
  </si>
  <si>
    <t>SLS43</t>
  </si>
  <si>
    <t>SW+SDL+BW+COL+SOIL+WATER+LLA+LLB+LLC+LLD+LLE+LLF+Lr+0.9Wy</t>
  </si>
  <si>
    <t>SLS44</t>
  </si>
  <si>
    <t>SW+SDL+BW+COL+SOIL+WATER+LLA+LLB+LLC+LLD+LLE+LLF+Lr-0.9Wy</t>
  </si>
  <si>
    <t>SLS51</t>
  </si>
  <si>
    <t>SW+SDL+BW+COL+SOIL+WATER+0.9LLA+0.9LLB+0.9LLC+0.9LLD+0.9LLE+0.9LLF+0.9Lr+Wx</t>
  </si>
  <si>
    <t>SLS52</t>
  </si>
  <si>
    <t>SW+SDL+BW+COL+SOIL+WATER+0.9LLA+0.9LLB+0.9LLC+0.9LLD+0.9LLE+0.9LLF+0.9Lr-Wx</t>
  </si>
  <si>
    <t>SLS53</t>
  </si>
  <si>
    <t>SW+SDL+BW+COL+SOIL+WATER+0.9LLA+0.9LLB+0.9LLC+0.9LLD+0.9LLE+0.9LLF+0.9Lr+Wy</t>
  </si>
  <si>
    <t>SLS54</t>
  </si>
  <si>
    <t>SW+SDL+BW+COL+SOIL+WATER+0.9LLA+0.9LLB+0.9LLC+0.9LLD+0.9LLE+0.9LLF+0.9Lr-Wy</t>
  </si>
  <si>
    <t>1.265SW+1.38SDL+1.38BW+1.38COL+1.265SOIL+1.15WATER</t>
  </si>
  <si>
    <t>1.265SW+1.38SDL+1.38BW+1.38COL+1.265SOIL+1.15WATER+1.495LLA+1.495LLB+1.495LLC+1.495LLD+1.38LLE+1.38LLF+1.495Lr</t>
  </si>
  <si>
    <t>1.265SW+1.38SDL+1.38BW+1.38COL+1.265SOIL+1.15WATER+2.415Wx</t>
  </si>
  <si>
    <t>1.265SW+1.38SDL+1.38BW+1.38COL+1.265SOIL+1.15WATER-2.415Wx</t>
  </si>
  <si>
    <t>1.265SW+1.38SDL+1.38BW+1.38COL+1.265SOIL+1.15WATER+2.415Wy</t>
  </si>
  <si>
    <t>1.265SW+1.38SDL+1.38BW+1.38COL+1.265SOIL+1.15WATER-2.415Wy</t>
  </si>
  <si>
    <t>1.265SW+1.38SDL+1.38BW+1.38COL+1.265SOIL+1.15WATER+1.495LLA+1.495LLB+1.495LLC+1.495LLD+1.38LLE+1.38LLF+1.495Lr+2.1735Wx</t>
  </si>
  <si>
    <t>1.265SW+1.38SDL+1.38BW+1.38COL+1.265SOIL+1.15WATER+1.495LLA+1.495LLB+1.495LLC+1.495LLD+1.38LLE+1.38LLF+1.495Lr-2.1735Wx</t>
  </si>
  <si>
    <t>1.265SW+1.38SDL+1.38BW+1.38COL+1.265SOIL+1.15WATER+1.495LLA+1.495LLB+1.495LLC+1.495LLD+1.38LLE+1.38LLF+1.495Lr+2.1735Wy</t>
  </si>
  <si>
    <t>1.265SW+1.38SDL+1.38BW+1.38COL+1.265SOIL+1.15WATER+1.495LLA+1.495LLB+1.495LLC+1.495LLD+1.38LLE+1.38LLF+1.495Lr-2.1735Wy</t>
  </si>
  <si>
    <t>1.265SW+1.38SDL+1.38BW+1.38COL+1.265SOIL+1.15WATER+1.3455LLA+1.3455LLB+1.3455LLC+1.3455LLD+1.242LLE+1.242LLF+1.3455Lr+2.415Wx</t>
  </si>
  <si>
    <t>1.265SW+1.38SDL+1.38BW+1.38COL+1.265SOIL+1.15WATER+1.3455LLA+1.3455LLB+1.3455LLC+1.3455LLD+1.242LLE+1.242LLF+1.3455Lr-2.415Wx</t>
  </si>
  <si>
    <t>1.265SW+1.38SDL+1.38BW+1.38COL+1.265SOIL+1.15WATER+1.3455LLA+1.3455LLB+1.3455LLC+1.3455LLD+1.242LLE+1.242LLF+1.3455Lr+2.415Wy</t>
  </si>
  <si>
    <t>1.265SW+1.38SDL+1.38BW+1.38COL+1.265SOIL+1.15WATER+1.3455LLA+1.3455LLB+1.3455LLC+1.3455LLD+1.242LLE+1.242LLF+1.3455Lr-2.415Wy</t>
  </si>
  <si>
    <t>Khu vực ở</t>
  </si>
  <si>
    <t>Khu vực làm việc, văn phòng, kỹ thuật</t>
  </si>
  <si>
    <t>Khu vực có thể tập trung đông người</t>
  </si>
  <si>
    <t>Khu vực kho</t>
  </si>
  <si>
    <t>Khu vực giao thông</t>
  </si>
  <si>
    <t>STT</t>
  </si>
  <si>
    <t>THUYẾT MINH TỔ HỢP TẢI TRỌNG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</si>
</sst>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1"/>
      <charset val="2"/>
    </font>
    <font>
      <sz val="11"/>
      <color theme="1"/>
      <name val="Calibri"/>
      <family val="1"/>
      <charset val="2"/>
    </font>
    <font>
      <sz val="11"/>
      <color rgb="FF006100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1"/>
      <charset val="2"/>
    </font>
    <font>
      <b/>
      <sz val="10"/>
      <color theme="1"/>
      <name val="Symbol"/>
      <family val="1"/>
      <charset val="2"/>
    </font>
    <font>
      <vertAlign val="subscript"/>
      <sz val="10"/>
      <color theme="1"/>
      <name val="Calibri"/>
      <family val="2"/>
    </font>
    <font>
      <sz val="10"/>
      <color rgb="FF0000CC"/>
      <name val="Calibri"/>
      <family val="2"/>
      <scheme val="minor"/>
    </font>
    <font>
      <sz val="10"/>
      <color theme="1"/>
      <name val="Symbol"/>
      <family val="1"/>
      <charset val="2"/>
    </font>
    <font>
      <vertAlign val="subscript"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Calibri"/>
      <family val="2"/>
      <scheme val="minor"/>
    </font>
    <font>
      <sz val="10"/>
      <color rgb="FF0061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Symbol"/>
      <family val="1"/>
      <charset val="2"/>
    </font>
    <font>
      <b/>
      <vertAlign val="subscript"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8" fillId="4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0" xfId="0" applyFill="1"/>
    <xf numFmtId="0" fontId="12" fillId="0" borderId="0" xfId="0" applyFont="1"/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indent="1"/>
    </xf>
    <xf numFmtId="0" fontId="12" fillId="0" borderId="6" xfId="0" applyFont="1" applyBorder="1"/>
    <xf numFmtId="0" fontId="15" fillId="2" borderId="2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left" indent="1"/>
    </xf>
    <xf numFmtId="0" fontId="19" fillId="0" borderId="0" xfId="0" applyFont="1" applyAlignment="1">
      <alignment horizontal="center"/>
    </xf>
    <xf numFmtId="0" fontId="17" fillId="2" borderId="2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8" borderId="0" xfId="0" applyFont="1" applyFill="1"/>
    <xf numFmtId="0" fontId="0" fillId="0" borderId="0" xfId="0" applyAlignment="1">
      <alignment horizontal="left" vertical="center"/>
    </xf>
    <xf numFmtId="0" fontId="24" fillId="0" borderId="0" xfId="0" applyFont="1" applyAlignment="1">
      <alignment horizontal="right" vertical="center"/>
    </xf>
    <xf numFmtId="0" fontId="15" fillId="5" borderId="2" xfId="0" applyFont="1" applyFill="1" applyBorder="1" applyAlignment="1">
      <alignment horizontal="center" vertical="center"/>
    </xf>
    <xf numFmtId="0" fontId="25" fillId="5" borderId="2" xfId="1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25" fillId="4" borderId="2" xfId="1" applyFont="1" applyBorder="1" applyAlignment="1">
      <alignment horizontal="center" vertical="center"/>
    </xf>
    <xf numFmtId="0" fontId="25" fillId="5" borderId="2" xfId="1" applyFont="1" applyFill="1" applyBorder="1" applyAlignment="1"/>
    <xf numFmtId="0" fontId="19" fillId="5" borderId="2" xfId="1" applyFont="1" applyFill="1" applyBorder="1" applyAlignment="1">
      <alignment horizontal="center" vertical="center"/>
    </xf>
    <xf numFmtId="0" fontId="25" fillId="5" borderId="2" xfId="1" applyFont="1" applyFill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8" borderId="1" xfId="0" applyFont="1" applyFill="1" applyBorder="1"/>
    <xf numFmtId="0" fontId="12" fillId="8" borderId="7" xfId="0" applyFont="1" applyFill="1" applyBorder="1"/>
    <xf numFmtId="0" fontId="6" fillId="0" borderId="2" xfId="0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0" fillId="0" borderId="0" xfId="0" applyAlignment="1">
      <alignment horizontal="right" indent="1"/>
    </xf>
    <xf numFmtId="0" fontId="29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30" fillId="0" borderId="0" xfId="0" applyFont="1"/>
    <xf numFmtId="0" fontId="29" fillId="2" borderId="31" xfId="0" applyFont="1" applyFill="1" applyBorder="1" applyAlignment="1">
      <alignment horizontal="center" vertical="center"/>
    </xf>
    <xf numFmtId="0" fontId="0" fillId="0" borderId="29" xfId="0" applyBorder="1"/>
    <xf numFmtId="0" fontId="2" fillId="0" borderId="29" xfId="0" applyFont="1" applyBorder="1" applyAlignment="1">
      <alignment horizontal="center" vertical="center"/>
    </xf>
    <xf numFmtId="0" fontId="0" fillId="0" borderId="20" xfId="0" applyBorder="1"/>
    <xf numFmtId="0" fontId="0" fillId="0" borderId="30" xfId="0" applyBorder="1"/>
    <xf numFmtId="0" fontId="2" fillId="0" borderId="30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34" fillId="0" borderId="0" xfId="0" applyFont="1" applyAlignment="1">
      <alignment horizontal="left" indent="1"/>
    </xf>
    <xf numFmtId="0" fontId="28" fillId="9" borderId="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 indent="1"/>
    </xf>
    <xf numFmtId="0" fontId="2" fillId="0" borderId="3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31" xfId="0" applyBorder="1" applyAlignment="1">
      <alignment horizontal="center"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0" fillId="0" borderId="46" xfId="0" applyBorder="1"/>
    <xf numFmtId="0" fontId="12" fillId="0" borderId="2" xfId="0" applyFont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7" fillId="11" borderId="2" xfId="3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7" fillId="11" borderId="2" xfId="3" applyBorder="1" applyAlignment="1">
      <alignment horizontal="left"/>
    </xf>
    <xf numFmtId="0" fontId="1" fillId="6" borderId="2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7" fillId="11" borderId="0" xfId="3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right" vertical="center" wrapText="1"/>
    </xf>
    <xf numFmtId="0" fontId="27" fillId="10" borderId="0" xfId="2" applyAlignment="1">
      <alignment horizontal="center"/>
    </xf>
    <xf numFmtId="0" fontId="28" fillId="9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10" borderId="0" xfId="2" applyAlignment="1">
      <alignment horizontal="center" vertical="center" wrapText="1"/>
    </xf>
    <xf numFmtId="0" fontId="27" fillId="10" borderId="0" xfId="2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9" fillId="0" borderId="7" xfId="0" applyFont="1" applyBorder="1" applyAlignment="1">
      <alignment horizontal="left" vertical="center" indent="1"/>
    </xf>
    <xf numFmtId="0" fontId="19" fillId="0" borderId="1" xfId="0" applyFont="1" applyBorder="1" applyAlignment="1">
      <alignment horizontal="left" vertical="center" indent="1"/>
    </xf>
    <xf numFmtId="0" fontId="19" fillId="0" borderId="8" xfId="0" applyFont="1" applyBorder="1" applyAlignment="1">
      <alignment horizontal="left" vertical="center" indent="1"/>
    </xf>
    <xf numFmtId="0" fontId="15" fillId="2" borderId="7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9" fillId="0" borderId="7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19" fillId="0" borderId="8" xfId="0" applyFont="1" applyBorder="1" applyAlignment="1">
      <alignment horizontal="left" vertic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7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12" fillId="0" borderId="2" xfId="0" applyFont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0" fontId="15" fillId="2" borderId="9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12" fillId="0" borderId="7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11" fillId="3" borderId="6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/>
    </xf>
    <xf numFmtId="0" fontId="14" fillId="9" borderId="1" xfId="0" applyFont="1" applyFill="1" applyBorder="1" applyAlignment="1">
      <alignment horizontal="left"/>
    </xf>
    <xf numFmtId="0" fontId="19" fillId="5" borderId="2" xfId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left" vertical="center"/>
    </xf>
    <xf numFmtId="0" fontId="0" fillId="8" borderId="0" xfId="0" applyFill="1"/>
    <xf numFmtId="0" fontId="36" fillId="3" borderId="2" xfId="0" applyFont="1" applyFill="1" applyBorder="1" applyAlignment="1">
      <alignment horizontal="center" vertical="center"/>
    </xf>
  </cellXfs>
  <cellStyles count="4">
    <cellStyle name="Accent2" xfId="2" builtinId="33"/>
    <cellStyle name="Accent6" xfId="3" builtinId="49"/>
    <cellStyle name="Good" xfId="1" builtinId="26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571500</xdr:colOff>
      <xdr:row>60</xdr:row>
      <xdr:rowOff>130648</xdr:rowOff>
    </xdr:from>
    <xdr:to>
      <xdr:col>8</xdr:col>
      <xdr:colOff>295792</xdr:colOff>
      <xdr:row>63</xdr:row>
      <xdr:rowOff>45432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0972E4-97A3-8DAA-5D17-FAAD14CF6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007577" y="8043725"/>
          <a:ext cx="3380427" cy="486284"/>
        </a:xfrm>
        <a:prstGeom prst="rect">
          <a:avLst/>
        </a:prstGeom>
      </xdr:spPr>
    </xdr:pic>
    <xdr:clientData/>
  </xdr:twoCellAnchor>
  <xdr:twoCellAnchor>
    <xdr:from>
      <xdr:col>14</xdr:col>
      <xdr:colOff>249115</xdr:colOff>
      <xdr:row>0</xdr:row>
      <xdr:rowOff>212481</xdr:rowOff>
    </xdr:from>
    <xdr:to>
      <xdr:col>14</xdr:col>
      <xdr:colOff>842596</xdr:colOff>
      <xdr:row>2</xdr:row>
      <xdr:rowOff>14655</xdr:rowOff>
    </xdr:to>
    <xdr:sp macro="[0]!HideRow" textlink="">
      <xdr:nvSpPr>
        <xdr:cNvPr id="3" name="Rectangle 2">
          <a:extLst>
            <a:ext uri="{FF2B5EF4-FFF2-40B4-BE49-F238E27FC236}">
              <a16:creationId xmlns:a16="http://schemas.microsoft.com/office/drawing/2014/main" id="{B611C25D-BD9A-4B60-35FF-532F6206F689}"/>
            </a:ext>
          </a:extLst>
        </xdr:cNvPr>
        <xdr:cNvSpPr/>
      </xdr:nvSpPr>
      <xdr:spPr>
        <a:xfrm>
          <a:off x="9686192" y="212481"/>
          <a:ext cx="593481" cy="256443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14</xdr:col>
      <xdr:colOff>1150326</xdr:colOff>
      <xdr:row>0</xdr:row>
      <xdr:rowOff>219808</xdr:rowOff>
    </xdr:from>
    <xdr:to>
      <xdr:col>14</xdr:col>
      <xdr:colOff>1853710</xdr:colOff>
      <xdr:row>2</xdr:row>
      <xdr:rowOff>21982</xdr:rowOff>
    </xdr:to>
    <xdr:sp macro="[0]!UnHideRow" textlink="">
      <xdr:nvSpPr>
        <xdr:cNvPr id="4" name="Rectangle 3">
          <a:extLst>
            <a:ext uri="{FF2B5EF4-FFF2-40B4-BE49-F238E27FC236}">
              <a16:creationId xmlns:a16="http://schemas.microsoft.com/office/drawing/2014/main" id="{1306BA97-4093-4CB4-A524-F46EB5B77CB8}"/>
            </a:ext>
          </a:extLst>
        </xdr:cNvPr>
        <xdr:cNvSpPr/>
      </xdr:nvSpPr>
      <xdr:spPr>
        <a:xfrm>
          <a:off x="10587403" y="219808"/>
          <a:ext cx="703384" cy="256443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Unhide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39F36-CAC2-4466-AA2B-FC3A8D953529}">
  <sheetPr codeName="Sheet1">
    <tabColor rgb="FF0070C0"/>
  </sheetPr>
  <dimension ref="A1:T35"/>
  <sheetViews>
    <sheetView showGridLines="0" zoomScale="130" zoomScaleNormal="130" workbookViewId="0">
      <selection activeCell="U13" sqref="U13"/>
    </sheetView>
  </sheetViews>
  <sheetFormatPr defaultRowHeight="15"/>
  <cols>
    <col min="2" max="2" width="11.140625" style="17" bestFit="1" customWidth="1"/>
    <col min="3" max="4" width="9.140625" style="17"/>
    <col min="5" max="5" width="10.140625" bestFit="1" customWidth="1"/>
    <col min="7" max="8" width="9.140625" hidden="1" customWidth="1"/>
  </cols>
  <sheetData>
    <row r="1" spans="1:20" ht="15" customHeight="1">
      <c r="A1" s="97" t="s">
        <v>109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0" ht="15" customHeight="1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</row>
    <row r="4" spans="1:20">
      <c r="D4" s="72" t="s">
        <v>51</v>
      </c>
      <c r="E4" s="49" t="s">
        <v>121</v>
      </c>
      <c r="I4" s="107" t="s">
        <v>117</v>
      </c>
      <c r="J4" s="107"/>
      <c r="K4" s="107"/>
      <c r="M4" s="101" t="s">
        <v>102</v>
      </c>
      <c r="N4" s="101"/>
      <c r="O4" s="101"/>
      <c r="P4" s="101"/>
      <c r="Q4" s="49">
        <v>1</v>
      </c>
    </row>
    <row r="5" spans="1:20">
      <c r="D5" s="72" t="s">
        <v>88</v>
      </c>
      <c r="E5" s="49" t="s">
        <v>90</v>
      </c>
      <c r="I5" s="108" t="s">
        <v>118</v>
      </c>
      <c r="J5" s="108"/>
      <c r="K5" s="49" t="s">
        <v>75</v>
      </c>
    </row>
    <row r="6" spans="1:20">
      <c r="D6" s="72" t="s">
        <v>93</v>
      </c>
      <c r="E6" s="49" t="s">
        <v>58</v>
      </c>
      <c r="I6" s="108" t="s">
        <v>119</v>
      </c>
      <c r="J6" s="108"/>
      <c r="K6" s="49" t="s">
        <v>76</v>
      </c>
      <c r="M6" s="99" t="s">
        <v>103</v>
      </c>
      <c r="N6" s="99"/>
      <c r="O6" s="99"/>
      <c r="P6" s="99"/>
      <c r="Q6" s="99"/>
    </row>
    <row r="7" spans="1:20">
      <c r="D7" s="72" t="s">
        <v>89</v>
      </c>
      <c r="E7" s="49" t="s">
        <v>112</v>
      </c>
      <c r="I7" s="109" t="s">
        <v>113</v>
      </c>
      <c r="J7" s="109"/>
      <c r="K7" s="98" t="s">
        <v>58</v>
      </c>
      <c r="M7" s="103" t="s">
        <v>96</v>
      </c>
      <c r="N7" s="103"/>
      <c r="P7" s="103" t="s">
        <v>98</v>
      </c>
      <c r="Q7" s="103"/>
    </row>
    <row r="8" spans="1:20" ht="15" customHeight="1">
      <c r="I8" s="109"/>
      <c r="J8" s="109"/>
      <c r="K8" s="98"/>
      <c r="M8" s="77" t="s">
        <v>71</v>
      </c>
      <c r="N8" s="78" t="s">
        <v>18</v>
      </c>
      <c r="P8" s="77" t="s">
        <v>71</v>
      </c>
      <c r="Q8" s="78" t="s">
        <v>36</v>
      </c>
    </row>
    <row r="9" spans="1:20">
      <c r="M9" s="79" t="s">
        <v>72</v>
      </c>
      <c r="N9" s="62" t="s">
        <v>35</v>
      </c>
      <c r="P9" s="79" t="s">
        <v>72</v>
      </c>
      <c r="Q9" s="62" t="s">
        <v>37</v>
      </c>
    </row>
    <row r="10" spans="1:20">
      <c r="A10" s="111" t="s">
        <v>77</v>
      </c>
      <c r="B10" s="111"/>
      <c r="C10" s="111"/>
      <c r="D10" s="111"/>
      <c r="E10" s="111"/>
      <c r="F10" s="111"/>
      <c r="G10" s="104" t="s">
        <v>91</v>
      </c>
      <c r="H10" s="104"/>
      <c r="I10" s="116" t="s">
        <v>92</v>
      </c>
      <c r="J10" s="116"/>
      <c r="K10" s="116"/>
      <c r="M10" s="79" t="s">
        <v>73</v>
      </c>
      <c r="N10" s="62"/>
      <c r="P10" s="79" t="s">
        <v>73</v>
      </c>
      <c r="Q10" s="62"/>
    </row>
    <row r="11" spans="1:20">
      <c r="A11" s="87" t="s">
        <v>81</v>
      </c>
      <c r="B11" s="87" t="s">
        <v>79</v>
      </c>
      <c r="C11" s="87" t="s">
        <v>2</v>
      </c>
      <c r="D11" s="87" t="s">
        <v>80</v>
      </c>
      <c r="E11" s="87" t="s">
        <v>86</v>
      </c>
      <c r="F11" s="87" t="s">
        <v>87</v>
      </c>
      <c r="G11" s="104"/>
      <c r="H11" s="104"/>
      <c r="I11" s="117"/>
      <c r="J11" s="117"/>
      <c r="K11" s="117"/>
      <c r="M11" s="80" t="s">
        <v>55</v>
      </c>
      <c r="N11" s="81"/>
      <c r="P11" s="80" t="s">
        <v>55</v>
      </c>
      <c r="Q11" s="81"/>
    </row>
    <row r="12" spans="1:20" ht="15.75" thickBot="1">
      <c r="A12" s="76" t="str">
        <f>"(1)"</f>
        <v>(1)</v>
      </c>
      <c r="B12" s="76" t="str">
        <f>"(2)"</f>
        <v>(2)</v>
      </c>
      <c r="C12" s="76" t="str">
        <f>"(3)"</f>
        <v>(3)</v>
      </c>
      <c r="D12" s="76" t="str">
        <f>"(4)"</f>
        <v>(4)</v>
      </c>
      <c r="E12" s="76" t="str">
        <f>"(5)"</f>
        <v>(5)</v>
      </c>
      <c r="F12" s="73" t="str">
        <f>"(6)"</f>
        <v>(6)</v>
      </c>
      <c r="G12" s="76" t="str">
        <f>"(7)"</f>
        <v>(7)</v>
      </c>
      <c r="H12" s="76" t="str">
        <f>"(8)"</f>
        <v>(8)</v>
      </c>
      <c r="I12" s="73" t="str">
        <f>"(9)"</f>
        <v>(9)</v>
      </c>
      <c r="J12" s="76" t="str">
        <f>"(10)"</f>
        <v>(10)</v>
      </c>
      <c r="K12" s="76" t="str">
        <f>"(11)"</f>
        <v>(11)</v>
      </c>
      <c r="M12" s="102" t="s">
        <v>97</v>
      </c>
      <c r="N12" s="102"/>
      <c r="P12" s="102" t="s">
        <v>99</v>
      </c>
      <c r="Q12" s="102"/>
    </row>
    <row r="13" spans="1:20" ht="15.75" thickBot="1">
      <c r="A13" s="50">
        <v>1</v>
      </c>
      <c r="B13" s="54" t="s">
        <v>78</v>
      </c>
      <c r="C13" s="51" t="s">
        <v>74</v>
      </c>
      <c r="D13" s="67">
        <v>1.1000000000000001</v>
      </c>
      <c r="E13" s="129"/>
      <c r="F13" s="105"/>
      <c r="G13" s="89"/>
      <c r="H13" s="89"/>
      <c r="I13" s="118" t="s">
        <v>108</v>
      </c>
      <c r="J13" s="82" t="s">
        <v>58</v>
      </c>
      <c r="K13" s="52">
        <v>1</v>
      </c>
      <c r="M13" s="77" t="s">
        <v>71</v>
      </c>
      <c r="N13" s="78" t="s">
        <v>38</v>
      </c>
      <c r="P13" s="77" t="s">
        <v>71</v>
      </c>
      <c r="Q13" s="78" t="s">
        <v>40</v>
      </c>
    </row>
    <row r="14" spans="1:20">
      <c r="A14" s="121">
        <v>2</v>
      </c>
      <c r="B14" s="55" t="s">
        <v>82</v>
      </c>
      <c r="C14" s="60" t="s">
        <v>0</v>
      </c>
      <c r="D14" s="68">
        <v>1.1000000000000001</v>
      </c>
      <c r="E14" s="130"/>
      <c r="F14" s="105"/>
      <c r="G14" s="90"/>
      <c r="H14" s="90"/>
      <c r="I14" s="119"/>
      <c r="J14" s="83" t="s">
        <v>58</v>
      </c>
      <c r="K14" s="61">
        <v>1</v>
      </c>
      <c r="M14" s="79" t="s">
        <v>72</v>
      </c>
      <c r="N14" s="62" t="s">
        <v>39</v>
      </c>
      <c r="P14" s="79" t="s">
        <v>72</v>
      </c>
      <c r="Q14" s="62" t="s">
        <v>41</v>
      </c>
    </row>
    <row r="15" spans="1:20">
      <c r="A15" s="122"/>
      <c r="B15" s="57" t="s">
        <v>82</v>
      </c>
      <c r="C15" s="62" t="s">
        <v>12</v>
      </c>
      <c r="D15" s="69">
        <v>1.2</v>
      </c>
      <c r="E15" s="130"/>
      <c r="F15" s="105"/>
      <c r="G15" s="90"/>
      <c r="H15" s="90"/>
      <c r="I15" s="119"/>
      <c r="J15" s="84" t="s">
        <v>58</v>
      </c>
      <c r="K15" s="63">
        <v>1</v>
      </c>
      <c r="M15" s="79" t="s">
        <v>73</v>
      </c>
      <c r="N15" s="62"/>
      <c r="P15" s="79" t="s">
        <v>73</v>
      </c>
      <c r="Q15" s="62"/>
      <c r="T15" s="85"/>
    </row>
    <row r="16" spans="1:20">
      <c r="A16" s="122"/>
      <c r="B16" s="57" t="s">
        <v>82</v>
      </c>
      <c r="C16" s="62" t="s">
        <v>69</v>
      </c>
      <c r="D16" s="69">
        <v>1.2</v>
      </c>
      <c r="E16" s="130"/>
      <c r="F16" s="105"/>
      <c r="G16" s="90"/>
      <c r="H16" s="90"/>
      <c r="I16" s="119"/>
      <c r="J16" s="84" t="s">
        <v>58</v>
      </c>
      <c r="K16" s="63">
        <v>1</v>
      </c>
      <c r="M16" s="80" t="s">
        <v>55</v>
      </c>
      <c r="N16" s="81"/>
      <c r="P16" s="80" t="s">
        <v>55</v>
      </c>
      <c r="Q16" s="81"/>
      <c r="T16" s="85"/>
    </row>
    <row r="17" spans="1:20" ht="15" customHeight="1">
      <c r="A17" s="122"/>
      <c r="B17" s="57" t="s">
        <v>82</v>
      </c>
      <c r="C17" s="62" t="s">
        <v>70</v>
      </c>
      <c r="D17" s="69">
        <v>1.1000000000000001</v>
      </c>
      <c r="E17" s="130"/>
      <c r="F17" s="105"/>
      <c r="G17" s="90"/>
      <c r="H17" s="90"/>
      <c r="I17" s="119"/>
      <c r="J17" s="84" t="s">
        <v>58</v>
      </c>
      <c r="K17" s="63">
        <v>1</v>
      </c>
      <c r="M17" s="99" t="s">
        <v>104</v>
      </c>
      <c r="N17" s="99"/>
      <c r="O17" s="99"/>
      <c r="P17" s="99"/>
      <c r="Q17" s="99"/>
      <c r="T17" s="85"/>
    </row>
    <row r="18" spans="1:20" ht="15.75" thickBot="1">
      <c r="A18" s="123"/>
      <c r="B18" s="57" t="s">
        <v>82</v>
      </c>
      <c r="C18" s="62" t="s">
        <v>116</v>
      </c>
      <c r="D18" s="69">
        <v>1.1000000000000001</v>
      </c>
      <c r="E18" s="130"/>
      <c r="F18" s="105"/>
      <c r="G18" s="90"/>
      <c r="H18" s="90"/>
      <c r="I18" s="119"/>
      <c r="J18" s="84" t="s">
        <v>58</v>
      </c>
      <c r="K18" s="63">
        <v>1</v>
      </c>
      <c r="M18" s="100" t="s">
        <v>100</v>
      </c>
      <c r="N18" s="100"/>
      <c r="O18" s="100"/>
      <c r="P18" s="100"/>
      <c r="Q18" s="49" t="s">
        <v>106</v>
      </c>
      <c r="S18" s="85"/>
      <c r="T18" s="85"/>
    </row>
    <row r="19" spans="1:20">
      <c r="A19" s="127">
        <v>3</v>
      </c>
      <c r="B19" s="53" t="s">
        <v>83</v>
      </c>
      <c r="C19" s="66" t="s">
        <v>84</v>
      </c>
      <c r="D19" s="71">
        <v>1.3</v>
      </c>
      <c r="E19" s="131"/>
      <c r="F19" s="105"/>
      <c r="G19" s="90"/>
      <c r="H19" s="90"/>
      <c r="I19" s="119"/>
      <c r="J19" s="124"/>
      <c r="K19" s="125"/>
      <c r="M19" s="100" t="s">
        <v>101</v>
      </c>
      <c r="N19" s="100"/>
      <c r="O19" s="100"/>
      <c r="P19" s="100"/>
      <c r="Q19" s="49" t="s">
        <v>107</v>
      </c>
    </row>
    <row r="20" spans="1:20">
      <c r="A20" s="128"/>
      <c r="B20" s="8" t="s">
        <v>83</v>
      </c>
      <c r="C20" s="112"/>
      <c r="D20" s="113"/>
      <c r="E20" s="113"/>
      <c r="F20" s="105"/>
      <c r="G20" s="90"/>
      <c r="H20" s="90"/>
      <c r="I20" s="119"/>
      <c r="J20" s="114"/>
      <c r="K20" s="126"/>
    </row>
    <row r="21" spans="1:20" ht="15.75" thickBot="1">
      <c r="A21" s="128"/>
      <c r="B21" s="91" t="s">
        <v>83</v>
      </c>
      <c r="C21" s="114"/>
      <c r="D21" s="115"/>
      <c r="E21" s="115"/>
      <c r="F21" s="106"/>
      <c r="G21" s="90"/>
      <c r="H21" s="90"/>
      <c r="I21" s="120"/>
      <c r="J21" s="114"/>
      <c r="K21" s="126"/>
    </row>
    <row r="22" spans="1:20">
      <c r="A22" s="132">
        <v>4</v>
      </c>
      <c r="B22" s="56" t="s">
        <v>85</v>
      </c>
      <c r="C22" s="60" t="s">
        <v>27</v>
      </c>
      <c r="D22" s="68">
        <v>1.3</v>
      </c>
      <c r="E22" s="68">
        <v>0.35</v>
      </c>
      <c r="F22" s="56">
        <f>1-E22</f>
        <v>0.65</v>
      </c>
      <c r="G22" s="92"/>
      <c r="H22" s="92"/>
      <c r="I22" s="60">
        <v>0.3</v>
      </c>
      <c r="J22" s="60" t="s">
        <v>58</v>
      </c>
      <c r="K22" s="61">
        <f>0.8*I22</f>
        <v>0.24</v>
      </c>
    </row>
    <row r="23" spans="1:20">
      <c r="A23" s="133"/>
      <c r="B23" s="58" t="s">
        <v>85</v>
      </c>
      <c r="C23" s="62" t="s">
        <v>16</v>
      </c>
      <c r="D23" s="69">
        <v>1.3</v>
      </c>
      <c r="E23" s="69">
        <v>0.35</v>
      </c>
      <c r="F23" s="58">
        <f t="shared" ref="F23:F27" si="0">1-E23</f>
        <v>0.65</v>
      </c>
      <c r="G23" s="93"/>
      <c r="H23" s="93"/>
      <c r="I23" s="62">
        <v>0.3</v>
      </c>
      <c r="J23" s="62" t="s">
        <v>58</v>
      </c>
      <c r="K23" s="63">
        <f>0.8*0.6</f>
        <v>0.48</v>
      </c>
    </row>
    <row r="24" spans="1:20">
      <c r="A24" s="133"/>
      <c r="B24" s="58" t="s">
        <v>85</v>
      </c>
      <c r="C24" s="62" t="s">
        <v>28</v>
      </c>
      <c r="D24" s="69">
        <v>1.3</v>
      </c>
      <c r="E24" s="69">
        <v>0.35</v>
      </c>
      <c r="F24" s="58">
        <f t="shared" si="0"/>
        <v>0.65</v>
      </c>
      <c r="G24" s="93"/>
      <c r="H24" s="93"/>
      <c r="I24" s="62">
        <v>0.6</v>
      </c>
      <c r="J24" s="62" t="s">
        <v>58</v>
      </c>
      <c r="K24" s="63">
        <v>0.6</v>
      </c>
      <c r="M24" s="110" t="s">
        <v>105</v>
      </c>
      <c r="N24" s="110"/>
      <c r="O24" s="110"/>
      <c r="P24" s="110"/>
      <c r="Q24" s="110"/>
    </row>
    <row r="25" spans="1:20">
      <c r="A25" s="133"/>
      <c r="B25" s="58" t="s">
        <v>85</v>
      </c>
      <c r="C25" s="62" t="s">
        <v>29</v>
      </c>
      <c r="D25" s="69">
        <v>1.3</v>
      </c>
      <c r="E25" s="69">
        <v>0.35</v>
      </c>
      <c r="F25" s="58">
        <f t="shared" si="0"/>
        <v>0.65</v>
      </c>
      <c r="G25" s="93"/>
      <c r="H25" s="93"/>
      <c r="I25" s="62">
        <v>0.6</v>
      </c>
      <c r="J25" s="62" t="s">
        <v>58</v>
      </c>
      <c r="K25" s="63">
        <v>1</v>
      </c>
      <c r="M25" s="107" t="s">
        <v>59</v>
      </c>
      <c r="N25" s="107"/>
      <c r="O25" s="107"/>
      <c r="P25" s="107"/>
      <c r="Q25" s="49" t="s">
        <v>61</v>
      </c>
    </row>
    <row r="26" spans="1:20">
      <c r="A26" s="133"/>
      <c r="B26" s="58" t="s">
        <v>85</v>
      </c>
      <c r="C26" s="62" t="s">
        <v>33</v>
      </c>
      <c r="D26" s="69">
        <v>1.2</v>
      </c>
      <c r="E26" s="69">
        <v>1</v>
      </c>
      <c r="F26" s="58">
        <f t="shared" si="0"/>
        <v>0</v>
      </c>
      <c r="G26" s="93"/>
      <c r="H26" s="93"/>
      <c r="I26" s="62">
        <v>0.8</v>
      </c>
      <c r="J26" s="62" t="s">
        <v>58</v>
      </c>
      <c r="K26" s="63">
        <v>0.6</v>
      </c>
      <c r="M26" s="107" t="s">
        <v>60</v>
      </c>
      <c r="N26" s="107"/>
      <c r="O26" s="107"/>
      <c r="P26" s="107"/>
      <c r="Q26" s="49" t="s">
        <v>62</v>
      </c>
    </row>
    <row r="27" spans="1:20" ht="15.75" thickBot="1">
      <c r="A27" s="134"/>
      <c r="B27" s="59" t="s">
        <v>85</v>
      </c>
      <c r="C27" s="64" t="s">
        <v>33</v>
      </c>
      <c r="D27" s="70">
        <v>1.2</v>
      </c>
      <c r="E27" s="70">
        <v>0.6</v>
      </c>
      <c r="F27" s="59">
        <f t="shared" si="0"/>
        <v>0.4</v>
      </c>
      <c r="G27" s="94"/>
      <c r="H27" s="94"/>
      <c r="I27" s="64">
        <v>0.6</v>
      </c>
      <c r="J27" s="64" t="s">
        <v>58</v>
      </c>
      <c r="K27" s="65">
        <v>0.6</v>
      </c>
    </row>
    <row r="29" spans="1:20">
      <c r="A29" s="75" t="s">
        <v>94</v>
      </c>
    </row>
    <row r="30" spans="1:20">
      <c r="A30" s="74" t="s">
        <v>95</v>
      </c>
    </row>
    <row r="31" spans="1:20" ht="18">
      <c r="A31" s="74" t="s">
        <v>110</v>
      </c>
    </row>
    <row r="32" spans="1:20">
      <c r="A32" s="74" t="s">
        <v>111</v>
      </c>
    </row>
    <row r="33" spans="1:1">
      <c r="A33" s="74" t="s">
        <v>114</v>
      </c>
    </row>
    <row r="34" spans="1:1">
      <c r="A34" s="74" t="s">
        <v>115</v>
      </c>
    </row>
    <row r="35" spans="1:1">
      <c r="A35" s="86" t="s">
        <v>120</v>
      </c>
    </row>
  </sheetData>
  <mergeCells count="29">
    <mergeCell ref="M26:P26"/>
    <mergeCell ref="M25:P25"/>
    <mergeCell ref="M24:Q24"/>
    <mergeCell ref="A10:F10"/>
    <mergeCell ref="C20:E21"/>
    <mergeCell ref="I10:K11"/>
    <mergeCell ref="I13:I21"/>
    <mergeCell ref="M19:P19"/>
    <mergeCell ref="A14:A18"/>
    <mergeCell ref="J19:K21"/>
    <mergeCell ref="A19:A21"/>
    <mergeCell ref="E13:E19"/>
    <mergeCell ref="A22:A27"/>
    <mergeCell ref="A1:Q2"/>
    <mergeCell ref="K7:K8"/>
    <mergeCell ref="M17:Q17"/>
    <mergeCell ref="M18:P18"/>
    <mergeCell ref="M4:P4"/>
    <mergeCell ref="M12:N12"/>
    <mergeCell ref="P7:Q7"/>
    <mergeCell ref="P12:Q12"/>
    <mergeCell ref="M6:Q6"/>
    <mergeCell ref="G10:H11"/>
    <mergeCell ref="F13:F21"/>
    <mergeCell ref="I4:K4"/>
    <mergeCell ref="I5:J5"/>
    <mergeCell ref="I6:J6"/>
    <mergeCell ref="I7:J8"/>
    <mergeCell ref="M7:N7"/>
  </mergeCells>
  <phoneticPr fontId="26" type="noConversion"/>
  <dataValidations count="3">
    <dataValidation type="list" allowBlank="1" showInputMessage="1" showErrorMessage="1" sqref="E6 G13 J22:J27 K7:K8 J13:J19" xr:uid="{CDD3C3CF-E0C7-4203-B26C-C81BB9447F53}">
      <formula1>"Y,N"</formula1>
    </dataValidation>
    <dataValidation type="list" allowBlank="1" showInputMessage="1" showErrorMessage="1" sqref="Q4" xr:uid="{2F155482-6120-4B97-9BE6-B1A1889AB805}">
      <formula1>"1,2"</formula1>
    </dataValidation>
    <dataValidation type="list" allowBlank="1" showInputMessage="1" showErrorMessage="1" sqref="E4" xr:uid="{BC5ABD24-36D0-4972-996A-6D051FD9DBD1}">
      <formula1>"C1,C2,C3"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40204-D14E-4ACE-85EC-796AD52C522A}">
  <sheetPr codeName="Sheet3">
    <tabColor rgb="FF0070C0"/>
  </sheetPr>
  <dimension ref="A1:S201"/>
  <sheetViews>
    <sheetView showGridLines="0" view="pageBreakPreview" zoomScale="130" zoomScaleNormal="115" zoomScaleSheetLayoutView="130" workbookViewId="0">
      <selection activeCell="O28" sqref="O28"/>
    </sheetView>
  </sheetViews>
  <sheetFormatPr defaultRowHeight="15"/>
  <cols>
    <col min="1" max="2" width="5.5703125" customWidth="1"/>
    <col min="3" max="3" width="10.28515625" customWidth="1"/>
    <col min="5" max="10" width="11.42578125" customWidth="1"/>
    <col min="12" max="12" width="14.28515625" hidden="1" customWidth="1"/>
    <col min="13" max="13" width="9.42578125" style="17" hidden="1" customWidth="1"/>
    <col min="14" max="14" width="3.85546875" style="17" customWidth="1"/>
    <col min="15" max="15" width="53.28515625" bestFit="1" customWidth="1"/>
  </cols>
  <sheetData>
    <row r="1" spans="1:18" ht="21" customHeight="1">
      <c r="B1" s="97" t="s">
        <v>42</v>
      </c>
      <c r="C1" s="97"/>
      <c r="D1" s="97"/>
      <c r="E1" s="97"/>
      <c r="F1" s="97"/>
      <c r="G1" s="97"/>
      <c r="H1" s="97"/>
      <c r="I1" s="97"/>
      <c r="J1" s="97"/>
      <c r="K1" s="157"/>
      <c r="O1" s="2"/>
    </row>
    <row r="2" spans="1:18">
      <c r="B2" s="158" t="s">
        <v>65</v>
      </c>
      <c r="C2" s="158"/>
      <c r="D2" s="37" t="s">
        <v>3</v>
      </c>
      <c r="E2" s="37" t="s">
        <v>43</v>
      </c>
      <c r="F2" s="158" t="s">
        <v>44</v>
      </c>
      <c r="G2" s="158"/>
      <c r="H2" s="158" t="s">
        <v>56</v>
      </c>
      <c r="I2" s="158"/>
      <c r="J2" s="159" t="s">
        <v>45</v>
      </c>
      <c r="K2" s="159"/>
      <c r="O2" s="2"/>
    </row>
    <row r="3" spans="1:18">
      <c r="B3" s="161" t="s">
        <v>68</v>
      </c>
      <c r="C3" s="161"/>
      <c r="D3" s="43" t="b">
        <f>ROW(15:15)=15</f>
        <v>1</v>
      </c>
      <c r="E3" s="38" t="b">
        <f>ROW(25:25)=25</f>
        <v>1</v>
      </c>
      <c r="F3" s="39">
        <v>8</v>
      </c>
      <c r="G3" s="38" t="b">
        <f>ROW(35:35)=35</f>
        <v>1</v>
      </c>
      <c r="H3" s="40" t="s">
        <v>58</v>
      </c>
      <c r="I3" s="41" t="b">
        <f>ROW(56:56)=56</f>
        <v>1</v>
      </c>
      <c r="J3" s="42" t="s">
        <v>75</v>
      </c>
      <c r="K3" s="42" t="s">
        <v>76</v>
      </c>
      <c r="O3" s="2"/>
    </row>
    <row r="4" spans="1:18" ht="11.25" customHeight="1">
      <c r="B4" s="156"/>
      <c r="C4" s="156"/>
      <c r="D4" s="19"/>
      <c r="E4" s="19"/>
      <c r="F4" s="19"/>
      <c r="G4" s="19"/>
      <c r="H4" s="19"/>
      <c r="I4" s="19"/>
      <c r="J4" s="19"/>
      <c r="K4" s="19"/>
    </row>
    <row r="5" spans="1:18" hidden="1">
      <c r="B5" s="3"/>
      <c r="C5" s="3"/>
      <c r="D5" s="3"/>
      <c r="E5" s="3"/>
      <c r="F5" s="3"/>
      <c r="G5" s="3"/>
      <c r="H5" s="3"/>
      <c r="I5" s="3"/>
      <c r="J5" s="3"/>
      <c r="K5" s="4"/>
    </row>
    <row r="6" spans="1:18" hidden="1">
      <c r="K6" s="6"/>
    </row>
    <row r="7" spans="1:18" hidden="1">
      <c r="K7" s="6"/>
    </row>
    <row r="8" spans="1:18" hidden="1">
      <c r="K8" s="6"/>
    </row>
    <row r="9" spans="1:18" ht="21" customHeight="1">
      <c r="A9" s="5"/>
      <c r="B9" s="97" t="s">
        <v>6</v>
      </c>
      <c r="C9" s="97"/>
      <c r="D9" s="97"/>
      <c r="E9" s="97"/>
      <c r="F9" s="97"/>
      <c r="G9" s="97"/>
      <c r="H9" s="97"/>
      <c r="I9" s="97"/>
      <c r="J9" s="97"/>
      <c r="K9" s="157"/>
      <c r="O9" s="12" t="s">
        <v>25</v>
      </c>
      <c r="P9" s="13" t="s">
        <v>2</v>
      </c>
      <c r="Q9" s="47" t="s">
        <v>26</v>
      </c>
      <c r="R9" s="14" t="s">
        <v>10</v>
      </c>
    </row>
    <row r="10" spans="1:18">
      <c r="A10" s="5"/>
      <c r="C10" s="20"/>
      <c r="D10" s="36" t="s">
        <v>4</v>
      </c>
      <c r="E10" s="21" t="s">
        <v>5</v>
      </c>
      <c r="F10" s="22"/>
      <c r="G10" s="20"/>
      <c r="H10" s="20"/>
      <c r="I10" s="20"/>
      <c r="J10" s="20"/>
      <c r="K10" s="23"/>
      <c r="L10" s="20"/>
      <c r="O10" s="11" t="s">
        <v>19</v>
      </c>
      <c r="P10" s="8" t="s">
        <v>27</v>
      </c>
      <c r="Q10" s="8">
        <v>1.3</v>
      </c>
      <c r="R10" s="16">
        <v>0.35</v>
      </c>
    </row>
    <row r="11" spans="1:18">
      <c r="A11" s="5"/>
      <c r="C11" s="20"/>
      <c r="D11" s="20"/>
      <c r="E11" s="20"/>
      <c r="F11" s="20"/>
      <c r="G11" s="20"/>
      <c r="H11" s="20"/>
      <c r="I11" s="20"/>
      <c r="J11" s="20"/>
      <c r="K11" s="23"/>
      <c r="L11" s="20"/>
      <c r="O11" s="11" t="s">
        <v>20</v>
      </c>
      <c r="P11" s="8" t="s">
        <v>16</v>
      </c>
      <c r="Q11" s="8">
        <v>1.3</v>
      </c>
      <c r="R11" s="16">
        <v>0.35</v>
      </c>
    </row>
    <row r="12" spans="1:18">
      <c r="A12" s="5"/>
      <c r="C12" s="160" t="s">
        <v>7</v>
      </c>
      <c r="D12" s="160"/>
      <c r="E12" s="20"/>
      <c r="F12" s="20"/>
      <c r="G12" s="20"/>
      <c r="H12" s="20"/>
      <c r="I12" s="20"/>
      <c r="K12" s="23"/>
      <c r="L12" s="20"/>
      <c r="O12" s="11" t="s">
        <v>21</v>
      </c>
      <c r="P12" s="8" t="s">
        <v>28</v>
      </c>
      <c r="Q12" s="8">
        <v>1.3</v>
      </c>
      <c r="R12" s="16">
        <v>0.35</v>
      </c>
    </row>
    <row r="13" spans="1:18">
      <c r="A13" s="5"/>
      <c r="C13" s="20" t="s">
        <v>13</v>
      </c>
      <c r="D13" s="20"/>
      <c r="E13" s="20"/>
      <c r="F13" s="20"/>
      <c r="G13" s="20"/>
      <c r="H13" s="20"/>
      <c r="I13" s="20"/>
      <c r="J13" s="20"/>
      <c r="K13" s="23"/>
      <c r="L13" s="20"/>
      <c r="O13" s="11" t="s">
        <v>22</v>
      </c>
      <c r="P13" s="8" t="s">
        <v>29</v>
      </c>
      <c r="Q13" s="8">
        <v>1.3</v>
      </c>
      <c r="R13" s="16">
        <v>0.35</v>
      </c>
    </row>
    <row r="14" spans="1:18">
      <c r="A14" s="5"/>
      <c r="C14" s="138" t="s">
        <v>9</v>
      </c>
      <c r="D14" s="139"/>
      <c r="E14" s="139"/>
      <c r="F14" s="140"/>
      <c r="G14" s="24" t="s">
        <v>2</v>
      </c>
      <c r="H14" s="25" t="s">
        <v>50</v>
      </c>
      <c r="J14" s="20"/>
      <c r="K14" s="20"/>
      <c r="L14" s="20"/>
      <c r="O14" s="11" t="s">
        <v>24</v>
      </c>
      <c r="P14" s="8" t="s">
        <v>17</v>
      </c>
      <c r="Q14" s="15">
        <v>1.2</v>
      </c>
      <c r="R14" s="15">
        <v>1</v>
      </c>
    </row>
    <row r="15" spans="1:18">
      <c r="A15" s="5"/>
      <c r="C15" s="135" t="s">
        <v>11</v>
      </c>
      <c r="D15" s="136"/>
      <c r="E15" s="136"/>
      <c r="F15" s="137"/>
      <c r="G15" s="26" t="s">
        <v>74</v>
      </c>
      <c r="H15" s="27">
        <v>1.1000000000000001</v>
      </c>
      <c r="J15" s="20"/>
      <c r="K15" s="20"/>
      <c r="L15" s="20"/>
      <c r="O15" s="11" t="s">
        <v>32</v>
      </c>
      <c r="P15" s="8" t="s">
        <v>33</v>
      </c>
      <c r="Q15" s="15">
        <v>1.2</v>
      </c>
      <c r="R15" s="15">
        <v>0.6</v>
      </c>
    </row>
    <row r="16" spans="1:18">
      <c r="A16" s="5"/>
      <c r="C16" s="135" t="s">
        <v>71</v>
      </c>
      <c r="D16" s="136"/>
      <c r="E16" s="136"/>
      <c r="F16" s="137"/>
      <c r="G16" s="26" t="s">
        <v>0</v>
      </c>
      <c r="H16" s="26">
        <v>1.1000000000000001</v>
      </c>
      <c r="J16" s="20"/>
      <c r="K16" s="20"/>
      <c r="L16" s="20"/>
      <c r="O16" s="11" t="s">
        <v>34</v>
      </c>
      <c r="P16" s="15" t="s">
        <v>31</v>
      </c>
      <c r="Q16" s="8">
        <v>1.3</v>
      </c>
      <c r="R16" s="16">
        <v>0</v>
      </c>
    </row>
    <row r="17" spans="1:18">
      <c r="A17" s="5"/>
      <c r="C17" s="135" t="s">
        <v>72</v>
      </c>
      <c r="D17" s="136"/>
      <c r="E17" s="136"/>
      <c r="F17" s="137"/>
      <c r="G17" s="26" t="s">
        <v>12</v>
      </c>
      <c r="H17" s="26">
        <v>1.1000000000000001</v>
      </c>
      <c r="J17" s="20"/>
      <c r="K17" s="23"/>
      <c r="L17" s="20"/>
      <c r="O17" s="11" t="s">
        <v>23</v>
      </c>
      <c r="P17" s="8" t="s">
        <v>30</v>
      </c>
      <c r="Q17" s="8">
        <v>1.3</v>
      </c>
      <c r="R17" s="16">
        <v>0.35</v>
      </c>
    </row>
    <row r="18" spans="1:18">
      <c r="A18" s="5"/>
      <c r="C18" s="135" t="s">
        <v>73</v>
      </c>
      <c r="D18" s="136"/>
      <c r="E18" s="136"/>
      <c r="F18" s="137"/>
      <c r="G18" s="26" t="s">
        <v>69</v>
      </c>
      <c r="H18" s="26">
        <v>1.2</v>
      </c>
      <c r="J18" s="20"/>
      <c r="K18" s="23"/>
      <c r="L18" s="20"/>
    </row>
    <row r="19" spans="1:18">
      <c r="A19" s="5"/>
      <c r="C19" s="135" t="s">
        <v>55</v>
      </c>
      <c r="D19" s="136"/>
      <c r="E19" s="136"/>
      <c r="F19" s="137"/>
      <c r="G19" s="26" t="s">
        <v>70</v>
      </c>
      <c r="H19" s="26">
        <v>1.1000000000000001</v>
      </c>
      <c r="J19" s="20"/>
      <c r="K19" s="23"/>
      <c r="L19" s="20"/>
    </row>
    <row r="20" spans="1:18">
      <c r="A20" s="5"/>
      <c r="C20" s="135" t="s">
        <v>122</v>
      </c>
      <c r="D20" s="136"/>
      <c r="E20" s="136"/>
      <c r="F20" s="137"/>
      <c r="G20" s="26" t="s">
        <v>123</v>
      </c>
      <c r="H20" s="26">
        <v>1.1000000000000001</v>
      </c>
      <c r="I20" s="29"/>
      <c r="J20" s="20"/>
      <c r="K20" s="23"/>
      <c r="L20" s="20"/>
    </row>
    <row r="21" spans="1:18" hidden="1">
      <c r="A21" s="5"/>
      <c r="C21" s="28"/>
      <c r="D21" s="28"/>
      <c r="E21" s="28"/>
      <c r="F21" s="28"/>
      <c r="G21" s="28"/>
      <c r="H21" s="29"/>
      <c r="I21" s="29"/>
      <c r="J21" s="20"/>
      <c r="K21" s="23"/>
      <c r="L21" s="20"/>
    </row>
    <row r="22" spans="1:18">
      <c r="A22" s="5"/>
      <c r="C22" s="20"/>
      <c r="D22" s="20"/>
      <c r="E22" s="20"/>
      <c r="F22" s="20"/>
      <c r="G22" s="20"/>
      <c r="H22" s="20"/>
      <c r="I22" s="20"/>
      <c r="J22" s="20"/>
      <c r="K22" s="23"/>
      <c r="L22" s="20"/>
    </row>
    <row r="23" spans="1:18">
      <c r="A23" s="5"/>
      <c r="C23" s="28" t="s">
        <v>14</v>
      </c>
      <c r="D23" s="20"/>
      <c r="E23" s="20"/>
      <c r="F23" s="20"/>
      <c r="G23" s="20"/>
      <c r="H23" s="20"/>
      <c r="I23" s="20"/>
      <c r="J23" s="20"/>
      <c r="K23" s="23"/>
      <c r="L23" s="20"/>
    </row>
    <row r="24" spans="1:18">
      <c r="A24" s="5"/>
      <c r="C24" s="138" t="s">
        <v>9</v>
      </c>
      <c r="D24" s="139"/>
      <c r="E24" s="139"/>
      <c r="F24" s="140"/>
      <c r="G24" s="24" t="s">
        <v>2</v>
      </c>
      <c r="H24" s="25" t="s">
        <v>50</v>
      </c>
      <c r="I24" s="30" t="s">
        <v>10</v>
      </c>
      <c r="J24" s="20"/>
      <c r="L24" s="20"/>
    </row>
    <row r="25" spans="1:18">
      <c r="A25" s="5"/>
      <c r="C25" s="135" t="s">
        <v>124</v>
      </c>
      <c r="D25" s="136"/>
      <c r="E25" s="136"/>
      <c r="F25" s="137"/>
      <c r="G25" s="26" t="s">
        <v>31</v>
      </c>
      <c r="H25" s="26">
        <v>1.3</v>
      </c>
      <c r="I25" s="26">
        <v>0</v>
      </c>
      <c r="J25" s="20"/>
      <c r="L25" s="20"/>
    </row>
    <row r="26" spans="1:18">
      <c r="A26" s="5"/>
      <c r="C26" s="135" t="s">
        <v>183</v>
      </c>
      <c r="D26" s="136"/>
      <c r="E26" s="136"/>
      <c r="F26" s="137"/>
      <c r="G26" s="26" t="s">
        <v>27</v>
      </c>
      <c r="H26" s="26">
        <v>1.3</v>
      </c>
      <c r="I26" s="26">
        <v>0.35</v>
      </c>
      <c r="J26" s="20"/>
      <c r="L26" s="20"/>
      <c r="M26" s="35"/>
    </row>
    <row r="27" spans="1:18">
      <c r="A27" s="5"/>
      <c r="C27" s="135" t="s">
        <v>184</v>
      </c>
      <c r="D27" s="136"/>
      <c r="E27" s="136"/>
      <c r="F27" s="137"/>
      <c r="G27" s="26" t="s">
        <v>16</v>
      </c>
      <c r="H27" s="26">
        <v>1.3</v>
      </c>
      <c r="I27" s="26">
        <v>0.35</v>
      </c>
      <c r="J27" s="20"/>
      <c r="L27" s="20"/>
    </row>
    <row r="28" spans="1:18">
      <c r="A28" s="5"/>
      <c r="C28" s="135" t="s">
        <v>185</v>
      </c>
      <c r="D28" s="136"/>
      <c r="E28" s="136"/>
      <c r="F28" s="137"/>
      <c r="G28" s="26" t="s">
        <v>28</v>
      </c>
      <c r="H28" s="26">
        <v>1.3</v>
      </c>
      <c r="I28" s="26">
        <v>0.35</v>
      </c>
      <c r="J28" s="20"/>
      <c r="L28" s="20"/>
    </row>
    <row r="29" spans="1:18">
      <c r="A29" s="5"/>
      <c r="C29" s="135"/>
      <c r="D29" s="136"/>
      <c r="E29" s="136"/>
      <c r="F29" s="137"/>
      <c r="G29" s="26"/>
      <c r="H29" s="26"/>
      <c r="I29" s="26"/>
      <c r="J29" s="20"/>
      <c r="L29" s="20"/>
    </row>
    <row r="30" spans="1:18" ht="16.5" customHeight="1">
      <c r="A30" s="5"/>
      <c r="C30" s="135" t="s">
        <v>186</v>
      </c>
      <c r="D30" s="136"/>
      <c r="E30" s="136"/>
      <c r="F30" s="137"/>
      <c r="G30" s="26" t="s">
        <v>17</v>
      </c>
      <c r="H30" s="26">
        <v>1.2</v>
      </c>
      <c r="I30" s="26">
        <v>1</v>
      </c>
      <c r="J30" s="20"/>
      <c r="L30" s="20"/>
    </row>
    <row r="31" spans="1:18">
      <c r="A31" s="5"/>
      <c r="C31" s="135" t="s">
        <v>187</v>
      </c>
      <c r="D31" s="136"/>
      <c r="E31" s="136"/>
      <c r="F31" s="137"/>
      <c r="G31" s="26" t="s">
        <v>33</v>
      </c>
      <c r="H31" s="26">
        <v>1.2</v>
      </c>
      <c r="I31" s="26">
        <v>0.6</v>
      </c>
      <c r="J31" s="20"/>
      <c r="K31" s="23"/>
      <c r="L31" s="20"/>
    </row>
    <row r="32" spans="1:18">
      <c r="A32" s="5"/>
      <c r="C32" s="20"/>
      <c r="D32" s="20"/>
      <c r="E32" s="20"/>
      <c r="F32" s="20"/>
      <c r="G32" s="20"/>
      <c r="H32" s="20"/>
      <c r="I32" s="20"/>
      <c r="J32" s="20"/>
      <c r="K32" s="23"/>
      <c r="L32" s="20"/>
    </row>
    <row r="33" spans="1:19">
      <c r="A33" s="5"/>
      <c r="C33" s="28" t="s">
        <v>15</v>
      </c>
      <c r="D33" s="20"/>
      <c r="E33" s="20"/>
      <c r="F33" s="20"/>
      <c r="G33" s="20"/>
      <c r="H33" s="20"/>
      <c r="I33" s="20"/>
      <c r="J33" s="20"/>
      <c r="K33" s="23"/>
      <c r="L33" s="20"/>
    </row>
    <row r="34" spans="1:19">
      <c r="A34" s="5"/>
      <c r="C34" s="138" t="s">
        <v>9</v>
      </c>
      <c r="D34" s="139"/>
      <c r="E34" s="139"/>
      <c r="F34" s="139"/>
      <c r="G34" s="140"/>
      <c r="H34" s="24" t="s">
        <v>2</v>
      </c>
      <c r="I34" s="20"/>
      <c r="K34" s="23"/>
      <c r="L34" s="20"/>
    </row>
    <row r="35" spans="1:19">
      <c r="A35" s="5"/>
      <c r="C35" s="141" t="s">
        <v>100</v>
      </c>
      <c r="D35" s="142"/>
      <c r="E35" s="142"/>
      <c r="F35" s="142"/>
      <c r="G35" s="143"/>
      <c r="H35" s="26" t="s">
        <v>106</v>
      </c>
      <c r="I35" s="20"/>
      <c r="J35" s="48"/>
      <c r="K35" s="23"/>
      <c r="L35" s="20"/>
    </row>
    <row r="36" spans="1:19">
      <c r="A36" s="5"/>
      <c r="C36" s="141" t="s">
        <v>101</v>
      </c>
      <c r="D36" s="142"/>
      <c r="E36" s="142"/>
      <c r="F36" s="142"/>
      <c r="G36" s="143"/>
      <c r="H36" s="26" t="s">
        <v>107</v>
      </c>
      <c r="I36" s="20"/>
      <c r="J36" s="48"/>
      <c r="K36" s="23"/>
      <c r="L36" s="20"/>
    </row>
    <row r="37" spans="1:19">
      <c r="A37" s="5"/>
      <c r="C37" s="141"/>
      <c r="D37" s="142"/>
      <c r="E37" s="142"/>
      <c r="F37" s="142"/>
      <c r="G37" s="143"/>
      <c r="H37" s="26"/>
      <c r="I37" s="20"/>
      <c r="J37" s="48"/>
      <c r="K37" s="23"/>
      <c r="L37" s="20"/>
    </row>
    <row r="38" spans="1:19">
      <c r="A38" s="5"/>
      <c r="C38" s="141"/>
      <c r="D38" s="142"/>
      <c r="E38" s="142"/>
      <c r="F38" s="142"/>
      <c r="G38" s="143"/>
      <c r="H38" s="26"/>
      <c r="I38" s="20"/>
      <c r="J38" s="48"/>
      <c r="K38" s="23"/>
      <c r="L38" s="31"/>
      <c r="M38" s="10"/>
      <c r="N38" s="10"/>
    </row>
    <row r="39" spans="1:19">
      <c r="A39" s="5"/>
      <c r="C39" s="141"/>
      <c r="D39" s="142"/>
      <c r="E39" s="142"/>
      <c r="F39" s="142"/>
      <c r="G39" s="143"/>
      <c r="H39" s="26"/>
      <c r="I39" s="20"/>
      <c r="J39" s="48"/>
      <c r="K39" s="23"/>
      <c r="L39" s="20"/>
    </row>
    <row r="40" spans="1:19">
      <c r="A40" s="5"/>
      <c r="C40" s="141"/>
      <c r="D40" s="142"/>
      <c r="E40" s="142"/>
      <c r="F40" s="142"/>
      <c r="G40" s="143"/>
      <c r="H40" s="26"/>
      <c r="I40" s="20"/>
      <c r="J40" s="48"/>
      <c r="K40" s="23"/>
      <c r="L40" s="20"/>
    </row>
    <row r="41" spans="1:19">
      <c r="A41" s="5"/>
      <c r="C41" s="141"/>
      <c r="D41" s="142"/>
      <c r="E41" s="142"/>
      <c r="F41" s="142"/>
      <c r="G41" s="143"/>
      <c r="H41" s="26"/>
      <c r="I41" s="20"/>
      <c r="J41" s="48"/>
      <c r="K41" s="23"/>
      <c r="L41" s="20"/>
    </row>
    <row r="42" spans="1:19">
      <c r="A42" s="5"/>
      <c r="C42" s="141"/>
      <c r="D42" s="142"/>
      <c r="E42" s="142"/>
      <c r="F42" s="142"/>
      <c r="G42" s="143"/>
      <c r="H42" s="26"/>
      <c r="I42" s="20"/>
      <c r="J42" s="48"/>
      <c r="K42" s="23"/>
      <c r="L42" s="20"/>
    </row>
    <row r="43" spans="1:19" hidden="1">
      <c r="A43" s="5"/>
      <c r="C43" s="28"/>
      <c r="D43" s="28"/>
      <c r="E43" s="28"/>
      <c r="F43" s="28"/>
      <c r="G43" s="28"/>
      <c r="H43" s="29"/>
      <c r="I43" s="20"/>
      <c r="J43" s="20"/>
      <c r="K43" s="23"/>
      <c r="L43" s="20"/>
    </row>
    <row r="44" spans="1:19" hidden="1">
      <c r="A44" s="5"/>
      <c r="C44" s="28"/>
      <c r="D44" s="28"/>
      <c r="E44" s="28"/>
      <c r="F44" s="28"/>
      <c r="G44" s="28"/>
      <c r="H44" s="29"/>
      <c r="I44" s="20"/>
      <c r="J44" s="20"/>
      <c r="K44" s="23"/>
      <c r="L44" s="20"/>
    </row>
    <row r="45" spans="1:19" hidden="1">
      <c r="A45" s="5"/>
      <c r="C45" s="28"/>
      <c r="D45" s="28"/>
      <c r="E45" s="28"/>
      <c r="F45" s="28"/>
      <c r="G45" s="28"/>
      <c r="H45" s="29"/>
      <c r="I45" s="20"/>
      <c r="J45" s="20"/>
      <c r="K45" s="23"/>
      <c r="L45" s="20"/>
      <c r="S45" s="7"/>
    </row>
    <row r="46" spans="1:19" hidden="1">
      <c r="A46" s="5"/>
      <c r="C46" s="28"/>
      <c r="D46" s="28"/>
      <c r="E46" s="28"/>
      <c r="F46" s="28"/>
      <c r="G46" s="28"/>
      <c r="H46" s="29"/>
      <c r="I46" s="20"/>
      <c r="J46" s="20"/>
      <c r="K46" s="23"/>
      <c r="L46" s="20"/>
    </row>
    <row r="47" spans="1:19" hidden="1">
      <c r="A47" s="5"/>
      <c r="C47" s="28"/>
      <c r="D47" s="28"/>
      <c r="E47" s="28"/>
      <c r="F47" s="28"/>
      <c r="G47" s="28"/>
      <c r="H47" s="29"/>
      <c r="I47" s="20"/>
      <c r="J47" s="20"/>
      <c r="K47" s="23"/>
      <c r="L47" s="20"/>
    </row>
    <row r="48" spans="1:19" hidden="1">
      <c r="A48" s="5"/>
      <c r="C48" s="28"/>
      <c r="D48" s="28"/>
      <c r="E48" s="28"/>
      <c r="F48" s="28"/>
      <c r="G48" s="28"/>
      <c r="H48" s="29"/>
      <c r="I48" s="20"/>
      <c r="J48" s="20"/>
      <c r="K48" s="23"/>
      <c r="L48" s="20"/>
    </row>
    <row r="49" spans="1:12" hidden="1">
      <c r="A49" s="5"/>
      <c r="C49" s="20"/>
      <c r="D49" s="20"/>
      <c r="E49" s="20"/>
      <c r="F49" s="20"/>
      <c r="G49" s="20"/>
      <c r="H49" s="29"/>
      <c r="I49" s="20"/>
      <c r="J49" s="20"/>
      <c r="K49" s="23"/>
      <c r="L49" s="20"/>
    </row>
    <row r="50" spans="1:12" hidden="1">
      <c r="A50" s="5"/>
      <c r="C50" s="20"/>
      <c r="D50" s="20"/>
      <c r="E50" s="20"/>
      <c r="F50" s="20"/>
      <c r="G50" s="20"/>
      <c r="H50" s="20"/>
      <c r="I50" s="20"/>
      <c r="J50" s="20"/>
      <c r="K50" s="23"/>
      <c r="L50" s="20"/>
    </row>
    <row r="51" spans="1:12" hidden="1">
      <c r="A51" s="5"/>
      <c r="C51" s="20"/>
      <c r="D51" s="20"/>
      <c r="E51" s="20"/>
      <c r="F51" s="20"/>
      <c r="G51" s="20"/>
      <c r="H51" s="20"/>
      <c r="I51" s="20"/>
      <c r="J51" s="20"/>
      <c r="K51" s="23"/>
      <c r="L51" s="20"/>
    </row>
    <row r="52" spans="1:12" hidden="1">
      <c r="A52" s="5"/>
      <c r="C52" s="20"/>
      <c r="D52" s="20"/>
      <c r="E52" s="20"/>
      <c r="F52" s="20"/>
      <c r="G52" s="20"/>
      <c r="H52" s="20"/>
      <c r="I52" s="20"/>
      <c r="J52" s="20"/>
      <c r="K52" s="23"/>
      <c r="L52" s="20"/>
    </row>
    <row r="53" spans="1:12">
      <c r="A53" s="5"/>
      <c r="C53" s="20"/>
      <c r="D53" s="20"/>
      <c r="E53" s="20"/>
      <c r="F53" s="20"/>
      <c r="G53" s="20"/>
      <c r="H53" s="20"/>
      <c r="I53" s="20"/>
      <c r="J53" s="20"/>
      <c r="K53" s="23"/>
      <c r="L53" s="20"/>
    </row>
    <row r="54" spans="1:12">
      <c r="A54" s="5"/>
      <c r="C54" s="20" t="s">
        <v>57</v>
      </c>
      <c r="D54" s="20"/>
      <c r="E54" s="20"/>
      <c r="F54" s="20"/>
      <c r="G54" s="20"/>
      <c r="H54" s="20"/>
      <c r="I54" s="20"/>
      <c r="J54" s="20"/>
      <c r="K54" s="23"/>
      <c r="L54" s="20"/>
    </row>
    <row r="55" spans="1:12">
      <c r="A55" s="5"/>
      <c r="C55" s="138" t="s">
        <v>9</v>
      </c>
      <c r="D55" s="139"/>
      <c r="E55" s="139"/>
      <c r="F55" s="139"/>
      <c r="G55" s="24" t="s">
        <v>2</v>
      </c>
      <c r="H55" s="20"/>
      <c r="I55" s="20"/>
      <c r="K55" s="23"/>
      <c r="L55" s="20"/>
    </row>
    <row r="56" spans="1:12">
      <c r="A56" s="5"/>
      <c r="C56" s="135"/>
      <c r="D56" s="136"/>
      <c r="E56" s="136"/>
      <c r="F56" s="137"/>
      <c r="G56" s="26"/>
      <c r="H56" s="20"/>
      <c r="I56" s="20"/>
      <c r="K56" s="23"/>
      <c r="L56" s="20"/>
    </row>
    <row r="57" spans="1:12">
      <c r="A57" s="5"/>
      <c r="C57" s="135"/>
      <c r="D57" s="136"/>
      <c r="E57" s="136"/>
      <c r="F57" s="137"/>
      <c r="G57" s="26"/>
      <c r="H57" s="20"/>
      <c r="I57" s="20"/>
      <c r="K57" s="23"/>
      <c r="L57" s="20"/>
    </row>
    <row r="58" spans="1:12" hidden="1">
      <c r="A58" s="5"/>
      <c r="C58" s="88"/>
      <c r="D58" s="88"/>
      <c r="E58" s="88"/>
      <c r="F58" s="88"/>
      <c r="G58" s="29"/>
      <c r="H58" s="20"/>
      <c r="I58" s="20"/>
      <c r="K58" s="23"/>
      <c r="L58" s="20"/>
    </row>
    <row r="59" spans="1:12">
      <c r="A59" s="5"/>
      <c r="C59" s="20"/>
      <c r="D59" s="20"/>
      <c r="E59" s="20"/>
      <c r="F59" s="20"/>
      <c r="G59" s="20"/>
      <c r="H59" s="20"/>
      <c r="I59" s="20"/>
      <c r="J59" s="20"/>
      <c r="K59" s="23"/>
      <c r="L59" s="20"/>
    </row>
    <row r="60" spans="1:12">
      <c r="A60" s="5"/>
      <c r="C60" s="160" t="s">
        <v>8</v>
      </c>
      <c r="D60" s="160"/>
      <c r="E60" s="20"/>
      <c r="F60" s="20"/>
      <c r="G60" s="20"/>
      <c r="H60" s="20"/>
      <c r="I60" s="20"/>
      <c r="J60" s="20"/>
      <c r="K60" s="23"/>
      <c r="L60" s="20"/>
    </row>
    <row r="61" spans="1:12">
      <c r="A61" s="5"/>
      <c r="C61" s="20" t="s">
        <v>54</v>
      </c>
      <c r="D61" s="20"/>
      <c r="E61" s="20"/>
      <c r="F61" s="20"/>
      <c r="G61" s="20"/>
      <c r="H61" s="20"/>
      <c r="I61" s="20"/>
      <c r="J61" s="20"/>
      <c r="K61" s="23"/>
      <c r="L61" s="20"/>
    </row>
    <row r="62" spans="1:12">
      <c r="A62" s="5"/>
      <c r="C62" s="20"/>
      <c r="D62" s="20"/>
      <c r="E62" s="20"/>
      <c r="F62" s="20"/>
      <c r="G62" s="20"/>
      <c r="H62" s="20"/>
      <c r="I62" s="20"/>
      <c r="J62" s="20"/>
      <c r="K62" s="23"/>
      <c r="L62" s="20"/>
    </row>
    <row r="63" spans="1:12">
      <c r="A63" s="5"/>
      <c r="C63" s="20"/>
      <c r="D63" s="20"/>
      <c r="E63" s="20"/>
      <c r="F63" s="20"/>
      <c r="G63" s="20"/>
      <c r="H63" s="20"/>
      <c r="I63" s="20"/>
      <c r="J63" s="20"/>
      <c r="K63" s="23"/>
      <c r="L63" s="20"/>
    </row>
    <row r="64" spans="1:12">
      <c r="A64" s="5"/>
      <c r="C64" s="20" t="s">
        <v>51</v>
      </c>
      <c r="D64" s="20"/>
      <c r="E64" s="20"/>
      <c r="F64" s="44" t="str">
        <f>B3</f>
        <v>C2</v>
      </c>
      <c r="G64" s="20"/>
      <c r="H64" s="20"/>
      <c r="I64" s="20"/>
      <c r="J64" s="20"/>
      <c r="K64" s="23"/>
      <c r="L64" s="20"/>
    </row>
    <row r="65" spans="1:18">
      <c r="A65" s="5"/>
      <c r="C65" s="20" t="s">
        <v>53</v>
      </c>
      <c r="D65" s="20"/>
      <c r="E65" s="20"/>
      <c r="F65" s="32">
        <f>IF(F64="C1",0.87,IF(F64="C2",1,1.15))</f>
        <v>1</v>
      </c>
      <c r="H65" s="20"/>
      <c r="I65" s="20"/>
      <c r="J65" s="20"/>
      <c r="K65" s="23"/>
      <c r="L65" s="17"/>
    </row>
    <row r="66" spans="1:18">
      <c r="A66" s="5"/>
      <c r="C66" t="s">
        <v>52</v>
      </c>
      <c r="D66" s="20"/>
      <c r="E66" s="20"/>
      <c r="F66" s="20"/>
      <c r="G66" s="20"/>
      <c r="H66" s="20"/>
      <c r="I66" s="20"/>
      <c r="J66" s="20"/>
      <c r="K66" s="23"/>
      <c r="L66" s="20"/>
    </row>
    <row r="67" spans="1:18">
      <c r="A67" s="5"/>
      <c r="D67" s="20"/>
      <c r="E67" s="20"/>
      <c r="F67" s="20"/>
      <c r="G67" s="20"/>
      <c r="H67" s="20"/>
      <c r="I67" s="20"/>
      <c r="J67" s="20"/>
      <c r="K67" s="20"/>
      <c r="L67" s="20"/>
    </row>
    <row r="68" spans="1:18">
      <c r="A68" s="5"/>
      <c r="C68" s="150" t="s">
        <v>66</v>
      </c>
      <c r="D68" s="150"/>
      <c r="E68" s="150"/>
      <c r="F68" s="150"/>
      <c r="G68" s="150"/>
      <c r="H68" s="150"/>
      <c r="I68" s="150"/>
      <c r="J68" s="150"/>
      <c r="K68" s="20"/>
      <c r="L68" s="32"/>
    </row>
    <row r="69" spans="1:18">
      <c r="A69" s="5"/>
      <c r="C69" s="151" t="s">
        <v>1</v>
      </c>
      <c r="D69" s="152"/>
      <c r="E69" s="138" t="s">
        <v>46</v>
      </c>
      <c r="F69" s="139"/>
      <c r="G69" s="139"/>
      <c r="H69" s="139"/>
      <c r="I69" s="139"/>
      <c r="J69" s="140"/>
      <c r="K69" s="20"/>
      <c r="L69" s="33"/>
      <c r="M69" s="7"/>
      <c r="N69" s="7"/>
      <c r="Q69" s="1"/>
    </row>
    <row r="70" spans="1:18">
      <c r="A70" s="5"/>
      <c r="C70" s="149" t="s">
        <v>125</v>
      </c>
      <c r="D70" s="149"/>
      <c r="E70" s="146" t="s">
        <v>169</v>
      </c>
      <c r="F70" s="147"/>
      <c r="G70" s="147"/>
      <c r="H70" s="147"/>
      <c r="I70" s="147"/>
      <c r="J70" s="148"/>
      <c r="K70" s="23"/>
      <c r="L70" s="32">
        <v>1</v>
      </c>
      <c r="Q70" s="1"/>
      <c r="R70" s="2"/>
    </row>
    <row r="71" spans="1:18">
      <c r="A71" s="5"/>
      <c r="C71" s="149" t="s">
        <v>126</v>
      </c>
      <c r="D71" s="149"/>
      <c r="E71" s="153" t="s">
        <v>170</v>
      </c>
      <c r="F71" s="154"/>
      <c r="G71" s="154"/>
      <c r="H71" s="154"/>
      <c r="I71" s="154"/>
      <c r="J71" s="155"/>
      <c r="K71" s="23"/>
      <c r="L71" s="32">
        <v>2</v>
      </c>
    </row>
    <row r="72" spans="1:18">
      <c r="A72" s="5"/>
      <c r="C72" s="46"/>
      <c r="D72" s="45"/>
      <c r="E72" s="46" t="s">
        <v>47</v>
      </c>
      <c r="F72" s="45"/>
      <c r="G72" s="45"/>
      <c r="H72" s="45"/>
      <c r="I72" s="45"/>
      <c r="J72" s="45"/>
      <c r="K72" s="20"/>
      <c r="L72" s="34"/>
      <c r="M72" s="18"/>
      <c r="N72" s="18"/>
    </row>
    <row r="73" spans="1:18">
      <c r="A73" s="5"/>
      <c r="C73" s="149" t="s">
        <v>127</v>
      </c>
      <c r="D73" s="149"/>
      <c r="E73" s="146" t="s">
        <v>171</v>
      </c>
      <c r="F73" s="147"/>
      <c r="G73" s="147"/>
      <c r="H73" s="147"/>
      <c r="I73" s="147"/>
      <c r="J73" s="148"/>
      <c r="K73" s="23"/>
      <c r="L73" s="32" t="str">
        <f t="shared" ref="L73:L88" si="0">IF(M73="","","3"&amp;IF(AND($F$3&gt;10,M73&lt;10),"0","")&amp;M73)</f>
        <v>31</v>
      </c>
      <c r="M73" s="17">
        <v>1</v>
      </c>
    </row>
    <row r="74" spans="1:18">
      <c r="A74" s="5"/>
      <c r="C74" s="149" t="s">
        <v>128</v>
      </c>
      <c r="D74" s="149"/>
      <c r="E74" s="146" t="s">
        <v>172</v>
      </c>
      <c r="F74" s="147"/>
      <c r="G74" s="147"/>
      <c r="H74" s="147"/>
      <c r="I74" s="147"/>
      <c r="J74" s="148"/>
      <c r="K74" s="23"/>
      <c r="L74" s="32" t="str">
        <f t="shared" si="0"/>
        <v>32</v>
      </c>
      <c r="M74" s="17">
        <f t="shared" ref="M74:M88" si="1">IF(M73="","",IF(M73+1&lt;=$F$3,M73+1,""))</f>
        <v>2</v>
      </c>
      <c r="O74" s="9"/>
    </row>
    <row r="75" spans="1:18">
      <c r="A75" s="5"/>
      <c r="C75" s="149" t="s">
        <v>129</v>
      </c>
      <c r="D75" s="149"/>
      <c r="E75" s="146" t="s">
        <v>173</v>
      </c>
      <c r="F75" s="147"/>
      <c r="G75" s="147"/>
      <c r="H75" s="147"/>
      <c r="I75" s="147"/>
      <c r="J75" s="148"/>
      <c r="K75" s="23"/>
      <c r="L75" s="32" t="str">
        <f t="shared" si="0"/>
        <v>33</v>
      </c>
      <c r="M75" s="17">
        <f t="shared" si="1"/>
        <v>3</v>
      </c>
    </row>
    <row r="76" spans="1:18">
      <c r="A76" s="5"/>
      <c r="C76" s="149" t="s">
        <v>130</v>
      </c>
      <c r="D76" s="149"/>
      <c r="E76" s="146" t="s">
        <v>174</v>
      </c>
      <c r="F76" s="147"/>
      <c r="G76" s="147"/>
      <c r="H76" s="147"/>
      <c r="I76" s="147"/>
      <c r="J76" s="148"/>
      <c r="K76" s="23"/>
      <c r="L76" s="32" t="str">
        <f t="shared" si="0"/>
        <v>34</v>
      </c>
      <c r="M76" s="17">
        <f t="shared" si="1"/>
        <v>4</v>
      </c>
    </row>
    <row r="77" spans="1:18">
      <c r="A77" s="5"/>
      <c r="C77" s="149"/>
      <c r="D77" s="149"/>
      <c r="E77" s="146"/>
      <c r="F77" s="147"/>
      <c r="G77" s="147"/>
      <c r="H77" s="147"/>
      <c r="I77" s="147"/>
      <c r="J77" s="148"/>
      <c r="K77" s="23"/>
      <c r="L77" s="32" t="str">
        <f t="shared" si="0"/>
        <v>35</v>
      </c>
      <c r="M77" s="17">
        <f t="shared" si="1"/>
        <v>5</v>
      </c>
    </row>
    <row r="78" spans="1:18">
      <c r="A78" s="5"/>
      <c r="C78" s="149"/>
      <c r="D78" s="149"/>
      <c r="E78" s="146"/>
      <c r="F78" s="147"/>
      <c r="G78" s="147"/>
      <c r="H78" s="147"/>
      <c r="I78" s="147"/>
      <c r="J78" s="148"/>
      <c r="K78" s="23"/>
      <c r="L78" s="32" t="str">
        <f t="shared" si="0"/>
        <v>36</v>
      </c>
      <c r="M78" s="17">
        <f t="shared" si="1"/>
        <v>6</v>
      </c>
    </row>
    <row r="79" spans="1:18">
      <c r="A79" s="5"/>
      <c r="C79" s="149"/>
      <c r="D79" s="149"/>
      <c r="E79" s="146"/>
      <c r="F79" s="147"/>
      <c r="G79" s="147"/>
      <c r="H79" s="147"/>
      <c r="I79" s="147"/>
      <c r="J79" s="148"/>
      <c r="K79" s="23"/>
      <c r="L79" s="32" t="str">
        <f t="shared" si="0"/>
        <v>37</v>
      </c>
      <c r="M79" s="17">
        <f t="shared" si="1"/>
        <v>7</v>
      </c>
    </row>
    <row r="80" spans="1:18">
      <c r="A80" s="5"/>
      <c r="C80" s="149"/>
      <c r="D80" s="149"/>
      <c r="E80" s="146"/>
      <c r="F80" s="147"/>
      <c r="G80" s="147"/>
      <c r="H80" s="147"/>
      <c r="I80" s="147"/>
      <c r="J80" s="148"/>
      <c r="K80" s="23"/>
      <c r="L80" s="32" t="str">
        <f t="shared" si="0"/>
        <v>38</v>
      </c>
      <c r="M80" s="17">
        <f t="shared" si="1"/>
        <v>8</v>
      </c>
    </row>
    <row r="81" spans="1:14">
      <c r="A81" s="5"/>
      <c r="C81" s="149"/>
      <c r="D81" s="149"/>
      <c r="E81" s="146"/>
      <c r="F81" s="147"/>
      <c r="G81" s="147"/>
      <c r="H81" s="147"/>
      <c r="I81" s="147"/>
      <c r="J81" s="148"/>
      <c r="K81" s="23"/>
      <c r="L81" s="32" t="str">
        <f t="shared" si="0"/>
        <v/>
      </c>
      <c r="M81" s="17" t="str">
        <f t="shared" si="1"/>
        <v/>
      </c>
    </row>
    <row r="82" spans="1:14">
      <c r="A82" s="5"/>
      <c r="C82" s="149"/>
      <c r="D82" s="149"/>
      <c r="E82" s="146"/>
      <c r="F82" s="147"/>
      <c r="G82" s="147"/>
      <c r="H82" s="147"/>
      <c r="I82" s="147"/>
      <c r="J82" s="148"/>
      <c r="K82" s="23"/>
      <c r="L82" s="32" t="str">
        <f t="shared" si="0"/>
        <v/>
      </c>
      <c r="M82" s="17" t="str">
        <f t="shared" si="1"/>
        <v/>
      </c>
    </row>
    <row r="83" spans="1:14">
      <c r="A83" s="5"/>
      <c r="C83" s="149"/>
      <c r="D83" s="149"/>
      <c r="E83" s="146"/>
      <c r="F83" s="147"/>
      <c r="G83" s="147"/>
      <c r="H83" s="147"/>
      <c r="I83" s="147"/>
      <c r="J83" s="148"/>
      <c r="K83" s="23"/>
      <c r="L83" s="32" t="str">
        <f t="shared" si="0"/>
        <v/>
      </c>
      <c r="M83" s="17" t="str">
        <f t="shared" si="1"/>
        <v/>
      </c>
    </row>
    <row r="84" spans="1:14">
      <c r="A84" s="5"/>
      <c r="C84" s="149"/>
      <c r="D84" s="149"/>
      <c r="E84" s="146"/>
      <c r="F84" s="147"/>
      <c r="G84" s="147"/>
      <c r="H84" s="147"/>
      <c r="I84" s="147"/>
      <c r="J84" s="148"/>
      <c r="K84" s="23"/>
      <c r="L84" s="32" t="str">
        <f t="shared" si="0"/>
        <v/>
      </c>
      <c r="M84" s="17" t="str">
        <f t="shared" si="1"/>
        <v/>
      </c>
    </row>
    <row r="85" spans="1:14">
      <c r="A85" s="5"/>
      <c r="C85" s="149"/>
      <c r="D85" s="149"/>
      <c r="E85" s="146"/>
      <c r="F85" s="147"/>
      <c r="G85" s="147"/>
      <c r="H85" s="147"/>
      <c r="I85" s="147"/>
      <c r="J85" s="148"/>
      <c r="K85" s="23"/>
      <c r="L85" s="32" t="str">
        <f t="shared" si="0"/>
        <v/>
      </c>
      <c r="M85" s="17" t="str">
        <f t="shared" si="1"/>
        <v/>
      </c>
    </row>
    <row r="86" spans="1:14">
      <c r="A86" s="5"/>
      <c r="C86" s="149"/>
      <c r="D86" s="149"/>
      <c r="E86" s="146"/>
      <c r="F86" s="147"/>
      <c r="G86" s="147"/>
      <c r="H86" s="147"/>
      <c r="I86" s="147"/>
      <c r="J86" s="148"/>
      <c r="K86" s="23"/>
      <c r="L86" s="32" t="str">
        <f t="shared" si="0"/>
        <v/>
      </c>
      <c r="M86" s="17" t="str">
        <f t="shared" si="1"/>
        <v/>
      </c>
    </row>
    <row r="87" spans="1:14">
      <c r="A87" s="5"/>
      <c r="C87" s="149"/>
      <c r="D87" s="149"/>
      <c r="E87" s="146"/>
      <c r="F87" s="147"/>
      <c r="G87" s="147"/>
      <c r="H87" s="147"/>
      <c r="I87" s="147"/>
      <c r="J87" s="148"/>
      <c r="K87" s="23"/>
      <c r="L87" s="32" t="str">
        <f t="shared" si="0"/>
        <v/>
      </c>
      <c r="M87" s="17" t="str">
        <f t="shared" si="1"/>
        <v/>
      </c>
    </row>
    <row r="88" spans="1:14">
      <c r="A88" s="5"/>
      <c r="C88" s="149"/>
      <c r="D88" s="149"/>
      <c r="E88" s="146"/>
      <c r="F88" s="147"/>
      <c r="G88" s="147"/>
      <c r="H88" s="147"/>
      <c r="I88" s="147"/>
      <c r="J88" s="148"/>
      <c r="K88" s="23"/>
      <c r="L88" s="32" t="str">
        <f t="shared" si="0"/>
        <v/>
      </c>
      <c r="M88" s="17" t="str">
        <f t="shared" si="1"/>
        <v/>
      </c>
    </row>
    <row r="89" spans="1:14">
      <c r="A89" s="5"/>
      <c r="C89" s="46"/>
      <c r="D89" s="45"/>
      <c r="E89" s="46" t="s">
        <v>48</v>
      </c>
      <c r="F89" s="45"/>
      <c r="G89" s="45"/>
      <c r="H89" s="45"/>
      <c r="I89" s="45"/>
      <c r="J89" s="45"/>
      <c r="K89" s="20"/>
      <c r="L89" s="34"/>
      <c r="M89" s="18"/>
      <c r="N89" s="18"/>
    </row>
    <row r="90" spans="1:14">
      <c r="A90" s="5"/>
      <c r="C90" s="149" t="s">
        <v>131</v>
      </c>
      <c r="D90" s="149"/>
      <c r="E90" s="146" t="s">
        <v>175</v>
      </c>
      <c r="F90" s="147"/>
      <c r="G90" s="147"/>
      <c r="H90" s="147"/>
      <c r="I90" s="147"/>
      <c r="J90" s="148"/>
      <c r="K90" s="23"/>
      <c r="L90" s="32" t="str">
        <f t="shared" ref="L90:L105" si="2">IF(M90="","","4"&amp;IF(AND($F$3&gt;10,M90&lt;10),"0","")&amp;M90)</f>
        <v>41</v>
      </c>
      <c r="M90" s="17">
        <v>1</v>
      </c>
    </row>
    <row r="91" spans="1:14">
      <c r="A91" s="5"/>
      <c r="C91" s="149" t="s">
        <v>132</v>
      </c>
      <c r="D91" s="149"/>
      <c r="E91" s="146" t="s">
        <v>176</v>
      </c>
      <c r="F91" s="147"/>
      <c r="G91" s="147"/>
      <c r="H91" s="147"/>
      <c r="I91" s="147"/>
      <c r="J91" s="148"/>
      <c r="K91" s="23"/>
      <c r="L91" s="32" t="str">
        <f t="shared" si="2"/>
        <v>42</v>
      </c>
      <c r="M91" s="17">
        <f t="shared" ref="M91:M105" si="3">IF(M90="","",IF(M90+1&lt;=$F$3,M90+1,""))</f>
        <v>2</v>
      </c>
    </row>
    <row r="92" spans="1:14">
      <c r="A92" s="5"/>
      <c r="C92" s="149" t="s">
        <v>133</v>
      </c>
      <c r="D92" s="149"/>
      <c r="E92" s="146" t="s">
        <v>177</v>
      </c>
      <c r="F92" s="147"/>
      <c r="G92" s="147"/>
      <c r="H92" s="147"/>
      <c r="I92" s="147"/>
      <c r="J92" s="148"/>
      <c r="K92" s="23"/>
      <c r="L92" s="32" t="str">
        <f t="shared" si="2"/>
        <v>43</v>
      </c>
      <c r="M92" s="17">
        <f t="shared" si="3"/>
        <v>3</v>
      </c>
    </row>
    <row r="93" spans="1:14">
      <c r="A93" s="5"/>
      <c r="C93" s="149" t="s">
        <v>134</v>
      </c>
      <c r="D93" s="149"/>
      <c r="E93" s="146" t="s">
        <v>178</v>
      </c>
      <c r="F93" s="147"/>
      <c r="G93" s="147"/>
      <c r="H93" s="147"/>
      <c r="I93" s="147"/>
      <c r="J93" s="148"/>
      <c r="K93" s="23"/>
      <c r="L93" s="32" t="str">
        <f t="shared" si="2"/>
        <v>44</v>
      </c>
      <c r="M93" s="17">
        <f t="shared" si="3"/>
        <v>4</v>
      </c>
    </row>
    <row r="94" spans="1:14">
      <c r="A94" s="5"/>
      <c r="C94" s="149"/>
      <c r="D94" s="149"/>
      <c r="E94" s="146"/>
      <c r="F94" s="147"/>
      <c r="G94" s="147"/>
      <c r="H94" s="147"/>
      <c r="I94" s="147"/>
      <c r="J94" s="148"/>
      <c r="K94" s="23"/>
      <c r="L94" s="32" t="str">
        <f t="shared" si="2"/>
        <v>45</v>
      </c>
      <c r="M94" s="17">
        <f t="shared" si="3"/>
        <v>5</v>
      </c>
    </row>
    <row r="95" spans="1:14">
      <c r="A95" s="5"/>
      <c r="C95" s="149"/>
      <c r="D95" s="149"/>
      <c r="E95" s="146"/>
      <c r="F95" s="147"/>
      <c r="G95" s="147"/>
      <c r="H95" s="147"/>
      <c r="I95" s="147"/>
      <c r="J95" s="148"/>
      <c r="K95" s="23"/>
      <c r="L95" s="32" t="str">
        <f t="shared" si="2"/>
        <v>46</v>
      </c>
      <c r="M95" s="17">
        <f t="shared" si="3"/>
        <v>6</v>
      </c>
    </row>
    <row r="96" spans="1:14">
      <c r="A96" s="5"/>
      <c r="C96" s="149"/>
      <c r="D96" s="149"/>
      <c r="E96" s="146"/>
      <c r="F96" s="147"/>
      <c r="G96" s="147"/>
      <c r="H96" s="147"/>
      <c r="I96" s="147"/>
      <c r="J96" s="148"/>
      <c r="K96" s="23"/>
      <c r="L96" s="32" t="str">
        <f t="shared" si="2"/>
        <v>47</v>
      </c>
      <c r="M96" s="17">
        <f t="shared" si="3"/>
        <v>7</v>
      </c>
    </row>
    <row r="97" spans="1:14">
      <c r="A97" s="5"/>
      <c r="C97" s="149"/>
      <c r="D97" s="149"/>
      <c r="E97" s="146"/>
      <c r="F97" s="147"/>
      <c r="G97" s="147"/>
      <c r="H97" s="147"/>
      <c r="I97" s="147"/>
      <c r="J97" s="148"/>
      <c r="K97" s="23"/>
      <c r="L97" s="32" t="str">
        <f t="shared" si="2"/>
        <v>48</v>
      </c>
      <c r="M97" s="17">
        <f t="shared" si="3"/>
        <v>8</v>
      </c>
    </row>
    <row r="98" spans="1:14">
      <c r="A98" s="5"/>
      <c r="C98" s="149"/>
      <c r="D98" s="149"/>
      <c r="E98" s="146"/>
      <c r="F98" s="147"/>
      <c r="G98" s="147"/>
      <c r="H98" s="147"/>
      <c r="I98" s="147"/>
      <c r="J98" s="148"/>
      <c r="K98" s="23"/>
      <c r="L98" s="32" t="str">
        <f t="shared" si="2"/>
        <v/>
      </c>
      <c r="M98" s="17" t="str">
        <f t="shared" si="3"/>
        <v/>
      </c>
    </row>
    <row r="99" spans="1:14">
      <c r="C99" s="149"/>
      <c r="D99" s="149"/>
      <c r="E99" s="146"/>
      <c r="F99" s="147"/>
      <c r="G99" s="147"/>
      <c r="H99" s="147"/>
      <c r="I99" s="147"/>
      <c r="J99" s="148"/>
      <c r="K99" s="20"/>
      <c r="L99" s="32" t="str">
        <f t="shared" si="2"/>
        <v/>
      </c>
      <c r="M99" s="17" t="str">
        <f t="shared" si="3"/>
        <v/>
      </c>
    </row>
    <row r="100" spans="1:14">
      <c r="C100" s="149"/>
      <c r="D100" s="149"/>
      <c r="E100" s="146"/>
      <c r="F100" s="147"/>
      <c r="G100" s="147"/>
      <c r="H100" s="147"/>
      <c r="I100" s="147"/>
      <c r="J100" s="148"/>
      <c r="K100" s="20"/>
      <c r="L100" s="32" t="str">
        <f t="shared" si="2"/>
        <v/>
      </c>
      <c r="M100" s="17" t="str">
        <f t="shared" si="3"/>
        <v/>
      </c>
    </row>
    <row r="101" spans="1:14">
      <c r="C101" s="149"/>
      <c r="D101" s="149"/>
      <c r="E101" s="146"/>
      <c r="F101" s="147"/>
      <c r="G101" s="147"/>
      <c r="H101" s="147"/>
      <c r="I101" s="147"/>
      <c r="J101" s="148"/>
      <c r="K101" s="20"/>
      <c r="L101" s="32" t="str">
        <f t="shared" si="2"/>
        <v/>
      </c>
      <c r="M101" s="17" t="str">
        <f t="shared" si="3"/>
        <v/>
      </c>
    </row>
    <row r="102" spans="1:14">
      <c r="C102" s="149"/>
      <c r="D102" s="149"/>
      <c r="E102" s="146"/>
      <c r="F102" s="147"/>
      <c r="G102" s="147"/>
      <c r="H102" s="147"/>
      <c r="I102" s="147"/>
      <c r="J102" s="148"/>
      <c r="K102" s="20"/>
      <c r="L102" s="32" t="str">
        <f t="shared" si="2"/>
        <v/>
      </c>
      <c r="M102" s="17" t="str">
        <f t="shared" si="3"/>
        <v/>
      </c>
    </row>
    <row r="103" spans="1:14">
      <c r="C103" s="149"/>
      <c r="D103" s="149"/>
      <c r="E103" s="146"/>
      <c r="F103" s="147"/>
      <c r="G103" s="147"/>
      <c r="H103" s="147"/>
      <c r="I103" s="147"/>
      <c r="J103" s="148"/>
      <c r="K103" s="20"/>
      <c r="L103" s="32" t="str">
        <f t="shared" si="2"/>
        <v/>
      </c>
      <c r="M103" s="17" t="str">
        <f t="shared" si="3"/>
        <v/>
      </c>
    </row>
    <row r="104" spans="1:14">
      <c r="C104" s="149"/>
      <c r="D104" s="149"/>
      <c r="E104" s="146"/>
      <c r="F104" s="147"/>
      <c r="G104" s="147"/>
      <c r="H104" s="147"/>
      <c r="I104" s="147"/>
      <c r="J104" s="148"/>
      <c r="K104" s="20"/>
      <c r="L104" s="32" t="str">
        <f t="shared" si="2"/>
        <v/>
      </c>
      <c r="M104" s="17" t="str">
        <f t="shared" si="3"/>
        <v/>
      </c>
    </row>
    <row r="105" spans="1:14">
      <c r="C105" s="149"/>
      <c r="D105" s="149"/>
      <c r="E105" s="146"/>
      <c r="F105" s="147"/>
      <c r="G105" s="147"/>
      <c r="H105" s="147"/>
      <c r="I105" s="147"/>
      <c r="J105" s="148"/>
      <c r="K105" s="20"/>
      <c r="L105" s="32" t="str">
        <f t="shared" si="2"/>
        <v/>
      </c>
      <c r="M105" s="17" t="str">
        <f t="shared" si="3"/>
        <v/>
      </c>
    </row>
    <row r="106" spans="1:14">
      <c r="C106" s="45"/>
      <c r="D106" s="45"/>
      <c r="E106" s="45" t="s">
        <v>49</v>
      </c>
      <c r="F106" s="45"/>
      <c r="G106" s="45"/>
      <c r="H106" s="45"/>
      <c r="I106" s="45"/>
      <c r="J106" s="45"/>
      <c r="K106" s="20"/>
      <c r="L106" s="34"/>
      <c r="M106" s="18"/>
      <c r="N106" s="18"/>
    </row>
    <row r="107" spans="1:14">
      <c r="C107" s="149" t="s">
        <v>135</v>
      </c>
      <c r="D107" s="149"/>
      <c r="E107" s="146" t="s">
        <v>179</v>
      </c>
      <c r="F107" s="147"/>
      <c r="G107" s="147"/>
      <c r="H107" s="147"/>
      <c r="I107" s="147"/>
      <c r="J107" s="148"/>
      <c r="K107" s="20"/>
      <c r="L107" s="32" t="str">
        <f t="shared" ref="L107:L122" si="4">IF(M107="","","5"&amp;IF(AND($F$3&gt;10,M107&lt;10),"0","")&amp;M107)</f>
        <v>51</v>
      </c>
      <c r="M107" s="17">
        <v>1</v>
      </c>
    </row>
    <row r="108" spans="1:14">
      <c r="C108" s="149" t="s">
        <v>136</v>
      </c>
      <c r="D108" s="149"/>
      <c r="E108" s="146" t="s">
        <v>180</v>
      </c>
      <c r="F108" s="147"/>
      <c r="G108" s="147"/>
      <c r="H108" s="147"/>
      <c r="I108" s="147"/>
      <c r="J108" s="148"/>
      <c r="K108" s="20"/>
      <c r="L108" s="32" t="str">
        <f t="shared" si="4"/>
        <v>52</v>
      </c>
      <c r="M108" s="17">
        <f t="shared" ref="M108:M122" si="5">IF(M107="","",IF(M107+1&lt;=$F$3,M107+1,""))</f>
        <v>2</v>
      </c>
    </row>
    <row r="109" spans="1:14">
      <c r="C109" s="149" t="s">
        <v>137</v>
      </c>
      <c r="D109" s="149"/>
      <c r="E109" s="146" t="s">
        <v>181</v>
      </c>
      <c r="F109" s="147"/>
      <c r="G109" s="147"/>
      <c r="H109" s="147"/>
      <c r="I109" s="147"/>
      <c r="J109" s="148"/>
      <c r="K109" s="20"/>
      <c r="L109" s="32" t="str">
        <f t="shared" si="4"/>
        <v>53</v>
      </c>
      <c r="M109" s="17">
        <f t="shared" si="5"/>
        <v>3</v>
      </c>
    </row>
    <row r="110" spans="1:14">
      <c r="C110" s="149" t="s">
        <v>138</v>
      </c>
      <c r="D110" s="149"/>
      <c r="E110" s="146" t="s">
        <v>182</v>
      </c>
      <c r="F110" s="147"/>
      <c r="G110" s="147"/>
      <c r="H110" s="147"/>
      <c r="I110" s="147"/>
      <c r="J110" s="148"/>
      <c r="K110" s="20"/>
      <c r="L110" s="32" t="str">
        <f t="shared" si="4"/>
        <v>54</v>
      </c>
      <c r="M110" s="17">
        <f t="shared" si="5"/>
        <v>4</v>
      </c>
    </row>
    <row r="111" spans="1:14">
      <c r="C111" s="149"/>
      <c r="D111" s="149"/>
      <c r="E111" s="146"/>
      <c r="F111" s="147"/>
      <c r="G111" s="147"/>
      <c r="H111" s="147"/>
      <c r="I111" s="147"/>
      <c r="J111" s="148"/>
      <c r="K111" s="20"/>
      <c r="L111" s="32" t="str">
        <f t="shared" si="4"/>
        <v>55</v>
      </c>
      <c r="M111" s="17">
        <f t="shared" si="5"/>
        <v>5</v>
      </c>
    </row>
    <row r="112" spans="1:14">
      <c r="C112" s="149"/>
      <c r="D112" s="149"/>
      <c r="E112" s="146"/>
      <c r="F112" s="147"/>
      <c r="G112" s="147"/>
      <c r="H112" s="147"/>
      <c r="I112" s="147"/>
      <c r="J112" s="148"/>
      <c r="K112" s="20"/>
      <c r="L112" s="32" t="str">
        <f t="shared" si="4"/>
        <v>56</v>
      </c>
      <c r="M112" s="17">
        <f t="shared" si="5"/>
        <v>6</v>
      </c>
    </row>
    <row r="113" spans="3:13">
      <c r="C113" s="149"/>
      <c r="D113" s="149"/>
      <c r="E113" s="146"/>
      <c r="F113" s="147"/>
      <c r="G113" s="147"/>
      <c r="H113" s="147"/>
      <c r="I113" s="147"/>
      <c r="J113" s="148"/>
      <c r="K113" s="20"/>
      <c r="L113" s="32" t="str">
        <f t="shared" si="4"/>
        <v>57</v>
      </c>
      <c r="M113" s="17">
        <f t="shared" si="5"/>
        <v>7</v>
      </c>
    </row>
    <row r="114" spans="3:13">
      <c r="C114" s="149"/>
      <c r="D114" s="149"/>
      <c r="E114" s="146"/>
      <c r="F114" s="147"/>
      <c r="G114" s="147"/>
      <c r="H114" s="147"/>
      <c r="I114" s="147"/>
      <c r="J114" s="148"/>
      <c r="K114" s="20"/>
      <c r="L114" s="32" t="str">
        <f t="shared" si="4"/>
        <v>58</v>
      </c>
      <c r="M114" s="17">
        <f t="shared" si="5"/>
        <v>8</v>
      </c>
    </row>
    <row r="115" spans="3:13">
      <c r="C115" s="149"/>
      <c r="D115" s="149"/>
      <c r="E115" s="146"/>
      <c r="F115" s="147"/>
      <c r="G115" s="147"/>
      <c r="H115" s="147"/>
      <c r="I115" s="147"/>
      <c r="J115" s="148"/>
      <c r="K115" s="20"/>
      <c r="L115" s="32" t="str">
        <f t="shared" si="4"/>
        <v/>
      </c>
      <c r="M115" s="17" t="str">
        <f t="shared" si="5"/>
        <v/>
      </c>
    </row>
    <row r="116" spans="3:13">
      <c r="C116" s="149"/>
      <c r="D116" s="149"/>
      <c r="E116" s="146"/>
      <c r="F116" s="147"/>
      <c r="G116" s="147"/>
      <c r="H116" s="147"/>
      <c r="I116" s="147"/>
      <c r="J116" s="148"/>
      <c r="K116" s="20"/>
      <c r="L116" s="32" t="str">
        <f t="shared" si="4"/>
        <v/>
      </c>
      <c r="M116" s="17" t="str">
        <f t="shared" si="5"/>
        <v/>
      </c>
    </row>
    <row r="117" spans="3:13">
      <c r="C117" s="149"/>
      <c r="D117" s="149"/>
      <c r="E117" s="146"/>
      <c r="F117" s="147"/>
      <c r="G117" s="147"/>
      <c r="H117" s="147"/>
      <c r="I117" s="147"/>
      <c r="J117" s="148"/>
      <c r="K117" s="20"/>
      <c r="L117" s="32" t="str">
        <f t="shared" si="4"/>
        <v/>
      </c>
      <c r="M117" s="17" t="str">
        <f t="shared" si="5"/>
        <v/>
      </c>
    </row>
    <row r="118" spans="3:13">
      <c r="C118" s="149"/>
      <c r="D118" s="149"/>
      <c r="E118" s="146"/>
      <c r="F118" s="147"/>
      <c r="G118" s="147"/>
      <c r="H118" s="147"/>
      <c r="I118" s="147"/>
      <c r="J118" s="148"/>
      <c r="K118" s="20"/>
      <c r="L118" s="32" t="str">
        <f t="shared" si="4"/>
        <v/>
      </c>
      <c r="M118" s="17" t="str">
        <f t="shared" si="5"/>
        <v/>
      </c>
    </row>
    <row r="119" spans="3:13">
      <c r="C119" s="149"/>
      <c r="D119" s="149"/>
      <c r="E119" s="146"/>
      <c r="F119" s="147"/>
      <c r="G119" s="147"/>
      <c r="H119" s="147"/>
      <c r="I119" s="147"/>
      <c r="J119" s="148"/>
      <c r="K119" s="20"/>
      <c r="L119" s="32" t="str">
        <f t="shared" si="4"/>
        <v/>
      </c>
      <c r="M119" s="17" t="str">
        <f t="shared" si="5"/>
        <v/>
      </c>
    </row>
    <row r="120" spans="3:13">
      <c r="C120" s="149"/>
      <c r="D120" s="149"/>
      <c r="E120" s="146"/>
      <c r="F120" s="147"/>
      <c r="G120" s="147"/>
      <c r="H120" s="147"/>
      <c r="I120" s="147"/>
      <c r="J120" s="148"/>
      <c r="K120" s="20"/>
      <c r="L120" s="32" t="str">
        <f t="shared" si="4"/>
        <v/>
      </c>
      <c r="M120" s="17" t="str">
        <f t="shared" si="5"/>
        <v/>
      </c>
    </row>
    <row r="121" spans="3:13">
      <c r="C121" s="149"/>
      <c r="D121" s="149"/>
      <c r="E121" s="146"/>
      <c r="F121" s="147"/>
      <c r="G121" s="147"/>
      <c r="H121" s="147"/>
      <c r="I121" s="147"/>
      <c r="J121" s="148"/>
      <c r="K121" s="20"/>
      <c r="L121" s="32" t="str">
        <f t="shared" si="4"/>
        <v/>
      </c>
      <c r="M121" s="17" t="str">
        <f t="shared" si="5"/>
        <v/>
      </c>
    </row>
    <row r="122" spans="3:13">
      <c r="C122" s="149"/>
      <c r="D122" s="149"/>
      <c r="E122" s="146"/>
      <c r="F122" s="147"/>
      <c r="G122" s="147"/>
      <c r="H122" s="147"/>
      <c r="I122" s="147"/>
      <c r="J122" s="148"/>
      <c r="K122" s="20"/>
      <c r="L122" s="32" t="str">
        <f t="shared" si="4"/>
        <v/>
      </c>
      <c r="M122" s="17" t="str">
        <f t="shared" si="5"/>
        <v/>
      </c>
    </row>
    <row r="123" spans="3:13">
      <c r="C123" s="45"/>
      <c r="D123" s="45"/>
      <c r="E123" s="45" t="s">
        <v>63</v>
      </c>
      <c r="F123" s="45"/>
      <c r="G123" s="45"/>
      <c r="H123" s="45"/>
      <c r="I123" s="45"/>
      <c r="J123" s="45"/>
      <c r="K123" s="20"/>
      <c r="L123" s="32"/>
    </row>
    <row r="124" spans="3:13">
      <c r="C124" s="144"/>
      <c r="D124" s="145"/>
      <c r="E124" s="146"/>
      <c r="F124" s="147"/>
      <c r="G124" s="147"/>
      <c r="H124" s="147"/>
      <c r="I124" s="147"/>
      <c r="J124" s="148"/>
      <c r="K124" s="20"/>
      <c r="L124" s="32">
        <v>61</v>
      </c>
    </row>
    <row r="125" spans="3:13">
      <c r="C125" s="144"/>
      <c r="D125" s="145"/>
      <c r="E125" s="146"/>
      <c r="F125" s="147"/>
      <c r="G125" s="147"/>
      <c r="H125" s="147"/>
      <c r="I125" s="147"/>
      <c r="J125" s="148"/>
      <c r="K125" s="20"/>
      <c r="L125" s="32">
        <v>62</v>
      </c>
    </row>
    <row r="126" spans="3:13">
      <c r="C126" s="144"/>
      <c r="D126" s="145"/>
      <c r="E126" s="146"/>
      <c r="F126" s="147"/>
      <c r="G126" s="147"/>
      <c r="H126" s="147"/>
      <c r="I126" s="147"/>
      <c r="J126" s="148"/>
      <c r="K126" s="20"/>
      <c r="L126" s="32">
        <v>63</v>
      </c>
    </row>
    <row r="127" spans="3:13">
      <c r="C127" s="144"/>
      <c r="D127" s="145"/>
      <c r="E127" s="146"/>
      <c r="F127" s="147"/>
      <c r="G127" s="147"/>
      <c r="H127" s="147"/>
      <c r="I127" s="147"/>
      <c r="J127" s="148"/>
      <c r="K127" s="20"/>
      <c r="L127" s="32">
        <v>64</v>
      </c>
    </row>
    <row r="128" spans="3:13">
      <c r="C128" s="45"/>
      <c r="D128" s="45"/>
      <c r="E128" s="45" t="s">
        <v>64</v>
      </c>
      <c r="F128" s="45"/>
      <c r="G128" s="45"/>
      <c r="H128" s="45"/>
      <c r="I128" s="45"/>
      <c r="J128" s="45"/>
      <c r="K128" s="20"/>
      <c r="L128" s="32"/>
    </row>
    <row r="129" spans="3:13">
      <c r="C129" s="144"/>
      <c r="D129" s="145"/>
      <c r="E129" s="146"/>
      <c r="F129" s="147"/>
      <c r="G129" s="147"/>
      <c r="H129" s="147"/>
      <c r="I129" s="147"/>
      <c r="J129" s="148"/>
      <c r="K129" s="20"/>
      <c r="L129" s="32">
        <v>71</v>
      </c>
    </row>
    <row r="130" spans="3:13">
      <c r="C130" s="144"/>
      <c r="D130" s="145"/>
      <c r="E130" s="146"/>
      <c r="F130" s="147"/>
      <c r="G130" s="147"/>
      <c r="H130" s="147"/>
      <c r="I130" s="147"/>
      <c r="J130" s="148"/>
      <c r="K130" s="20"/>
      <c r="L130" s="32">
        <v>72</v>
      </c>
    </row>
    <row r="131" spans="3:13">
      <c r="C131" s="144"/>
      <c r="D131" s="145"/>
      <c r="E131" s="146"/>
      <c r="F131" s="147"/>
      <c r="G131" s="147"/>
      <c r="H131" s="147"/>
      <c r="I131" s="147"/>
      <c r="J131" s="148"/>
      <c r="K131" s="20"/>
      <c r="L131" s="32">
        <v>73</v>
      </c>
    </row>
    <row r="132" spans="3:13">
      <c r="C132" s="144"/>
      <c r="D132" s="145"/>
      <c r="E132" s="146"/>
      <c r="F132" s="147"/>
      <c r="G132" s="147"/>
      <c r="H132" s="147"/>
      <c r="I132" s="147"/>
      <c r="J132" s="148"/>
      <c r="K132" s="20"/>
      <c r="L132" s="32">
        <v>74</v>
      </c>
    </row>
    <row r="133" spans="3:13">
      <c r="C133" s="20"/>
      <c r="D133" s="20"/>
      <c r="E133" s="20"/>
      <c r="F133" s="20"/>
      <c r="G133" s="20"/>
      <c r="H133" s="20"/>
      <c r="I133" s="20"/>
      <c r="J133" s="20"/>
      <c r="K133" s="20"/>
      <c r="L133" s="20"/>
    </row>
    <row r="134" spans="3:13">
      <c r="C134" s="150" t="s">
        <v>67</v>
      </c>
      <c r="D134" s="150"/>
      <c r="E134" s="150"/>
      <c r="F134" s="150"/>
      <c r="G134" s="150"/>
      <c r="H134" s="150"/>
      <c r="I134" s="150"/>
      <c r="J134" s="150"/>
      <c r="K134" s="20"/>
      <c r="L134" s="20"/>
    </row>
    <row r="135" spans="3:13">
      <c r="C135" s="151" t="s">
        <v>1</v>
      </c>
      <c r="D135" s="152"/>
      <c r="E135" s="138" t="s">
        <v>46</v>
      </c>
      <c r="F135" s="139"/>
      <c r="G135" s="139"/>
      <c r="H135" s="139"/>
      <c r="I135" s="139"/>
      <c r="J135" s="140"/>
    </row>
    <row r="136" spans="3:13">
      <c r="C136" s="149" t="s">
        <v>139</v>
      </c>
      <c r="D136" s="149"/>
      <c r="E136" s="146" t="s">
        <v>140</v>
      </c>
      <c r="F136" s="147"/>
      <c r="G136" s="147"/>
      <c r="H136" s="147"/>
      <c r="I136" s="147"/>
      <c r="J136" s="148"/>
      <c r="L136" s="32">
        <v>1</v>
      </c>
    </row>
    <row r="137" spans="3:13">
      <c r="C137" s="149" t="s">
        <v>141</v>
      </c>
      <c r="D137" s="149"/>
      <c r="E137" s="146" t="s">
        <v>142</v>
      </c>
      <c r="F137" s="147"/>
      <c r="G137" s="147"/>
      <c r="H137" s="147"/>
      <c r="I137" s="147"/>
      <c r="J137" s="148"/>
      <c r="L137" s="32">
        <v>2</v>
      </c>
    </row>
    <row r="138" spans="3:13">
      <c r="C138" s="149" t="s">
        <v>143</v>
      </c>
      <c r="D138" s="149"/>
      <c r="E138" s="146" t="s">
        <v>144</v>
      </c>
      <c r="F138" s="147"/>
      <c r="G138" s="147"/>
      <c r="H138" s="147"/>
      <c r="I138" s="147"/>
      <c r="J138" s="148"/>
      <c r="L138" s="17">
        <v>21</v>
      </c>
    </row>
    <row r="139" spans="3:13">
      <c r="C139" s="149"/>
      <c r="D139" s="149"/>
      <c r="E139" s="146"/>
      <c r="F139" s="147"/>
      <c r="G139" s="147"/>
      <c r="H139" s="147"/>
      <c r="I139" s="147"/>
      <c r="J139" s="148"/>
      <c r="L139" s="17"/>
    </row>
    <row r="140" spans="3:13">
      <c r="C140" s="46"/>
      <c r="D140" s="45"/>
      <c r="E140" s="46" t="s">
        <v>47</v>
      </c>
      <c r="F140" s="45"/>
      <c r="G140" s="45"/>
      <c r="H140" s="45"/>
      <c r="I140" s="45"/>
      <c r="J140" s="45"/>
      <c r="L140" s="34"/>
      <c r="M140" s="18"/>
    </row>
    <row r="141" spans="3:13">
      <c r="C141" s="149" t="s">
        <v>145</v>
      </c>
      <c r="D141" s="149"/>
      <c r="E141" s="146" t="s">
        <v>146</v>
      </c>
      <c r="F141" s="147"/>
      <c r="G141" s="147"/>
      <c r="H141" s="147"/>
      <c r="I141" s="147"/>
      <c r="J141" s="148"/>
      <c r="L141" s="32" t="str">
        <f t="shared" ref="L141:L156" si="6">IF(M141="","","3"&amp;IF(AND($F$3&gt;10,M141&lt;10),"0","")&amp;M141)</f>
        <v>31</v>
      </c>
      <c r="M141" s="17">
        <v>1</v>
      </c>
    </row>
    <row r="142" spans="3:13">
      <c r="C142" s="149" t="s">
        <v>147</v>
      </c>
      <c r="D142" s="149"/>
      <c r="E142" s="146" t="s">
        <v>148</v>
      </c>
      <c r="F142" s="147"/>
      <c r="G142" s="147"/>
      <c r="H142" s="147"/>
      <c r="I142" s="147"/>
      <c r="J142" s="148"/>
      <c r="L142" s="32" t="str">
        <f t="shared" si="6"/>
        <v>32</v>
      </c>
      <c r="M142" s="17">
        <f t="shared" ref="M142:M156" si="7">IF(M141="","",IF(M141+1&lt;=$F$3,M141+1,""))</f>
        <v>2</v>
      </c>
    </row>
    <row r="143" spans="3:13">
      <c r="C143" s="149" t="s">
        <v>149</v>
      </c>
      <c r="D143" s="149"/>
      <c r="E143" s="146" t="s">
        <v>150</v>
      </c>
      <c r="F143" s="147"/>
      <c r="G143" s="147"/>
      <c r="H143" s="147"/>
      <c r="I143" s="147"/>
      <c r="J143" s="148"/>
      <c r="L143" s="32" t="str">
        <f t="shared" si="6"/>
        <v>33</v>
      </c>
      <c r="M143" s="17">
        <f t="shared" si="7"/>
        <v>3</v>
      </c>
    </row>
    <row r="144" spans="3:13">
      <c r="C144" s="149" t="s">
        <v>151</v>
      </c>
      <c r="D144" s="149"/>
      <c r="E144" s="146" t="s">
        <v>152</v>
      </c>
      <c r="F144" s="147"/>
      <c r="G144" s="147"/>
      <c r="H144" s="147"/>
      <c r="I144" s="147"/>
      <c r="J144" s="148"/>
      <c r="L144" s="32" t="str">
        <f t="shared" si="6"/>
        <v>34</v>
      </c>
      <c r="M144" s="17">
        <f t="shared" si="7"/>
        <v>4</v>
      </c>
    </row>
    <row r="145" spans="3:13">
      <c r="C145" s="149"/>
      <c r="D145" s="149"/>
      <c r="E145" s="146"/>
      <c r="F145" s="147"/>
      <c r="G145" s="147"/>
      <c r="H145" s="147"/>
      <c r="I145" s="147"/>
      <c r="J145" s="148"/>
      <c r="L145" s="32" t="str">
        <f t="shared" si="6"/>
        <v>35</v>
      </c>
      <c r="M145" s="17">
        <f t="shared" si="7"/>
        <v>5</v>
      </c>
    </row>
    <row r="146" spans="3:13">
      <c r="C146" s="149"/>
      <c r="D146" s="149"/>
      <c r="E146" s="146"/>
      <c r="F146" s="147"/>
      <c r="G146" s="147"/>
      <c r="H146" s="147"/>
      <c r="I146" s="147"/>
      <c r="J146" s="148"/>
      <c r="L146" s="32" t="str">
        <f t="shared" si="6"/>
        <v>36</v>
      </c>
      <c r="M146" s="17">
        <f t="shared" si="7"/>
        <v>6</v>
      </c>
    </row>
    <row r="147" spans="3:13">
      <c r="C147" s="149"/>
      <c r="D147" s="149"/>
      <c r="E147" s="146"/>
      <c r="F147" s="147"/>
      <c r="G147" s="147"/>
      <c r="H147" s="147"/>
      <c r="I147" s="147"/>
      <c r="J147" s="148"/>
      <c r="L147" s="32" t="str">
        <f t="shared" si="6"/>
        <v>37</v>
      </c>
      <c r="M147" s="17">
        <f t="shared" si="7"/>
        <v>7</v>
      </c>
    </row>
    <row r="148" spans="3:13">
      <c r="C148" s="149"/>
      <c r="D148" s="149"/>
      <c r="E148" s="146"/>
      <c r="F148" s="147"/>
      <c r="G148" s="147"/>
      <c r="H148" s="147"/>
      <c r="I148" s="147"/>
      <c r="J148" s="148"/>
      <c r="L148" s="32" t="str">
        <f t="shared" si="6"/>
        <v>38</v>
      </c>
      <c r="M148" s="17">
        <f t="shared" si="7"/>
        <v>8</v>
      </c>
    </row>
    <row r="149" spans="3:13">
      <c r="C149" s="149"/>
      <c r="D149" s="149"/>
      <c r="E149" s="146"/>
      <c r="F149" s="147"/>
      <c r="G149" s="147"/>
      <c r="H149" s="147"/>
      <c r="I149" s="147"/>
      <c r="J149" s="148"/>
      <c r="L149" s="32" t="str">
        <f t="shared" si="6"/>
        <v/>
      </c>
      <c r="M149" s="17" t="str">
        <f t="shared" si="7"/>
        <v/>
      </c>
    </row>
    <row r="150" spans="3:13">
      <c r="C150" s="149"/>
      <c r="D150" s="149"/>
      <c r="E150" s="146"/>
      <c r="F150" s="147"/>
      <c r="G150" s="147"/>
      <c r="H150" s="147"/>
      <c r="I150" s="147"/>
      <c r="J150" s="148"/>
      <c r="L150" s="32" t="str">
        <f t="shared" si="6"/>
        <v/>
      </c>
      <c r="M150" s="17" t="str">
        <f t="shared" si="7"/>
        <v/>
      </c>
    </row>
    <row r="151" spans="3:13">
      <c r="C151" s="149"/>
      <c r="D151" s="149"/>
      <c r="E151" s="146"/>
      <c r="F151" s="147"/>
      <c r="G151" s="147"/>
      <c r="H151" s="147"/>
      <c r="I151" s="147"/>
      <c r="J151" s="148"/>
      <c r="L151" s="32" t="str">
        <f t="shared" si="6"/>
        <v/>
      </c>
      <c r="M151" s="17" t="str">
        <f t="shared" si="7"/>
        <v/>
      </c>
    </row>
    <row r="152" spans="3:13">
      <c r="C152" s="149"/>
      <c r="D152" s="149"/>
      <c r="E152" s="146"/>
      <c r="F152" s="147"/>
      <c r="G152" s="147"/>
      <c r="H152" s="147"/>
      <c r="I152" s="147"/>
      <c r="J152" s="148"/>
      <c r="L152" s="32" t="str">
        <f t="shared" si="6"/>
        <v/>
      </c>
      <c r="M152" s="17" t="str">
        <f t="shared" si="7"/>
        <v/>
      </c>
    </row>
    <row r="153" spans="3:13">
      <c r="C153" s="149"/>
      <c r="D153" s="149"/>
      <c r="E153" s="146"/>
      <c r="F153" s="147"/>
      <c r="G153" s="147"/>
      <c r="H153" s="147"/>
      <c r="I153" s="147"/>
      <c r="J153" s="148"/>
      <c r="L153" s="32" t="str">
        <f t="shared" si="6"/>
        <v/>
      </c>
      <c r="M153" s="17" t="str">
        <f t="shared" si="7"/>
        <v/>
      </c>
    </row>
    <row r="154" spans="3:13">
      <c r="C154" s="149"/>
      <c r="D154" s="149"/>
      <c r="E154" s="146"/>
      <c r="F154" s="147"/>
      <c r="G154" s="147"/>
      <c r="H154" s="147"/>
      <c r="I154" s="147"/>
      <c r="J154" s="148"/>
      <c r="L154" s="32" t="str">
        <f t="shared" si="6"/>
        <v/>
      </c>
      <c r="M154" s="17" t="str">
        <f t="shared" si="7"/>
        <v/>
      </c>
    </row>
    <row r="155" spans="3:13">
      <c r="C155" s="149"/>
      <c r="D155" s="149"/>
      <c r="E155" s="146"/>
      <c r="F155" s="147"/>
      <c r="G155" s="147"/>
      <c r="H155" s="147"/>
      <c r="I155" s="147"/>
      <c r="J155" s="148"/>
      <c r="L155" s="32" t="str">
        <f t="shared" si="6"/>
        <v/>
      </c>
      <c r="M155" s="17" t="str">
        <f t="shared" si="7"/>
        <v/>
      </c>
    </row>
    <row r="156" spans="3:13">
      <c r="C156" s="149"/>
      <c r="D156" s="149"/>
      <c r="E156" s="146"/>
      <c r="F156" s="147"/>
      <c r="G156" s="147"/>
      <c r="H156" s="147"/>
      <c r="I156" s="147"/>
      <c r="J156" s="148"/>
      <c r="L156" s="32" t="str">
        <f t="shared" si="6"/>
        <v/>
      </c>
      <c r="M156" s="17" t="str">
        <f t="shared" si="7"/>
        <v/>
      </c>
    </row>
    <row r="157" spans="3:13">
      <c r="C157" s="46"/>
      <c r="D157" s="45"/>
      <c r="E157" s="46" t="s">
        <v>48</v>
      </c>
      <c r="F157" s="45"/>
      <c r="G157" s="45"/>
      <c r="H157" s="45"/>
      <c r="I157" s="45"/>
      <c r="J157" s="45"/>
      <c r="L157" s="34"/>
      <c r="M157" s="18"/>
    </row>
    <row r="158" spans="3:13">
      <c r="C158" s="149" t="s">
        <v>153</v>
      </c>
      <c r="D158" s="149"/>
      <c r="E158" s="146" t="s">
        <v>154</v>
      </c>
      <c r="F158" s="147"/>
      <c r="G158" s="147"/>
      <c r="H158" s="147"/>
      <c r="I158" s="147"/>
      <c r="J158" s="148"/>
      <c r="L158" s="32" t="str">
        <f t="shared" ref="L158:L173" si="8">IF(M158="","","4"&amp;IF(AND($F$3&gt;10,M158&lt;10),"0","")&amp;M158)</f>
        <v>41</v>
      </c>
      <c r="M158" s="17">
        <v>1</v>
      </c>
    </row>
    <row r="159" spans="3:13">
      <c r="C159" s="149" t="s">
        <v>155</v>
      </c>
      <c r="D159" s="149"/>
      <c r="E159" s="146" t="s">
        <v>156</v>
      </c>
      <c r="F159" s="147"/>
      <c r="G159" s="147"/>
      <c r="H159" s="147"/>
      <c r="I159" s="147"/>
      <c r="J159" s="148"/>
      <c r="L159" s="32" t="str">
        <f t="shared" si="8"/>
        <v>42</v>
      </c>
      <c r="M159" s="17">
        <f t="shared" ref="M159:M173" si="9">IF(M158="","",IF(M158+1&lt;=$F$3,M158+1,""))</f>
        <v>2</v>
      </c>
    </row>
    <row r="160" spans="3:13">
      <c r="C160" s="149" t="s">
        <v>157</v>
      </c>
      <c r="D160" s="149"/>
      <c r="E160" s="146" t="s">
        <v>158</v>
      </c>
      <c r="F160" s="147"/>
      <c r="G160" s="147"/>
      <c r="H160" s="147"/>
      <c r="I160" s="147"/>
      <c r="J160" s="148"/>
      <c r="L160" s="32" t="str">
        <f t="shared" si="8"/>
        <v>43</v>
      </c>
      <c r="M160" s="17">
        <f t="shared" si="9"/>
        <v>3</v>
      </c>
    </row>
    <row r="161" spans="3:13">
      <c r="C161" s="149" t="s">
        <v>159</v>
      </c>
      <c r="D161" s="149"/>
      <c r="E161" s="146" t="s">
        <v>160</v>
      </c>
      <c r="F161" s="147"/>
      <c r="G161" s="147"/>
      <c r="H161" s="147"/>
      <c r="I161" s="147"/>
      <c r="J161" s="148"/>
      <c r="L161" s="32" t="str">
        <f t="shared" si="8"/>
        <v>44</v>
      </c>
      <c r="M161" s="17">
        <f t="shared" si="9"/>
        <v>4</v>
      </c>
    </row>
    <row r="162" spans="3:13">
      <c r="C162" s="149"/>
      <c r="D162" s="149"/>
      <c r="E162" s="146"/>
      <c r="F162" s="147"/>
      <c r="G162" s="147"/>
      <c r="H162" s="147"/>
      <c r="I162" s="147"/>
      <c r="J162" s="148"/>
      <c r="L162" s="32" t="str">
        <f t="shared" si="8"/>
        <v>45</v>
      </c>
      <c r="M162" s="17">
        <f t="shared" si="9"/>
        <v>5</v>
      </c>
    </row>
    <row r="163" spans="3:13">
      <c r="C163" s="149"/>
      <c r="D163" s="149"/>
      <c r="E163" s="146"/>
      <c r="F163" s="147"/>
      <c r="G163" s="147"/>
      <c r="H163" s="147"/>
      <c r="I163" s="147"/>
      <c r="J163" s="148"/>
      <c r="L163" s="32" t="str">
        <f t="shared" si="8"/>
        <v>46</v>
      </c>
      <c r="M163" s="17">
        <f t="shared" si="9"/>
        <v>6</v>
      </c>
    </row>
    <row r="164" spans="3:13">
      <c r="C164" s="149"/>
      <c r="D164" s="149"/>
      <c r="E164" s="146"/>
      <c r="F164" s="147"/>
      <c r="G164" s="147"/>
      <c r="H164" s="147"/>
      <c r="I164" s="147"/>
      <c r="J164" s="148"/>
      <c r="L164" s="32" t="str">
        <f t="shared" si="8"/>
        <v>47</v>
      </c>
      <c r="M164" s="17">
        <f t="shared" si="9"/>
        <v>7</v>
      </c>
    </row>
    <row r="165" spans="3:13">
      <c r="C165" s="149"/>
      <c r="D165" s="149"/>
      <c r="E165" s="146"/>
      <c r="F165" s="147"/>
      <c r="G165" s="147"/>
      <c r="H165" s="147"/>
      <c r="I165" s="147"/>
      <c r="J165" s="148"/>
      <c r="L165" s="32" t="str">
        <f t="shared" si="8"/>
        <v>48</v>
      </c>
      <c r="M165" s="17">
        <f t="shared" si="9"/>
        <v>8</v>
      </c>
    </row>
    <row r="166" spans="3:13">
      <c r="C166" s="149"/>
      <c r="D166" s="149"/>
      <c r="E166" s="146"/>
      <c r="F166" s="147"/>
      <c r="G166" s="147"/>
      <c r="H166" s="147"/>
      <c r="I166" s="147"/>
      <c r="J166" s="148"/>
      <c r="L166" s="32" t="str">
        <f t="shared" si="8"/>
        <v/>
      </c>
      <c r="M166" s="17" t="str">
        <f t="shared" si="9"/>
        <v/>
      </c>
    </row>
    <row r="167" spans="3:13">
      <c r="C167" s="149"/>
      <c r="D167" s="149"/>
      <c r="E167" s="146"/>
      <c r="F167" s="147"/>
      <c r="G167" s="147"/>
      <c r="H167" s="147"/>
      <c r="I167" s="147"/>
      <c r="J167" s="148"/>
      <c r="L167" s="32" t="str">
        <f t="shared" si="8"/>
        <v/>
      </c>
      <c r="M167" s="17" t="str">
        <f t="shared" si="9"/>
        <v/>
      </c>
    </row>
    <row r="168" spans="3:13">
      <c r="C168" s="149"/>
      <c r="D168" s="149"/>
      <c r="E168" s="146"/>
      <c r="F168" s="147"/>
      <c r="G168" s="147"/>
      <c r="H168" s="147"/>
      <c r="I168" s="147"/>
      <c r="J168" s="148"/>
      <c r="L168" s="32" t="str">
        <f t="shared" si="8"/>
        <v/>
      </c>
      <c r="M168" s="17" t="str">
        <f t="shared" si="9"/>
        <v/>
      </c>
    </row>
    <row r="169" spans="3:13">
      <c r="C169" s="149"/>
      <c r="D169" s="149"/>
      <c r="E169" s="146"/>
      <c r="F169" s="147"/>
      <c r="G169" s="147"/>
      <c r="H169" s="147"/>
      <c r="I169" s="147"/>
      <c r="J169" s="148"/>
      <c r="L169" s="32" t="str">
        <f t="shared" si="8"/>
        <v/>
      </c>
      <c r="M169" s="17" t="str">
        <f t="shared" si="9"/>
        <v/>
      </c>
    </row>
    <row r="170" spans="3:13">
      <c r="C170" s="149"/>
      <c r="D170" s="149"/>
      <c r="E170" s="146"/>
      <c r="F170" s="147"/>
      <c r="G170" s="147"/>
      <c r="H170" s="147"/>
      <c r="I170" s="147"/>
      <c r="J170" s="148"/>
      <c r="L170" s="32" t="str">
        <f t="shared" si="8"/>
        <v/>
      </c>
      <c r="M170" s="17" t="str">
        <f t="shared" si="9"/>
        <v/>
      </c>
    </row>
    <row r="171" spans="3:13">
      <c r="C171" s="149"/>
      <c r="D171" s="149"/>
      <c r="E171" s="146"/>
      <c r="F171" s="147"/>
      <c r="G171" s="147"/>
      <c r="H171" s="147"/>
      <c r="I171" s="147"/>
      <c r="J171" s="148"/>
      <c r="L171" s="32" t="str">
        <f t="shared" si="8"/>
        <v/>
      </c>
      <c r="M171" s="17" t="str">
        <f t="shared" si="9"/>
        <v/>
      </c>
    </row>
    <row r="172" spans="3:13">
      <c r="C172" s="149"/>
      <c r="D172" s="149"/>
      <c r="E172" s="146"/>
      <c r="F172" s="147"/>
      <c r="G172" s="147"/>
      <c r="H172" s="147"/>
      <c r="I172" s="147"/>
      <c r="J172" s="148"/>
      <c r="L172" s="32" t="str">
        <f t="shared" si="8"/>
        <v/>
      </c>
      <c r="M172" s="17" t="str">
        <f t="shared" si="9"/>
        <v/>
      </c>
    </row>
    <row r="173" spans="3:13">
      <c r="C173" s="149"/>
      <c r="D173" s="149"/>
      <c r="E173" s="146"/>
      <c r="F173" s="147"/>
      <c r="G173" s="147"/>
      <c r="H173" s="147"/>
      <c r="I173" s="147"/>
      <c r="J173" s="148"/>
      <c r="L173" s="32" t="str">
        <f t="shared" si="8"/>
        <v/>
      </c>
      <c r="M173" s="17" t="str">
        <f t="shared" si="9"/>
        <v/>
      </c>
    </row>
    <row r="174" spans="3:13">
      <c r="C174" s="45"/>
      <c r="D174" s="45"/>
      <c r="E174" s="45" t="s">
        <v>49</v>
      </c>
      <c r="F174" s="45"/>
      <c r="G174" s="45"/>
      <c r="H174" s="45"/>
      <c r="I174" s="45"/>
      <c r="J174" s="45"/>
      <c r="L174" s="34"/>
      <c r="M174" s="18"/>
    </row>
    <row r="175" spans="3:13">
      <c r="C175" s="149" t="s">
        <v>161</v>
      </c>
      <c r="D175" s="149"/>
      <c r="E175" s="146" t="s">
        <v>162</v>
      </c>
      <c r="F175" s="147"/>
      <c r="G175" s="147"/>
      <c r="H175" s="147"/>
      <c r="I175" s="147"/>
      <c r="J175" s="148"/>
      <c r="L175" s="32" t="str">
        <f t="shared" ref="L175:L190" si="10">IF(M175="","","5"&amp;IF(AND($F$3&gt;10,M175&lt;10),"0","")&amp;M175)</f>
        <v>51</v>
      </c>
      <c r="M175" s="17">
        <v>1</v>
      </c>
    </row>
    <row r="176" spans="3:13">
      <c r="C176" s="149" t="s">
        <v>163</v>
      </c>
      <c r="D176" s="149"/>
      <c r="E176" s="146" t="s">
        <v>164</v>
      </c>
      <c r="F176" s="147"/>
      <c r="G176" s="147"/>
      <c r="H176" s="147"/>
      <c r="I176" s="147"/>
      <c r="J176" s="148"/>
      <c r="L176" s="32" t="str">
        <f t="shared" si="10"/>
        <v>52</v>
      </c>
      <c r="M176" s="17">
        <f t="shared" ref="M176:M190" si="11">IF(M175="","",IF(M175+1&lt;=$F$3,M175+1,""))</f>
        <v>2</v>
      </c>
    </row>
    <row r="177" spans="3:13">
      <c r="C177" s="149" t="s">
        <v>165</v>
      </c>
      <c r="D177" s="149"/>
      <c r="E177" s="146" t="s">
        <v>166</v>
      </c>
      <c r="F177" s="147"/>
      <c r="G177" s="147"/>
      <c r="H177" s="147"/>
      <c r="I177" s="147"/>
      <c r="J177" s="148"/>
      <c r="L177" s="32" t="str">
        <f t="shared" si="10"/>
        <v>53</v>
      </c>
      <c r="M177" s="17">
        <f t="shared" si="11"/>
        <v>3</v>
      </c>
    </row>
    <row r="178" spans="3:13">
      <c r="C178" s="149" t="s">
        <v>167</v>
      </c>
      <c r="D178" s="149"/>
      <c r="E178" s="146" t="s">
        <v>168</v>
      </c>
      <c r="F178" s="147"/>
      <c r="G178" s="147"/>
      <c r="H178" s="147"/>
      <c r="I178" s="147"/>
      <c r="J178" s="148"/>
      <c r="L178" s="32" t="str">
        <f t="shared" si="10"/>
        <v>54</v>
      </c>
      <c r="M178" s="17">
        <f t="shared" si="11"/>
        <v>4</v>
      </c>
    </row>
    <row r="179" spans="3:13">
      <c r="C179" s="149"/>
      <c r="D179" s="149"/>
      <c r="E179" s="146"/>
      <c r="F179" s="147"/>
      <c r="G179" s="147"/>
      <c r="H179" s="147"/>
      <c r="I179" s="147"/>
      <c r="J179" s="148"/>
      <c r="L179" s="32" t="str">
        <f t="shared" si="10"/>
        <v>55</v>
      </c>
      <c r="M179" s="17">
        <f t="shared" si="11"/>
        <v>5</v>
      </c>
    </row>
    <row r="180" spans="3:13">
      <c r="C180" s="149"/>
      <c r="D180" s="149"/>
      <c r="E180" s="146"/>
      <c r="F180" s="147"/>
      <c r="G180" s="147"/>
      <c r="H180" s="147"/>
      <c r="I180" s="147"/>
      <c r="J180" s="148"/>
      <c r="L180" s="32" t="str">
        <f t="shared" si="10"/>
        <v>56</v>
      </c>
      <c r="M180" s="17">
        <f t="shared" si="11"/>
        <v>6</v>
      </c>
    </row>
    <row r="181" spans="3:13">
      <c r="C181" s="149"/>
      <c r="D181" s="149"/>
      <c r="E181" s="146"/>
      <c r="F181" s="147"/>
      <c r="G181" s="147"/>
      <c r="H181" s="147"/>
      <c r="I181" s="147"/>
      <c r="J181" s="148"/>
      <c r="L181" s="32" t="str">
        <f t="shared" si="10"/>
        <v>57</v>
      </c>
      <c r="M181" s="17">
        <f t="shared" si="11"/>
        <v>7</v>
      </c>
    </row>
    <row r="182" spans="3:13">
      <c r="C182" s="149"/>
      <c r="D182" s="149"/>
      <c r="E182" s="146"/>
      <c r="F182" s="147"/>
      <c r="G182" s="147"/>
      <c r="H182" s="147"/>
      <c r="I182" s="147"/>
      <c r="J182" s="148"/>
      <c r="L182" s="32" t="str">
        <f t="shared" si="10"/>
        <v>58</v>
      </c>
      <c r="M182" s="17">
        <f t="shared" si="11"/>
        <v>8</v>
      </c>
    </row>
    <row r="183" spans="3:13">
      <c r="C183" s="149"/>
      <c r="D183" s="149"/>
      <c r="E183" s="146"/>
      <c r="F183" s="147"/>
      <c r="G183" s="147"/>
      <c r="H183" s="147"/>
      <c r="I183" s="147"/>
      <c r="J183" s="148"/>
      <c r="L183" s="32" t="str">
        <f t="shared" si="10"/>
        <v/>
      </c>
      <c r="M183" s="17" t="str">
        <f t="shared" si="11"/>
        <v/>
      </c>
    </row>
    <row r="184" spans="3:13">
      <c r="C184" s="149"/>
      <c r="D184" s="149"/>
      <c r="E184" s="146"/>
      <c r="F184" s="147"/>
      <c r="G184" s="147"/>
      <c r="H184" s="147"/>
      <c r="I184" s="147"/>
      <c r="J184" s="148"/>
      <c r="L184" s="32" t="str">
        <f t="shared" si="10"/>
        <v/>
      </c>
      <c r="M184" s="17" t="str">
        <f t="shared" si="11"/>
        <v/>
      </c>
    </row>
    <row r="185" spans="3:13">
      <c r="C185" s="149"/>
      <c r="D185" s="149"/>
      <c r="E185" s="146"/>
      <c r="F185" s="147"/>
      <c r="G185" s="147"/>
      <c r="H185" s="147"/>
      <c r="I185" s="147"/>
      <c r="J185" s="148"/>
      <c r="L185" s="32" t="str">
        <f t="shared" si="10"/>
        <v/>
      </c>
      <c r="M185" s="17" t="str">
        <f t="shared" si="11"/>
        <v/>
      </c>
    </row>
    <row r="186" spans="3:13">
      <c r="C186" s="149"/>
      <c r="D186" s="149"/>
      <c r="E186" s="146"/>
      <c r="F186" s="147"/>
      <c r="G186" s="147"/>
      <c r="H186" s="147"/>
      <c r="I186" s="147"/>
      <c r="J186" s="148"/>
      <c r="L186" s="32" t="str">
        <f t="shared" si="10"/>
        <v/>
      </c>
      <c r="M186" s="17" t="str">
        <f t="shared" si="11"/>
        <v/>
      </c>
    </row>
    <row r="187" spans="3:13">
      <c r="C187" s="149"/>
      <c r="D187" s="149"/>
      <c r="E187" s="146"/>
      <c r="F187" s="147"/>
      <c r="G187" s="147"/>
      <c r="H187" s="147"/>
      <c r="I187" s="147"/>
      <c r="J187" s="148"/>
      <c r="L187" s="32" t="str">
        <f t="shared" si="10"/>
        <v/>
      </c>
      <c r="M187" s="17" t="str">
        <f t="shared" si="11"/>
        <v/>
      </c>
    </row>
    <row r="188" spans="3:13">
      <c r="C188" s="149"/>
      <c r="D188" s="149"/>
      <c r="E188" s="146"/>
      <c r="F188" s="147"/>
      <c r="G188" s="147"/>
      <c r="H188" s="147"/>
      <c r="I188" s="147"/>
      <c r="J188" s="148"/>
      <c r="L188" s="32" t="str">
        <f t="shared" si="10"/>
        <v/>
      </c>
      <c r="M188" s="17" t="str">
        <f t="shared" si="11"/>
        <v/>
      </c>
    </row>
    <row r="189" spans="3:13">
      <c r="C189" s="149"/>
      <c r="D189" s="149"/>
      <c r="E189" s="146"/>
      <c r="F189" s="147"/>
      <c r="G189" s="147"/>
      <c r="H189" s="147"/>
      <c r="I189" s="147"/>
      <c r="J189" s="148"/>
      <c r="L189" s="32" t="str">
        <f t="shared" si="10"/>
        <v/>
      </c>
      <c r="M189" s="17" t="str">
        <f t="shared" si="11"/>
        <v/>
      </c>
    </row>
    <row r="190" spans="3:13">
      <c r="C190" s="149"/>
      <c r="D190" s="149"/>
      <c r="E190" s="146"/>
      <c r="F190" s="147"/>
      <c r="G190" s="147"/>
      <c r="H190" s="147"/>
      <c r="I190" s="147"/>
      <c r="J190" s="148"/>
      <c r="L190" s="32" t="str">
        <f t="shared" si="10"/>
        <v/>
      </c>
      <c r="M190" s="17" t="str">
        <f t="shared" si="11"/>
        <v/>
      </c>
    </row>
    <row r="191" spans="3:13">
      <c r="C191" s="149"/>
      <c r="D191" s="149"/>
      <c r="E191" s="146"/>
      <c r="F191" s="147"/>
      <c r="G191" s="147"/>
      <c r="H191" s="147"/>
      <c r="I191" s="147"/>
      <c r="J191" s="148"/>
    </row>
    <row r="192" spans="3:13">
      <c r="C192" s="45"/>
      <c r="D192" s="45"/>
      <c r="E192" s="45" t="s">
        <v>63</v>
      </c>
      <c r="F192" s="45"/>
      <c r="G192" s="45"/>
      <c r="H192" s="45"/>
      <c r="I192" s="45"/>
      <c r="J192" s="45"/>
      <c r="K192" s="20"/>
      <c r="L192" s="32"/>
    </row>
    <row r="193" spans="3:12">
      <c r="C193" s="144"/>
      <c r="D193" s="145"/>
      <c r="E193" s="146"/>
      <c r="F193" s="147"/>
      <c r="G193" s="147"/>
      <c r="H193" s="147"/>
      <c r="I193" s="147"/>
      <c r="J193" s="148"/>
      <c r="K193" s="20"/>
      <c r="L193" s="32">
        <v>61</v>
      </c>
    </row>
    <row r="194" spans="3:12">
      <c r="C194" s="144"/>
      <c r="D194" s="145"/>
      <c r="E194" s="146"/>
      <c r="F194" s="147"/>
      <c r="G194" s="147"/>
      <c r="H194" s="147"/>
      <c r="I194" s="147"/>
      <c r="J194" s="148"/>
      <c r="K194" s="20"/>
      <c r="L194" s="32">
        <v>62</v>
      </c>
    </row>
    <row r="195" spans="3:12">
      <c r="C195" s="144"/>
      <c r="D195" s="145"/>
      <c r="E195" s="146"/>
      <c r="F195" s="147"/>
      <c r="G195" s="147"/>
      <c r="H195" s="147"/>
      <c r="I195" s="147"/>
      <c r="J195" s="148"/>
      <c r="K195" s="20"/>
      <c r="L195" s="32">
        <v>63</v>
      </c>
    </row>
    <row r="196" spans="3:12">
      <c r="C196" s="144"/>
      <c r="D196" s="145"/>
      <c r="E196" s="146"/>
      <c r="F196" s="147"/>
      <c r="G196" s="147"/>
      <c r="H196" s="147"/>
      <c r="I196" s="147"/>
      <c r="J196" s="148"/>
      <c r="K196" s="20"/>
      <c r="L196" s="32">
        <v>64</v>
      </c>
    </row>
    <row r="197" spans="3:12">
      <c r="C197" s="45"/>
      <c r="D197" s="45"/>
      <c r="E197" s="45" t="s">
        <v>64</v>
      </c>
      <c r="F197" s="45"/>
      <c r="G197" s="45"/>
      <c r="H197" s="45"/>
      <c r="I197" s="45"/>
      <c r="J197" s="45"/>
      <c r="K197" s="20"/>
      <c r="L197" s="32"/>
    </row>
    <row r="198" spans="3:12">
      <c r="C198" s="144"/>
      <c r="D198" s="145"/>
      <c r="E198" s="146"/>
      <c r="F198" s="147"/>
      <c r="G198" s="147"/>
      <c r="H198" s="147"/>
      <c r="I198" s="147"/>
      <c r="J198" s="148"/>
      <c r="K198" s="20"/>
      <c r="L198" s="32">
        <v>71</v>
      </c>
    </row>
    <row r="199" spans="3:12">
      <c r="C199" s="144"/>
      <c r="D199" s="145"/>
      <c r="E199" s="146"/>
      <c r="F199" s="147"/>
      <c r="G199" s="147"/>
      <c r="H199" s="147"/>
      <c r="I199" s="147"/>
      <c r="J199" s="148"/>
      <c r="K199" s="20"/>
      <c r="L199" s="32">
        <v>72</v>
      </c>
    </row>
    <row r="200" spans="3:12">
      <c r="C200" s="144"/>
      <c r="D200" s="145"/>
      <c r="E200" s="146"/>
      <c r="F200" s="147"/>
      <c r="G200" s="147"/>
      <c r="H200" s="147"/>
      <c r="I200" s="147"/>
      <c r="J200" s="148"/>
      <c r="K200" s="20"/>
      <c r="L200" s="32">
        <v>73</v>
      </c>
    </row>
    <row r="201" spans="3:12">
      <c r="C201" s="144"/>
      <c r="D201" s="145"/>
      <c r="E201" s="146"/>
      <c r="F201" s="147"/>
      <c r="G201" s="147"/>
      <c r="H201" s="147"/>
      <c r="I201" s="147"/>
      <c r="J201" s="148"/>
      <c r="K201" s="20"/>
      <c r="L201" s="32">
        <v>74</v>
      </c>
    </row>
  </sheetData>
  <mergeCells count="281">
    <mergeCell ref="C25:F25"/>
    <mergeCell ref="C20:F20"/>
    <mergeCell ref="E90:J90"/>
    <mergeCell ref="E91:J91"/>
    <mergeCell ref="E92:J92"/>
    <mergeCell ref="C102:D102"/>
    <mergeCell ref="E102:J102"/>
    <mergeCell ref="C103:D103"/>
    <mergeCell ref="E103:J103"/>
    <mergeCell ref="C95:D95"/>
    <mergeCell ref="C96:D96"/>
    <mergeCell ref="C97:D97"/>
    <mergeCell ref="E93:J93"/>
    <mergeCell ref="E94:J94"/>
    <mergeCell ref="E95:J95"/>
    <mergeCell ref="E96:J96"/>
    <mergeCell ref="E97:J97"/>
    <mergeCell ref="E86:J86"/>
    <mergeCell ref="E87:J87"/>
    <mergeCell ref="E88:J88"/>
    <mergeCell ref="C83:D83"/>
    <mergeCell ref="C69:D69"/>
    <mergeCell ref="C70:D70"/>
    <mergeCell ref="C71:D71"/>
    <mergeCell ref="C73:D73"/>
    <mergeCell ref="B4:C4"/>
    <mergeCell ref="B1:K1"/>
    <mergeCell ref="B2:C2"/>
    <mergeCell ref="H2:I2"/>
    <mergeCell ref="J2:K2"/>
    <mergeCell ref="B9:K9"/>
    <mergeCell ref="F2:G2"/>
    <mergeCell ref="C14:F14"/>
    <mergeCell ref="C12:D12"/>
    <mergeCell ref="B3:C3"/>
    <mergeCell ref="C15:F15"/>
    <mergeCell ref="C16:F16"/>
    <mergeCell ref="C60:D60"/>
    <mergeCell ref="C17:F17"/>
    <mergeCell ref="C18:F18"/>
    <mergeCell ref="C19:F19"/>
    <mergeCell ref="C24:F24"/>
    <mergeCell ref="C26:F26"/>
    <mergeCell ref="C27:F27"/>
    <mergeCell ref="C28:F28"/>
    <mergeCell ref="C29:F29"/>
    <mergeCell ref="C30:F30"/>
    <mergeCell ref="C55:F55"/>
    <mergeCell ref="C74:D74"/>
    <mergeCell ref="C75:D75"/>
    <mergeCell ref="C76:D76"/>
    <mergeCell ref="C77:D77"/>
    <mergeCell ref="C78:D78"/>
    <mergeCell ref="E77:J77"/>
    <mergeCell ref="E78:J78"/>
    <mergeCell ref="E79:J79"/>
    <mergeCell ref="E80:J80"/>
    <mergeCell ref="E75:J75"/>
    <mergeCell ref="E76:J76"/>
    <mergeCell ref="E81:J81"/>
    <mergeCell ref="E82:J82"/>
    <mergeCell ref="E83:J83"/>
    <mergeCell ref="C68:J68"/>
    <mergeCell ref="C98:D98"/>
    <mergeCell ref="E98:J98"/>
    <mergeCell ref="E70:J70"/>
    <mergeCell ref="E71:J71"/>
    <mergeCell ref="E73:J73"/>
    <mergeCell ref="E74:J74"/>
    <mergeCell ref="E69:J69"/>
    <mergeCell ref="C90:D90"/>
    <mergeCell ref="C91:D91"/>
    <mergeCell ref="C92:D92"/>
    <mergeCell ref="C93:D93"/>
    <mergeCell ref="C94:D94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E84:J84"/>
    <mergeCell ref="E85:J85"/>
    <mergeCell ref="C111:D111"/>
    <mergeCell ref="E111:J111"/>
    <mergeCell ref="C112:D112"/>
    <mergeCell ref="E112:J112"/>
    <mergeCell ref="C113:D113"/>
    <mergeCell ref="E113:J113"/>
    <mergeCell ref="C99:D99"/>
    <mergeCell ref="E99:J99"/>
    <mergeCell ref="C100:D100"/>
    <mergeCell ref="E100:J100"/>
    <mergeCell ref="C101:D101"/>
    <mergeCell ref="E101:J101"/>
    <mergeCell ref="C108:D108"/>
    <mergeCell ref="E108:J108"/>
    <mergeCell ref="C109:D109"/>
    <mergeCell ref="E109:J109"/>
    <mergeCell ref="C110:D110"/>
    <mergeCell ref="E110:J110"/>
    <mergeCell ref="C104:D104"/>
    <mergeCell ref="E104:J104"/>
    <mergeCell ref="C105:D105"/>
    <mergeCell ref="E105:J105"/>
    <mergeCell ref="C107:D107"/>
    <mergeCell ref="E107:J107"/>
    <mergeCell ref="C117:D117"/>
    <mergeCell ref="E117:J117"/>
    <mergeCell ref="C118:D118"/>
    <mergeCell ref="E118:J118"/>
    <mergeCell ref="C119:D119"/>
    <mergeCell ref="E119:J119"/>
    <mergeCell ref="C114:D114"/>
    <mergeCell ref="E114:J114"/>
    <mergeCell ref="C115:D115"/>
    <mergeCell ref="E115:J115"/>
    <mergeCell ref="C116:D116"/>
    <mergeCell ref="E116:J116"/>
    <mergeCell ref="C120:D120"/>
    <mergeCell ref="E120:J120"/>
    <mergeCell ref="C121:D121"/>
    <mergeCell ref="E121:J121"/>
    <mergeCell ref="C122:D122"/>
    <mergeCell ref="E122:J122"/>
    <mergeCell ref="C134:J134"/>
    <mergeCell ref="C135:D135"/>
    <mergeCell ref="E135:J135"/>
    <mergeCell ref="C129:D129"/>
    <mergeCell ref="E129:J129"/>
    <mergeCell ref="C130:D130"/>
    <mergeCell ref="E130:J130"/>
    <mergeCell ref="C131:D131"/>
    <mergeCell ref="E131:J131"/>
    <mergeCell ref="C132:D132"/>
    <mergeCell ref="E132:J132"/>
    <mergeCell ref="C138:D138"/>
    <mergeCell ref="E138:J138"/>
    <mergeCell ref="C144:D144"/>
    <mergeCell ref="E143:J143"/>
    <mergeCell ref="C136:D136"/>
    <mergeCell ref="E136:J136"/>
    <mergeCell ref="C137:D137"/>
    <mergeCell ref="E137:J137"/>
    <mergeCell ref="C143:D143"/>
    <mergeCell ref="C141:D141"/>
    <mergeCell ref="E142:J142"/>
    <mergeCell ref="C142:D142"/>
    <mergeCell ref="E141:J141"/>
    <mergeCell ref="E144:J144"/>
    <mergeCell ref="C139:D139"/>
    <mergeCell ref="E139:J139"/>
    <mergeCell ref="C145:D145"/>
    <mergeCell ref="C146:D146"/>
    <mergeCell ref="C147:D147"/>
    <mergeCell ref="E145:J145"/>
    <mergeCell ref="E146:J146"/>
    <mergeCell ref="E147:J147"/>
    <mergeCell ref="E148:J148"/>
    <mergeCell ref="E149:J149"/>
    <mergeCell ref="E150:J150"/>
    <mergeCell ref="C154:D154"/>
    <mergeCell ref="C155:D155"/>
    <mergeCell ref="C151:D151"/>
    <mergeCell ref="C152:D152"/>
    <mergeCell ref="C153:D153"/>
    <mergeCell ref="C158:D158"/>
    <mergeCell ref="E158:J158"/>
    <mergeCell ref="C148:D148"/>
    <mergeCell ref="C149:D149"/>
    <mergeCell ref="C150:D150"/>
    <mergeCell ref="E151:J151"/>
    <mergeCell ref="E152:J152"/>
    <mergeCell ref="E153:J153"/>
    <mergeCell ref="E154:J154"/>
    <mergeCell ref="E155:J155"/>
    <mergeCell ref="E156:J156"/>
    <mergeCell ref="C159:D159"/>
    <mergeCell ref="E159:J159"/>
    <mergeCell ref="C160:D160"/>
    <mergeCell ref="E160:J160"/>
    <mergeCell ref="C164:D164"/>
    <mergeCell ref="E164:J164"/>
    <mergeCell ref="C165:D165"/>
    <mergeCell ref="E165:J165"/>
    <mergeCell ref="C156:D156"/>
    <mergeCell ref="C182:D182"/>
    <mergeCell ref="E182:J182"/>
    <mergeCell ref="C168:D168"/>
    <mergeCell ref="E168:J168"/>
    <mergeCell ref="C163:D163"/>
    <mergeCell ref="C191:D191"/>
    <mergeCell ref="E191:J191"/>
    <mergeCell ref="C190:D190"/>
    <mergeCell ref="E190:J190"/>
    <mergeCell ref="C187:D187"/>
    <mergeCell ref="E187:J187"/>
    <mergeCell ref="C188:D188"/>
    <mergeCell ref="E188:J188"/>
    <mergeCell ref="C189:D189"/>
    <mergeCell ref="E189:J189"/>
    <mergeCell ref="E163:J163"/>
    <mergeCell ref="C183:D183"/>
    <mergeCell ref="E183:J183"/>
    <mergeCell ref="C178:D178"/>
    <mergeCell ref="E178:J178"/>
    <mergeCell ref="C179:D179"/>
    <mergeCell ref="E179:J179"/>
    <mergeCell ref="C180:D180"/>
    <mergeCell ref="E180:J180"/>
    <mergeCell ref="C167:D167"/>
    <mergeCell ref="E167:J167"/>
    <mergeCell ref="C177:D177"/>
    <mergeCell ref="E177:J177"/>
    <mergeCell ref="C176:D176"/>
    <mergeCell ref="E176:J176"/>
    <mergeCell ref="C175:D175"/>
    <mergeCell ref="E175:J175"/>
    <mergeCell ref="C181:D181"/>
    <mergeCell ref="E181:J181"/>
    <mergeCell ref="E169:J169"/>
    <mergeCell ref="C170:D170"/>
    <mergeCell ref="E170:J170"/>
    <mergeCell ref="C171:D171"/>
    <mergeCell ref="E171:J171"/>
    <mergeCell ref="C173:D173"/>
    <mergeCell ref="E173:J173"/>
    <mergeCell ref="C172:D172"/>
    <mergeCell ref="E172:J172"/>
    <mergeCell ref="C169:D169"/>
    <mergeCell ref="C193:D193"/>
    <mergeCell ref="E193:J193"/>
    <mergeCell ref="C194:D194"/>
    <mergeCell ref="E194:J194"/>
    <mergeCell ref="C124:D124"/>
    <mergeCell ref="C125:D125"/>
    <mergeCell ref="C126:D126"/>
    <mergeCell ref="C127:D127"/>
    <mergeCell ref="E124:J124"/>
    <mergeCell ref="E125:J125"/>
    <mergeCell ref="E126:J126"/>
    <mergeCell ref="E127:J127"/>
    <mergeCell ref="C184:D184"/>
    <mergeCell ref="E184:J184"/>
    <mergeCell ref="C185:D185"/>
    <mergeCell ref="E185:J185"/>
    <mergeCell ref="C186:D186"/>
    <mergeCell ref="E186:J186"/>
    <mergeCell ref="C161:D161"/>
    <mergeCell ref="E161:J161"/>
    <mergeCell ref="C162:D162"/>
    <mergeCell ref="E162:J162"/>
    <mergeCell ref="C166:D166"/>
    <mergeCell ref="E166:J166"/>
    <mergeCell ref="C200:D200"/>
    <mergeCell ref="E200:J200"/>
    <mergeCell ref="C201:D201"/>
    <mergeCell ref="E201:J201"/>
    <mergeCell ref="C195:D195"/>
    <mergeCell ref="E195:J195"/>
    <mergeCell ref="C196:D196"/>
    <mergeCell ref="E196:J196"/>
    <mergeCell ref="C198:D198"/>
    <mergeCell ref="E198:J198"/>
    <mergeCell ref="C199:D199"/>
    <mergeCell ref="E199:J199"/>
    <mergeCell ref="C31:F31"/>
    <mergeCell ref="C56:F56"/>
    <mergeCell ref="C57:F57"/>
    <mergeCell ref="C34:G34"/>
    <mergeCell ref="C35:G35"/>
    <mergeCell ref="C36:G36"/>
    <mergeCell ref="C37:G37"/>
    <mergeCell ref="C38:G38"/>
    <mergeCell ref="C39:G39"/>
    <mergeCell ref="C40:G40"/>
    <mergeCell ref="C41:G41"/>
    <mergeCell ref="C42:G42"/>
  </mergeCells>
  <phoneticPr fontId="26" type="noConversion"/>
  <conditionalFormatting sqref="G3:K3 D3:E3 B3">
    <cfRule type="containsText" dxfId="1" priority="1" operator="containsText" text="FALSE">
      <formula>NOT(ISERROR(SEARCH("FALSE",B3)))</formula>
    </cfRule>
    <cfRule type="containsText" dxfId="0" priority="2" operator="containsText" text="TRUE">
      <formula>NOT(ISERROR(SEARCH("TRUE",B3)))</formula>
    </cfRule>
  </conditionalFormatting>
  <dataValidations count="2">
    <dataValidation type="list" allowBlank="1" showInputMessage="1" showErrorMessage="1" sqref="B3" xr:uid="{14498820-A235-486D-89C0-C22DFF6ACD1B}">
      <formula1>"C1,C2,C3"</formula1>
    </dataValidation>
    <dataValidation type="list" allowBlank="1" showInputMessage="1" showErrorMessage="1" sqref="H3" xr:uid="{2F912013-A59E-4196-BDD4-4E57D5AB297D}">
      <formula1>"Y,N"</formula1>
    </dataValidation>
  </dataValidations>
  <pageMargins left="0.7" right="0.7" top="0.75" bottom="0.75" header="0.3" footer="0.3"/>
  <pageSetup scale="40" orientation="portrait" r:id="rId1"/>
  <rowBreaks count="1" manualBreakCount="1">
    <brk id="133" min="1" max="10" man="1"/>
  </rowBreaks>
  <colBreaks count="1" manualBreakCount="1">
    <brk id="11" max="1048575" man="1"/>
  </colBreaks>
  <ignoredErrors>
    <ignoredError sqref="E123:J123 E128:J128" evalError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D4DAC-4934-4469-9D17-677A4B1A0953}">
  <dimension ref="A1:AC10"/>
  <sheetViews>
    <sheetView tabSelected="1" topLeftCell="A8" zoomScale="115" zoomScaleNormal="115" workbookViewId="0">
      <pane ySplit="3" topLeftCell="A11" activePane="bottomLeft" state="frozen"/>
      <selection activeCell="A8" sqref="A8"/>
      <selection pane="bottomLeft" activeCell="AG22" sqref="AG22"/>
    </sheetView>
  </sheetViews>
  <sheetFormatPr defaultRowHeight="15"/>
  <cols>
    <col min="1" max="1" width="7.85546875" style="11" customWidth="1"/>
    <col min="2" max="2" width="16.28515625" style="11" customWidth="1"/>
    <col min="3" max="3" width="39.42578125" style="11" customWidth="1"/>
    <col min="4" max="25" width="0" hidden="1" customWidth="1"/>
    <col min="26" max="26" width="3.7109375" style="163" customWidth="1"/>
    <col min="27" max="28" width="9.140625" style="11"/>
    <col min="29" max="29" width="39.42578125" style="11" customWidth="1"/>
  </cols>
  <sheetData>
    <row r="1" spans="1:29" hidden="1"/>
    <row r="2" spans="1:29" hidden="1"/>
    <row r="3" spans="1:29" hidden="1"/>
    <row r="4" spans="1:29" hidden="1"/>
    <row r="5" spans="1:29" hidden="1"/>
    <row r="6" spans="1:29" hidden="1"/>
    <row r="7" spans="1:29" hidden="1"/>
    <row r="8" spans="1:29" ht="20.25" customHeight="1">
      <c r="A8" s="164" t="s">
        <v>189</v>
      </c>
      <c r="B8" s="164"/>
      <c r="C8" s="164"/>
      <c r="AA8" s="164" t="s">
        <v>189</v>
      </c>
      <c r="AB8" s="164"/>
      <c r="AC8" s="164"/>
    </row>
    <row r="9" spans="1:29">
      <c r="A9" s="96" t="s">
        <v>188</v>
      </c>
      <c r="B9" s="96" t="s">
        <v>1</v>
      </c>
      <c r="C9" s="96" t="s">
        <v>46</v>
      </c>
      <c r="AA9" s="96" t="s">
        <v>188</v>
      </c>
      <c r="AB9" s="96" t="s">
        <v>1</v>
      </c>
      <c r="AC9" s="96" t="s">
        <v>46</v>
      </c>
    </row>
    <row r="10" spans="1:29">
      <c r="B10" s="95"/>
      <c r="C10" s="162"/>
      <c r="AB10" s="95"/>
      <c r="AC10" s="162"/>
    </row>
  </sheetData>
  <mergeCells count="2">
    <mergeCell ref="A8:C8"/>
    <mergeCell ref="AA8:A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Loading</vt:lpstr>
      <vt:lpstr>Combo</vt:lpstr>
      <vt:lpstr>Loading!Print_Area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2025-05-31T11:40:39Z</dcterms:modified>
</cp:coreProperties>
</file>